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79ad8d949d9bc07/Vohra-Projects/data analytics for govt/01-gst-analysis/data/clean/"/>
    </mc:Choice>
  </mc:AlternateContent>
  <xr:revisionPtr revIDLastSave="851" documentId="11_EB551FFFCDB1BF7E10DF399B581D971EA70E3387" xr6:coauthVersionLast="47" xr6:coauthVersionMax="47" xr10:uidLastSave="{9CD04215-A08E-4DEF-9E80-366A3AD9C086}"/>
  <bookViews>
    <workbookView xWindow="-108" yWindow="-108" windowWidth="23256" windowHeight="12456" xr2:uid="{00000000-000D-0000-FFFF-FFFF00000000}"/>
  </bookViews>
  <sheets>
    <sheet name="Dashboard" sheetId="14" r:id="rId1"/>
    <sheet name="Clean_Data" sheetId="1" r:id="rId2"/>
    <sheet name="Other_Categories" sheetId="2" r:id="rId3"/>
    <sheet name="Cleaning_Log" sheetId="3" r:id="rId4"/>
    <sheet name="Top_States" sheetId="5" r:id="rId5"/>
    <sheet name="By_Month" sheetId="6" r:id="rId6"/>
    <sheet name="Growth" sheetId="7" r:id="rId7"/>
    <sheet name="Dash_Data" sheetId="15" r:id="rId8"/>
  </sheets>
  <definedNames>
    <definedName name="_xlnm._FilterDatabase" localSheetId="1" hidden="1">Clean_Data!$A$1:$O$3355</definedName>
    <definedName name="_xlnm._FilterDatabase" localSheetId="3" hidden="1">Cleaning_Log!$A$1:$B$9</definedName>
    <definedName name="_xlnm._FilterDatabase" localSheetId="2" hidden="1">Other_Categories!$A$1:$O$183</definedName>
    <definedName name="Slicer_category">#N/A</definedName>
    <definedName name="Slicer_financial_year">#N/A</definedName>
  </definedNames>
  <calcPr calcId="191029"/>
  <pivotCaches>
    <pivotCache cacheId="6" r:id="rId9"/>
    <pivotCache cacheId="11" r:id="rId10"/>
    <pivotCache cacheId="4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4" l="1"/>
  <c r="N5" i="14"/>
  <c r="J5" i="14"/>
  <c r="F5" i="14"/>
  <c r="B5" i="14"/>
  <c r="G41" i="7"/>
  <c r="F41" i="7"/>
  <c r="E41" i="7"/>
  <c r="D41" i="7"/>
  <c r="C41" i="7"/>
  <c r="G40" i="7"/>
  <c r="F40" i="7"/>
  <c r="E40" i="7"/>
  <c r="D40" i="7"/>
  <c r="C40" i="7"/>
  <c r="G39" i="7"/>
  <c r="F39" i="7"/>
  <c r="E39" i="7"/>
  <c r="D39" i="7"/>
  <c r="C39" i="7"/>
  <c r="G38" i="7"/>
  <c r="F38" i="7"/>
  <c r="E38" i="7"/>
  <c r="D38" i="7"/>
  <c r="C38" i="7"/>
  <c r="G37" i="7"/>
  <c r="F37" i="7"/>
  <c r="E37" i="7"/>
  <c r="D37" i="7"/>
  <c r="C37" i="7"/>
  <c r="G36" i="7"/>
  <c r="F36" i="7"/>
  <c r="E36" i="7"/>
  <c r="D36" i="7"/>
  <c r="C36" i="7"/>
  <c r="G35" i="7"/>
  <c r="F35" i="7"/>
  <c r="E35" i="7"/>
  <c r="D35" i="7"/>
  <c r="C35" i="7"/>
  <c r="G34" i="7"/>
  <c r="F34" i="7"/>
  <c r="E34" i="7"/>
  <c r="D34" i="7"/>
  <c r="C34" i="7"/>
  <c r="G33" i="7"/>
  <c r="F33" i="7"/>
  <c r="E33" i="7"/>
  <c r="D33" i="7"/>
  <c r="C33" i="7"/>
  <c r="G32" i="7"/>
  <c r="F32" i="7"/>
  <c r="E32" i="7"/>
  <c r="D32" i="7"/>
  <c r="C32" i="7"/>
  <c r="G31" i="7"/>
  <c r="F31" i="7"/>
  <c r="E31" i="7"/>
  <c r="D31" i="7"/>
  <c r="C31" i="7"/>
  <c r="G30" i="7"/>
  <c r="F30" i="7"/>
  <c r="E30" i="7"/>
  <c r="D30" i="7"/>
  <c r="C30" i="7"/>
  <c r="G29" i="7"/>
  <c r="F29" i="7"/>
  <c r="E29" i="7"/>
  <c r="D29" i="7"/>
  <c r="C29" i="7"/>
  <c r="G28" i="7"/>
  <c r="F28" i="7"/>
  <c r="E28" i="7"/>
  <c r="D28" i="7"/>
  <c r="C28" i="7"/>
  <c r="G27" i="7"/>
  <c r="F27" i="7"/>
  <c r="E27" i="7"/>
  <c r="D27" i="7"/>
  <c r="C27" i="7"/>
  <c r="G26" i="7"/>
  <c r="F26" i="7"/>
  <c r="E26" i="7"/>
  <c r="D26" i="7"/>
  <c r="C26" i="7"/>
  <c r="G25" i="7"/>
  <c r="F25" i="7"/>
  <c r="E25" i="7"/>
  <c r="D25" i="7"/>
  <c r="C25" i="7"/>
  <c r="G24" i="7"/>
  <c r="F24" i="7"/>
  <c r="E24" i="7"/>
  <c r="D24" i="7"/>
  <c r="C24" i="7"/>
  <c r="G23" i="7"/>
  <c r="F23" i="7"/>
  <c r="E23" i="7"/>
  <c r="D23" i="7"/>
  <c r="C23" i="7"/>
  <c r="G22" i="7"/>
  <c r="F22" i="7"/>
  <c r="E22" i="7"/>
  <c r="D22" i="7"/>
  <c r="C22" i="7"/>
  <c r="G21" i="7"/>
  <c r="F21" i="7"/>
  <c r="E21" i="7"/>
  <c r="D21" i="7"/>
  <c r="C21" i="7"/>
  <c r="G20" i="7"/>
  <c r="F20" i="7"/>
  <c r="E20" i="7"/>
  <c r="D20" i="7"/>
  <c r="C20" i="7"/>
  <c r="G19" i="7"/>
  <c r="F19" i="7"/>
  <c r="E19" i="7"/>
  <c r="D19" i="7"/>
  <c r="C19" i="7"/>
  <c r="G18" i="7"/>
  <c r="F18" i="7"/>
  <c r="E18" i="7"/>
  <c r="D18" i="7"/>
  <c r="C18" i="7"/>
  <c r="G17" i="7"/>
  <c r="F17" i="7"/>
  <c r="E17" i="7"/>
  <c r="D17" i="7"/>
  <c r="C17" i="7"/>
  <c r="G16" i="7"/>
  <c r="F16" i="7"/>
  <c r="E16" i="7"/>
  <c r="D16" i="7"/>
  <c r="C16" i="7"/>
  <c r="G15" i="7"/>
  <c r="F15" i="7"/>
  <c r="E15" i="7"/>
  <c r="D15" i="7"/>
  <c r="C15" i="7"/>
  <c r="G14" i="7"/>
  <c r="F14" i="7"/>
  <c r="E14" i="7"/>
  <c r="D14" i="7"/>
  <c r="C14" i="7"/>
  <c r="G13" i="7"/>
  <c r="F13" i="7"/>
  <c r="E13" i="7"/>
  <c r="D13" i="7"/>
  <c r="C13" i="7"/>
  <c r="G12" i="7"/>
  <c r="F12" i="7"/>
  <c r="E12" i="7"/>
  <c r="D12" i="7"/>
  <c r="C12" i="7"/>
  <c r="G11" i="7"/>
  <c r="F11" i="7"/>
  <c r="E11" i="7"/>
  <c r="D11" i="7"/>
  <c r="C11" i="7"/>
  <c r="G10" i="7"/>
  <c r="F10" i="7"/>
  <c r="E10" i="7"/>
  <c r="D10" i="7"/>
  <c r="C10" i="7"/>
  <c r="G9" i="7"/>
  <c r="F9" i="7"/>
  <c r="E9" i="7"/>
  <c r="D9" i="7"/>
  <c r="C9" i="7"/>
  <c r="G8" i="7"/>
  <c r="F8" i="7"/>
  <c r="E8" i="7"/>
  <c r="D8" i="7"/>
  <c r="C8" i="7"/>
  <c r="G7" i="7"/>
  <c r="F7" i="7"/>
  <c r="E7" i="7"/>
  <c r="D7" i="7"/>
  <c r="C7" i="7"/>
  <c r="G6" i="7"/>
  <c r="F6" i="7"/>
  <c r="E6" i="7"/>
  <c r="D6" i="7"/>
  <c r="C6" i="7"/>
  <c r="G5" i="7"/>
  <c r="F5" i="7"/>
  <c r="E5" i="7"/>
  <c r="D5" i="7"/>
  <c r="C5" i="7"/>
</calcChain>
</file>

<file path=xl/sharedStrings.xml><?xml version="1.0" encoding="utf-8"?>
<sst xmlns="http://schemas.openxmlformats.org/spreadsheetml/2006/main" count="14435" uniqueCount="118">
  <si>
    <t>date</t>
  </si>
  <si>
    <t>financial_year</t>
  </si>
  <si>
    <t>year</t>
  </si>
  <si>
    <t>month_num</t>
  </si>
  <si>
    <t>month</t>
  </si>
  <si>
    <t>state_name</t>
  </si>
  <si>
    <t>state_code</t>
  </si>
  <si>
    <t>category</t>
  </si>
  <si>
    <t>cgst</t>
  </si>
  <si>
    <t>sgst</t>
  </si>
  <si>
    <t>igst</t>
  </si>
  <si>
    <t>cess</t>
  </si>
  <si>
    <t>total_gst_excl_cess</t>
  </si>
  <si>
    <t>total_gst</t>
  </si>
  <si>
    <t>cess_flag</t>
  </si>
  <si>
    <t>2017-18</t>
  </si>
  <si>
    <t>Aug</t>
  </si>
  <si>
    <t>Andaman and Nicobar Islands</t>
  </si>
  <si>
    <t>Union Territory</t>
  </si>
  <si>
    <t>Andhra Pradesh</t>
  </si>
  <si>
    <t>State</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</si>
  <si>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</si>
  <si>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</si>
  <si>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</si>
  <si>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</si>
  <si>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</si>
  <si>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</si>
  <si>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</si>
  <si>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</si>
  <si>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</si>
  <si>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</si>
  <si>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</si>
  <si>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</si>
  <si>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</si>
  <si>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</si>
  <si>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</si>
  <si>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</si>
  <si>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</si>
  <si>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</si>
  <si>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</si>
  <si>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</si>
  <si>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</si>
  <si>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</si>
  <si>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</si>
  <si>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</si>
  <si>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</si>
  <si>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</si>
  <si>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</si>
  <si>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</si>
  <si>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</si>
  <si>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</si>
  <si>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</si>
  <si>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</si>
  <si>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</si>
  <si>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Sep</t>
  </si>
  <si>
    <t>Oct</t>
  </si>
  <si>
    <t>Nov</t>
  </si>
  <si>
    <t>Dec</t>
  </si>
  <si>
    <t>Jan</t>
  </si>
  <si>
    <t>Feb</t>
  </si>
  <si>
    <t>Mar</t>
  </si>
  <si>
    <t>2018-19</t>
  </si>
  <si>
    <t>Apr</t>
  </si>
  <si>
    <t>May</t>
  </si>
  <si>
    <t>Jun</t>
  </si>
  <si>
    <t>Jul</t>
  </si>
  <si>
    <t>2019-20</t>
  </si>
  <si>
    <t>Ladakh</t>
  </si>
  <si>
    <t>2020-21</t>
  </si>
  <si>
    <t>2021-22</t>
  </si>
  <si>
    <t>2022-23</t>
  </si>
  <si>
    <t>2023-24</t>
  </si>
  <si>
    <t>2024-25</t>
  </si>
  <si>
    <t>2025-26</t>
  </si>
  <si>
    <t>Cess removed - suspected data error</t>
  </si>
  <si>
    <t>Other Territory</t>
  </si>
  <si>
    <t>Other</t>
  </si>
  <si>
    <t>CBIC</t>
  </si>
  <si>
    <t>OIDAR</t>
  </si>
  <si>
    <t>Step</t>
  </si>
  <si>
    <t>What was done</t>
  </si>
  <si>
    <t>Loaded 3570 rows from the raw file.</t>
  </si>
  <si>
    <t>Fixed state names ('And' -&gt; 'and', removed 'The' from Dadra and Nagar Haveli).</t>
  </si>
  <si>
    <t>Removed July 2017 (GST launch month, near-zero values): 34 rows.</t>
  </si>
  <si>
    <t>Blanked cess for Aug 2025 and Jan 2026 (about 11x normal - suspected error): 76 rows.</t>
  </si>
  <si>
    <t>Added year, month, financial_year (Apr-Mar), category, total_gst_excl_cess, total_gst.</t>
  </si>
  <si>
    <t>Split into 3354 state/UT rows and 182 'Other' category rows (CBIC, OIDAR, Other Territory).</t>
  </si>
  <si>
    <t>Months missing in the source (not filled in): Apr 2025, May 2025, Jun 2025, Jul 2025, Sep 2025, Oct 2025, Nov 2025, Dec 2025.</t>
  </si>
  <si>
    <t>Amounts are assumed to be in Rs crore - verify on gst.gov.in.</t>
  </si>
  <si>
    <t>Row Labels</t>
  </si>
  <si>
    <t>Grand Total</t>
  </si>
  <si>
    <t>Total GST (Rs crore, excl. cess)</t>
  </si>
  <si>
    <t>Total GST collected by state, Aug 2017 - Jan 2026 (Rs crore, excluding cess)</t>
  </si>
  <si>
    <t>Avg GST per state (Rs crore)</t>
  </si>
  <si>
    <t>Average monthly GST per state, by month (Rs crore, excluding cess)</t>
  </si>
  <si>
    <t>GST growth by state (Rs crore, excluding cess) - sorted by latest yearly growth</t>
  </si>
  <si>
    <t>FY = Indian financial year (Apr-Mar). Small states/UTs can show big % swings because their amounts are small.</t>
  </si>
  <si>
    <t>Category</t>
  </si>
  <si>
    <t>FY 2018-19</t>
  </si>
  <si>
    <t>FY 2023-24</t>
  </si>
  <si>
    <t>FY 2024-25</t>
  </si>
  <si>
    <t>YoY growth % (FY25 vs FY24)</t>
  </si>
  <si>
    <t>Avg yearly growth % (FY19 to FY25)</t>
  </si>
  <si>
    <t>INDIA (all states and UTs)</t>
  </si>
  <si>
    <t>Helper pivot tables for the Dashboard sheet - do not delete</t>
  </si>
  <si>
    <t>GST (Rs crore)</t>
  </si>
  <si>
    <t>GST by FY (Rs crore)</t>
  </si>
  <si>
    <t>Monthly GST (Rs crore)</t>
  </si>
  <si>
    <t>India GST Collection Dashboard</t>
  </si>
  <si>
    <t>State-wise GST, Aug 2017 - Jan 2026 | Rs crore, excluding cess | Source: GST Portal via India Data Portal</t>
  </si>
  <si>
    <t>Total GST, FY 2024-25</t>
  </si>
  <si>
    <t>All states and UTs</t>
  </si>
  <si>
    <t>Growth vs FY 2023-24</t>
  </si>
  <si>
    <t>Year-on-year</t>
  </si>
  <si>
    <t>Maharashtra share</t>
  </si>
  <si>
    <t>Of all state GST since 2017</t>
  </si>
  <si>
    <t>Fastest-growing state</t>
  </si>
  <si>
    <t>Tip: click the slicers on the right to filter the charts. Hold Ctrl to pick several. Click the funnel-with-X icon to 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</si>
</sst>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yyyy\-mm\-dd\ hh:mm:ss"/>
    <numFmt numFmtId="166" formatCode="###,##0"/>
    <numFmt numFmtId="167" formatCode="0.0%"/>
    <numFmt numFmtId="168" formatCode="&quot;Rs &quot;#,##0&quot; cr&quot;"/>
    <numFmt numFmtId="169" formatCode="\+0.0%;\-0.0%"/>
    <numFmt numFmtId="170" formatCode="mmm\ yyyy"/>
  </numFmts>
  <fonts count="10" x14ac:knownFonts="1">
    <font>
      <sz val="11"/>
      <color theme="1"/>
      <name val="Calibri"/>
      <family val="2"/>
      <scheme val="minor"/>
    </font>
    <font>
      <b/>
      <sz val="11"/>
      <name val="Calibri"/>
    </font>
    <font>
      <b/>
      <sz val="11"/>
      <color theme="1"/>
      <name val="Calibri"/>
      <family val="2"/>
      <scheme val="minor"/>
    </font>
    <font>
      <i/>
      <sz val="11"/>
      <color theme="1"/>
      <name val="Calibri"/>
      <family val="2"/>
      <scheme val="minor"/>
    </font>
    <font>
      <b/>
      <sz val="11"/>
      <color rgb="FFFFFFFF"/>
      <name val="Calibri"/>
      <family val="2"/>
      <scheme val="minor"/>
    </font>
    <font>
      <b/>
      <sz val="22"/>
      <color rgb="FF1F3A5A"/>
      <name val="Calibri"/>
      <family val="2"/>
      <scheme val="minor"/>
    </font>
    <font>
      <sz val="11"/>
      <color rgb="FF666666"/>
      <name val="Calibri"/>
      <family val="2"/>
      <scheme val="minor"/>
    </font>
    <font>
      <b/>
      <sz val="20"/>
      <color rgb="FF1F4A7B"/>
      <name val="Calibri"/>
      <family val="2"/>
      <scheme val="minor"/>
    </font>
    <font>
      <sz val="9"/>
      <color rgb="FF888888"/>
      <name val="Calibri"/>
      <family val="2"/>
      <scheme val="minor"/>
    </font>
    <font>
      <i/>
      <sz val="11"/>
      <color rgb="FF666666"/>
      <name val="Calibri"/>
      <family val="2"/>
      <scheme val="minor"/>
    </font>
  </fonts>
  <fills count="5">
    <fill>
      <patternFill patternType="none"/>
    </fill>
    <fill>
      <patternFill patternType="gray125"/>
    </fill>
    <fill>
      <patternFill patternType="solid">
        <fgColor rgb="FF1F4A7B"/>
        <bgColor indexed="64"/>
      </patternFill>
    </fill>
    <fill>
      <patternFill patternType="solid">
        <fgColor rgb="FFF3F5F7"/>
        <bgColor indexed="64"/>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medium">
        <color indexed="64"/>
      </top>
      <bottom/>
      <diagonal/>
    </border>
    <border>
      <left style="thin">
        <color rgb="FFCCD2D9"/>
      </left>
      <right/>
      <top style="thin">
        <color rgb="FFCCD2D9"/>
      </top>
      <bottom/>
      <diagonal/>
    </border>
    <border>
      <left/>
      <right/>
      <top style="thin">
        <color rgb="FFCCD2D9"/>
      </top>
      <bottom/>
      <diagonal/>
    </border>
    <border>
      <left/>
      <right style="thin">
        <color rgb="FFCCD2D9"/>
      </right>
      <top style="thin">
        <color rgb="FFCCD2D9"/>
      </top>
      <bottom/>
      <diagonal/>
    </border>
    <border>
      <left style="thin">
        <color rgb="FFCCD2D9"/>
      </left>
      <right/>
      <top/>
      <bottom/>
      <diagonal/>
    </border>
    <border>
      <left/>
      <right style="thin">
        <color rgb="FFCCD2D9"/>
      </right>
      <top/>
      <bottom/>
      <diagonal/>
    </border>
    <border>
      <left style="thin">
        <color rgb="FFCCD2D9"/>
      </left>
      <right/>
      <top/>
      <bottom style="thin">
        <color rgb="FFCCD2D9"/>
      </bottom>
      <diagonal/>
    </border>
    <border>
      <left/>
      <right/>
      <top/>
      <bottom style="thin">
        <color rgb="FFCCD2D9"/>
      </bottom>
      <diagonal/>
    </border>
    <border>
      <left/>
      <right style="thin">
        <color rgb="FFCCD2D9"/>
      </right>
      <top/>
      <bottom style="thin">
        <color rgb="FFCCD2D9"/>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165"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2" fillId="0" borderId="0" xfId="0" applyFont="1"/>
    <xf numFmtId="3" fontId="0" fillId="0" borderId="0" xfId="0" applyNumberFormat="1"/>
    <xf numFmtId="0" fontId="3" fillId="0" borderId="0" xfId="0" applyFont="1"/>
    <xf numFmtId="0" fontId="2" fillId="0" borderId="3" xfId="0" applyFont="1" applyBorder="1"/>
    <xf numFmtId="3" fontId="2" fillId="0" borderId="3" xfId="0" applyNumberFormat="1" applyFont="1" applyBorder="1"/>
    <xf numFmtId="167" fontId="0" fillId="0" borderId="0" xfId="0" applyNumberFormat="1"/>
    <xf numFmtId="167" fontId="2" fillId="0" borderId="3" xfId="0" applyNumberFormat="1" applyFont="1" applyBorder="1"/>
    <xf numFmtId="0" fontId="4" fillId="2" borderId="0" xfId="0" applyFont="1" applyFill="1" applyAlignment="1">
      <alignment wrapText="1"/>
    </xf>
    <xf numFmtId="0" fontId="0" fillId="3" borderId="0" xfId="0" applyFill="1"/>
    <xf numFmtId="0" fontId="5" fillId="3" borderId="0" xfId="0" applyFont="1" applyFill="1"/>
    <xf numFmtId="0" fontId="6" fillId="3" borderId="0" xfId="0" applyFont="1" applyFill="1"/>
    <xf numFmtId="0" fontId="0" fillId="4" borderId="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8"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0" fontId="6" fillId="4" borderId="4" xfId="0" applyFont="1" applyFill="1" applyBorder="1" applyAlignment="1">
      <alignment horizontal="center"/>
    </xf>
    <xf numFmtId="168" fontId="7" fillId="4" borderId="7" xfId="0" applyNumberFormat="1" applyFont="1" applyFill="1" applyBorder="1" applyAlignment="1">
      <alignment horizontal="center"/>
    </xf>
    <xf numFmtId="0" fontId="8" fillId="4" borderId="9" xfId="0" applyFont="1" applyFill="1" applyBorder="1" applyAlignment="1">
      <alignment horizontal="center"/>
    </xf>
    <xf numFmtId="169" fontId="7" fillId="4" borderId="7" xfId="0" applyNumberFormat="1" applyFont="1" applyFill="1" applyBorder="1" applyAlignment="1">
      <alignment horizontal="center"/>
    </xf>
    <xf numFmtId="167" fontId="7" fillId="4" borderId="7" xfId="0" applyNumberFormat="1" applyFont="1" applyFill="1" applyBorder="1" applyAlignment="1">
      <alignment horizontal="center"/>
    </xf>
    <xf numFmtId="49" fontId="7" fillId="4" borderId="7" xfId="0" applyNumberFormat="1" applyFont="1" applyFill="1" applyBorder="1" applyAlignment="1">
      <alignment horizontal="center"/>
    </xf>
    <xf numFmtId="0" fontId="9" fillId="3" borderId="0" xfId="0" applyFont="1" applyFill="1"/>
    <xf numFmtId="170" fontId="0" fillId="0" borderId="0" xfId="0" applyNumberFormat="1" applyAlignment="1">
      <alignment horizontal="left"/>
    </xf>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[gst-collection-clean.xlsx]Dash_Data!DashTopStates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by GST collected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4A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Dash_Data!$B$3</c:f>
              <c:strCache>
                <c:ptCount val="1"/>
                <c:pt idx="0">
                  <c:v>Total</c:v>
                </c:pt>
              </c:strCache>
            </c:strRef>
          </c:tx>
          <c:spPr>
            <a:solidFill>
              <a:srgbClr val="1F4A7B"/>
            </a:solidFill>
            <a:ln>
              <a:noFill/>
            </a:ln>
            <a:effectLst/>
          </c:spPr>
          <c:invertIfNegative val="0"/>
          <c:cat>
            <c:strRef>
              <c:f>Dash_Data!$A$4:$A$13</c:f>
              <c:strCache>
                <c:ptCount val="10"/>
                <c:pt idx="0">
                  <c:v>Maharashtra</c:v>
                </c:pt>
                <c:pt idx="1">
                  <c:v>Karnataka</c:v>
                </c:pt>
                <c:pt idx="2">
                  <c:v>Gujarat</c:v>
                </c:pt>
                <c:pt idx="3">
                  <c:v>Tamil Nadu</c:v>
                </c:pt>
                <c:pt idx="4">
                  <c:v>Haryana</c:v>
                </c:pt>
                <c:pt idx="5">
                  <c:v>Uttar Pradesh</c:v>
                </c:pt>
                <c:pt idx="6">
                  <c:v>Delhi</c:v>
                </c:pt>
                <c:pt idx="7">
                  <c:v>West Bengal</c:v>
                </c:pt>
                <c:pt idx="8">
                  <c:v>Telangana</c:v>
                </c:pt>
                <c:pt idx="9">
                  <c:v>Rajasthan</c:v>
                </c:pt>
              </c:strCache>
            </c:strRef>
          </c:cat>
          <c:val>
            <c:numRef>
              <c:f>Dash_Data!$B$4:$B$13</c:f>
              <c:numCache>
                <c:formatCode>General</c:formatCode>
                <c:ptCount val="10"/>
                <c:pt idx="0">
                  <c:v>1731892.8800000004</c:v>
                </c:pt>
                <c:pt idx="1">
                  <c:v>745108.94</c:v>
                </c:pt>
                <c:pt idx="2">
                  <c:v>723163.4800000001</c:v>
                </c:pt>
                <c:pt idx="3">
                  <c:v>666936.92999999993</c:v>
                </c:pt>
                <c:pt idx="4">
                  <c:v>563042.49000000034</c:v>
                </c:pt>
                <c:pt idx="5">
                  <c:v>512410.49000000017</c:v>
                </c:pt>
                <c:pt idx="6">
                  <c:v>396187.47</c:v>
                </c:pt>
                <c:pt idx="7">
                  <c:v>360960.35999999993</c:v>
                </c:pt>
                <c:pt idx="8">
                  <c:v>316438.84000000008</c:v>
                </c:pt>
                <c:pt idx="9">
                  <c:v>298663.18</c:v>
                </c:pt>
              </c:numCache>
            </c:numRef>
          </c:val>
          <c:extLst>
            <c:ext xmlns:c16="http://schemas.microsoft.com/office/drawing/2014/chart" uri="{C3380CC4-5D6E-409C-BE32-E72D297353CC}">
              <c16:uniqueId val="{00000001-4504-4867-BB42-161E66E67756}"/>
            </c:ext>
          </c:extLst>
        </c:ser>
        <c:dLbls>
          <c:showLegendKey val="0"/>
          <c:showVal val="0"/>
          <c:showCatName val="0"/>
          <c:showSerName val="0"/>
          <c:showPercent val="0"/>
          <c:showBubbleSize val="0"/>
        </c:dLbls>
        <c:gapWidth val="182"/>
        <c:axId val="1998139999"/>
        <c:axId val="2039770447"/>
      </c:barChart>
      <c:catAx>
        <c:axId val="19981399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70447"/>
        <c:crosses val="autoZero"/>
        <c:auto val="1"/>
        <c:lblAlgn val="ctr"/>
        <c:lblOffset val="100"/>
        <c:noMultiLvlLbl val="0"/>
      </c:catAx>
      <c:valAx>
        <c:axId val="203977044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13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[gst-collection-clean.xlsx]Dash_Data!DashByFY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GST by financial year (FY 2017-18 and 2025-26 are partial)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4A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Dash_Data!$F$3</c:f>
              <c:strCache>
                <c:ptCount val="1"/>
                <c:pt idx="0">
                  <c:v>Total</c:v>
                </c:pt>
              </c:strCache>
            </c:strRef>
          </c:tx>
          <c:spPr>
            <a:solidFill>
              <a:srgbClr val="1F4A7B"/>
            </a:solidFill>
            <a:ln>
              <a:noFill/>
            </a:ln>
            <a:effectLst/>
          </c:spPr>
          <c:invertIfNegative val="0"/>
          <c:cat>
            <c:strRef>
              <c:f>Dash_Data!$E$4:$E$12</c:f>
              <c:strCache>
                <c:ptCount val="9"/>
                <c:pt idx="0">
                  <c:v>2017-18</c:v>
                </c:pt>
                <c:pt idx="1">
                  <c:v>2018-19</c:v>
                </c:pt>
                <c:pt idx="2">
                  <c:v>2019-20</c:v>
                </c:pt>
                <c:pt idx="3">
                  <c:v>2020-21</c:v>
                </c:pt>
                <c:pt idx="4">
                  <c:v>2021-22</c:v>
                </c:pt>
                <c:pt idx="5">
                  <c:v>2022-23</c:v>
                </c:pt>
                <c:pt idx="6">
                  <c:v>2023-24</c:v>
                </c:pt>
                <c:pt idx="7">
                  <c:v>2024-25</c:v>
                </c:pt>
                <c:pt idx="8">
                  <c:v>2025-26</c:v>
                </c:pt>
              </c:strCache>
            </c:strRef>
          </c:cat>
          <c:val>
            <c:numRef>
              <c:f>Dash_Data!$F$4:$F$12</c:f>
              <c:numCache>
                <c:formatCode>General</c:formatCode>
                <c:ptCount val="9"/>
                <c:pt idx="0">
                  <c:v>483050.84999999992</c:v>
                </c:pt>
                <c:pt idx="1">
                  <c:v>786417.50000000047</c:v>
                </c:pt>
                <c:pt idx="2">
                  <c:v>853340.63999999978</c:v>
                </c:pt>
                <c:pt idx="3">
                  <c:v>783811.1600000005</c:v>
                </c:pt>
                <c:pt idx="4">
                  <c:v>994956.80000000005</c:v>
                </c:pt>
                <c:pt idx="5">
                  <c:v>1203045.2400000002</c:v>
                </c:pt>
                <c:pt idx="6">
                  <c:v>1385487.6299999985</c:v>
                </c:pt>
                <c:pt idx="7">
                  <c:v>1528057.2900000005</c:v>
                </c:pt>
                <c:pt idx="8">
                  <c:v>265456.65000000008</c:v>
                </c:pt>
              </c:numCache>
            </c:numRef>
          </c:val>
          <c:extLst>
            <c:ext xmlns:c16="http://schemas.microsoft.com/office/drawing/2014/chart" uri="{C3380CC4-5D6E-409C-BE32-E72D297353CC}">
              <c16:uniqueId val="{00000001-A651-4900-93D4-0FDA75E548A9}"/>
            </c:ext>
          </c:extLst>
        </c:ser>
        <c:dLbls>
          <c:showLegendKey val="0"/>
          <c:showVal val="0"/>
          <c:showCatName val="0"/>
          <c:showSerName val="0"/>
          <c:showPercent val="0"/>
          <c:showBubbleSize val="0"/>
        </c:dLbls>
        <c:gapWidth val="219"/>
        <c:overlap val="-27"/>
        <c:axId val="1998139071"/>
        <c:axId val="2039789647"/>
      </c:barChart>
      <c:catAx>
        <c:axId val="199813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89647"/>
        <c:crosses val="autoZero"/>
        <c:auto val="1"/>
        <c:lblAlgn val="ctr"/>
        <c:lblOffset val="100"/>
        <c:noMultiLvlLbl val="0"/>
      </c:catAx>
      <c:valAx>
        <c:axId val="2039789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13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[gst-collection-clean.xlsx]Dash_Data!DashMonthly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GST trend (2025 has missing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578B2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Dash_Data!$J$3</c:f>
              <c:strCache>
                <c:ptCount val="1"/>
                <c:pt idx="0">
                  <c:v>Total</c:v>
                </c:pt>
              </c:strCache>
            </c:strRef>
          </c:tx>
          <c:spPr>
            <a:ln w="28575" cap="rnd">
              <a:solidFill>
                <a:srgbClr val="578B2E"/>
              </a:solidFill>
              <a:round/>
            </a:ln>
            <a:effectLst/>
          </c:spPr>
          <c:marker>
            <c:symbol val="none"/>
          </c:marker>
          <c:cat>
            <c:strRef>
              <c:f>Dash_Data!$I$4:$I$97</c:f>
              <c:strCache>
                <c:ptCount val="94"/>
                <c:pt idx="0">
                  <c:v>Aug 2017</c:v>
                </c:pt>
                <c:pt idx="1">
                  <c:v>Sep 2017</c:v>
                </c:pt>
                <c:pt idx="2">
                  <c:v>Oct 2017</c:v>
                </c:pt>
                <c:pt idx="3">
                  <c:v>Nov 2017</c:v>
                </c:pt>
                <c:pt idx="4">
                  <c:v>Dec 2017</c:v>
                </c:pt>
                <c:pt idx="5">
                  <c:v>Jan 2018</c:v>
                </c:pt>
                <c:pt idx="6">
                  <c:v>Feb 2018</c:v>
                </c:pt>
                <c:pt idx="7">
                  <c:v>Mar 2018</c:v>
                </c:pt>
                <c:pt idx="8">
                  <c:v>Apr 2018</c:v>
                </c:pt>
                <c:pt idx="9">
                  <c:v>May 2018</c:v>
                </c:pt>
                <c:pt idx="10">
                  <c:v>Jun 2018</c:v>
                </c:pt>
                <c:pt idx="11">
                  <c:v>Jul 2018</c:v>
                </c:pt>
                <c:pt idx="12">
                  <c:v>Aug 2018</c:v>
                </c:pt>
                <c:pt idx="13">
                  <c:v>Sep 2018</c:v>
                </c:pt>
                <c:pt idx="14">
                  <c:v>Oct 2018</c:v>
                </c:pt>
                <c:pt idx="15">
                  <c:v>Nov 2018</c:v>
                </c:pt>
                <c:pt idx="16">
                  <c:v>Dec 2018</c:v>
                </c:pt>
                <c:pt idx="17">
                  <c:v>Jan 2019</c:v>
                </c:pt>
                <c:pt idx="18">
                  <c:v>Feb 2019</c:v>
                </c:pt>
                <c:pt idx="19">
                  <c:v>Mar 2019</c:v>
                </c:pt>
                <c:pt idx="20">
                  <c:v>Apr 2019</c:v>
                </c:pt>
                <c:pt idx="21">
                  <c:v>May 2019</c:v>
                </c:pt>
                <c:pt idx="22">
                  <c:v>Jun 2019</c:v>
                </c:pt>
                <c:pt idx="23">
                  <c:v>Jul 2019</c:v>
                </c:pt>
                <c:pt idx="24">
                  <c:v>Aug 2019</c:v>
                </c:pt>
                <c:pt idx="25">
                  <c:v>Sep 2019</c:v>
                </c:pt>
                <c:pt idx="26">
                  <c:v>Oct 2019</c:v>
                </c:pt>
                <c:pt idx="27">
                  <c:v>Nov 2019</c:v>
                </c:pt>
                <c:pt idx="28">
                  <c:v>Dec 2019</c:v>
                </c:pt>
                <c:pt idx="29">
                  <c:v>Jan 2020</c:v>
                </c:pt>
                <c:pt idx="30">
                  <c:v>Feb 2020</c:v>
                </c:pt>
                <c:pt idx="31">
                  <c:v>Mar 2020</c:v>
                </c:pt>
                <c:pt idx="32">
                  <c:v>Apr 2020</c:v>
                </c:pt>
                <c:pt idx="33">
                  <c:v>May 2020</c:v>
                </c:pt>
                <c:pt idx="34">
                  <c:v>Jun 2020</c:v>
                </c:pt>
                <c:pt idx="35">
                  <c:v>Jul 2020</c:v>
                </c:pt>
                <c:pt idx="36">
                  <c:v>Aug 2020</c:v>
                </c:pt>
                <c:pt idx="37">
                  <c:v>Sep 2020</c:v>
                </c:pt>
                <c:pt idx="38">
                  <c:v>Oct 2020</c:v>
                </c:pt>
                <c:pt idx="39">
                  <c:v>Nov 2020</c:v>
                </c:pt>
                <c:pt idx="40">
                  <c:v>Dec 2020</c:v>
                </c:pt>
                <c:pt idx="41">
                  <c:v>Jan 2021</c:v>
                </c:pt>
                <c:pt idx="42">
                  <c:v>Feb 2021</c:v>
                </c:pt>
                <c:pt idx="43">
                  <c:v>Mar 2021</c:v>
                </c:pt>
                <c:pt idx="44">
                  <c:v>Apr 2021</c:v>
                </c:pt>
                <c:pt idx="45">
                  <c:v>May 2021</c:v>
                </c:pt>
                <c:pt idx="46">
                  <c:v>Jun 2021</c:v>
                </c:pt>
                <c:pt idx="47">
                  <c:v>Jul 2021</c:v>
                </c:pt>
                <c:pt idx="48">
                  <c:v>Aug 2021</c:v>
                </c:pt>
                <c:pt idx="49">
                  <c:v>Sep 2021</c:v>
                </c:pt>
                <c:pt idx="50">
                  <c:v>Oct 2021</c:v>
                </c:pt>
                <c:pt idx="51">
                  <c:v>Nov 2021</c:v>
                </c:pt>
                <c:pt idx="52">
                  <c:v>Dec 2021</c:v>
                </c:pt>
                <c:pt idx="53">
                  <c:v>Jan 2022</c:v>
                </c:pt>
                <c:pt idx="54">
                  <c:v>Feb 2022</c:v>
                </c:pt>
                <c:pt idx="55">
                  <c:v>Mar 2022</c:v>
                </c:pt>
                <c:pt idx="56">
                  <c:v>Apr 2022</c:v>
                </c:pt>
                <c:pt idx="57">
                  <c:v>May 2022</c:v>
                </c:pt>
                <c:pt idx="58">
                  <c:v>Jun 2022</c:v>
                </c:pt>
                <c:pt idx="59">
                  <c:v>Jul 2022</c:v>
                </c:pt>
                <c:pt idx="60">
                  <c:v>Aug 2022</c:v>
                </c:pt>
                <c:pt idx="61">
                  <c:v>Sep 2022</c:v>
                </c:pt>
                <c:pt idx="62">
                  <c:v>Oct 2022</c:v>
                </c:pt>
                <c:pt idx="63">
                  <c:v>Nov 2022</c:v>
                </c:pt>
                <c:pt idx="64">
                  <c:v>Dec 2022</c:v>
                </c:pt>
                <c:pt idx="65">
                  <c:v>Jan 2023</c:v>
                </c:pt>
                <c:pt idx="66">
                  <c:v>Feb 2023</c:v>
                </c:pt>
                <c:pt idx="67">
                  <c:v>Mar 2023</c:v>
                </c:pt>
                <c:pt idx="68">
                  <c:v>Apr 2023</c:v>
                </c:pt>
                <c:pt idx="69">
                  <c:v>May 2023</c:v>
                </c:pt>
                <c:pt idx="70">
                  <c:v>Jun 2023</c:v>
                </c:pt>
                <c:pt idx="71">
                  <c:v>Jul 2023</c:v>
                </c:pt>
                <c:pt idx="72">
                  <c:v>Aug 2023</c:v>
                </c:pt>
                <c:pt idx="73">
                  <c:v>Sep 2023</c:v>
                </c:pt>
                <c:pt idx="74">
                  <c:v>Oct 2023</c:v>
                </c:pt>
                <c:pt idx="75">
                  <c:v>Nov 2023</c:v>
                </c:pt>
                <c:pt idx="76">
                  <c:v>Dec 2023</c:v>
                </c:pt>
                <c:pt idx="77">
                  <c:v>Jan 2024</c:v>
                </c:pt>
                <c:pt idx="78">
                  <c:v>Feb 2024</c:v>
                </c:pt>
                <c:pt idx="79">
                  <c:v>Mar 2024</c:v>
                </c:pt>
                <c:pt idx="80">
                  <c:v>Apr 2024</c:v>
                </c:pt>
                <c:pt idx="81">
                  <c:v>May 2024</c:v>
                </c:pt>
                <c:pt idx="82">
                  <c:v>Jun 2024</c:v>
                </c:pt>
                <c:pt idx="83">
                  <c:v>Jul 2024</c:v>
                </c:pt>
                <c:pt idx="84">
                  <c:v>Aug 2024</c:v>
                </c:pt>
                <c:pt idx="85">
                  <c:v>Sep 2024</c:v>
                </c:pt>
                <c:pt idx="86">
                  <c:v>Oct 2024</c:v>
                </c:pt>
                <c:pt idx="87">
                  <c:v>Nov 2024</c:v>
                </c:pt>
                <c:pt idx="88">
                  <c:v>Dec 2024</c:v>
                </c:pt>
                <c:pt idx="89">
                  <c:v>Jan 2025</c:v>
                </c:pt>
                <c:pt idx="90">
                  <c:v>Feb 2025</c:v>
                </c:pt>
                <c:pt idx="91">
                  <c:v>Mar 2025</c:v>
                </c:pt>
                <c:pt idx="92">
                  <c:v>Aug 2025</c:v>
                </c:pt>
                <c:pt idx="93">
                  <c:v>Jan 2026</c:v>
                </c:pt>
              </c:strCache>
            </c:strRef>
          </c:cat>
          <c:val>
            <c:numRef>
              <c:f>Dash_Data!$J$4:$J$97</c:f>
              <c:numCache>
                <c:formatCode>General</c:formatCode>
                <c:ptCount val="94"/>
                <c:pt idx="0">
                  <c:v>65409.69</c:v>
                </c:pt>
                <c:pt idx="1">
                  <c:v>62100.24</c:v>
                </c:pt>
                <c:pt idx="2">
                  <c:v>63122.929999999993</c:v>
                </c:pt>
                <c:pt idx="3">
                  <c:v>56609.750000000015</c:v>
                </c:pt>
                <c:pt idx="4">
                  <c:v>55627.75</c:v>
                </c:pt>
                <c:pt idx="5">
                  <c:v>59958.119999999988</c:v>
                </c:pt>
                <c:pt idx="6">
                  <c:v>58061.469999999994</c:v>
                </c:pt>
                <c:pt idx="7">
                  <c:v>62160.899999999987</c:v>
                </c:pt>
                <c:pt idx="8">
                  <c:v>73528.149999999994</c:v>
                </c:pt>
                <c:pt idx="9">
                  <c:v>61452.160000000003</c:v>
                </c:pt>
                <c:pt idx="10">
                  <c:v>62811.430000000008</c:v>
                </c:pt>
                <c:pt idx="11">
                  <c:v>63082.619999999995</c:v>
                </c:pt>
                <c:pt idx="12">
                  <c:v>59572.67</c:v>
                </c:pt>
                <c:pt idx="13">
                  <c:v>60936.760000000009</c:v>
                </c:pt>
                <c:pt idx="14">
                  <c:v>65611.399999999994</c:v>
                </c:pt>
                <c:pt idx="15">
                  <c:v>65243.709999999992</c:v>
                </c:pt>
                <c:pt idx="16">
                  <c:v>62932.739999999983</c:v>
                </c:pt>
                <c:pt idx="17">
                  <c:v>69518.340000000011</c:v>
                </c:pt>
                <c:pt idx="18">
                  <c:v>67197.989999999991</c:v>
                </c:pt>
                <c:pt idx="19">
                  <c:v>74529.53</c:v>
                </c:pt>
                <c:pt idx="20">
                  <c:v>81100.109999999986</c:v>
                </c:pt>
                <c:pt idx="21">
                  <c:v>67104.409999999989</c:v>
                </c:pt>
                <c:pt idx="22">
                  <c:v>69274.69</c:v>
                </c:pt>
                <c:pt idx="23">
                  <c:v>69067.600000000006</c:v>
                </c:pt>
                <c:pt idx="24">
                  <c:v>65842.759999999995</c:v>
                </c:pt>
                <c:pt idx="25">
                  <c:v>62032.68</c:v>
                </c:pt>
                <c:pt idx="26">
                  <c:v>66101.97</c:v>
                </c:pt>
                <c:pt idx="27">
                  <c:v>74566.959999999977</c:v>
                </c:pt>
                <c:pt idx="28">
                  <c:v>73364.340000000011</c:v>
                </c:pt>
                <c:pt idx="29">
                  <c:v>78440.840000000011</c:v>
                </c:pt>
                <c:pt idx="30">
                  <c:v>75429.149999999994</c:v>
                </c:pt>
                <c:pt idx="31">
                  <c:v>71015.13</c:v>
                </c:pt>
                <c:pt idx="32">
                  <c:v>18802.740000000002</c:v>
                </c:pt>
                <c:pt idx="33">
                  <c:v>39076.53</c:v>
                </c:pt>
                <c:pt idx="34">
                  <c:v>67310.989999999991</c:v>
                </c:pt>
                <c:pt idx="35">
                  <c:v>59556.900000000009</c:v>
                </c:pt>
                <c:pt idx="36">
                  <c:v>59714.880000000012</c:v>
                </c:pt>
                <c:pt idx="37">
                  <c:v>65683.550000000017</c:v>
                </c:pt>
                <c:pt idx="38">
                  <c:v>73564.34</c:v>
                </c:pt>
                <c:pt idx="39">
                  <c:v>74425.970000000016</c:v>
                </c:pt>
                <c:pt idx="40">
                  <c:v>79329.179999999978</c:v>
                </c:pt>
                <c:pt idx="41">
                  <c:v>83588.899999999994</c:v>
                </c:pt>
                <c:pt idx="42">
                  <c:v>78972.990000000005</c:v>
                </c:pt>
                <c:pt idx="43">
                  <c:v>83784.19</c:v>
                </c:pt>
                <c:pt idx="44">
                  <c:v>102038.89000000003</c:v>
                </c:pt>
                <c:pt idx="45">
                  <c:v>62331.94999999999</c:v>
                </c:pt>
                <c:pt idx="46">
                  <c:v>59797.779999999992</c:v>
                </c:pt>
                <c:pt idx="47">
                  <c:v>80400.73</c:v>
                </c:pt>
                <c:pt idx="48">
                  <c:v>76167.750000000015</c:v>
                </c:pt>
                <c:pt idx="49">
                  <c:v>78377.659999999989</c:v>
                </c:pt>
                <c:pt idx="50">
                  <c:v>88318.380000000019</c:v>
                </c:pt>
                <c:pt idx="51">
                  <c:v>89480.35000000002</c:v>
                </c:pt>
                <c:pt idx="52">
                  <c:v>82537.810000000012</c:v>
                </c:pt>
                <c:pt idx="53">
                  <c:v>93731.39</c:v>
                </c:pt>
                <c:pt idx="54">
                  <c:v>88546.43</c:v>
                </c:pt>
                <c:pt idx="55">
                  <c:v>93227.679999999978</c:v>
                </c:pt>
                <c:pt idx="56">
                  <c:v>119802.83000000002</c:v>
                </c:pt>
                <c:pt idx="57">
                  <c:v>92588.54</c:v>
                </c:pt>
                <c:pt idx="58">
                  <c:v>93147.930000000008</c:v>
                </c:pt>
                <c:pt idx="59">
                  <c:v>96277.369999999981</c:v>
                </c:pt>
                <c:pt idx="60">
                  <c:v>90947.15</c:v>
                </c:pt>
                <c:pt idx="61">
                  <c:v>95949.23000000001</c:v>
                </c:pt>
                <c:pt idx="62">
                  <c:v>103547.95999999999</c:v>
                </c:pt>
                <c:pt idx="63">
                  <c:v>96462.589999999982</c:v>
                </c:pt>
                <c:pt idx="64">
                  <c:v>97811.56</c:v>
                </c:pt>
                <c:pt idx="65">
                  <c:v>108044.01000000001</c:v>
                </c:pt>
                <c:pt idx="66">
                  <c:v>101593.01000000001</c:v>
                </c:pt>
                <c:pt idx="67">
                  <c:v>106873.06</c:v>
                </c:pt>
                <c:pt idx="68">
                  <c:v>139631.21</c:v>
                </c:pt>
                <c:pt idx="69">
                  <c:v>103441.53000000003</c:v>
                </c:pt>
                <c:pt idx="70">
                  <c:v>110154.54000000001</c:v>
                </c:pt>
                <c:pt idx="71">
                  <c:v>111652.51000000001</c:v>
                </c:pt>
                <c:pt idx="72">
                  <c:v>103445.98000000001</c:v>
                </c:pt>
                <c:pt idx="73">
                  <c:v>109550.57</c:v>
                </c:pt>
                <c:pt idx="74">
                  <c:v>116917.00000000004</c:v>
                </c:pt>
                <c:pt idx="75">
                  <c:v>116011.72999999998</c:v>
                </c:pt>
                <c:pt idx="76">
                  <c:v>110629.80999999998</c:v>
                </c:pt>
                <c:pt idx="77">
                  <c:v>122096.88000000002</c:v>
                </c:pt>
                <c:pt idx="78">
                  <c:v>116469.78</c:v>
                </c:pt>
                <c:pt idx="79">
                  <c:v>125486.09</c:v>
                </c:pt>
                <c:pt idx="80">
                  <c:v>158734.84</c:v>
                </c:pt>
                <c:pt idx="81">
                  <c:v>120124.10999999997</c:v>
                </c:pt>
                <c:pt idx="82">
                  <c:v>120155.78000000004</c:v>
                </c:pt>
                <c:pt idx="83">
                  <c:v>121654.70999999999</c:v>
                </c:pt>
                <c:pt idx="84">
                  <c:v>113379.32</c:v>
                </c:pt>
                <c:pt idx="85">
                  <c:v>116306.56000000001</c:v>
                </c:pt>
                <c:pt idx="86">
                  <c:v>130106.29</c:v>
                </c:pt>
                <c:pt idx="87">
                  <c:v>126821.80000000002</c:v>
                </c:pt>
                <c:pt idx="88">
                  <c:v>120613.75999999998</c:v>
                </c:pt>
                <c:pt idx="89">
                  <c:v>134160.02000000002</c:v>
                </c:pt>
                <c:pt idx="90">
                  <c:v>128406.47999999998</c:v>
                </c:pt>
                <c:pt idx="91">
                  <c:v>137593.62000000002</c:v>
                </c:pt>
                <c:pt idx="92">
                  <c:v>124974.00000000001</c:v>
                </c:pt>
                <c:pt idx="93">
                  <c:v>140482.65</c:v>
                </c:pt>
              </c:numCache>
            </c:numRef>
          </c:val>
          <c:smooth val="0"/>
          <c:extLst>
            <c:ext xmlns:c16="http://schemas.microsoft.com/office/drawing/2014/chart" uri="{C3380CC4-5D6E-409C-BE32-E72D297353CC}">
              <c16:uniqueId val="{00000001-6385-4F7D-A612-898D1B7F91E1}"/>
            </c:ext>
          </c:extLst>
        </c:ser>
        <c:dLbls>
          <c:showLegendKey val="0"/>
          <c:showVal val="0"/>
          <c:showCatName val="0"/>
          <c:showSerName val="0"/>
          <c:showPercent val="0"/>
          <c:showBubbleSize val="0"/>
        </c:dLbls>
        <c:smooth val="0"/>
        <c:axId val="1998159023"/>
        <c:axId val="2039797807"/>
      </c:lineChart>
      <c:catAx>
        <c:axId val="1998159023"/>
        <c:scaling>
          <c:orientation val="minMax"/>
        </c:scaling>
        <c:delete val="0"/>
        <c:axPos val="b"/>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97807"/>
        <c:crosses val="autoZero"/>
        <c:auto val="1"/>
        <c:lblAlgn val="ctr"/>
        <c:lblOffset val="100"/>
        <c:tickLblSkip val="12"/>
        <c:tickMarkSkip val="12"/>
        <c:noMultiLvlLbl val="0"/>
      </c:catAx>
      <c:valAx>
        <c:axId val="2039797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15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[gst-collection-clean.xlsx]By_Month!ByMonth</c:name>
    <c:fmtId val="0"/>
  </c:pivotSource>
  <c:chart>
    <c:title>
      <c:tx>
        <c:rich>
          <a:bodyPr/>
          <a:lstStyle/>
          <a:p>
            <a:pPr>
              <a:defRPr/>
            </a:pPr>
            <a:r>
              <a:rPr lang="en-US"/>
              <a:t>Average GST per state by month</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By_Month!$C$3</c:f>
              <c:strCache>
                <c:ptCount val="1"/>
                <c:pt idx="0">
                  <c:v>Total</c:v>
                </c:pt>
              </c:strCache>
            </c:strRef>
          </c:tx>
          <c:invertIfNegative val="0"/>
          <c:cat>
            <c:multiLvlStrRef>
              <c:f>By_Month!$A$4:$B$16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By_Month!$C$4:$C$16</c:f>
              <c:numCache>
                <c:formatCode>#,##0</c:formatCode>
                <c:ptCount val="12"/>
                <c:pt idx="0">
                  <c:v>2772.6515576323986</c:v>
                </c:pt>
                <c:pt idx="1">
                  <c:v>2498.8716783216778</c:v>
                </c:pt>
                <c:pt idx="2">
                  <c:v>2638.7069930069943</c:v>
                </c:pt>
                <c:pt idx="3">
                  <c:v>2774.5550800000001</c:v>
                </c:pt>
                <c:pt idx="4">
                  <c:v>2184.4769199999996</c:v>
                </c:pt>
                <c:pt idx="5">
                  <c:v>2330.61256</c:v>
                </c:pt>
                <c:pt idx="6">
                  <c:v>2406.769760000001</c:v>
                </c:pt>
                <c:pt idx="7">
                  <c:v>2365.9009345794389</c:v>
                </c:pt>
                <c:pt idx="8">
                  <c:v>2283.9903508771927</c:v>
                </c:pt>
                <c:pt idx="9">
                  <c:v>2481.7202456140349</c:v>
                </c:pt>
                <c:pt idx="10">
                  <c:v>2454.817052631578</c:v>
                </c:pt>
                <c:pt idx="11">
                  <c:v>2395.9542105263135</c:v>
                </c:pt>
              </c:numCache>
            </c:numRef>
          </c:val>
          <c:extLst>
            <c:ext xmlns:c16="http://schemas.microsoft.com/office/drawing/2014/chart" uri="{C3380CC4-5D6E-409C-BE32-E72D297353CC}">
              <c16:uniqueId val="{00000001-8B87-49CF-9090-33C36C65D976}"/>
            </c:ext>
          </c:extLst>
        </c:ser>
        <c:dLbls>
          <c:showLegendKey val="0"/>
          <c:showVal val="0"/>
          <c:showCatName val="0"/>
          <c:showSerName val="0"/>
          <c:showPercent val="0"/>
          <c:showBubbleSize val="0"/>
        </c:dLbls>
        <c:gapWidth val="150"/>
        <c:axId val="1860149423"/>
        <c:axId val="1844105071"/>
      </c:barChart>
      <c:catAx>
        <c:axId val="1860149423"/>
        <c:scaling>
          <c:orientation val="minMax"/>
        </c:scaling>
        <c:delete val="0"/>
        <c:axPos val="b"/>
        <c:numFmt formatCode="General" sourceLinked="1"/>
        <c:majorTickMark val="out"/>
        <c:minorTickMark val="none"/>
        <c:tickLblPos val="nextTo"/>
        <c:crossAx val="1844105071"/>
        <c:crosses val="autoZero"/>
        <c:auto val="1"/>
        <c:lblAlgn val="ctr"/>
        <c:lblOffset val="100"/>
        <c:noMultiLvlLbl val="0"/>
      </c:catAx>
      <c:valAx>
        <c:axId val="1844105071"/>
        <c:scaling>
          <c:orientation val="minMax"/>
        </c:scaling>
        <c:delete val="0"/>
        <c:axPos val="l"/>
        <c:majorGridlines/>
        <c:numFmt formatCode="#,##0" sourceLinked="1"/>
        <c:majorTickMark val="out"/>
        <c:minorTickMark val="none"/>
        <c:tickLblPos val="nextTo"/>
        <c:crossAx val="186014942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0</xdr:colOff>
      <xdr:row>29</xdr:row>
      <xdr:rowOff>0</xdr:rowOff>
    </xdr:to>
    <xdr:graphicFrame macro="">
      <xdr:nvGraphicFramePr>
        <xdr:cNvPr id="2" name="Chart 1">
          <a:extLst>
            <a:ext uri="{FF2B5EF4-FFF2-40B4-BE49-F238E27FC236}">
              <a16:creationId xmlns:a16="http://schemas.microsoft.com/office/drawing/2014/main" id="{21303982-2CF5-8738-3571-9B66E02CA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xdr:row>
      <xdr:rowOff>0</xdr:rowOff>
    </xdr:from>
    <xdr:to>
      <xdr:col>16</xdr:col>
      <xdr:colOff>0</xdr:colOff>
      <xdr:row>18</xdr:row>
      <xdr:rowOff>0</xdr:rowOff>
    </xdr:to>
    <xdr:graphicFrame macro="">
      <xdr:nvGraphicFramePr>
        <xdr:cNvPr id="3" name="Chart 2">
          <a:extLst>
            <a:ext uri="{FF2B5EF4-FFF2-40B4-BE49-F238E27FC236}">
              <a16:creationId xmlns:a16="http://schemas.microsoft.com/office/drawing/2014/main" id="{5AD84F9A-56DA-42BE-1D50-D244F3F9C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18</xdr:row>
      <xdr:rowOff>0</xdr:rowOff>
    </xdr:from>
    <xdr:to>
      <xdr:col>16</xdr:col>
      <xdr:colOff>0</xdr:colOff>
      <xdr:row>29</xdr:row>
      <xdr:rowOff>0</xdr:rowOff>
    </xdr:to>
    <xdr:graphicFrame macro="">
      <xdr:nvGraphicFramePr>
        <xdr:cNvPr id="4" name="Chart 3">
          <a:extLst>
            <a:ext uri="{FF2B5EF4-FFF2-40B4-BE49-F238E27FC236}">
              <a16:creationId xmlns:a16="http://schemas.microsoft.com/office/drawing/2014/main" id="{F474BD36-C10C-C6AB-F2A3-3C894EEFC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36407</xdr:colOff>
      <xdr:row>6</xdr:row>
      <xdr:rowOff>178647</xdr:rowOff>
    </xdr:from>
    <xdr:to>
      <xdr:col>20</xdr:col>
      <xdr:colOff>112607</xdr:colOff>
      <xdr:row>14</xdr:row>
      <xdr:rowOff>85513</xdr:rowOff>
    </xdr:to>
    <mc:AlternateContent xmlns:mc="http://schemas.openxmlformats.org/markup-compatibility/2006">
      <mc:Choice xmlns:a14="http://schemas.microsoft.com/office/drawing/2010/main" Requires="a14">
        <xdr:graphicFrame macro="">
          <xdr:nvGraphicFramePr>
            <xdr:cNvPr id="5" name="Dash_category">
              <a:extLst>
                <a:ext uri="{FF2B5EF4-FFF2-40B4-BE49-F238E27FC236}">
                  <a16:creationId xmlns:a16="http://schemas.microsoft.com/office/drawing/2014/main" id="{B3BE79A7-C3DF-367D-B55E-A0FF9B1FDF37}"/>
                </a:ext>
              </a:extLst>
            </xdr:cNvPr>
            <xdr:cNvGraphicFramePr/>
          </xdr:nvGraphicFramePr>
          <xdr:xfrm>
            <a:off x="0" y="0"/>
            <a:ext cx="0" cy="0"/>
          </xdr:xfrm>
          <a:graphic>
            <a:graphicData uri="http://schemas.microsoft.com/office/drawing/2010/slicer">
              <sle:slicer xmlns:sle="http://schemas.microsoft.com/office/drawing/2010/slicer" name="Dash_category"/>
            </a:graphicData>
          </a:graphic>
        </xdr:graphicFrame>
      </mc:Choice>
      <mc:Fallback>
        <xdr:sp macro="" textlink="">
          <xdr:nvSpPr>
            <xdr:cNvPr id="0" name=""/>
            <xdr:cNvSpPr>
              <a:spLocks noTextEdit="1"/>
            </xdr:cNvSpPr>
          </xdr:nvSpPr>
          <xdr:spPr>
            <a:xfrm>
              <a:off x="12016740" y="1821180"/>
              <a:ext cx="19050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36407</xdr:colOff>
      <xdr:row>15</xdr:row>
      <xdr:rowOff>26246</xdr:rowOff>
    </xdr:from>
    <xdr:to>
      <xdr:col>20</xdr:col>
      <xdr:colOff>112607</xdr:colOff>
      <xdr:row>32</xdr:row>
      <xdr:rowOff>34712</xdr:rowOff>
    </xdr:to>
    <mc:AlternateContent xmlns:mc="http://schemas.openxmlformats.org/markup-compatibility/2006">
      <mc:Choice xmlns:a14="http://schemas.microsoft.com/office/drawing/2010/main" Requires="a14">
        <xdr:graphicFrame macro="">
          <xdr:nvGraphicFramePr>
            <xdr:cNvPr id="6" name="Dash_financial_year">
              <a:extLst>
                <a:ext uri="{FF2B5EF4-FFF2-40B4-BE49-F238E27FC236}">
                  <a16:creationId xmlns:a16="http://schemas.microsoft.com/office/drawing/2014/main" id="{61BF3E78-A71D-F11E-2DF7-333CF2BB1850}"/>
                </a:ext>
              </a:extLst>
            </xdr:cNvPr>
            <xdr:cNvGraphicFramePr/>
          </xdr:nvGraphicFramePr>
          <xdr:xfrm>
            <a:off x="0" y="0"/>
            <a:ext cx="0" cy="0"/>
          </xdr:xfrm>
          <a:graphic>
            <a:graphicData uri="http://schemas.microsoft.com/office/drawing/2010/slicer">
              <sle:slicer xmlns:sle="http://schemas.microsoft.com/office/drawing/2010/slicer" name="Dash_financial_year"/>
            </a:graphicData>
          </a:graphic>
        </xdr:graphicFrame>
      </mc:Choice>
      <mc:Fallback>
        <xdr:sp macro="" textlink="">
          <xdr:nvSpPr>
            <xdr:cNvPr id="0" name=""/>
            <xdr:cNvSpPr>
              <a:spLocks noTextEdit="1"/>
            </xdr:cNvSpPr>
          </xdr:nvSpPr>
          <xdr:spPr>
            <a:xfrm>
              <a:off x="12016740" y="3345179"/>
              <a:ext cx="1905000" cy="317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3302000</xdr:colOff>
      <xdr:row>2</xdr:row>
      <xdr:rowOff>142240</xdr:rowOff>
    </xdr:from>
    <xdr:to>
      <xdr:col>8</xdr:col>
      <xdr:colOff>541020</xdr:colOff>
      <xdr:row>23</xdr:row>
      <xdr:rowOff>111760</xdr:rowOff>
    </xdr:to>
    <xdr:graphicFrame macro="">
      <xdr:nvGraphicFramePr>
        <xdr:cNvPr id="2" name="Chart 1">
          <a:extLst>
            <a:ext uri="{FF2B5EF4-FFF2-40B4-BE49-F238E27FC236}">
              <a16:creationId xmlns:a16="http://schemas.microsoft.com/office/drawing/2014/main" id="{A64CEAB2-2810-8AB1-F161-DF16EB755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RIZWAN VOHRA" refreshedDate="46301.678511342594" createdVersion="8" refreshedVersion="8" minRefreshableVersion="3" recordCount="3354" xr:uid="{20021E3E-7171-4EEB-841E-33FAC6E1DDFB}">
  <cacheSource type="worksheet">
    <worksheetSource name="GSTData"/>
  </cacheSource>
  <cacheFields count="15">
    <cacheField name="date" numFmtId="165">
      <sharedItems containsSemiMixedTypes="0" containsNonDate="0" containsDate="1" containsString="0" minDate="2017-08-01T00:00:00" maxDate="2026-01-02T00:00:00"/>
    </cacheField>
    <cacheField name="financial_year" numFmtId="0">
      <sharedItems/>
    </cacheField>
    <cacheField name="year" numFmtId="0">
      <sharedItems containsSemiMixedTypes="0" containsString="0" containsNumber="1" containsInteger="1" minValue="2017" maxValue="2026"/>
    </cacheField>
    <cacheField name="month_num" numFmtId="0">
      <sharedItems containsSemiMixedTypes="0" containsString="0" containsNumber="1" containsInteger="1" minValue="1" maxValue="12"/>
    </cacheField>
    <cacheField name="month" numFmtId="0">
      <sharedItems/>
    </cacheField>
    <cacheField name="state_name" numFmtId="0">
      <sharedItems count="36">
        <s v="Andaman and Nicobar Islands"/>
        <s v="Andhra Pradesh"/>
        <s v="Arunachal Pradesh"/>
        <s v="Assam"/>
        <s v="Bihar"/>
        <s v="Chandigarh"/>
        <s v="Chhattisgarh"/>
        <s v="Dadra and Nagar Haveli and Daman and Diu"/>
        <s v="Delhi"/>
        <s v="Goa"/>
        <s v="Gujarat"/>
        <s v="Haryana"/>
        <s v="Himachal Pradesh"/>
        <s v="Jammu and Kashmir"/>
        <s v="Jharkhand"/>
        <s v="Karnataka"/>
        <s v="Kerala"/>
        <s v="Lakshadweep"/>
        <s v="Madhya Pradesh"/>
        <s v="Maharashtra"/>
        <s v="Manipur"/>
        <s v="Meghalaya"/>
        <s v="Mizoram"/>
        <s v="Nagaland"/>
        <s v="Odisha"/>
        <s v="Puducherry"/>
        <s v="Punjab"/>
        <s v="Rajasthan"/>
        <s v="Sikkim"/>
        <s v="Tamil Nadu"/>
        <s v="Telangana"/>
        <s v="Tripura"/>
        <s v="Uttar Pradesh"/>
        <s v="Uttarakhand"/>
        <s v="West Bengal"/>
        <s v="Ladakh"/>
      </sharedItems>
    </cacheField>
    <cacheField name="state_code" numFmtId="0">
      <sharedItems containsSemiMixedTypes="0" containsString="0" containsNumber="1" containsInteger="1" minValue="1" maxValue="38"/>
    </cacheField>
    <cacheField name="category" numFmtId="0">
      <sharedItems/>
    </cacheField>
    <cacheField name="cgst" numFmtId="0">
      <sharedItems containsSemiMixedTypes="0" containsString="0" containsNumber="1" minValue="0.04" maxValue="10263.18"/>
    </cacheField>
    <cacheField name="sgst" numFmtId="0">
      <sharedItems containsSemiMixedTypes="0" containsString="0" containsNumber="1" minValue="0.05" maxValue="11729.43"/>
    </cacheField>
    <cacheField name="igst" numFmtId="0">
      <sharedItems containsSemiMixedTypes="0" containsString="0" containsNumber="1" minValue="0" maxValue="13430.36"/>
    </cacheField>
    <cacheField name="cess" numFmtId="0">
      <sharedItems containsString="0" containsBlank="1" containsNumber="1" minValue="0" maxValue="2414.8200000000002"/>
    </cacheField>
    <cacheField name="total_gst_excl_cess" numFmtId="0">
      <sharedItems containsSemiMixedTypes="0" containsString="0" containsNumber="1" minValue="0.14000000000000001" maxValue="35422.97"/>
    </cacheField>
    <cacheField name="total_gst" numFmtId="0">
      <sharedItems containsString="0" containsBlank="1" containsNumber="1" minValue="0.14000000000000001" maxValue="37670.81"/>
    </cacheField>
    <cacheField name="cess_flag"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RIZWAN VOHRA" refreshedDate="46301.679785416665" createdVersion="8" refreshedVersion="8" minRefreshableVersion="3" recordCount="3354" xr:uid="{EA4DA1D6-C178-4001-882D-734E8D70C9E0}">
  <cacheSource type="worksheet">
    <worksheetSource name="GSTData"/>
  </cacheSource>
  <cacheFields count="15">
    <cacheField name="date" numFmtId="165">
      <sharedItems containsSemiMixedTypes="0" containsNonDate="0" containsDate="1" containsString="0" minDate="2017-08-01T00:00:00" maxDate="2026-01-02T00:00:00"/>
    </cacheField>
    <cacheField name="financial_year" numFmtId="0">
      <sharedItems/>
    </cacheField>
    <cacheField name="year" numFmtId="0">
      <sharedItems containsSemiMixedTypes="0" containsString="0" containsNumber="1" containsInteger="1" minValue="2017" maxValue="2026"/>
    </cacheField>
    <cacheField name="month_num" numFmtId="0">
      <sharedItems containsSemiMixedTypes="0" containsString="0" containsNumber="1" containsInteger="1" minValue="1" maxValue="12" count="12">
        <n v="8"/>
        <n v="9"/>
        <n v="10"/>
        <n v="11"/>
        <n v="12"/>
        <n v="1"/>
        <n v="2"/>
        <n v="3"/>
        <n v="4"/>
        <n v="5"/>
        <n v="6"/>
        <n v="7"/>
      </sharedItems>
    </cacheField>
    <cacheField name="month" numFmtId="0">
      <sharedItems count="12">
        <s v="Aug"/>
        <s v="Sep"/>
        <s v="Oct"/>
        <s v="Nov"/>
        <s v="Dec"/>
        <s v="Jan"/>
        <s v="Feb"/>
        <s v="Mar"/>
        <s v="Apr"/>
        <s v="May"/>
        <s v="Jun"/>
        <s v="Jul"/>
      </sharedItems>
    </cacheField>
    <cacheField name="state_name" numFmtId="0">
      <sharedItems/>
    </cacheField>
    <cacheField name="state_code" numFmtId="0">
      <sharedItems containsSemiMixedTypes="0" containsString="0" containsNumber="1" containsInteger="1" minValue="1" maxValue="38"/>
    </cacheField>
    <cacheField name="category" numFmtId="0">
      <sharedItems/>
    </cacheField>
    <cacheField name="cgst" numFmtId="0">
      <sharedItems containsSemiMixedTypes="0" containsString="0" containsNumber="1" minValue="0.04" maxValue="10263.18"/>
    </cacheField>
    <cacheField name="sgst" numFmtId="0">
      <sharedItems containsSemiMixedTypes="0" containsString="0" containsNumber="1" minValue="0.05" maxValue="11729.43"/>
    </cacheField>
    <cacheField name="igst" numFmtId="0">
      <sharedItems containsSemiMixedTypes="0" containsString="0" containsNumber="1" minValue="0" maxValue="13430.36"/>
    </cacheField>
    <cacheField name="cess" numFmtId="0">
      <sharedItems containsString="0" containsBlank="1" containsNumber="1" minValue="0" maxValue="2414.8200000000002"/>
    </cacheField>
    <cacheField name="total_gst_excl_cess" numFmtId="0">
      <sharedItems containsSemiMixedTypes="0" containsString="0" containsNumber="1" minValue="0.14000000000000001" maxValue="35422.97"/>
    </cacheField>
    <cacheField name="total_gst" numFmtId="0">
      <sharedItems containsString="0" containsBlank="1" containsNumber="1" minValue="0.14000000000000001" maxValue="37670.81"/>
    </cacheField>
    <cacheField name="cess_flag"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RIZWAN VOHRA" refreshedDate="46301.694941550923" createdVersion="8" refreshedVersion="8" minRefreshableVersion="3" recordCount="3354" xr:uid="{806C5813-3F7F-446B-A820-9005E7B02AD8}">
  <cacheSource type="worksheet">
    <worksheetSource name="GSTData"/>
  </cacheSource>
  <cacheFields count="15">
    <cacheField name="date" numFmtId="165">
      <sharedItems containsSemiMixedTypes="0" containsNonDate="0" containsDate="1" containsString="0" minDate="2017-08-01T00:00:00" maxDate="2026-01-02T00:00:00" count="94">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8-01T00:00:00"/>
        <d v="2026-01-01T00:00:00"/>
      </sharedItems>
    </cacheField>
    <cacheField name="financial_year" numFmtId="0">
      <sharedItems count="9">
        <s v="2017-18"/>
        <s v="2018-19"/>
        <s v="2019-20"/>
        <s v="2020-21"/>
        <s v="2021-22"/>
        <s v="2022-23"/>
        <s v="2023-24"/>
        <s v="2024-25"/>
        <s v="2025-26"/>
      </sharedItems>
    </cacheField>
    <cacheField name="year" numFmtId="0">
      <sharedItems containsSemiMixedTypes="0" containsString="0" containsNumber="1" containsInteger="1" minValue="2017" maxValue="2026"/>
    </cacheField>
    <cacheField name="month_num" numFmtId="0">
      <sharedItems containsSemiMixedTypes="0" containsString="0" containsNumber="1" containsInteger="1" minValue="1" maxValue="12"/>
    </cacheField>
    <cacheField name="month" numFmtId="0">
      <sharedItems/>
    </cacheField>
    <cacheField name="state_name" numFmtId="0">
      <sharedItems count="36">
        <s v="Andaman and Nicobar Islands"/>
        <s v="Andhra Pradesh"/>
        <s v="Arunachal Pradesh"/>
        <s v="Assam"/>
        <s v="Bihar"/>
        <s v="Chandigarh"/>
        <s v="Chhattisgarh"/>
        <s v="Dadra and Nagar Haveli and Daman and Diu"/>
        <s v="Delhi"/>
        <s v="Goa"/>
        <s v="Gujarat"/>
        <s v="Haryana"/>
        <s v="Himachal Pradesh"/>
        <s v="Jammu and Kashmir"/>
        <s v="Jharkhand"/>
        <s v="Karnataka"/>
        <s v="Kerala"/>
        <s v="Lakshadweep"/>
        <s v="Madhya Pradesh"/>
        <s v="Maharashtra"/>
        <s v="Manipur"/>
        <s v="Meghalaya"/>
        <s v="Mizoram"/>
        <s v="Nagaland"/>
        <s v="Odisha"/>
        <s v="Puducherry"/>
        <s v="Punjab"/>
        <s v="Rajasthan"/>
        <s v="Sikkim"/>
        <s v="Tamil Nadu"/>
        <s v="Telangana"/>
        <s v="Tripura"/>
        <s v="Uttar Pradesh"/>
        <s v="Uttarakhand"/>
        <s v="West Bengal"/>
        <s v="Ladakh"/>
      </sharedItems>
    </cacheField>
    <cacheField name="state_code" numFmtId="0">
      <sharedItems containsSemiMixedTypes="0" containsString="0" containsNumber="1" containsInteger="1" minValue="1" maxValue="38"/>
    </cacheField>
    <cacheField name="category" numFmtId="0">
      <sharedItems count="2">
        <s v="Union Territory"/>
        <s v="State"/>
      </sharedItems>
    </cacheField>
    <cacheField name="cgst" numFmtId="0">
      <sharedItems containsSemiMixedTypes="0" containsString="0" containsNumber="1" minValue="0.04" maxValue="10263.18"/>
    </cacheField>
    <cacheField name="sgst" numFmtId="0">
      <sharedItems containsSemiMixedTypes="0" containsString="0" containsNumber="1" minValue="0.05" maxValue="11729.43"/>
    </cacheField>
    <cacheField name="igst" numFmtId="0">
      <sharedItems containsSemiMixedTypes="0" containsString="0" containsNumber="1" minValue="0" maxValue="13430.36"/>
    </cacheField>
    <cacheField name="cess" numFmtId="0">
      <sharedItems containsString="0" containsBlank="1" containsNumber="1" minValue="0" maxValue="2414.8200000000002"/>
    </cacheField>
    <cacheField name="total_gst_excl_cess" numFmtId="0">
      <sharedItems containsSemiMixedTypes="0" containsString="0" containsNumber="1" minValue="0.14000000000000001" maxValue="35422.97"/>
    </cacheField>
    <cacheField name="total_gst" numFmtId="0">
      <sharedItems containsString="0" containsBlank="1" containsNumber="1" minValue="0.14000000000000001" maxValue="37670.81"/>
    </cacheField>
    <cacheField name="cess_flag" numFmtId="0">
      <sharedItems containsBlank="1"/>
    </cacheField>
  </cacheFields>
  <extLst>
    <ext xmlns:x14="http://schemas.microsoft.com/office/spreadsheetml/2009/9/main" uri="{725AE2AE-9491-48be-B2B4-4EB974FC3084}">
      <x14:pivotCacheDefinition pivotCacheId="1310606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4">
  <r>
    <d v="2017-08-01T00:00:00"/>
    <s v="2017-18"/>
    <n v="2017"/>
    <n v="8"/>
    <s v="Aug"/>
    <x v="0"/>
    <n v="35"/>
    <s v="Union Territory"/>
    <n v="3.33"/>
    <n v="3.98"/>
    <n v="0.37"/>
    <n v="0.02"/>
    <n v="7.68"/>
    <n v="7.7"/>
    <m/>
  </r>
  <r>
    <d v="2017-08-01T00:00:00"/>
    <s v="2017-18"/>
    <n v="2017"/>
    <n v="8"/>
    <s v="Aug"/>
    <x v="1"/>
    <n v="28"/>
    <s v="State"/>
    <n v="448.07"/>
    <n v="660.89"/>
    <n v="755.96"/>
    <n v="24.43"/>
    <n v="1864.92"/>
    <n v="1889.35"/>
    <m/>
  </r>
  <r>
    <d v="2017-08-01T00:00:00"/>
    <s v="2017-18"/>
    <n v="2017"/>
    <n v="8"/>
    <s v="Aug"/>
    <x v="2"/>
    <n v="12"/>
    <s v="State"/>
    <n v="3.45"/>
    <n v="6.17"/>
    <n v="3.21"/>
    <n v="0.02"/>
    <n v="12.83"/>
    <n v="12.85"/>
    <m/>
  </r>
  <r>
    <d v="2017-08-01T00:00:00"/>
    <s v="2017-18"/>
    <n v="2017"/>
    <n v="8"/>
    <s v="Aug"/>
    <x v="3"/>
    <n v="18"/>
    <s v="State"/>
    <n v="161.79"/>
    <n v="270.70999999999998"/>
    <n v="244.51"/>
    <n v="26.22"/>
    <n v="677.01"/>
    <n v="703.23"/>
    <m/>
  </r>
  <r>
    <d v="2017-08-01T00:00:00"/>
    <s v="2017-18"/>
    <n v="2017"/>
    <n v="8"/>
    <s v="Aug"/>
    <x v="4"/>
    <n v="10"/>
    <s v="State"/>
    <n v="180.5"/>
    <n v="378.96"/>
    <n v="85.84"/>
    <n v="141.03"/>
    <n v="645.29999999999995"/>
    <n v="786.33"/>
    <m/>
  </r>
  <r>
    <d v="2017-08-01T00:00:00"/>
    <s v="2017-18"/>
    <n v="2017"/>
    <n v="8"/>
    <s v="Aug"/>
    <x v="5"/>
    <n v="4"/>
    <s v="Union Territory"/>
    <n v="39.65"/>
    <n v="58.89"/>
    <n v="76.150000000000006"/>
    <n v="0.28999999999999998"/>
    <n v="174.69"/>
    <n v="174.98"/>
    <m/>
  </r>
  <r>
    <d v="2017-08-01T00:00:00"/>
    <s v="2017-18"/>
    <n v="2017"/>
    <n v="8"/>
    <s v="Aug"/>
    <x v="6"/>
    <n v="22"/>
    <s v="State"/>
    <n v="246.72"/>
    <n v="328.39"/>
    <n v="473.24"/>
    <n v="581.67999999999995"/>
    <n v="1048.3499999999999"/>
    <n v="1630.03"/>
    <m/>
  </r>
  <r>
    <d v="2017-08-01T00:00:00"/>
    <s v="2017-18"/>
    <n v="2017"/>
    <n v="8"/>
    <s v="Aug"/>
    <x v="7"/>
    <n v="38"/>
    <s v="Union Territory"/>
    <n v="17.940000000000001"/>
    <n v="32.81"/>
    <n v="231.94"/>
    <n v="0.28000000000000003"/>
    <n v="282.69"/>
    <n v="282.97000000000003"/>
    <m/>
  </r>
  <r>
    <d v="2017-08-01T00:00:00"/>
    <s v="2017-18"/>
    <n v="2017"/>
    <n v="8"/>
    <s v="Aug"/>
    <x v="8"/>
    <n v="7"/>
    <s v="Union Territory"/>
    <n v="732.5"/>
    <n v="1050.58"/>
    <n v="1381.49"/>
    <n v="90.11"/>
    <n v="3164.57"/>
    <n v="3254.68"/>
    <m/>
  </r>
  <r>
    <d v="2017-08-01T00:00:00"/>
    <s v="2017-18"/>
    <n v="2017"/>
    <n v="8"/>
    <s v="Aug"/>
    <x v="9"/>
    <n v="30"/>
    <s v="State"/>
    <n v="76.05"/>
    <n v="105.54"/>
    <n v="221.43"/>
    <n v="1.75"/>
    <n v="403.02"/>
    <n v="404.77"/>
    <m/>
  </r>
  <r>
    <d v="2017-08-01T00:00:00"/>
    <s v="2017-18"/>
    <n v="2017"/>
    <n v="8"/>
    <s v="Aug"/>
    <x v="10"/>
    <n v="24"/>
    <s v="State"/>
    <n v="1330.26"/>
    <n v="1868.47"/>
    <n v="2602.87"/>
    <n v="213.3"/>
    <n v="5801.6"/>
    <n v="6014.9"/>
    <m/>
  </r>
  <r>
    <d v="2017-08-01T00:00:00"/>
    <s v="2017-18"/>
    <n v="2017"/>
    <n v="8"/>
    <s v="Aug"/>
    <x v="11"/>
    <n v="6"/>
    <s v="State"/>
    <n v="799.75"/>
    <n v="1271.55"/>
    <n v="2256.54"/>
    <n v="342.68"/>
    <n v="4327.84"/>
    <n v="4670.5200000000004"/>
    <m/>
  </r>
  <r>
    <d v="2017-08-01T00:00:00"/>
    <s v="2017-18"/>
    <n v="2017"/>
    <n v="8"/>
    <s v="Aug"/>
    <x v="12"/>
    <n v="2"/>
    <s v="State"/>
    <n v="88.06"/>
    <n v="133.75"/>
    <n v="600.59"/>
    <n v="1.1000000000000001"/>
    <n v="822.4"/>
    <n v="823.5"/>
    <m/>
  </r>
  <r>
    <d v="2017-08-01T00:00:00"/>
    <s v="2017-18"/>
    <n v="2017"/>
    <n v="8"/>
    <s v="Aug"/>
    <x v="13"/>
    <n v="1"/>
    <s v="Union Territory"/>
    <n v="49.55"/>
    <n v="103.16"/>
    <n v="95.47"/>
    <n v="17.149999999999999"/>
    <n v="248.18"/>
    <n v="265.33"/>
    <m/>
  </r>
  <r>
    <d v="2017-08-01T00:00:00"/>
    <s v="2017-18"/>
    <n v="2017"/>
    <n v="8"/>
    <s v="Aug"/>
    <x v="14"/>
    <n v="20"/>
    <s v="State"/>
    <n v="202.52"/>
    <n v="334.11"/>
    <n v="685.69"/>
    <n v="359.61"/>
    <n v="1222.32"/>
    <n v="1581.93"/>
    <m/>
  </r>
  <r>
    <d v="2017-08-01T00:00:00"/>
    <s v="2017-18"/>
    <n v="2017"/>
    <n v="8"/>
    <s v="Aug"/>
    <x v="15"/>
    <n v="29"/>
    <s v="State"/>
    <n v="1398.26"/>
    <n v="2107.27"/>
    <n v="2590.31"/>
    <n v="880.37"/>
    <n v="6095.84"/>
    <n v="6976.21"/>
    <m/>
  </r>
  <r>
    <d v="2017-08-01T00:00:00"/>
    <s v="2017-18"/>
    <n v="2017"/>
    <n v="8"/>
    <s v="Aug"/>
    <x v="16"/>
    <n v="32"/>
    <s v="State"/>
    <n v="474.65"/>
    <n v="799.13"/>
    <n v="249.93"/>
    <n v="10.050000000000001"/>
    <n v="1523.71"/>
    <n v="1533.76"/>
    <m/>
  </r>
  <r>
    <d v="2017-08-01T00:00:00"/>
    <s v="2017-18"/>
    <n v="2017"/>
    <n v="8"/>
    <s v="Aug"/>
    <x v="17"/>
    <n v="31"/>
    <s v="Union Territory"/>
    <n v="0.17"/>
    <n v="0.17"/>
    <n v="0.01"/>
    <n v="0"/>
    <n v="0.35"/>
    <n v="0.35"/>
    <m/>
  </r>
  <r>
    <d v="2017-08-01T00:00:00"/>
    <s v="2017-18"/>
    <n v="2017"/>
    <n v="8"/>
    <s v="Aug"/>
    <x v="18"/>
    <n v="23"/>
    <s v="State"/>
    <n v="404.15"/>
    <n v="626.25"/>
    <n v="655.27"/>
    <n v="426.32"/>
    <n v="1685.67"/>
    <n v="2111.9899999999998"/>
    <m/>
  </r>
  <r>
    <d v="2017-08-01T00:00:00"/>
    <s v="2017-18"/>
    <n v="2017"/>
    <n v="8"/>
    <s v="Aug"/>
    <x v="19"/>
    <n v="27"/>
    <s v="State"/>
    <n v="3504.23"/>
    <n v="4855.67"/>
    <n v="4383.49"/>
    <n v="847.19"/>
    <n v="12743.39"/>
    <n v="13590.58"/>
    <m/>
  </r>
  <r>
    <d v="2017-08-01T00:00:00"/>
    <s v="2017-18"/>
    <n v="2017"/>
    <n v="8"/>
    <s v="Aug"/>
    <x v="20"/>
    <n v="14"/>
    <s v="State"/>
    <n v="3.66"/>
    <n v="8.9700000000000006"/>
    <n v="0.89"/>
    <n v="0.16"/>
    <n v="13.52"/>
    <n v="13.68"/>
    <m/>
  </r>
  <r>
    <d v="2017-08-01T00:00:00"/>
    <s v="2017-18"/>
    <n v="2017"/>
    <n v="8"/>
    <s v="Aug"/>
    <x v="21"/>
    <n v="17"/>
    <s v="State"/>
    <n v="12.1"/>
    <n v="20.59"/>
    <n v="37.93"/>
    <n v="6.86"/>
    <n v="70.62"/>
    <n v="77.48"/>
    <m/>
  </r>
  <r>
    <d v="2017-08-01T00:00:00"/>
    <s v="2017-18"/>
    <n v="2017"/>
    <n v="8"/>
    <s v="Aug"/>
    <x v="22"/>
    <n v="15"/>
    <s v="State"/>
    <n v="1.59"/>
    <n v="4.17"/>
    <n v="0.26"/>
    <n v="0.03"/>
    <n v="6.02"/>
    <n v="6.05"/>
    <m/>
  </r>
  <r>
    <d v="2017-08-01T00:00:00"/>
    <s v="2017-18"/>
    <n v="2017"/>
    <n v="8"/>
    <s v="Aug"/>
    <x v="23"/>
    <n v="13"/>
    <s v="State"/>
    <n v="2.65"/>
    <n v="5.57"/>
    <n v="5.41"/>
    <n v="0.1"/>
    <n v="13.63"/>
    <n v="13.73"/>
    <m/>
  </r>
  <r>
    <d v="2017-08-01T00:00:00"/>
    <s v="2017-18"/>
    <n v="2017"/>
    <n v="8"/>
    <s v="Aug"/>
    <x v="24"/>
    <n v="21"/>
    <s v="State"/>
    <n v="317.68"/>
    <n v="471.37"/>
    <n v="555.89"/>
    <n v="564.80999999999995"/>
    <n v="1344.94"/>
    <n v="1909.75"/>
    <m/>
  </r>
  <r>
    <d v="2017-08-01T00:00:00"/>
    <s v="2017-18"/>
    <n v="2017"/>
    <n v="8"/>
    <s v="Aug"/>
    <x v="25"/>
    <n v="34"/>
    <s v="Union Territory"/>
    <n v="19.690000000000001"/>
    <n v="35.549999999999997"/>
    <n v="152.16"/>
    <n v="0.54"/>
    <n v="207.4"/>
    <n v="207.94"/>
    <m/>
  </r>
  <r>
    <d v="2017-08-01T00:00:00"/>
    <s v="2017-18"/>
    <n v="2017"/>
    <n v="8"/>
    <s v="Aug"/>
    <x v="26"/>
    <n v="3"/>
    <s v="State"/>
    <n v="313.45"/>
    <n v="577.38"/>
    <n v="618.5"/>
    <n v="12.5"/>
    <n v="1509.33"/>
    <n v="1521.83"/>
    <m/>
  </r>
  <r>
    <d v="2017-08-01T00:00:00"/>
    <s v="2017-18"/>
    <n v="2017"/>
    <n v="8"/>
    <s v="Aug"/>
    <x v="27"/>
    <n v="8"/>
    <s v="State"/>
    <n v="522.29"/>
    <n v="806.2"/>
    <n v="1084.97"/>
    <n v="126.74"/>
    <n v="2413.46"/>
    <n v="2540.1999999999998"/>
    <m/>
  </r>
  <r>
    <d v="2017-08-01T00:00:00"/>
    <s v="2017-18"/>
    <n v="2017"/>
    <n v="8"/>
    <s v="Aug"/>
    <x v="28"/>
    <n v="11"/>
    <s v="State"/>
    <n v="5.09"/>
    <n v="24.81"/>
    <n v="130.09"/>
    <n v="0.04"/>
    <n v="159.99"/>
    <n v="160.03"/>
    <m/>
  </r>
  <r>
    <d v="2017-08-01T00:00:00"/>
    <s v="2017-18"/>
    <n v="2017"/>
    <n v="8"/>
    <s v="Aug"/>
    <x v="29"/>
    <n v="33"/>
    <s v="State"/>
    <n v="1505.14"/>
    <n v="2472.9299999999998"/>
    <n v="2218.65"/>
    <n v="429.37"/>
    <n v="6196.72"/>
    <n v="6626.09"/>
    <m/>
  </r>
  <r>
    <d v="2017-08-01T00:00:00"/>
    <s v="2017-18"/>
    <n v="2017"/>
    <n v="8"/>
    <s v="Aug"/>
    <x v="30"/>
    <n v="36"/>
    <s v="State"/>
    <n v="543.29"/>
    <n v="840.53"/>
    <n v="929.76"/>
    <n v="445.13"/>
    <n v="2313.58"/>
    <n v="2758.71"/>
    <m/>
  </r>
  <r>
    <d v="2017-08-01T00:00:00"/>
    <s v="2017-18"/>
    <n v="2017"/>
    <n v="8"/>
    <s v="Aug"/>
    <x v="31"/>
    <n v="16"/>
    <s v="State"/>
    <n v="11.34"/>
    <n v="18.71"/>
    <n v="2.8"/>
    <n v="4.24"/>
    <n v="32.85"/>
    <n v="37.090000000000003"/>
    <m/>
  </r>
  <r>
    <d v="2017-08-01T00:00:00"/>
    <s v="2017-18"/>
    <n v="2017"/>
    <n v="8"/>
    <s v="Aug"/>
    <x v="32"/>
    <n v="9"/>
    <s v="State"/>
    <n v="931.02"/>
    <n v="1569.63"/>
    <n v="1468.42"/>
    <n v="757.93"/>
    <n v="3969.07"/>
    <n v="4727"/>
    <m/>
  </r>
  <r>
    <d v="2017-08-01T00:00:00"/>
    <s v="2017-18"/>
    <n v="2017"/>
    <n v="8"/>
    <s v="Aug"/>
    <x v="33"/>
    <n v="5"/>
    <s v="State"/>
    <n v="150.38"/>
    <n v="285.43"/>
    <n v="1241.9100000000001"/>
    <n v="15.13"/>
    <n v="1677.72"/>
    <n v="1692.85"/>
    <m/>
  </r>
  <r>
    <d v="2017-08-01T00:00:00"/>
    <s v="2017-18"/>
    <n v="2017"/>
    <n v="8"/>
    <s v="Aug"/>
    <x v="34"/>
    <n v="19"/>
    <s v="State"/>
    <n v="751.01"/>
    <n v="1118.82"/>
    <n v="858.65"/>
    <n v="280.42"/>
    <n v="2728.48"/>
    <n v="3008.9"/>
    <m/>
  </r>
  <r>
    <d v="2017-09-01T00:00:00"/>
    <s v="2017-18"/>
    <n v="2017"/>
    <n v="9"/>
    <s v="Sep"/>
    <x v="0"/>
    <n v="35"/>
    <s v="Union Territory"/>
    <n v="12.07"/>
    <n v="13.37"/>
    <n v="0.74"/>
    <n v="0"/>
    <n v="26.18"/>
    <n v="26.18"/>
    <m/>
  </r>
  <r>
    <d v="2017-09-01T00:00:00"/>
    <s v="2017-18"/>
    <n v="2017"/>
    <n v="9"/>
    <s v="Sep"/>
    <x v="1"/>
    <n v="28"/>
    <s v="State"/>
    <n v="428.46"/>
    <n v="634.91999999999996"/>
    <n v="718.73"/>
    <n v="19.93"/>
    <n v="1782.11"/>
    <n v="1802.04"/>
    <m/>
  </r>
  <r>
    <d v="2017-09-01T00:00:00"/>
    <s v="2017-18"/>
    <n v="2017"/>
    <n v="9"/>
    <s v="Sep"/>
    <x v="2"/>
    <n v="12"/>
    <s v="State"/>
    <n v="2.5499999999999998"/>
    <n v="4.29"/>
    <n v="2.5"/>
    <n v="0.03"/>
    <n v="9.34"/>
    <n v="9.3699999999999992"/>
    <m/>
  </r>
  <r>
    <d v="2017-09-01T00:00:00"/>
    <s v="2017-18"/>
    <n v="2017"/>
    <n v="9"/>
    <s v="Sep"/>
    <x v="3"/>
    <n v="18"/>
    <s v="State"/>
    <n v="155.97"/>
    <n v="250.95"/>
    <n v="234.04"/>
    <n v="31.81"/>
    <n v="640.96"/>
    <n v="672.77"/>
    <m/>
  </r>
  <r>
    <d v="2017-09-01T00:00:00"/>
    <s v="2017-18"/>
    <n v="2017"/>
    <n v="9"/>
    <s v="Sep"/>
    <x v="4"/>
    <n v="10"/>
    <s v="State"/>
    <n v="130.25"/>
    <n v="260.97000000000003"/>
    <n v="79.17"/>
    <n v="203.85"/>
    <n v="470.39"/>
    <n v="674.24"/>
    <m/>
  </r>
  <r>
    <d v="2017-09-01T00:00:00"/>
    <s v="2017-18"/>
    <n v="2017"/>
    <n v="9"/>
    <s v="Sep"/>
    <x v="5"/>
    <n v="4"/>
    <s v="Union Territory"/>
    <n v="31.94"/>
    <n v="43.68"/>
    <n v="70.989999999999995"/>
    <n v="1.03"/>
    <n v="146.61000000000001"/>
    <n v="147.63999999999999"/>
    <m/>
  </r>
  <r>
    <d v="2017-09-01T00:00:00"/>
    <s v="2017-18"/>
    <n v="2017"/>
    <n v="9"/>
    <s v="Sep"/>
    <x v="6"/>
    <n v="22"/>
    <s v="State"/>
    <n v="237.28"/>
    <n v="330.84"/>
    <n v="396.97"/>
    <n v="634.34"/>
    <n v="965.09"/>
    <n v="1599.43"/>
    <m/>
  </r>
  <r>
    <d v="2017-09-01T00:00:00"/>
    <s v="2017-18"/>
    <n v="2017"/>
    <n v="9"/>
    <s v="Sep"/>
    <x v="7"/>
    <n v="38"/>
    <s v="Union Territory"/>
    <n v="20.61"/>
    <n v="32.74"/>
    <n v="238.98"/>
    <n v="0.21"/>
    <n v="292.33"/>
    <n v="292.54000000000002"/>
    <m/>
  </r>
  <r>
    <d v="2017-09-01T00:00:00"/>
    <s v="2017-18"/>
    <n v="2017"/>
    <n v="9"/>
    <s v="Sep"/>
    <x v="8"/>
    <n v="7"/>
    <s v="Union Territory"/>
    <n v="745.28"/>
    <n v="1021.16"/>
    <n v="1535.08"/>
    <n v="103.21"/>
    <n v="3301.52"/>
    <n v="3404.73"/>
    <m/>
  </r>
  <r>
    <d v="2017-09-01T00:00:00"/>
    <s v="2017-18"/>
    <n v="2017"/>
    <n v="9"/>
    <s v="Sep"/>
    <x v="9"/>
    <n v="30"/>
    <s v="State"/>
    <n v="76.39"/>
    <n v="109.27"/>
    <n v="163.56"/>
    <n v="2.58"/>
    <n v="349.22"/>
    <n v="351.8"/>
    <m/>
  </r>
  <r>
    <d v="2017-09-01T00:00:00"/>
    <s v="2017-18"/>
    <n v="2017"/>
    <n v="9"/>
    <s v="Sep"/>
    <x v="10"/>
    <n v="24"/>
    <s v="State"/>
    <n v="1401.94"/>
    <n v="1877.44"/>
    <n v="2143.73"/>
    <n v="298.11"/>
    <n v="5423.11"/>
    <n v="5721.22"/>
    <m/>
  </r>
  <r>
    <d v="2017-09-01T00:00:00"/>
    <s v="2017-18"/>
    <n v="2017"/>
    <n v="9"/>
    <s v="Sep"/>
    <x v="11"/>
    <n v="6"/>
    <s v="State"/>
    <n v="747.89"/>
    <n v="1147.96"/>
    <n v="3181.07"/>
    <n v="363.26"/>
    <n v="5076.92"/>
    <n v="5440.18"/>
    <m/>
  </r>
  <r>
    <d v="2017-09-01T00:00:00"/>
    <s v="2017-18"/>
    <n v="2017"/>
    <n v="9"/>
    <s v="Sep"/>
    <x v="12"/>
    <n v="2"/>
    <s v="State"/>
    <n v="90.25"/>
    <n v="134.94"/>
    <n v="518.72"/>
    <n v="1.67"/>
    <n v="743.91"/>
    <n v="745.58"/>
    <m/>
  </r>
  <r>
    <d v="2017-09-01T00:00:00"/>
    <s v="2017-18"/>
    <n v="2017"/>
    <n v="9"/>
    <s v="Sep"/>
    <x v="13"/>
    <n v="1"/>
    <s v="Union Territory"/>
    <n v="71.31"/>
    <n v="136.54"/>
    <n v="107"/>
    <n v="4.92"/>
    <n v="314.85000000000002"/>
    <n v="319.77"/>
    <m/>
  </r>
  <r>
    <d v="2017-09-01T00:00:00"/>
    <s v="2017-18"/>
    <n v="2017"/>
    <n v="9"/>
    <s v="Sep"/>
    <x v="14"/>
    <n v="20"/>
    <s v="State"/>
    <n v="210.01"/>
    <n v="295.25"/>
    <n v="697.34"/>
    <n v="437.86"/>
    <n v="1202.5999999999999"/>
    <n v="1640.46"/>
    <m/>
  </r>
  <r>
    <d v="2017-09-01T00:00:00"/>
    <s v="2017-18"/>
    <n v="2017"/>
    <n v="9"/>
    <s v="Sep"/>
    <x v="15"/>
    <n v="29"/>
    <s v="State"/>
    <n v="1363.58"/>
    <n v="1996.53"/>
    <n v="1941.17"/>
    <n v="838.44"/>
    <n v="5301.28"/>
    <n v="6139.72"/>
    <m/>
  </r>
  <r>
    <d v="2017-09-01T00:00:00"/>
    <s v="2017-18"/>
    <n v="2017"/>
    <n v="9"/>
    <s v="Sep"/>
    <x v="16"/>
    <n v="32"/>
    <s v="State"/>
    <n v="483.3"/>
    <n v="802.58"/>
    <n v="243.71"/>
    <n v="13.55"/>
    <n v="1529.59"/>
    <n v="1543.14"/>
    <m/>
  </r>
  <r>
    <d v="2017-09-01T00:00:00"/>
    <s v="2017-18"/>
    <n v="2017"/>
    <n v="9"/>
    <s v="Sep"/>
    <x v="17"/>
    <n v="31"/>
    <s v="Union Territory"/>
    <n v="0.4"/>
    <n v="0.4"/>
    <n v="0.03"/>
    <n v="0"/>
    <n v="0.83"/>
    <n v="0.83"/>
    <m/>
  </r>
  <r>
    <d v="2017-09-01T00:00:00"/>
    <s v="2017-18"/>
    <n v="2017"/>
    <n v="9"/>
    <s v="Sep"/>
    <x v="18"/>
    <n v="23"/>
    <s v="State"/>
    <n v="391.63"/>
    <n v="567.30999999999995"/>
    <n v="533.07000000000005"/>
    <n v="414.14"/>
    <n v="1492.01"/>
    <n v="1906.15"/>
    <m/>
  </r>
  <r>
    <d v="2017-09-01T00:00:00"/>
    <s v="2017-18"/>
    <n v="2017"/>
    <n v="9"/>
    <s v="Sep"/>
    <x v="19"/>
    <n v="27"/>
    <s v="State"/>
    <n v="3381.9"/>
    <n v="4557.62"/>
    <n v="4162.2700000000004"/>
    <n v="945.88"/>
    <n v="12101.79"/>
    <n v="13047.67"/>
    <m/>
  </r>
  <r>
    <d v="2017-09-01T00:00:00"/>
    <s v="2017-18"/>
    <n v="2017"/>
    <n v="9"/>
    <s v="Sep"/>
    <x v="20"/>
    <n v="14"/>
    <s v="State"/>
    <n v="4.5999999999999996"/>
    <n v="7.91"/>
    <n v="1.03"/>
    <n v="0.18"/>
    <n v="13.54"/>
    <n v="13.72"/>
    <m/>
  </r>
  <r>
    <d v="2017-09-01T00:00:00"/>
    <s v="2017-18"/>
    <n v="2017"/>
    <n v="9"/>
    <s v="Sep"/>
    <x v="21"/>
    <n v="17"/>
    <s v="State"/>
    <n v="8.4600000000000009"/>
    <n v="14.05"/>
    <n v="39.94"/>
    <n v="0.09"/>
    <n v="62.45"/>
    <n v="62.54"/>
    <m/>
  </r>
  <r>
    <d v="2017-09-01T00:00:00"/>
    <s v="2017-18"/>
    <n v="2017"/>
    <n v="9"/>
    <s v="Sep"/>
    <x v="22"/>
    <n v="15"/>
    <s v="State"/>
    <n v="2.46"/>
    <n v="4.46"/>
    <n v="0.6"/>
    <n v="0"/>
    <n v="7.52"/>
    <n v="7.52"/>
    <m/>
  </r>
  <r>
    <d v="2017-09-01T00:00:00"/>
    <s v="2017-18"/>
    <n v="2017"/>
    <n v="9"/>
    <s v="Sep"/>
    <x v="23"/>
    <n v="13"/>
    <s v="State"/>
    <n v="2.97"/>
    <n v="5.67"/>
    <n v="4.4000000000000004"/>
    <n v="0.13"/>
    <n v="13.04"/>
    <n v="13.17"/>
    <m/>
  </r>
  <r>
    <d v="2017-09-01T00:00:00"/>
    <s v="2017-18"/>
    <n v="2017"/>
    <n v="9"/>
    <s v="Sep"/>
    <x v="24"/>
    <n v="21"/>
    <s v="State"/>
    <n v="332"/>
    <n v="450.53"/>
    <n v="468.11"/>
    <n v="465.56"/>
    <n v="1250.6400000000001"/>
    <n v="1716.2"/>
    <m/>
  </r>
  <r>
    <d v="2017-09-01T00:00:00"/>
    <s v="2017-18"/>
    <n v="2017"/>
    <n v="9"/>
    <s v="Sep"/>
    <x v="25"/>
    <n v="34"/>
    <s v="Union Territory"/>
    <n v="19.829999999999998"/>
    <n v="32.57"/>
    <n v="131.51"/>
    <n v="0.41"/>
    <n v="183.91"/>
    <n v="184.32"/>
    <m/>
  </r>
  <r>
    <d v="2017-09-01T00:00:00"/>
    <s v="2017-18"/>
    <n v="2017"/>
    <n v="9"/>
    <s v="Sep"/>
    <x v="26"/>
    <n v="3"/>
    <s v="State"/>
    <n v="276.49"/>
    <n v="491.65"/>
    <n v="507.03"/>
    <n v="13.87"/>
    <n v="1275.17"/>
    <n v="1289.04"/>
    <m/>
  </r>
  <r>
    <d v="2017-09-01T00:00:00"/>
    <s v="2017-18"/>
    <n v="2017"/>
    <n v="9"/>
    <s v="Sep"/>
    <x v="27"/>
    <n v="8"/>
    <s v="State"/>
    <n v="518.84"/>
    <n v="774.14"/>
    <n v="833.47"/>
    <n v="157.78"/>
    <n v="2126.4499999999998"/>
    <n v="2284.23"/>
    <m/>
  </r>
  <r>
    <d v="2017-09-01T00:00:00"/>
    <s v="2017-18"/>
    <n v="2017"/>
    <n v="9"/>
    <s v="Sep"/>
    <x v="28"/>
    <n v="11"/>
    <s v="State"/>
    <n v="4.09"/>
    <n v="7.18"/>
    <n v="144.99"/>
    <n v="0.02"/>
    <n v="156.26"/>
    <n v="156.28"/>
    <m/>
  </r>
  <r>
    <d v="2017-09-01T00:00:00"/>
    <s v="2017-18"/>
    <n v="2017"/>
    <n v="9"/>
    <s v="Sep"/>
    <x v="29"/>
    <n v="33"/>
    <s v="State"/>
    <n v="1487.85"/>
    <n v="2220.66"/>
    <n v="1972.8"/>
    <n v="503.27"/>
    <n v="5681.31"/>
    <n v="6184.58"/>
    <m/>
  </r>
  <r>
    <d v="2017-09-01T00:00:00"/>
    <s v="2017-18"/>
    <n v="2017"/>
    <n v="9"/>
    <s v="Sep"/>
    <x v="30"/>
    <n v="36"/>
    <s v="State"/>
    <n v="565.52"/>
    <n v="803.39"/>
    <n v="863.21"/>
    <n v="484.68"/>
    <n v="2232.12"/>
    <n v="2716.8"/>
    <m/>
  </r>
  <r>
    <d v="2017-09-01T00:00:00"/>
    <s v="2017-18"/>
    <n v="2017"/>
    <n v="9"/>
    <s v="Sep"/>
    <x v="31"/>
    <n v="16"/>
    <s v="State"/>
    <n v="11.13"/>
    <n v="19.079999999999998"/>
    <n v="3.29"/>
    <n v="0.49"/>
    <n v="33.5"/>
    <n v="33.99"/>
    <m/>
  </r>
  <r>
    <d v="2017-09-01T00:00:00"/>
    <s v="2017-18"/>
    <n v="2017"/>
    <n v="9"/>
    <s v="Sep"/>
    <x v="32"/>
    <n v="9"/>
    <s v="State"/>
    <n v="933.99"/>
    <n v="1438.64"/>
    <n v="1381.1"/>
    <n v="1085.93"/>
    <n v="3753.73"/>
    <n v="4839.66"/>
    <m/>
  </r>
  <r>
    <d v="2017-09-01T00:00:00"/>
    <s v="2017-18"/>
    <n v="2017"/>
    <n v="9"/>
    <s v="Sep"/>
    <x v="33"/>
    <n v="5"/>
    <s v="State"/>
    <n v="150.13"/>
    <n v="307.52999999999997"/>
    <n v="998.81"/>
    <n v="14.95"/>
    <n v="1456.47"/>
    <n v="1471.42"/>
    <m/>
  </r>
  <r>
    <d v="2017-09-01T00:00:00"/>
    <s v="2017-18"/>
    <n v="2017"/>
    <n v="9"/>
    <s v="Sep"/>
    <x v="34"/>
    <n v="19"/>
    <s v="State"/>
    <n v="829.96"/>
    <n v="1183.08"/>
    <n v="670.45"/>
    <n v="259.31"/>
    <n v="2683.49"/>
    <n v="2942.8"/>
    <m/>
  </r>
  <r>
    <d v="2017-10-01T00:00:00"/>
    <s v="2017-18"/>
    <n v="2017"/>
    <n v="10"/>
    <s v="Oct"/>
    <x v="0"/>
    <n v="35"/>
    <s v="Union Territory"/>
    <n v="8"/>
    <n v="9.85"/>
    <n v="0.7"/>
    <n v="0.04"/>
    <n v="18.55"/>
    <n v="18.59"/>
    <m/>
  </r>
  <r>
    <d v="2017-10-01T00:00:00"/>
    <s v="2017-18"/>
    <n v="2017"/>
    <n v="10"/>
    <s v="Oct"/>
    <x v="1"/>
    <n v="28"/>
    <s v="State"/>
    <n v="435.16"/>
    <n v="701.86"/>
    <n v="670.84"/>
    <n v="20.72"/>
    <n v="1807.86"/>
    <n v="1828.58"/>
    <m/>
  </r>
  <r>
    <d v="2017-10-01T00:00:00"/>
    <s v="2017-18"/>
    <n v="2017"/>
    <n v="10"/>
    <s v="Oct"/>
    <x v="2"/>
    <n v="12"/>
    <s v="State"/>
    <n v="4.16"/>
    <n v="6.05"/>
    <n v="2.2200000000000002"/>
    <n v="0.21"/>
    <n v="12.43"/>
    <n v="12.64"/>
    <m/>
  </r>
  <r>
    <d v="2017-10-01T00:00:00"/>
    <s v="2017-18"/>
    <n v="2017"/>
    <n v="10"/>
    <s v="Oct"/>
    <x v="3"/>
    <n v="18"/>
    <s v="State"/>
    <n v="147.93"/>
    <n v="237.68"/>
    <n v="200.29"/>
    <n v="38.659999999999997"/>
    <n v="585.9"/>
    <n v="624.55999999999995"/>
    <m/>
  </r>
  <r>
    <d v="2017-10-01T00:00:00"/>
    <s v="2017-18"/>
    <n v="2017"/>
    <n v="10"/>
    <s v="Oct"/>
    <x v="4"/>
    <n v="10"/>
    <s v="State"/>
    <n v="140.80000000000001"/>
    <n v="307.70999999999998"/>
    <n v="65.02"/>
    <n v="131.63"/>
    <n v="513.53"/>
    <n v="645.16"/>
    <m/>
  </r>
  <r>
    <d v="2017-10-01T00:00:00"/>
    <s v="2017-18"/>
    <n v="2017"/>
    <n v="10"/>
    <s v="Oct"/>
    <x v="5"/>
    <n v="4"/>
    <s v="Union Territory"/>
    <n v="29.25"/>
    <n v="42.09"/>
    <n v="72.23"/>
    <n v="1.03"/>
    <n v="143.57"/>
    <n v="144.6"/>
    <m/>
  </r>
  <r>
    <d v="2017-10-01T00:00:00"/>
    <s v="2017-18"/>
    <n v="2017"/>
    <n v="10"/>
    <s v="Oct"/>
    <x v="6"/>
    <n v="22"/>
    <s v="State"/>
    <n v="220.93"/>
    <n v="306.23"/>
    <n v="479.93"/>
    <n v="547.99"/>
    <n v="1007.09"/>
    <n v="1555.08"/>
    <m/>
  </r>
  <r>
    <d v="2017-10-01T00:00:00"/>
    <s v="2017-18"/>
    <n v="2017"/>
    <n v="10"/>
    <s v="Oct"/>
    <x v="7"/>
    <n v="38"/>
    <s v="Union Territory"/>
    <n v="22.11"/>
    <n v="34.409999999999997"/>
    <n v="236.14"/>
    <n v="0.21"/>
    <n v="292.66000000000003"/>
    <n v="292.87"/>
    <m/>
  </r>
  <r>
    <d v="2017-10-01T00:00:00"/>
    <s v="2017-18"/>
    <n v="2017"/>
    <n v="10"/>
    <s v="Oct"/>
    <x v="8"/>
    <n v="7"/>
    <s v="Union Territory"/>
    <n v="760.16"/>
    <n v="1069.1500000000001"/>
    <n v="1588.95"/>
    <n v="108.57"/>
    <n v="3418.26"/>
    <n v="3526.83"/>
    <m/>
  </r>
  <r>
    <d v="2017-10-01T00:00:00"/>
    <s v="2017-18"/>
    <n v="2017"/>
    <n v="10"/>
    <s v="Oct"/>
    <x v="9"/>
    <n v="30"/>
    <s v="State"/>
    <n v="69.239999999999995"/>
    <n v="105.51"/>
    <n v="168.52"/>
    <n v="2.94"/>
    <n v="343.27"/>
    <n v="346.21"/>
    <m/>
  </r>
  <r>
    <d v="2017-10-01T00:00:00"/>
    <s v="2017-18"/>
    <n v="2017"/>
    <n v="10"/>
    <s v="Oct"/>
    <x v="10"/>
    <n v="24"/>
    <s v="State"/>
    <n v="1400.77"/>
    <n v="1880.76"/>
    <n v="2286.6799999999998"/>
    <n v="314.58"/>
    <n v="5568.21"/>
    <n v="5882.79"/>
    <m/>
  </r>
  <r>
    <d v="2017-10-01T00:00:00"/>
    <s v="2017-18"/>
    <n v="2017"/>
    <n v="10"/>
    <s v="Oct"/>
    <x v="11"/>
    <n v="6"/>
    <s v="State"/>
    <n v="700.03"/>
    <n v="1144.46"/>
    <n v="2849.56"/>
    <n v="369.15"/>
    <n v="4694.05"/>
    <n v="5063.2"/>
    <m/>
  </r>
  <r>
    <d v="2017-10-01T00:00:00"/>
    <s v="2017-18"/>
    <n v="2017"/>
    <n v="10"/>
    <s v="Oct"/>
    <x v="12"/>
    <n v="2"/>
    <s v="State"/>
    <n v="70.77"/>
    <n v="133.41999999999999"/>
    <n v="494.68"/>
    <n v="1.53"/>
    <n v="698.87"/>
    <n v="700.4"/>
    <m/>
  </r>
  <r>
    <d v="2017-10-01T00:00:00"/>
    <s v="2017-18"/>
    <n v="2017"/>
    <n v="10"/>
    <s v="Oct"/>
    <x v="13"/>
    <n v="1"/>
    <s v="Union Territory"/>
    <n v="63.39"/>
    <n v="113.18"/>
    <n v="108.06"/>
    <n v="3.09"/>
    <n v="284.63"/>
    <n v="287.72000000000003"/>
    <m/>
  </r>
  <r>
    <d v="2017-10-01T00:00:00"/>
    <s v="2017-18"/>
    <n v="2017"/>
    <n v="10"/>
    <s v="Oct"/>
    <x v="14"/>
    <n v="20"/>
    <s v="State"/>
    <n v="230.02"/>
    <n v="347.48"/>
    <n v="715.45"/>
    <n v="453.73"/>
    <n v="1292.95"/>
    <n v="1746.68"/>
    <m/>
  </r>
  <r>
    <d v="2017-10-01T00:00:00"/>
    <s v="2017-18"/>
    <n v="2017"/>
    <n v="10"/>
    <s v="Oct"/>
    <x v="15"/>
    <n v="29"/>
    <s v="State"/>
    <n v="1283.33"/>
    <n v="1921.92"/>
    <n v="2232.16"/>
    <n v="811.09"/>
    <n v="5437.41"/>
    <n v="6248.5"/>
    <m/>
  </r>
  <r>
    <d v="2017-10-01T00:00:00"/>
    <s v="2017-18"/>
    <n v="2017"/>
    <n v="10"/>
    <s v="Oct"/>
    <x v="16"/>
    <n v="32"/>
    <s v="State"/>
    <n v="458.24"/>
    <n v="736.9"/>
    <n v="254.35"/>
    <n v="7.65"/>
    <n v="1449.49"/>
    <n v="1457.14"/>
    <m/>
  </r>
  <r>
    <d v="2017-10-01T00:00:00"/>
    <s v="2017-18"/>
    <n v="2017"/>
    <n v="10"/>
    <s v="Oct"/>
    <x v="17"/>
    <n v="31"/>
    <s v="Union Territory"/>
    <n v="0.28000000000000003"/>
    <n v="0.3"/>
    <n v="0.02"/>
    <n v="0"/>
    <n v="0.6"/>
    <n v="0.6"/>
    <m/>
  </r>
  <r>
    <d v="2017-10-01T00:00:00"/>
    <s v="2017-18"/>
    <n v="2017"/>
    <n v="10"/>
    <s v="Oct"/>
    <x v="18"/>
    <n v="23"/>
    <s v="State"/>
    <n v="355.14"/>
    <n v="577.07000000000005"/>
    <n v="587.78"/>
    <n v="407.24"/>
    <n v="1519.99"/>
    <n v="1927.23"/>
    <m/>
  </r>
  <r>
    <d v="2017-10-01T00:00:00"/>
    <s v="2017-18"/>
    <n v="2017"/>
    <n v="10"/>
    <s v="Oct"/>
    <x v="19"/>
    <n v="27"/>
    <s v="State"/>
    <n v="3559.82"/>
    <n v="4938.8999999999996"/>
    <n v="4765.38"/>
    <n v="1056.3699999999999"/>
    <n v="13264.1"/>
    <n v="14320.47"/>
    <m/>
  </r>
  <r>
    <d v="2017-10-01T00:00:00"/>
    <s v="2017-18"/>
    <n v="2017"/>
    <n v="10"/>
    <s v="Oct"/>
    <x v="20"/>
    <n v="14"/>
    <s v="State"/>
    <n v="6.31"/>
    <n v="12.26"/>
    <n v="0.92"/>
    <n v="0.01"/>
    <n v="19.489999999999998"/>
    <n v="19.5"/>
    <m/>
  </r>
  <r>
    <d v="2017-10-01T00:00:00"/>
    <s v="2017-18"/>
    <n v="2017"/>
    <n v="10"/>
    <s v="Oct"/>
    <x v="21"/>
    <n v="17"/>
    <s v="State"/>
    <n v="10.6"/>
    <n v="16.690000000000001"/>
    <n v="38.04"/>
    <n v="0.1"/>
    <n v="65.33"/>
    <n v="65.430000000000007"/>
    <m/>
  </r>
  <r>
    <d v="2017-10-01T00:00:00"/>
    <s v="2017-18"/>
    <n v="2017"/>
    <n v="10"/>
    <s v="Oct"/>
    <x v="22"/>
    <n v="15"/>
    <s v="State"/>
    <n v="3.93"/>
    <n v="5.55"/>
    <n v="0.99"/>
    <n v="0"/>
    <n v="10.47"/>
    <n v="10.47"/>
    <m/>
  </r>
  <r>
    <d v="2017-10-01T00:00:00"/>
    <s v="2017-18"/>
    <n v="2017"/>
    <n v="10"/>
    <s v="Oct"/>
    <x v="23"/>
    <n v="13"/>
    <s v="State"/>
    <n v="3.73"/>
    <n v="5.69"/>
    <n v="5.17"/>
    <n v="0.12"/>
    <n v="14.59"/>
    <n v="14.71"/>
    <m/>
  </r>
  <r>
    <d v="2017-10-01T00:00:00"/>
    <s v="2017-18"/>
    <n v="2017"/>
    <n v="10"/>
    <s v="Oct"/>
    <x v="24"/>
    <n v="21"/>
    <s v="State"/>
    <n v="321.88"/>
    <n v="529.86"/>
    <n v="481.14"/>
    <n v="468.05"/>
    <n v="1332.88"/>
    <n v="1800.93"/>
    <m/>
  </r>
  <r>
    <d v="2017-10-01T00:00:00"/>
    <s v="2017-18"/>
    <n v="2017"/>
    <n v="10"/>
    <s v="Oct"/>
    <x v="25"/>
    <n v="34"/>
    <s v="Union Territory"/>
    <n v="19.87"/>
    <n v="31.53"/>
    <n v="91.34"/>
    <n v="1.49"/>
    <n v="142.74"/>
    <n v="144.22999999999999"/>
    <m/>
  </r>
  <r>
    <d v="2017-10-01T00:00:00"/>
    <s v="2017-18"/>
    <n v="2017"/>
    <n v="10"/>
    <s v="Oct"/>
    <x v="26"/>
    <n v="3"/>
    <s v="State"/>
    <n v="263.8"/>
    <n v="477.63"/>
    <n v="522.09"/>
    <n v="13.49"/>
    <n v="1263.52"/>
    <n v="1277.01"/>
    <m/>
  </r>
  <r>
    <d v="2017-10-01T00:00:00"/>
    <s v="2017-18"/>
    <n v="2017"/>
    <n v="10"/>
    <s v="Oct"/>
    <x v="27"/>
    <n v="8"/>
    <s v="State"/>
    <n v="530.78"/>
    <n v="808.66"/>
    <n v="759.75"/>
    <n v="156.55000000000001"/>
    <n v="2099.19"/>
    <n v="2255.7399999999998"/>
    <m/>
  </r>
  <r>
    <d v="2017-10-01T00:00:00"/>
    <s v="2017-18"/>
    <n v="2017"/>
    <n v="10"/>
    <s v="Oct"/>
    <x v="28"/>
    <n v="11"/>
    <s v="State"/>
    <n v="10.16"/>
    <n v="13.36"/>
    <n v="116.72"/>
    <n v="0.08"/>
    <n v="140.24"/>
    <n v="140.32"/>
    <m/>
  </r>
  <r>
    <d v="2017-10-01T00:00:00"/>
    <s v="2017-18"/>
    <n v="2017"/>
    <n v="10"/>
    <s v="Oct"/>
    <x v="29"/>
    <n v="33"/>
    <s v="State"/>
    <n v="1457.13"/>
    <n v="2132.29"/>
    <n v="1913.92"/>
    <n v="589.61"/>
    <n v="5503.34"/>
    <n v="6092.95"/>
    <m/>
  </r>
  <r>
    <d v="2017-10-01T00:00:00"/>
    <s v="2017-18"/>
    <n v="2017"/>
    <n v="10"/>
    <s v="Oct"/>
    <x v="30"/>
    <n v="36"/>
    <s v="State"/>
    <n v="565.15"/>
    <n v="847.61"/>
    <n v="853.96"/>
    <n v="492.04"/>
    <n v="2266.7199999999998"/>
    <n v="2758.76"/>
    <m/>
  </r>
  <r>
    <d v="2017-10-01T00:00:00"/>
    <s v="2017-18"/>
    <n v="2017"/>
    <n v="10"/>
    <s v="Oct"/>
    <x v="31"/>
    <n v="16"/>
    <s v="State"/>
    <n v="23.62"/>
    <n v="30.54"/>
    <n v="2.89"/>
    <n v="0.16"/>
    <n v="57.05"/>
    <n v="57.21"/>
    <m/>
  </r>
  <r>
    <d v="2017-10-01T00:00:00"/>
    <s v="2017-18"/>
    <n v="2017"/>
    <n v="10"/>
    <s v="Oct"/>
    <x v="32"/>
    <n v="9"/>
    <s v="State"/>
    <n v="928.42"/>
    <n v="1477.13"/>
    <n v="1340.51"/>
    <n v="930.65"/>
    <n v="3746.06"/>
    <n v="4676.71"/>
    <m/>
  </r>
  <r>
    <d v="2017-10-01T00:00:00"/>
    <s v="2017-18"/>
    <n v="2017"/>
    <n v="10"/>
    <s v="Oct"/>
    <x v="33"/>
    <n v="5"/>
    <s v="State"/>
    <n v="143.5"/>
    <n v="278.72000000000003"/>
    <n v="1240.6199999999999"/>
    <n v="22.97"/>
    <n v="1662.84"/>
    <n v="1685.81"/>
    <m/>
  </r>
  <r>
    <d v="2017-10-01T00:00:00"/>
    <s v="2017-18"/>
    <n v="2017"/>
    <n v="10"/>
    <s v="Oct"/>
    <x v="34"/>
    <n v="19"/>
    <s v="State"/>
    <n v="693.87"/>
    <n v="1042.51"/>
    <n v="708.67"/>
    <n v="339.52"/>
    <n v="2445.0500000000002"/>
    <n v="2784.57"/>
    <m/>
  </r>
  <r>
    <d v="2017-11-01T00:00:00"/>
    <s v="2017-18"/>
    <n v="2017"/>
    <n v="11"/>
    <s v="Nov"/>
    <x v="0"/>
    <n v="35"/>
    <s v="Union Territory"/>
    <n v="10.199999999999999"/>
    <n v="11.63"/>
    <n v="1.27"/>
    <n v="0.03"/>
    <n v="23.1"/>
    <n v="23.13"/>
    <m/>
  </r>
  <r>
    <d v="2017-11-01T00:00:00"/>
    <s v="2017-18"/>
    <n v="2017"/>
    <n v="11"/>
    <s v="Nov"/>
    <x v="1"/>
    <n v="28"/>
    <s v="State"/>
    <n v="389.38"/>
    <n v="588.89"/>
    <n v="669.29"/>
    <n v="20.010000000000002"/>
    <n v="1647.56"/>
    <n v="1667.57"/>
    <m/>
  </r>
  <r>
    <d v="2017-11-01T00:00:00"/>
    <s v="2017-18"/>
    <n v="2017"/>
    <n v="11"/>
    <s v="Nov"/>
    <x v="2"/>
    <n v="12"/>
    <s v="State"/>
    <n v="2.98"/>
    <n v="4.8600000000000003"/>
    <n v="3.37"/>
    <n v="0"/>
    <n v="11.21"/>
    <n v="11.21"/>
    <m/>
  </r>
  <r>
    <d v="2017-11-01T00:00:00"/>
    <s v="2017-18"/>
    <n v="2017"/>
    <n v="11"/>
    <s v="Nov"/>
    <x v="3"/>
    <n v="18"/>
    <s v="State"/>
    <n v="150.31"/>
    <n v="227.85"/>
    <n v="226.84"/>
    <n v="49.07"/>
    <n v="605"/>
    <n v="654.07000000000005"/>
    <m/>
  </r>
  <r>
    <d v="2017-11-01T00:00:00"/>
    <s v="2017-18"/>
    <n v="2017"/>
    <n v="11"/>
    <s v="Nov"/>
    <x v="4"/>
    <n v="10"/>
    <s v="State"/>
    <n v="142.18"/>
    <n v="285.17"/>
    <n v="76.03"/>
    <n v="88.93"/>
    <n v="503.38"/>
    <n v="592.30999999999995"/>
    <m/>
  </r>
  <r>
    <d v="2017-11-01T00:00:00"/>
    <s v="2017-18"/>
    <n v="2017"/>
    <n v="11"/>
    <s v="Nov"/>
    <x v="5"/>
    <n v="4"/>
    <s v="Union Territory"/>
    <n v="30.33"/>
    <n v="45.77"/>
    <n v="68.62"/>
    <n v="0.57999999999999996"/>
    <n v="144.72"/>
    <n v="145.30000000000001"/>
    <m/>
  </r>
  <r>
    <d v="2017-11-01T00:00:00"/>
    <s v="2017-18"/>
    <n v="2017"/>
    <n v="11"/>
    <s v="Nov"/>
    <x v="6"/>
    <n v="22"/>
    <s v="State"/>
    <n v="209.82"/>
    <n v="302.39999999999998"/>
    <n v="467.79"/>
    <n v="523.72"/>
    <n v="980.01"/>
    <n v="1503.73"/>
    <m/>
  </r>
  <r>
    <d v="2017-11-01T00:00:00"/>
    <s v="2017-18"/>
    <n v="2017"/>
    <n v="11"/>
    <s v="Nov"/>
    <x v="7"/>
    <n v="38"/>
    <s v="Union Territory"/>
    <n v="20.03"/>
    <n v="31.32"/>
    <n v="233.46"/>
    <n v="0.27"/>
    <n v="284.81"/>
    <n v="285.08"/>
    <m/>
  </r>
  <r>
    <d v="2017-11-01T00:00:00"/>
    <s v="2017-18"/>
    <n v="2017"/>
    <n v="11"/>
    <s v="Nov"/>
    <x v="8"/>
    <n v="7"/>
    <s v="Union Territory"/>
    <n v="678.45"/>
    <n v="951.49"/>
    <n v="1489.96"/>
    <n v="111.64"/>
    <n v="3119.9"/>
    <n v="3231.54"/>
    <m/>
  </r>
  <r>
    <d v="2017-11-01T00:00:00"/>
    <s v="2017-18"/>
    <n v="2017"/>
    <n v="11"/>
    <s v="Nov"/>
    <x v="9"/>
    <n v="30"/>
    <s v="State"/>
    <n v="81.77"/>
    <n v="114.97"/>
    <n v="145.41"/>
    <n v="2.48"/>
    <n v="342.15"/>
    <n v="344.63"/>
    <m/>
  </r>
  <r>
    <d v="2017-11-01T00:00:00"/>
    <s v="2017-18"/>
    <n v="2017"/>
    <n v="11"/>
    <s v="Nov"/>
    <x v="10"/>
    <n v="24"/>
    <s v="State"/>
    <n v="1330.45"/>
    <n v="1748.09"/>
    <n v="1984.66"/>
    <n v="324.13"/>
    <n v="5063.2"/>
    <n v="5387.33"/>
    <m/>
  </r>
  <r>
    <d v="2017-11-01T00:00:00"/>
    <s v="2017-18"/>
    <n v="2017"/>
    <n v="11"/>
    <s v="Nov"/>
    <x v="11"/>
    <n v="6"/>
    <s v="State"/>
    <n v="641.97"/>
    <n v="1063.17"/>
    <n v="2589.71"/>
    <n v="373.72"/>
    <n v="4294.8500000000004"/>
    <n v="4668.57"/>
    <m/>
  </r>
  <r>
    <d v="2017-11-01T00:00:00"/>
    <s v="2017-18"/>
    <n v="2017"/>
    <n v="11"/>
    <s v="Nov"/>
    <x v="12"/>
    <n v="2"/>
    <s v="State"/>
    <n v="70.489999999999995"/>
    <n v="117.78"/>
    <n v="460.08"/>
    <n v="1.05"/>
    <n v="648.35"/>
    <n v="649.4"/>
    <m/>
  </r>
  <r>
    <d v="2017-11-01T00:00:00"/>
    <s v="2017-18"/>
    <n v="2017"/>
    <n v="11"/>
    <s v="Nov"/>
    <x v="13"/>
    <n v="1"/>
    <s v="Union Territory"/>
    <n v="66.27"/>
    <n v="120.32"/>
    <n v="99.53"/>
    <n v="12.83"/>
    <n v="286.12"/>
    <n v="298.95"/>
    <m/>
  </r>
  <r>
    <d v="2017-11-01T00:00:00"/>
    <s v="2017-18"/>
    <n v="2017"/>
    <n v="11"/>
    <s v="Nov"/>
    <x v="14"/>
    <n v="20"/>
    <s v="State"/>
    <n v="206.72"/>
    <n v="333.96"/>
    <n v="830.19"/>
    <n v="437.43"/>
    <n v="1370.87"/>
    <n v="1808.3"/>
    <m/>
  </r>
  <r>
    <d v="2017-11-01T00:00:00"/>
    <s v="2017-18"/>
    <n v="2017"/>
    <n v="11"/>
    <s v="Nov"/>
    <x v="15"/>
    <n v="29"/>
    <s v="State"/>
    <n v="1151.04"/>
    <n v="1709.72"/>
    <n v="1755.08"/>
    <n v="580.25"/>
    <n v="4615.84"/>
    <n v="5196.09"/>
    <m/>
  </r>
  <r>
    <d v="2017-11-01T00:00:00"/>
    <s v="2017-18"/>
    <n v="2017"/>
    <n v="11"/>
    <s v="Nov"/>
    <x v="16"/>
    <n v="32"/>
    <s v="State"/>
    <n v="410.37"/>
    <n v="611.52"/>
    <n v="215.74"/>
    <n v="11.9"/>
    <n v="1237.6300000000001"/>
    <n v="1249.53"/>
    <m/>
  </r>
  <r>
    <d v="2017-11-01T00:00:00"/>
    <s v="2017-18"/>
    <n v="2017"/>
    <n v="11"/>
    <s v="Nov"/>
    <x v="17"/>
    <n v="31"/>
    <s v="Union Territory"/>
    <n v="0.79"/>
    <n v="0.8"/>
    <n v="0.06"/>
    <n v="0"/>
    <n v="1.65"/>
    <n v="1.65"/>
    <m/>
  </r>
  <r>
    <d v="2017-11-01T00:00:00"/>
    <s v="2017-18"/>
    <n v="2017"/>
    <n v="11"/>
    <s v="Nov"/>
    <x v="18"/>
    <n v="23"/>
    <s v="State"/>
    <n v="363.71"/>
    <n v="586.45000000000005"/>
    <n v="498.79"/>
    <n v="425"/>
    <n v="1448.95"/>
    <n v="1873.95"/>
    <m/>
  </r>
  <r>
    <d v="2017-11-01T00:00:00"/>
    <s v="2017-18"/>
    <n v="2017"/>
    <n v="11"/>
    <s v="Nov"/>
    <x v="19"/>
    <n v="27"/>
    <s v="State"/>
    <n v="3206.99"/>
    <n v="4347.12"/>
    <n v="3866.25"/>
    <n v="852.76"/>
    <n v="11420.36"/>
    <n v="12273.12"/>
    <m/>
  </r>
  <r>
    <d v="2017-11-01T00:00:00"/>
    <s v="2017-18"/>
    <n v="2017"/>
    <n v="11"/>
    <s v="Nov"/>
    <x v="20"/>
    <n v="14"/>
    <s v="State"/>
    <n v="4.1399999999999997"/>
    <n v="6.37"/>
    <n v="0.92"/>
    <n v="0.01"/>
    <n v="11.43"/>
    <n v="11.44"/>
    <m/>
  </r>
  <r>
    <d v="2017-11-01T00:00:00"/>
    <s v="2017-18"/>
    <n v="2017"/>
    <n v="11"/>
    <s v="Nov"/>
    <x v="21"/>
    <n v="17"/>
    <s v="State"/>
    <n v="11.9"/>
    <n v="16.32"/>
    <n v="32.72"/>
    <n v="0.09"/>
    <n v="60.94"/>
    <n v="61.03"/>
    <m/>
  </r>
  <r>
    <d v="2017-11-01T00:00:00"/>
    <s v="2017-18"/>
    <n v="2017"/>
    <n v="11"/>
    <s v="Nov"/>
    <x v="22"/>
    <n v="15"/>
    <s v="State"/>
    <n v="2.87"/>
    <n v="4.83"/>
    <n v="0.74"/>
    <n v="0.04"/>
    <n v="8.44"/>
    <n v="8.48"/>
    <m/>
  </r>
  <r>
    <d v="2017-11-01T00:00:00"/>
    <s v="2017-18"/>
    <n v="2017"/>
    <n v="11"/>
    <s v="Nov"/>
    <x v="23"/>
    <n v="13"/>
    <s v="State"/>
    <n v="3.48"/>
    <n v="5.46"/>
    <n v="3.44"/>
    <n v="0.06"/>
    <n v="12.38"/>
    <n v="12.44"/>
    <m/>
  </r>
  <r>
    <d v="2017-11-01T00:00:00"/>
    <s v="2017-18"/>
    <n v="2017"/>
    <n v="11"/>
    <s v="Nov"/>
    <x v="24"/>
    <n v="21"/>
    <s v="State"/>
    <n v="308.62"/>
    <n v="444.02"/>
    <n v="523.61"/>
    <n v="508.13"/>
    <n v="1276.25"/>
    <n v="1784.38"/>
    <m/>
  </r>
  <r>
    <d v="2017-11-01T00:00:00"/>
    <s v="2017-18"/>
    <n v="2017"/>
    <n v="11"/>
    <s v="Nov"/>
    <x v="25"/>
    <n v="34"/>
    <s v="Union Territory"/>
    <n v="20.59"/>
    <n v="31.73"/>
    <n v="121.94"/>
    <n v="0.15"/>
    <n v="174.26"/>
    <n v="174.41"/>
    <m/>
  </r>
  <r>
    <d v="2017-11-01T00:00:00"/>
    <s v="2017-18"/>
    <n v="2017"/>
    <n v="11"/>
    <s v="Nov"/>
    <x v="26"/>
    <n v="3"/>
    <s v="State"/>
    <n v="245.96"/>
    <n v="442.91"/>
    <n v="504.93"/>
    <n v="11.14"/>
    <n v="1193.8"/>
    <n v="1204.94"/>
    <m/>
  </r>
  <r>
    <d v="2017-11-01T00:00:00"/>
    <s v="2017-18"/>
    <n v="2017"/>
    <n v="11"/>
    <s v="Nov"/>
    <x v="27"/>
    <n v="8"/>
    <s v="State"/>
    <n v="537.63"/>
    <n v="764.66"/>
    <n v="738.85"/>
    <n v="141.36000000000001"/>
    <n v="2041.14"/>
    <n v="2182.5"/>
    <m/>
  </r>
  <r>
    <d v="2017-11-01T00:00:00"/>
    <s v="2017-18"/>
    <n v="2017"/>
    <n v="11"/>
    <s v="Nov"/>
    <x v="28"/>
    <n v="11"/>
    <s v="State"/>
    <n v="10.36"/>
    <n v="13.75"/>
    <n v="121.74"/>
    <n v="0.1"/>
    <n v="145.85"/>
    <n v="145.94999999999999"/>
    <m/>
  </r>
  <r>
    <d v="2017-11-01T00:00:00"/>
    <s v="2017-18"/>
    <n v="2017"/>
    <n v="11"/>
    <s v="Nov"/>
    <x v="29"/>
    <n v="33"/>
    <s v="State"/>
    <n v="1288.1600000000001"/>
    <n v="1912.97"/>
    <n v="1494.64"/>
    <n v="539.94000000000005"/>
    <n v="4695.7700000000004"/>
    <n v="5235.71"/>
    <m/>
  </r>
  <r>
    <d v="2017-11-01T00:00:00"/>
    <s v="2017-18"/>
    <n v="2017"/>
    <n v="11"/>
    <s v="Nov"/>
    <x v="30"/>
    <n v="36"/>
    <s v="State"/>
    <n v="496.81"/>
    <n v="750.62"/>
    <n v="801.86"/>
    <n v="394.1"/>
    <n v="2049.29"/>
    <n v="2443.39"/>
    <m/>
  </r>
  <r>
    <d v="2017-11-01T00:00:00"/>
    <s v="2017-18"/>
    <n v="2017"/>
    <n v="11"/>
    <s v="Nov"/>
    <x v="31"/>
    <n v="16"/>
    <s v="State"/>
    <n v="12.88"/>
    <n v="19.43"/>
    <n v="2.7"/>
    <n v="0.28000000000000003"/>
    <n v="35.01"/>
    <n v="35.29"/>
    <m/>
  </r>
  <r>
    <d v="2017-11-01T00:00:00"/>
    <s v="2017-18"/>
    <n v="2017"/>
    <n v="11"/>
    <s v="Nov"/>
    <x v="32"/>
    <n v="9"/>
    <s v="State"/>
    <n v="838.12"/>
    <n v="1358.37"/>
    <n v="1197.47"/>
    <n v="774.11"/>
    <n v="3393.96"/>
    <n v="4168.07"/>
    <m/>
  </r>
  <r>
    <d v="2017-11-01T00:00:00"/>
    <s v="2017-18"/>
    <n v="2017"/>
    <n v="11"/>
    <s v="Nov"/>
    <x v="33"/>
    <n v="5"/>
    <s v="State"/>
    <n v="143.53"/>
    <n v="306.87"/>
    <n v="763.45"/>
    <n v="24.27"/>
    <n v="1213.8499999999999"/>
    <n v="1238.1199999999999"/>
    <m/>
  </r>
  <r>
    <d v="2017-11-01T00:00:00"/>
    <s v="2017-18"/>
    <n v="2017"/>
    <n v="11"/>
    <s v="Nov"/>
    <x v="34"/>
    <n v="19"/>
    <s v="State"/>
    <n v="592.9"/>
    <n v="1000.51"/>
    <n v="654.30999999999995"/>
    <n v="210.19"/>
    <n v="2247.7199999999998"/>
    <n v="2457.91"/>
    <m/>
  </r>
  <r>
    <d v="2017-12-01T00:00:00"/>
    <s v="2017-18"/>
    <n v="2017"/>
    <n v="12"/>
    <s v="Dec"/>
    <x v="0"/>
    <n v="35"/>
    <s v="Union Territory"/>
    <n v="5.59"/>
    <n v="8.15"/>
    <n v="1.02"/>
    <n v="0.05"/>
    <n v="14.76"/>
    <n v="14.81"/>
    <m/>
  </r>
  <r>
    <d v="2017-12-01T00:00:00"/>
    <s v="2017-18"/>
    <n v="2017"/>
    <n v="12"/>
    <s v="Dec"/>
    <x v="1"/>
    <n v="28"/>
    <s v="State"/>
    <n v="390.48"/>
    <n v="572.87"/>
    <n v="608.72"/>
    <n v="12.84"/>
    <n v="1572.07"/>
    <n v="1584.91"/>
    <m/>
  </r>
  <r>
    <d v="2017-12-01T00:00:00"/>
    <s v="2017-18"/>
    <n v="2017"/>
    <n v="12"/>
    <s v="Dec"/>
    <x v="2"/>
    <n v="12"/>
    <s v="State"/>
    <n v="3.33"/>
    <n v="6.27"/>
    <n v="2.14"/>
    <n v="0.15"/>
    <n v="11.74"/>
    <n v="11.89"/>
    <m/>
  </r>
  <r>
    <d v="2017-12-01T00:00:00"/>
    <s v="2017-18"/>
    <n v="2017"/>
    <n v="12"/>
    <s v="Dec"/>
    <x v="3"/>
    <n v="18"/>
    <s v="State"/>
    <n v="135.81"/>
    <n v="196.87"/>
    <n v="207.13"/>
    <n v="49.7"/>
    <n v="539.80999999999995"/>
    <n v="589.51"/>
    <m/>
  </r>
  <r>
    <d v="2017-12-01T00:00:00"/>
    <s v="2017-18"/>
    <n v="2017"/>
    <n v="12"/>
    <s v="Dec"/>
    <x v="4"/>
    <n v="10"/>
    <s v="State"/>
    <n v="139.57"/>
    <n v="264.52"/>
    <n v="87.8"/>
    <n v="174.71"/>
    <n v="491.89"/>
    <n v="666.6"/>
    <m/>
  </r>
  <r>
    <d v="2017-12-01T00:00:00"/>
    <s v="2017-18"/>
    <n v="2017"/>
    <n v="12"/>
    <s v="Dec"/>
    <x v="5"/>
    <n v="4"/>
    <s v="Union Territory"/>
    <n v="26.78"/>
    <n v="37.6"/>
    <n v="67.459999999999994"/>
    <n v="0.62"/>
    <n v="131.84"/>
    <n v="132.46"/>
    <m/>
  </r>
  <r>
    <d v="2017-12-01T00:00:00"/>
    <s v="2017-18"/>
    <n v="2017"/>
    <n v="12"/>
    <s v="Dec"/>
    <x v="6"/>
    <n v="22"/>
    <s v="State"/>
    <n v="233.07"/>
    <n v="303.7"/>
    <n v="445.13"/>
    <n v="600.4"/>
    <n v="981.9"/>
    <n v="1582.3"/>
    <m/>
  </r>
  <r>
    <d v="2017-12-01T00:00:00"/>
    <s v="2017-18"/>
    <n v="2017"/>
    <n v="12"/>
    <s v="Dec"/>
    <x v="7"/>
    <n v="38"/>
    <s v="Union Territory"/>
    <n v="20"/>
    <n v="31.03"/>
    <n v="182.31"/>
    <n v="0.06"/>
    <n v="233.34"/>
    <n v="233.4"/>
    <m/>
  </r>
  <r>
    <d v="2017-12-01T00:00:00"/>
    <s v="2017-18"/>
    <n v="2017"/>
    <n v="12"/>
    <s v="Dec"/>
    <x v="8"/>
    <n v="7"/>
    <s v="Union Territory"/>
    <n v="646.27"/>
    <n v="859.81"/>
    <n v="1450.77"/>
    <n v="93.61"/>
    <n v="2956.85"/>
    <n v="3050.46"/>
    <m/>
  </r>
  <r>
    <d v="2017-12-01T00:00:00"/>
    <s v="2017-18"/>
    <n v="2017"/>
    <n v="12"/>
    <s v="Dec"/>
    <x v="9"/>
    <n v="30"/>
    <s v="State"/>
    <n v="73.48"/>
    <n v="111.94"/>
    <n v="128.19"/>
    <n v="1.72"/>
    <n v="313.61"/>
    <n v="315.33"/>
    <m/>
  </r>
  <r>
    <d v="2017-12-01T00:00:00"/>
    <s v="2017-18"/>
    <n v="2017"/>
    <n v="12"/>
    <s v="Dec"/>
    <x v="10"/>
    <n v="24"/>
    <s v="State"/>
    <n v="1386.71"/>
    <n v="1790.21"/>
    <n v="1894.13"/>
    <n v="301.14"/>
    <n v="5071.05"/>
    <n v="5372.19"/>
    <m/>
  </r>
  <r>
    <d v="2017-12-01T00:00:00"/>
    <s v="2017-18"/>
    <n v="2017"/>
    <n v="12"/>
    <s v="Dec"/>
    <x v="11"/>
    <n v="6"/>
    <s v="State"/>
    <n v="603.42999999999995"/>
    <n v="968.19"/>
    <n v="2168.4899999999998"/>
    <n v="340.26"/>
    <n v="3740.11"/>
    <n v="4080.37"/>
    <m/>
  </r>
  <r>
    <d v="2017-12-01T00:00:00"/>
    <s v="2017-18"/>
    <n v="2017"/>
    <n v="12"/>
    <s v="Dec"/>
    <x v="12"/>
    <n v="2"/>
    <s v="State"/>
    <n v="74.239999999999995"/>
    <n v="109.68"/>
    <n v="432.62"/>
    <n v="1.27"/>
    <n v="616.54"/>
    <n v="617.80999999999995"/>
    <m/>
  </r>
  <r>
    <d v="2017-12-01T00:00:00"/>
    <s v="2017-18"/>
    <n v="2017"/>
    <n v="12"/>
    <s v="Dec"/>
    <x v="13"/>
    <n v="1"/>
    <s v="Union Territory"/>
    <n v="86.14"/>
    <n v="143.66999999999999"/>
    <n v="83.97"/>
    <n v="0.92"/>
    <n v="313.77999999999997"/>
    <n v="314.7"/>
    <m/>
  </r>
  <r>
    <d v="2017-12-01T00:00:00"/>
    <s v="2017-18"/>
    <n v="2017"/>
    <n v="12"/>
    <s v="Dec"/>
    <x v="14"/>
    <n v="20"/>
    <s v="State"/>
    <n v="216.83"/>
    <n v="328.45"/>
    <n v="739.07"/>
    <n v="425.18"/>
    <n v="1284.3499999999999"/>
    <n v="1709.53"/>
    <m/>
  </r>
  <r>
    <d v="2017-12-01T00:00:00"/>
    <s v="2017-18"/>
    <n v="2017"/>
    <n v="12"/>
    <s v="Dec"/>
    <x v="15"/>
    <n v="29"/>
    <s v="State"/>
    <n v="1219.43"/>
    <n v="1684.99"/>
    <n v="1760.64"/>
    <n v="903.43"/>
    <n v="4665.0600000000004"/>
    <n v="5568.49"/>
    <m/>
  </r>
  <r>
    <d v="2017-12-01T00:00:00"/>
    <s v="2017-18"/>
    <n v="2017"/>
    <n v="12"/>
    <s v="Dec"/>
    <x v="16"/>
    <n v="32"/>
    <s v="State"/>
    <n v="395.67"/>
    <n v="608.44000000000005"/>
    <n v="238.66"/>
    <n v="6.28"/>
    <n v="1242.77"/>
    <n v="1249.05"/>
    <m/>
  </r>
  <r>
    <d v="2017-12-01T00:00:00"/>
    <s v="2017-18"/>
    <n v="2017"/>
    <n v="12"/>
    <s v="Dec"/>
    <x v="17"/>
    <n v="31"/>
    <s v="Union Territory"/>
    <n v="0.37"/>
    <n v="0.38"/>
    <n v="0.05"/>
    <n v="0"/>
    <n v="0.8"/>
    <n v="0.8"/>
    <m/>
  </r>
  <r>
    <d v="2017-12-01T00:00:00"/>
    <s v="2017-18"/>
    <n v="2017"/>
    <n v="12"/>
    <s v="Dec"/>
    <x v="18"/>
    <n v="23"/>
    <s v="State"/>
    <n v="416.88"/>
    <n v="599.09"/>
    <n v="491.69"/>
    <n v="365.85"/>
    <n v="1507.66"/>
    <n v="1873.51"/>
    <m/>
  </r>
  <r>
    <d v="2017-12-01T00:00:00"/>
    <s v="2017-18"/>
    <n v="2017"/>
    <n v="12"/>
    <s v="Dec"/>
    <x v="19"/>
    <n v="27"/>
    <s v="State"/>
    <n v="3359.82"/>
    <n v="4361.38"/>
    <n v="4151.0600000000004"/>
    <n v="937.74"/>
    <n v="11872.26"/>
    <n v="12810"/>
    <m/>
  </r>
  <r>
    <d v="2017-12-01T00:00:00"/>
    <s v="2017-18"/>
    <n v="2017"/>
    <n v="12"/>
    <s v="Dec"/>
    <x v="20"/>
    <n v="14"/>
    <s v="State"/>
    <n v="4.3899999999999997"/>
    <n v="8.52"/>
    <n v="0.73"/>
    <n v="0.08"/>
    <n v="13.64"/>
    <n v="13.72"/>
    <m/>
  </r>
  <r>
    <d v="2017-12-01T00:00:00"/>
    <s v="2017-18"/>
    <n v="2017"/>
    <n v="12"/>
    <s v="Dec"/>
    <x v="21"/>
    <n v="17"/>
    <s v="State"/>
    <n v="8.82"/>
    <n v="15.12"/>
    <n v="46.26"/>
    <n v="0.18"/>
    <n v="70.2"/>
    <n v="70.38"/>
    <m/>
  </r>
  <r>
    <d v="2017-12-01T00:00:00"/>
    <s v="2017-18"/>
    <n v="2017"/>
    <n v="12"/>
    <s v="Dec"/>
    <x v="22"/>
    <n v="15"/>
    <s v="State"/>
    <n v="2.04"/>
    <n v="3.55"/>
    <n v="0.91"/>
    <n v="0.08"/>
    <n v="6.5"/>
    <n v="6.58"/>
    <m/>
  </r>
  <r>
    <d v="2017-12-01T00:00:00"/>
    <s v="2017-18"/>
    <n v="2017"/>
    <n v="12"/>
    <s v="Dec"/>
    <x v="23"/>
    <n v="13"/>
    <s v="State"/>
    <n v="2.62"/>
    <n v="4.2699999999999996"/>
    <n v="3"/>
    <n v="0.44"/>
    <n v="9.89"/>
    <n v="10.33"/>
    <m/>
  </r>
  <r>
    <d v="2017-12-01T00:00:00"/>
    <s v="2017-18"/>
    <n v="2017"/>
    <n v="12"/>
    <s v="Dec"/>
    <x v="24"/>
    <n v="21"/>
    <s v="State"/>
    <n v="301.57"/>
    <n v="400.68"/>
    <n v="505.74"/>
    <n v="496.85"/>
    <n v="1207.99"/>
    <n v="1704.84"/>
    <m/>
  </r>
  <r>
    <d v="2017-12-01T00:00:00"/>
    <s v="2017-18"/>
    <n v="2017"/>
    <n v="12"/>
    <s v="Dec"/>
    <x v="25"/>
    <n v="34"/>
    <s v="Union Territory"/>
    <n v="16.899999999999999"/>
    <n v="27.79"/>
    <n v="116.37"/>
    <n v="0.09"/>
    <n v="161.06"/>
    <n v="161.15"/>
    <m/>
  </r>
  <r>
    <d v="2017-12-01T00:00:00"/>
    <s v="2017-18"/>
    <n v="2017"/>
    <n v="12"/>
    <s v="Dec"/>
    <x v="26"/>
    <n v="3"/>
    <s v="State"/>
    <n v="225.83"/>
    <n v="390.35"/>
    <n v="455.67"/>
    <n v="5.62"/>
    <n v="1071.8499999999999"/>
    <n v="1077.47"/>
    <m/>
  </r>
  <r>
    <d v="2017-12-01T00:00:00"/>
    <s v="2017-18"/>
    <n v="2017"/>
    <n v="12"/>
    <s v="Dec"/>
    <x v="27"/>
    <n v="8"/>
    <s v="State"/>
    <n v="546.29"/>
    <n v="746.48"/>
    <n v="723.17"/>
    <n v="132.05000000000001"/>
    <n v="2015.94"/>
    <n v="2147.9899999999998"/>
    <m/>
  </r>
  <r>
    <d v="2017-12-01T00:00:00"/>
    <s v="2017-18"/>
    <n v="2017"/>
    <n v="12"/>
    <s v="Dec"/>
    <x v="28"/>
    <n v="11"/>
    <s v="State"/>
    <n v="6.53"/>
    <n v="10.19"/>
    <n v="147"/>
    <n v="0.02"/>
    <n v="163.72"/>
    <n v="163.74"/>
    <m/>
  </r>
  <r>
    <d v="2017-12-01T00:00:00"/>
    <s v="2017-18"/>
    <n v="2017"/>
    <n v="12"/>
    <s v="Dec"/>
    <x v="29"/>
    <n v="33"/>
    <s v="State"/>
    <n v="1229.68"/>
    <n v="1796.28"/>
    <n v="1460.74"/>
    <n v="527.75"/>
    <n v="4486.7"/>
    <n v="5014.45"/>
    <m/>
  </r>
  <r>
    <d v="2017-12-01T00:00:00"/>
    <s v="2017-18"/>
    <n v="2017"/>
    <n v="12"/>
    <s v="Dec"/>
    <x v="30"/>
    <n v="36"/>
    <s v="State"/>
    <n v="520.44000000000005"/>
    <n v="741.2"/>
    <n v="714.8"/>
    <n v="513.29"/>
    <n v="1976.44"/>
    <n v="2489.73"/>
    <m/>
  </r>
  <r>
    <d v="2017-12-01T00:00:00"/>
    <s v="2017-18"/>
    <n v="2017"/>
    <n v="12"/>
    <s v="Dec"/>
    <x v="31"/>
    <n v="16"/>
    <s v="State"/>
    <n v="9.91"/>
    <n v="16.66"/>
    <n v="2.79"/>
    <n v="0.44"/>
    <n v="29.36"/>
    <n v="29.8"/>
    <m/>
  </r>
  <r>
    <d v="2017-12-01T00:00:00"/>
    <s v="2017-18"/>
    <n v="2017"/>
    <n v="12"/>
    <s v="Dec"/>
    <x v="32"/>
    <n v="9"/>
    <s v="State"/>
    <n v="842.9"/>
    <n v="1317.77"/>
    <n v="1220.74"/>
    <n v="1007.36"/>
    <n v="3381.41"/>
    <n v="4388.7700000000004"/>
    <m/>
  </r>
  <r>
    <d v="2017-12-01T00:00:00"/>
    <s v="2017-18"/>
    <n v="2017"/>
    <n v="12"/>
    <s v="Dec"/>
    <x v="33"/>
    <n v="5"/>
    <s v="State"/>
    <n v="132.38999999999999"/>
    <n v="263.5"/>
    <n v="778.49"/>
    <n v="11.8"/>
    <n v="1174.3800000000001"/>
    <n v="1186.18"/>
    <m/>
  </r>
  <r>
    <d v="2017-12-01T00:00:00"/>
    <s v="2017-18"/>
    <n v="2017"/>
    <n v="12"/>
    <s v="Dec"/>
    <x v="34"/>
    <n v="19"/>
    <s v="State"/>
    <n v="635.11"/>
    <n v="957.5"/>
    <n v="703.87"/>
    <n v="252.01"/>
    <n v="2296.48"/>
    <n v="2548.4899999999998"/>
    <m/>
  </r>
  <r>
    <d v="2018-01-01T00:00:00"/>
    <s v="2017-18"/>
    <n v="2018"/>
    <n v="1"/>
    <s v="Jan"/>
    <x v="0"/>
    <n v="35"/>
    <s v="Union Territory"/>
    <n v="5.66"/>
    <n v="7.95"/>
    <n v="0.87"/>
    <n v="0.03"/>
    <n v="14.48"/>
    <n v="14.51"/>
    <m/>
  </r>
  <r>
    <d v="2018-01-01T00:00:00"/>
    <s v="2017-18"/>
    <n v="2018"/>
    <n v="1"/>
    <s v="Jan"/>
    <x v="1"/>
    <n v="28"/>
    <s v="State"/>
    <n v="489.06"/>
    <n v="713.84"/>
    <n v="697.32"/>
    <n v="20.58"/>
    <n v="1900.22"/>
    <n v="1920.8"/>
    <m/>
  </r>
  <r>
    <d v="2018-01-01T00:00:00"/>
    <s v="2017-18"/>
    <n v="2018"/>
    <n v="1"/>
    <s v="Jan"/>
    <x v="2"/>
    <n v="12"/>
    <s v="State"/>
    <n v="4.72"/>
    <n v="8.57"/>
    <n v="3.03"/>
    <n v="0.14000000000000001"/>
    <n v="16.32"/>
    <n v="16.46"/>
    <m/>
  </r>
  <r>
    <d v="2018-01-01T00:00:00"/>
    <s v="2017-18"/>
    <n v="2018"/>
    <n v="1"/>
    <s v="Jan"/>
    <x v="3"/>
    <n v="18"/>
    <s v="State"/>
    <n v="141.38999999999999"/>
    <n v="222.14"/>
    <n v="175.96"/>
    <n v="38.46"/>
    <n v="539.49"/>
    <n v="577.95000000000005"/>
    <m/>
  </r>
  <r>
    <d v="2018-01-01T00:00:00"/>
    <s v="2017-18"/>
    <n v="2018"/>
    <n v="1"/>
    <s v="Jan"/>
    <x v="4"/>
    <n v="10"/>
    <s v="State"/>
    <n v="136.37"/>
    <n v="280.74"/>
    <n v="78.45"/>
    <n v="146"/>
    <n v="495.56"/>
    <n v="641.55999999999995"/>
    <m/>
  </r>
  <r>
    <d v="2018-01-01T00:00:00"/>
    <s v="2017-18"/>
    <n v="2018"/>
    <n v="1"/>
    <s v="Jan"/>
    <x v="5"/>
    <n v="4"/>
    <s v="Union Territory"/>
    <n v="27.01"/>
    <n v="41.53"/>
    <n v="77.64"/>
    <n v="1.35"/>
    <n v="146.18"/>
    <n v="147.53"/>
    <m/>
  </r>
  <r>
    <d v="2018-01-01T00:00:00"/>
    <s v="2017-18"/>
    <n v="2018"/>
    <n v="1"/>
    <s v="Jan"/>
    <x v="6"/>
    <n v="22"/>
    <s v="State"/>
    <n v="279.02999999999997"/>
    <n v="367.35"/>
    <n v="530.4"/>
    <n v="597.23"/>
    <n v="1176.78"/>
    <n v="1774.01"/>
    <m/>
  </r>
  <r>
    <d v="2018-01-01T00:00:00"/>
    <s v="2017-18"/>
    <n v="2018"/>
    <n v="1"/>
    <s v="Jan"/>
    <x v="7"/>
    <n v="38"/>
    <s v="Union Territory"/>
    <n v="24.41"/>
    <n v="33.9"/>
    <n v="193.01"/>
    <n v="0.28999999999999998"/>
    <n v="251.32"/>
    <n v="251.61"/>
    <m/>
  </r>
  <r>
    <d v="2018-01-01T00:00:00"/>
    <s v="2017-18"/>
    <n v="2018"/>
    <n v="1"/>
    <s v="Jan"/>
    <x v="8"/>
    <n v="7"/>
    <s v="Union Territory"/>
    <n v="825.37"/>
    <n v="1099.6199999999999"/>
    <n v="1596.28"/>
    <n v="81.45"/>
    <n v="3521.27"/>
    <n v="3602.72"/>
    <m/>
  </r>
  <r>
    <d v="2018-01-01T00:00:00"/>
    <s v="2017-18"/>
    <n v="2018"/>
    <n v="1"/>
    <s v="Jan"/>
    <x v="9"/>
    <n v="30"/>
    <s v="State"/>
    <n v="82.76"/>
    <n v="116.78"/>
    <n v="103.7"/>
    <n v="2.27"/>
    <n v="303.24"/>
    <n v="305.51"/>
    <m/>
  </r>
  <r>
    <d v="2018-01-01T00:00:00"/>
    <s v="2017-18"/>
    <n v="2018"/>
    <n v="1"/>
    <s v="Jan"/>
    <x v="10"/>
    <n v="24"/>
    <s v="State"/>
    <n v="1532.26"/>
    <n v="2060.8000000000002"/>
    <n v="1876.07"/>
    <n v="309.57"/>
    <n v="5469.13"/>
    <n v="5778.7"/>
    <m/>
  </r>
  <r>
    <d v="2018-01-01T00:00:00"/>
    <s v="2017-18"/>
    <n v="2018"/>
    <n v="1"/>
    <s v="Jan"/>
    <x v="11"/>
    <n v="6"/>
    <s v="State"/>
    <n v="609.78"/>
    <n v="965.79"/>
    <n v="2376.42"/>
    <n v="310.94"/>
    <n v="3951.99"/>
    <n v="4262.93"/>
    <m/>
  </r>
  <r>
    <d v="2018-01-01T00:00:00"/>
    <s v="2017-18"/>
    <n v="2018"/>
    <n v="1"/>
    <s v="Jan"/>
    <x v="12"/>
    <n v="2"/>
    <s v="State"/>
    <n v="78.44"/>
    <n v="125.25"/>
    <n v="394.38"/>
    <n v="1.59"/>
    <n v="598.07000000000005"/>
    <n v="599.66"/>
    <m/>
  </r>
  <r>
    <d v="2018-01-01T00:00:00"/>
    <s v="2017-18"/>
    <n v="2018"/>
    <n v="1"/>
    <s v="Jan"/>
    <x v="13"/>
    <n v="1"/>
    <s v="Union Territory"/>
    <n v="92.21"/>
    <n v="144.58000000000001"/>
    <n v="65.209999999999994"/>
    <n v="4.37"/>
    <n v="302"/>
    <n v="306.37"/>
    <m/>
  </r>
  <r>
    <d v="2018-01-01T00:00:00"/>
    <s v="2017-18"/>
    <n v="2018"/>
    <n v="1"/>
    <s v="Jan"/>
    <x v="14"/>
    <n v="20"/>
    <s v="State"/>
    <n v="242.19"/>
    <n v="354.26"/>
    <n v="883.4"/>
    <n v="394.44"/>
    <n v="1479.85"/>
    <n v="1874.29"/>
    <m/>
  </r>
  <r>
    <d v="2018-01-01T00:00:00"/>
    <s v="2017-18"/>
    <n v="2018"/>
    <n v="1"/>
    <s v="Jan"/>
    <x v="15"/>
    <n v="29"/>
    <s v="State"/>
    <n v="1257.76"/>
    <n v="1810.44"/>
    <n v="2049.0100000000002"/>
    <n v="873.84"/>
    <n v="5117.21"/>
    <n v="5991.05"/>
    <m/>
  </r>
  <r>
    <d v="2018-01-01T00:00:00"/>
    <s v="2017-18"/>
    <n v="2018"/>
    <n v="1"/>
    <s v="Jan"/>
    <x v="16"/>
    <n v="32"/>
    <s v="State"/>
    <n v="413.66"/>
    <n v="698.46"/>
    <n v="244.36"/>
    <n v="11.29"/>
    <n v="1356.48"/>
    <n v="1367.77"/>
    <m/>
  </r>
  <r>
    <d v="2018-01-01T00:00:00"/>
    <s v="2017-18"/>
    <n v="2018"/>
    <n v="1"/>
    <s v="Jan"/>
    <x v="17"/>
    <n v="31"/>
    <s v="Union Territory"/>
    <n v="0.3"/>
    <n v="0.35"/>
    <n v="0.03"/>
    <n v="0"/>
    <n v="0.68"/>
    <n v="0.68"/>
    <m/>
  </r>
  <r>
    <d v="2018-01-01T00:00:00"/>
    <s v="2017-18"/>
    <n v="2018"/>
    <n v="1"/>
    <s v="Jan"/>
    <x v="18"/>
    <n v="23"/>
    <s v="State"/>
    <n v="416.18"/>
    <n v="613.79999999999995"/>
    <n v="489.92"/>
    <n v="369.97"/>
    <n v="1519.9"/>
    <n v="1889.87"/>
    <m/>
  </r>
  <r>
    <d v="2018-01-01T00:00:00"/>
    <s v="2017-18"/>
    <n v="2018"/>
    <n v="1"/>
    <s v="Jan"/>
    <x v="19"/>
    <n v="27"/>
    <s v="State"/>
    <n v="3263.95"/>
    <n v="4450.34"/>
    <n v="4657.3900000000003"/>
    <n v="984.98"/>
    <n v="12371.68"/>
    <n v="13356.66"/>
    <m/>
  </r>
  <r>
    <d v="2018-01-01T00:00:00"/>
    <s v="2017-18"/>
    <n v="2018"/>
    <n v="1"/>
    <s v="Jan"/>
    <x v="20"/>
    <n v="14"/>
    <s v="State"/>
    <n v="3.71"/>
    <n v="7.59"/>
    <n v="0.84"/>
    <n v="0.16"/>
    <n v="12.14"/>
    <n v="12.3"/>
    <m/>
  </r>
  <r>
    <d v="2018-01-01T00:00:00"/>
    <s v="2017-18"/>
    <n v="2018"/>
    <n v="1"/>
    <s v="Jan"/>
    <x v="21"/>
    <n v="17"/>
    <s v="State"/>
    <n v="12.89"/>
    <n v="21.25"/>
    <n v="51.61"/>
    <n v="4.72"/>
    <n v="85.75"/>
    <n v="90.47"/>
    <m/>
  </r>
  <r>
    <d v="2018-01-01T00:00:00"/>
    <s v="2017-18"/>
    <n v="2018"/>
    <n v="1"/>
    <s v="Jan"/>
    <x v="22"/>
    <n v="15"/>
    <s v="State"/>
    <n v="2.1"/>
    <n v="3.69"/>
    <n v="2.0299999999999998"/>
    <n v="0.02"/>
    <n v="7.82"/>
    <n v="7.84"/>
    <m/>
  </r>
  <r>
    <d v="2018-01-01T00:00:00"/>
    <s v="2017-18"/>
    <n v="2018"/>
    <n v="1"/>
    <s v="Jan"/>
    <x v="23"/>
    <n v="13"/>
    <s v="State"/>
    <n v="4.04"/>
    <n v="6.19"/>
    <n v="4.82"/>
    <n v="0.38"/>
    <n v="15.05"/>
    <n v="15.43"/>
    <m/>
  </r>
  <r>
    <d v="2018-01-01T00:00:00"/>
    <s v="2017-18"/>
    <n v="2018"/>
    <n v="1"/>
    <s v="Jan"/>
    <x v="24"/>
    <n v="21"/>
    <s v="State"/>
    <n v="355.36"/>
    <n v="470.56"/>
    <n v="542.25"/>
    <n v="590.33000000000004"/>
    <n v="1368.17"/>
    <n v="1958.5"/>
    <m/>
  </r>
  <r>
    <d v="2018-01-01T00:00:00"/>
    <s v="2017-18"/>
    <n v="2018"/>
    <n v="1"/>
    <s v="Jan"/>
    <x v="25"/>
    <n v="34"/>
    <s v="Union Territory"/>
    <n v="20.57"/>
    <n v="30.9"/>
    <n v="109.73"/>
    <n v="1.57"/>
    <n v="161.19999999999999"/>
    <n v="162.77000000000001"/>
    <m/>
  </r>
  <r>
    <d v="2018-01-01T00:00:00"/>
    <s v="2017-18"/>
    <n v="2018"/>
    <n v="1"/>
    <s v="Jan"/>
    <x v="26"/>
    <n v="3"/>
    <s v="State"/>
    <n v="239.73"/>
    <n v="424.34"/>
    <n v="410.81"/>
    <n v="12.64"/>
    <n v="1074.8800000000001"/>
    <n v="1087.52"/>
    <m/>
  </r>
  <r>
    <d v="2018-01-01T00:00:00"/>
    <s v="2017-18"/>
    <n v="2018"/>
    <n v="1"/>
    <s v="Jan"/>
    <x v="27"/>
    <n v="8"/>
    <s v="State"/>
    <n v="599.42999999999995"/>
    <n v="858.55"/>
    <n v="781.42"/>
    <n v="154.81"/>
    <n v="2239.4"/>
    <n v="2394.21"/>
    <m/>
  </r>
  <r>
    <d v="2018-01-01T00:00:00"/>
    <s v="2017-18"/>
    <n v="2018"/>
    <n v="1"/>
    <s v="Jan"/>
    <x v="28"/>
    <n v="11"/>
    <s v="State"/>
    <n v="6.67"/>
    <n v="11.45"/>
    <n v="133.58000000000001"/>
    <n v="0.01"/>
    <n v="151.69999999999999"/>
    <n v="151.71"/>
    <m/>
  </r>
  <r>
    <d v="2018-01-01T00:00:00"/>
    <s v="2017-18"/>
    <n v="2018"/>
    <n v="1"/>
    <s v="Jan"/>
    <x v="29"/>
    <n v="33"/>
    <s v="State"/>
    <n v="1282.27"/>
    <n v="1889.36"/>
    <n v="1555.99"/>
    <n v="588.30999999999995"/>
    <n v="4727.62"/>
    <n v="5315.93"/>
    <m/>
  </r>
  <r>
    <d v="2018-01-01T00:00:00"/>
    <s v="2017-18"/>
    <n v="2018"/>
    <n v="1"/>
    <s v="Jan"/>
    <x v="30"/>
    <n v="36"/>
    <s v="State"/>
    <n v="586.35"/>
    <n v="856.59"/>
    <n v="768.04"/>
    <n v="525.74"/>
    <n v="2210.98"/>
    <n v="2736.72"/>
    <m/>
  </r>
  <r>
    <d v="2018-01-01T00:00:00"/>
    <s v="2017-18"/>
    <n v="2018"/>
    <n v="1"/>
    <s v="Jan"/>
    <x v="31"/>
    <n v="16"/>
    <s v="State"/>
    <n v="11.45"/>
    <n v="16.95"/>
    <n v="3.66"/>
    <n v="0.17"/>
    <n v="32.06"/>
    <n v="32.229999999999997"/>
    <m/>
  </r>
  <r>
    <d v="2018-01-01T00:00:00"/>
    <s v="2017-18"/>
    <n v="2018"/>
    <n v="1"/>
    <s v="Jan"/>
    <x v="32"/>
    <n v="9"/>
    <s v="State"/>
    <n v="926.94"/>
    <n v="1450.58"/>
    <n v="1339.6"/>
    <n v="957.3"/>
    <n v="3717.12"/>
    <n v="4674.42"/>
    <m/>
  </r>
  <r>
    <d v="2018-01-01T00:00:00"/>
    <s v="2017-18"/>
    <n v="2018"/>
    <n v="1"/>
    <s v="Jan"/>
    <x v="33"/>
    <n v="5"/>
    <s v="State"/>
    <n v="153.59"/>
    <n v="268.70999999999998"/>
    <n v="825.16"/>
    <n v="14.27"/>
    <n v="1247.46"/>
    <n v="1261.73"/>
    <m/>
  </r>
  <r>
    <d v="2018-01-01T00:00:00"/>
    <s v="2017-18"/>
    <n v="2018"/>
    <n v="1"/>
    <s v="Jan"/>
    <x v="34"/>
    <n v="19"/>
    <s v="State"/>
    <n v="669.53"/>
    <n v="990.88"/>
    <n v="714.51"/>
    <n v="282.95999999999998"/>
    <n v="2374.92"/>
    <n v="2657.88"/>
    <m/>
  </r>
  <r>
    <d v="2018-02-01T00:00:00"/>
    <s v="2017-18"/>
    <n v="2018"/>
    <n v="2"/>
    <s v="Feb"/>
    <x v="0"/>
    <n v="35"/>
    <s v="Union Territory"/>
    <n v="8.25"/>
    <n v="11.07"/>
    <n v="0.9"/>
    <n v="0.02"/>
    <n v="20.22"/>
    <n v="20.239999999999998"/>
    <m/>
  </r>
  <r>
    <d v="2018-02-01T00:00:00"/>
    <s v="2017-18"/>
    <n v="2018"/>
    <n v="2"/>
    <s v="Feb"/>
    <x v="1"/>
    <n v="28"/>
    <s v="State"/>
    <n v="415.89"/>
    <n v="581.44000000000005"/>
    <n v="742.9"/>
    <n v="18.25"/>
    <n v="1740.23"/>
    <n v="1758.48"/>
    <m/>
  </r>
  <r>
    <d v="2018-02-01T00:00:00"/>
    <s v="2017-18"/>
    <n v="2018"/>
    <n v="2"/>
    <s v="Feb"/>
    <x v="2"/>
    <n v="12"/>
    <s v="State"/>
    <n v="3.98"/>
    <n v="6.59"/>
    <n v="2.4900000000000002"/>
    <n v="0.4"/>
    <n v="13.06"/>
    <n v="13.46"/>
    <m/>
  </r>
  <r>
    <d v="2018-02-01T00:00:00"/>
    <s v="2017-18"/>
    <n v="2018"/>
    <n v="2"/>
    <s v="Feb"/>
    <x v="3"/>
    <n v="18"/>
    <s v="State"/>
    <n v="132.62"/>
    <n v="203.23"/>
    <n v="164.07"/>
    <n v="27.94"/>
    <n v="499.92"/>
    <n v="527.86"/>
    <m/>
  </r>
  <r>
    <d v="2018-02-01T00:00:00"/>
    <s v="2017-18"/>
    <n v="2018"/>
    <n v="2"/>
    <s v="Feb"/>
    <x v="4"/>
    <n v="10"/>
    <s v="State"/>
    <n v="145.59"/>
    <n v="270.19"/>
    <n v="127.62"/>
    <n v="223.39"/>
    <n v="543.4"/>
    <n v="766.79"/>
    <m/>
  </r>
  <r>
    <d v="2018-02-01T00:00:00"/>
    <s v="2017-18"/>
    <n v="2018"/>
    <n v="2"/>
    <s v="Feb"/>
    <x v="5"/>
    <n v="4"/>
    <s v="Union Territory"/>
    <n v="28.06"/>
    <n v="40.630000000000003"/>
    <n v="71.95"/>
    <n v="0.42"/>
    <n v="140.63999999999999"/>
    <n v="141.06"/>
    <m/>
  </r>
  <r>
    <d v="2018-02-01T00:00:00"/>
    <s v="2017-18"/>
    <n v="2018"/>
    <n v="2"/>
    <s v="Feb"/>
    <x v="6"/>
    <n v="22"/>
    <s v="State"/>
    <n v="307.61"/>
    <n v="389.14"/>
    <n v="546.64"/>
    <n v="290.24"/>
    <n v="1243.3900000000001"/>
    <n v="1533.63"/>
    <m/>
  </r>
  <r>
    <d v="2018-02-01T00:00:00"/>
    <s v="2017-18"/>
    <n v="2018"/>
    <n v="2"/>
    <s v="Feb"/>
    <x v="7"/>
    <n v="38"/>
    <s v="Union Territory"/>
    <n v="19.22"/>
    <n v="29.18"/>
    <n v="185.33"/>
    <n v="0.18"/>
    <n v="233.73"/>
    <n v="233.91"/>
    <m/>
  </r>
  <r>
    <d v="2018-02-01T00:00:00"/>
    <s v="2017-18"/>
    <n v="2018"/>
    <n v="2"/>
    <s v="Feb"/>
    <x v="8"/>
    <n v="7"/>
    <s v="Union Territory"/>
    <n v="703.34"/>
    <n v="930.12"/>
    <n v="1402.38"/>
    <n v="85.14"/>
    <n v="3035.84"/>
    <n v="3120.98"/>
    <m/>
  </r>
  <r>
    <d v="2018-02-01T00:00:00"/>
    <s v="2017-18"/>
    <n v="2018"/>
    <n v="2"/>
    <s v="Feb"/>
    <x v="9"/>
    <n v="30"/>
    <s v="State"/>
    <n v="93.29"/>
    <n v="127.22"/>
    <n v="134.43"/>
    <n v="2.31"/>
    <n v="354.94"/>
    <n v="357.25"/>
    <m/>
  </r>
  <r>
    <d v="2018-02-01T00:00:00"/>
    <s v="2017-18"/>
    <n v="2018"/>
    <n v="2"/>
    <s v="Feb"/>
    <x v="10"/>
    <n v="24"/>
    <s v="State"/>
    <n v="1590.6"/>
    <n v="2030.58"/>
    <n v="1808.78"/>
    <n v="392.78"/>
    <n v="5429.96"/>
    <n v="5822.74"/>
    <m/>
  </r>
  <r>
    <d v="2018-02-01T00:00:00"/>
    <s v="2017-18"/>
    <n v="2018"/>
    <n v="2"/>
    <s v="Feb"/>
    <x v="11"/>
    <n v="6"/>
    <s v="State"/>
    <n v="602.16999999999996"/>
    <n v="942.47"/>
    <n v="2471.39"/>
    <n v="340.46"/>
    <n v="4016.03"/>
    <n v="4356.49"/>
    <m/>
  </r>
  <r>
    <d v="2018-02-01T00:00:00"/>
    <s v="2017-18"/>
    <n v="2018"/>
    <n v="2"/>
    <s v="Feb"/>
    <x v="12"/>
    <n v="2"/>
    <s v="State"/>
    <n v="70.64"/>
    <n v="106.8"/>
    <n v="382.8"/>
    <n v="1.45"/>
    <n v="560.24"/>
    <n v="561.69000000000005"/>
    <m/>
  </r>
  <r>
    <d v="2018-02-01T00:00:00"/>
    <s v="2017-18"/>
    <n v="2018"/>
    <n v="2"/>
    <s v="Feb"/>
    <x v="13"/>
    <n v="1"/>
    <s v="Union Territory"/>
    <n v="71.58"/>
    <n v="124.99"/>
    <n v="71.13"/>
    <n v="1.59"/>
    <n v="267.7"/>
    <n v="269.29000000000002"/>
    <m/>
  </r>
  <r>
    <d v="2018-02-01T00:00:00"/>
    <s v="2017-18"/>
    <n v="2018"/>
    <n v="2"/>
    <s v="Feb"/>
    <x v="14"/>
    <n v="20"/>
    <s v="State"/>
    <n v="260.05"/>
    <n v="341.26"/>
    <n v="795.16"/>
    <n v="360.7"/>
    <n v="1396.47"/>
    <n v="1757.17"/>
    <m/>
  </r>
  <r>
    <d v="2018-02-01T00:00:00"/>
    <s v="2017-18"/>
    <n v="2018"/>
    <n v="2"/>
    <s v="Feb"/>
    <x v="15"/>
    <n v="29"/>
    <s v="State"/>
    <n v="1252.8599999999999"/>
    <n v="1713.99"/>
    <n v="2063.63"/>
    <n v="988.01"/>
    <n v="5030.4799999999996"/>
    <n v="6018.49"/>
    <m/>
  </r>
  <r>
    <d v="2018-02-01T00:00:00"/>
    <s v="2017-18"/>
    <n v="2018"/>
    <n v="2"/>
    <s v="Feb"/>
    <x v="16"/>
    <n v="32"/>
    <s v="State"/>
    <n v="388.95"/>
    <n v="621.16"/>
    <n v="191.15"/>
    <n v="5.6"/>
    <n v="1201.26"/>
    <n v="1206.8599999999999"/>
    <m/>
  </r>
  <r>
    <d v="2018-02-01T00:00:00"/>
    <s v="2017-18"/>
    <n v="2018"/>
    <n v="2"/>
    <s v="Feb"/>
    <x v="17"/>
    <n v="31"/>
    <s v="Union Territory"/>
    <n v="0.56999999999999995"/>
    <n v="0.59"/>
    <n v="0.13"/>
    <n v="0"/>
    <n v="1.29"/>
    <n v="1.29"/>
    <m/>
  </r>
  <r>
    <d v="2018-02-01T00:00:00"/>
    <s v="2017-18"/>
    <n v="2018"/>
    <n v="2"/>
    <s v="Feb"/>
    <x v="18"/>
    <n v="23"/>
    <s v="State"/>
    <n v="424.06"/>
    <n v="578"/>
    <n v="560.63"/>
    <n v="397.57"/>
    <n v="1562.69"/>
    <n v="1960.26"/>
    <m/>
  </r>
  <r>
    <d v="2018-02-01T00:00:00"/>
    <s v="2017-18"/>
    <n v="2018"/>
    <n v="2"/>
    <s v="Feb"/>
    <x v="19"/>
    <n v="27"/>
    <s v="State"/>
    <n v="3265.82"/>
    <n v="4296.96"/>
    <n v="3849.35"/>
    <n v="1036.79"/>
    <n v="11412.13"/>
    <n v="12448.92"/>
    <m/>
  </r>
  <r>
    <d v="2018-02-01T00:00:00"/>
    <s v="2017-18"/>
    <n v="2018"/>
    <n v="2"/>
    <s v="Feb"/>
    <x v="20"/>
    <n v="14"/>
    <s v="State"/>
    <n v="3.71"/>
    <n v="7.59"/>
    <n v="1.23"/>
    <n v="0.32"/>
    <n v="12.53"/>
    <n v="12.85"/>
    <m/>
  </r>
  <r>
    <d v="2018-02-01T00:00:00"/>
    <s v="2017-18"/>
    <n v="2018"/>
    <n v="2"/>
    <s v="Feb"/>
    <x v="21"/>
    <n v="17"/>
    <s v="State"/>
    <n v="12.66"/>
    <n v="18.41"/>
    <n v="74.72"/>
    <n v="9.4499999999999993"/>
    <n v="105.79"/>
    <n v="115.24"/>
    <m/>
  </r>
  <r>
    <d v="2018-02-01T00:00:00"/>
    <s v="2017-18"/>
    <n v="2018"/>
    <n v="2"/>
    <s v="Feb"/>
    <x v="22"/>
    <n v="15"/>
    <s v="State"/>
    <n v="2.1800000000000002"/>
    <n v="4.72"/>
    <n v="1.1399999999999999"/>
    <n v="0.17"/>
    <n v="8.0399999999999991"/>
    <n v="8.2100000000000009"/>
    <m/>
  </r>
  <r>
    <d v="2018-02-01T00:00:00"/>
    <s v="2017-18"/>
    <n v="2018"/>
    <n v="2"/>
    <s v="Feb"/>
    <x v="23"/>
    <n v="13"/>
    <s v="State"/>
    <n v="3.67"/>
    <n v="4.92"/>
    <n v="3.29"/>
    <n v="0.28000000000000003"/>
    <n v="11.88"/>
    <n v="12.16"/>
    <m/>
  </r>
  <r>
    <d v="2018-02-01T00:00:00"/>
    <s v="2017-18"/>
    <n v="2018"/>
    <n v="2"/>
    <s v="Feb"/>
    <x v="24"/>
    <n v="21"/>
    <s v="State"/>
    <n v="356.59"/>
    <n v="486.43"/>
    <n v="517.42999999999995"/>
    <n v="621.79"/>
    <n v="1360.45"/>
    <n v="1982.24"/>
    <m/>
  </r>
  <r>
    <d v="2018-02-01T00:00:00"/>
    <s v="2017-18"/>
    <n v="2018"/>
    <n v="2"/>
    <s v="Feb"/>
    <x v="25"/>
    <n v="34"/>
    <s v="Union Territory"/>
    <n v="17.93"/>
    <n v="28.22"/>
    <n v="92.17"/>
    <n v="0.6"/>
    <n v="138.32"/>
    <n v="138.91999999999999"/>
    <m/>
  </r>
  <r>
    <d v="2018-02-01T00:00:00"/>
    <s v="2017-18"/>
    <n v="2018"/>
    <n v="2"/>
    <s v="Feb"/>
    <x v="26"/>
    <n v="3"/>
    <s v="State"/>
    <n v="240.18"/>
    <n v="385.28"/>
    <n v="427.95"/>
    <n v="7.67"/>
    <n v="1053.4100000000001"/>
    <n v="1061.08"/>
    <m/>
  </r>
  <r>
    <d v="2018-02-01T00:00:00"/>
    <s v="2017-18"/>
    <n v="2018"/>
    <n v="2"/>
    <s v="Feb"/>
    <x v="27"/>
    <n v="8"/>
    <s v="State"/>
    <n v="565.23"/>
    <n v="763.72"/>
    <n v="835.5"/>
    <n v="142.93"/>
    <n v="2164.4499999999998"/>
    <n v="2307.38"/>
    <m/>
  </r>
  <r>
    <d v="2018-02-01T00:00:00"/>
    <s v="2017-18"/>
    <n v="2018"/>
    <n v="2"/>
    <s v="Feb"/>
    <x v="28"/>
    <n v="11"/>
    <s v="State"/>
    <n v="5.5"/>
    <n v="8.58"/>
    <n v="108.64"/>
    <n v="0.02"/>
    <n v="122.72"/>
    <n v="122.74"/>
    <m/>
  </r>
  <r>
    <d v="2018-02-01T00:00:00"/>
    <s v="2017-18"/>
    <n v="2018"/>
    <n v="2"/>
    <s v="Feb"/>
    <x v="29"/>
    <n v="33"/>
    <s v="State"/>
    <n v="1250.03"/>
    <n v="1900.97"/>
    <n v="1649.87"/>
    <n v="562.25"/>
    <n v="4800.87"/>
    <n v="5363.12"/>
    <m/>
  </r>
  <r>
    <d v="2018-02-01T00:00:00"/>
    <s v="2017-18"/>
    <n v="2018"/>
    <n v="2"/>
    <s v="Feb"/>
    <x v="30"/>
    <n v="36"/>
    <s v="State"/>
    <n v="571.45000000000005"/>
    <n v="793.72"/>
    <n v="748.07"/>
    <n v="526.47"/>
    <n v="2113.2399999999998"/>
    <n v="2639.71"/>
    <m/>
  </r>
  <r>
    <d v="2018-02-01T00:00:00"/>
    <s v="2017-18"/>
    <n v="2018"/>
    <n v="2"/>
    <s v="Feb"/>
    <x v="31"/>
    <n v="16"/>
    <s v="State"/>
    <n v="11.21"/>
    <n v="19.16"/>
    <n v="3.84"/>
    <n v="0.13"/>
    <n v="34.21"/>
    <n v="34.340000000000003"/>
    <m/>
  </r>
  <r>
    <d v="2018-02-01T00:00:00"/>
    <s v="2017-18"/>
    <n v="2018"/>
    <n v="2"/>
    <s v="Feb"/>
    <x v="32"/>
    <n v="9"/>
    <s v="State"/>
    <n v="847.76"/>
    <n v="1352.37"/>
    <n v="1267.67"/>
    <n v="1129.1300000000001"/>
    <n v="3467.8"/>
    <n v="4596.93"/>
    <m/>
  </r>
  <r>
    <d v="2018-02-01T00:00:00"/>
    <s v="2017-18"/>
    <n v="2018"/>
    <n v="2"/>
    <s v="Feb"/>
    <x v="33"/>
    <n v="5"/>
    <s v="State"/>
    <n v="140.69"/>
    <n v="274.45"/>
    <n v="730.54"/>
    <n v="20.67"/>
    <n v="1145.68"/>
    <n v="1166.3499999999999"/>
    <m/>
  </r>
  <r>
    <d v="2018-02-01T00:00:00"/>
    <s v="2017-18"/>
    <n v="2018"/>
    <n v="2"/>
    <s v="Feb"/>
    <x v="34"/>
    <n v="19"/>
    <s v="State"/>
    <n v="923.9"/>
    <n v="1183.22"/>
    <n v="711.34"/>
    <n v="355.03"/>
    <n v="2818.46"/>
    <n v="3173.49"/>
    <m/>
  </r>
  <r>
    <d v="2018-03-01T00:00:00"/>
    <s v="2017-18"/>
    <n v="2018"/>
    <n v="3"/>
    <s v="Mar"/>
    <x v="0"/>
    <n v="35"/>
    <s v="Union Territory"/>
    <n v="16.02"/>
    <n v="19.88"/>
    <n v="1.36"/>
    <n v="0.01"/>
    <n v="37.26"/>
    <n v="37.270000000000003"/>
    <m/>
  </r>
  <r>
    <d v="2018-03-01T00:00:00"/>
    <s v="2017-18"/>
    <n v="2018"/>
    <n v="3"/>
    <s v="Mar"/>
    <x v="1"/>
    <n v="28"/>
    <s v="State"/>
    <n v="445.98"/>
    <n v="618.97"/>
    <n v="783.06"/>
    <n v="17.440000000000001"/>
    <n v="1848.01"/>
    <n v="1865.45"/>
    <m/>
  </r>
  <r>
    <d v="2018-03-01T00:00:00"/>
    <s v="2017-18"/>
    <n v="2018"/>
    <n v="3"/>
    <s v="Mar"/>
    <x v="2"/>
    <n v="12"/>
    <s v="State"/>
    <n v="9.98"/>
    <n v="17.649999999999999"/>
    <n v="4.8"/>
    <n v="0.01"/>
    <n v="32.43"/>
    <n v="32.44"/>
    <m/>
  </r>
  <r>
    <d v="2018-03-01T00:00:00"/>
    <s v="2017-18"/>
    <n v="2018"/>
    <n v="3"/>
    <s v="Mar"/>
    <x v="3"/>
    <n v="18"/>
    <s v="State"/>
    <n v="156.08000000000001"/>
    <n v="227.99"/>
    <n v="179.35"/>
    <n v="55.09"/>
    <n v="563.41999999999996"/>
    <n v="618.51"/>
    <m/>
  </r>
  <r>
    <d v="2018-03-01T00:00:00"/>
    <s v="2017-18"/>
    <n v="2018"/>
    <n v="3"/>
    <s v="Mar"/>
    <x v="4"/>
    <n v="10"/>
    <s v="State"/>
    <n v="168.73"/>
    <n v="314.02999999999997"/>
    <n v="90.95"/>
    <n v="183.97"/>
    <n v="573.71"/>
    <n v="757.68"/>
    <m/>
  </r>
  <r>
    <d v="2018-03-01T00:00:00"/>
    <s v="2017-18"/>
    <n v="2018"/>
    <n v="3"/>
    <s v="Mar"/>
    <x v="5"/>
    <n v="4"/>
    <s v="Union Territory"/>
    <n v="25.67"/>
    <n v="36.01"/>
    <n v="74.28"/>
    <n v="0.18"/>
    <n v="135.96"/>
    <n v="136.13999999999999"/>
    <m/>
  </r>
  <r>
    <d v="2018-03-01T00:00:00"/>
    <s v="2017-18"/>
    <n v="2018"/>
    <n v="3"/>
    <s v="Mar"/>
    <x v="6"/>
    <n v="22"/>
    <s v="State"/>
    <n v="368.85"/>
    <n v="454.44"/>
    <n v="684.55"/>
    <n v="321.19"/>
    <n v="1507.84"/>
    <n v="1829.03"/>
    <m/>
  </r>
  <r>
    <d v="2018-03-01T00:00:00"/>
    <s v="2017-18"/>
    <n v="2018"/>
    <n v="3"/>
    <s v="Mar"/>
    <x v="7"/>
    <n v="38"/>
    <s v="Union Territory"/>
    <n v="20.85"/>
    <n v="31.48"/>
    <n v="214.44"/>
    <n v="0.35"/>
    <n v="266.77"/>
    <n v="267.12"/>
    <m/>
  </r>
  <r>
    <d v="2018-03-01T00:00:00"/>
    <s v="2017-18"/>
    <n v="2018"/>
    <n v="3"/>
    <s v="Mar"/>
    <x v="8"/>
    <n v="7"/>
    <s v="Union Territory"/>
    <n v="807.25"/>
    <n v="982.02"/>
    <n v="1387.39"/>
    <n v="72.63"/>
    <n v="3176.66"/>
    <n v="3249.29"/>
    <m/>
  </r>
  <r>
    <d v="2018-03-01T00:00:00"/>
    <s v="2017-18"/>
    <n v="2018"/>
    <n v="3"/>
    <s v="Mar"/>
    <x v="9"/>
    <n v="30"/>
    <s v="State"/>
    <n v="92.8"/>
    <n v="127.21"/>
    <n v="123.66"/>
    <n v="2.81"/>
    <n v="343.67"/>
    <n v="346.48"/>
    <m/>
  </r>
  <r>
    <d v="2018-03-01T00:00:00"/>
    <s v="2017-18"/>
    <n v="2018"/>
    <n v="3"/>
    <s v="Mar"/>
    <x v="10"/>
    <n v="24"/>
    <s v="State"/>
    <n v="1594.43"/>
    <n v="2015.66"/>
    <n v="2006.19"/>
    <n v="305.98"/>
    <n v="5616.28"/>
    <n v="5922.26"/>
    <m/>
  </r>
  <r>
    <d v="2018-03-01T00:00:00"/>
    <s v="2017-18"/>
    <n v="2018"/>
    <n v="3"/>
    <s v="Mar"/>
    <x v="11"/>
    <n v="6"/>
    <s v="State"/>
    <n v="666.29"/>
    <n v="1032.5"/>
    <n v="2219.06"/>
    <n v="354.05"/>
    <n v="3917.85"/>
    <n v="4271.8999999999996"/>
    <m/>
  </r>
  <r>
    <d v="2018-03-01T00:00:00"/>
    <s v="2017-18"/>
    <n v="2018"/>
    <n v="3"/>
    <s v="Mar"/>
    <x v="12"/>
    <n v="2"/>
    <s v="State"/>
    <n v="72.56"/>
    <n v="119.87"/>
    <n v="417.98"/>
    <n v="0.56000000000000005"/>
    <n v="610.41"/>
    <n v="610.97"/>
    <m/>
  </r>
  <r>
    <d v="2018-03-01T00:00:00"/>
    <s v="2017-18"/>
    <n v="2018"/>
    <n v="3"/>
    <s v="Mar"/>
    <x v="13"/>
    <n v="1"/>
    <s v="Union Territory"/>
    <n v="65.77"/>
    <n v="114.29"/>
    <n v="75.89"/>
    <n v="2.0299999999999998"/>
    <n v="255.95"/>
    <n v="257.98"/>
    <m/>
  </r>
  <r>
    <d v="2018-03-01T00:00:00"/>
    <s v="2017-18"/>
    <n v="2018"/>
    <n v="3"/>
    <s v="Mar"/>
    <x v="14"/>
    <n v="20"/>
    <s v="State"/>
    <n v="293.02999999999997"/>
    <n v="414"/>
    <n v="875.05"/>
    <n v="461.59"/>
    <n v="1582.08"/>
    <n v="2043.67"/>
    <m/>
  </r>
  <r>
    <d v="2018-03-01T00:00:00"/>
    <s v="2017-18"/>
    <n v="2018"/>
    <n v="3"/>
    <s v="Mar"/>
    <x v="15"/>
    <n v="29"/>
    <s v="State"/>
    <n v="1299.1199999999999"/>
    <n v="1750.6"/>
    <n v="2203.71"/>
    <n v="743.68"/>
    <n v="5253.43"/>
    <n v="5997.11"/>
    <m/>
  </r>
  <r>
    <d v="2018-03-01T00:00:00"/>
    <s v="2017-18"/>
    <n v="2018"/>
    <n v="3"/>
    <s v="Mar"/>
    <x v="16"/>
    <n v="32"/>
    <s v="State"/>
    <n v="403.43"/>
    <n v="613.07000000000005"/>
    <n v="228.06"/>
    <n v="4.7"/>
    <n v="1244.56"/>
    <n v="1249.26"/>
    <m/>
  </r>
  <r>
    <d v="2018-03-01T00:00:00"/>
    <s v="2017-18"/>
    <n v="2018"/>
    <n v="3"/>
    <s v="Mar"/>
    <x v="17"/>
    <n v="31"/>
    <s v="Union Territory"/>
    <n v="0.36"/>
    <n v="0.41"/>
    <n v="7.0000000000000007E-2"/>
    <n v="0"/>
    <n v="0.84"/>
    <n v="0.84"/>
    <m/>
  </r>
  <r>
    <d v="2018-03-01T00:00:00"/>
    <s v="2017-18"/>
    <n v="2018"/>
    <n v="3"/>
    <s v="Mar"/>
    <x v="18"/>
    <n v="23"/>
    <s v="State"/>
    <n v="450.41"/>
    <n v="615.62"/>
    <n v="556.98"/>
    <n v="376.81"/>
    <n v="1623.01"/>
    <n v="1999.82"/>
    <m/>
  </r>
  <r>
    <d v="2018-03-01T00:00:00"/>
    <s v="2017-18"/>
    <n v="2018"/>
    <n v="3"/>
    <s v="Mar"/>
    <x v="19"/>
    <n v="27"/>
    <s v="State"/>
    <n v="3660.45"/>
    <n v="4586.58"/>
    <n v="4139.91"/>
    <n v="944.32"/>
    <n v="12386.94"/>
    <n v="13331.26"/>
    <m/>
  </r>
  <r>
    <d v="2018-03-01T00:00:00"/>
    <s v="2017-18"/>
    <n v="2018"/>
    <n v="3"/>
    <s v="Mar"/>
    <x v="20"/>
    <n v="14"/>
    <s v="State"/>
    <n v="7.4"/>
    <n v="16.38"/>
    <n v="1.21"/>
    <n v="7.0000000000000007E-2"/>
    <n v="24.99"/>
    <n v="25.06"/>
    <m/>
  </r>
  <r>
    <d v="2018-03-01T00:00:00"/>
    <s v="2017-18"/>
    <n v="2018"/>
    <n v="3"/>
    <s v="Mar"/>
    <x v="21"/>
    <n v="17"/>
    <s v="State"/>
    <n v="12.32"/>
    <n v="18.95"/>
    <n v="69.45"/>
    <n v="4.7"/>
    <n v="100.72"/>
    <n v="105.42"/>
    <m/>
  </r>
  <r>
    <d v="2018-03-01T00:00:00"/>
    <s v="2017-18"/>
    <n v="2018"/>
    <n v="3"/>
    <s v="Mar"/>
    <x v="22"/>
    <n v="15"/>
    <s v="State"/>
    <n v="2.88"/>
    <n v="7.28"/>
    <n v="1.3"/>
    <n v="0.01"/>
    <n v="11.46"/>
    <n v="11.47"/>
    <m/>
  </r>
  <r>
    <d v="2018-03-01T00:00:00"/>
    <s v="2017-18"/>
    <n v="2018"/>
    <n v="3"/>
    <s v="Mar"/>
    <x v="23"/>
    <n v="13"/>
    <s v="State"/>
    <n v="2.59"/>
    <n v="5.52"/>
    <n v="3.85"/>
    <n v="0.5"/>
    <n v="11.96"/>
    <n v="12.46"/>
    <m/>
  </r>
  <r>
    <d v="2018-03-01T00:00:00"/>
    <s v="2017-18"/>
    <n v="2018"/>
    <n v="3"/>
    <s v="Mar"/>
    <x v="24"/>
    <n v="21"/>
    <s v="State"/>
    <n v="391.07"/>
    <n v="515.12"/>
    <n v="559.94000000000005"/>
    <n v="525.30999999999995"/>
    <n v="1466.13"/>
    <n v="1991.44"/>
    <m/>
  </r>
  <r>
    <d v="2018-03-01T00:00:00"/>
    <s v="2017-18"/>
    <n v="2018"/>
    <n v="3"/>
    <s v="Mar"/>
    <x v="25"/>
    <n v="34"/>
    <s v="Union Territory"/>
    <n v="19.64"/>
    <n v="28.03"/>
    <n v="94.94"/>
    <n v="0.92"/>
    <n v="142.61000000000001"/>
    <n v="143.53"/>
    <m/>
  </r>
  <r>
    <d v="2018-03-01T00:00:00"/>
    <s v="2017-18"/>
    <n v="2018"/>
    <n v="3"/>
    <s v="Mar"/>
    <x v="26"/>
    <n v="3"/>
    <s v="State"/>
    <n v="254.85"/>
    <n v="411.28"/>
    <n v="444.57"/>
    <n v="10.27"/>
    <n v="1110.7"/>
    <n v="1120.97"/>
    <m/>
  </r>
  <r>
    <d v="2018-03-01T00:00:00"/>
    <s v="2017-18"/>
    <n v="2018"/>
    <n v="3"/>
    <s v="Mar"/>
    <x v="27"/>
    <n v="8"/>
    <s v="State"/>
    <n v="579.32000000000005"/>
    <n v="789.77"/>
    <n v="845.34"/>
    <n v="131.79"/>
    <n v="2214.4299999999998"/>
    <n v="2346.2199999999998"/>
    <m/>
  </r>
  <r>
    <d v="2018-03-01T00:00:00"/>
    <s v="2017-18"/>
    <n v="2018"/>
    <n v="3"/>
    <s v="Mar"/>
    <x v="28"/>
    <n v="11"/>
    <s v="State"/>
    <n v="8.91"/>
    <n v="16.13"/>
    <n v="119.65"/>
    <n v="0.43"/>
    <n v="144.69"/>
    <n v="145.12"/>
    <m/>
  </r>
  <r>
    <d v="2018-03-01T00:00:00"/>
    <s v="2017-18"/>
    <n v="2018"/>
    <n v="3"/>
    <s v="Mar"/>
    <x v="29"/>
    <n v="33"/>
    <s v="State"/>
    <n v="1337.21"/>
    <n v="1874.31"/>
    <n v="1761"/>
    <n v="507.11"/>
    <n v="4972.5200000000004"/>
    <n v="5479.63"/>
    <m/>
  </r>
  <r>
    <d v="2018-03-01T00:00:00"/>
    <s v="2017-18"/>
    <n v="2018"/>
    <n v="3"/>
    <s v="Mar"/>
    <x v="30"/>
    <n v="36"/>
    <s v="State"/>
    <n v="641.98"/>
    <n v="903.54"/>
    <n v="846.66"/>
    <n v="407.19"/>
    <n v="2392.1799999999998"/>
    <n v="2799.37"/>
    <m/>
  </r>
  <r>
    <d v="2018-03-01T00:00:00"/>
    <s v="2017-18"/>
    <n v="2018"/>
    <n v="3"/>
    <s v="Mar"/>
    <x v="31"/>
    <n v="16"/>
    <s v="State"/>
    <n v="15.22"/>
    <n v="22.74"/>
    <n v="7.31"/>
    <n v="0.15"/>
    <n v="45.27"/>
    <n v="45.42"/>
    <m/>
  </r>
  <r>
    <d v="2018-03-01T00:00:00"/>
    <s v="2017-18"/>
    <n v="2018"/>
    <n v="3"/>
    <s v="Mar"/>
    <x v="32"/>
    <n v="9"/>
    <s v="State"/>
    <n v="989.8"/>
    <n v="1515.66"/>
    <n v="1338.53"/>
    <n v="939.08"/>
    <n v="3843.99"/>
    <n v="4783.07"/>
    <m/>
  </r>
  <r>
    <d v="2018-03-01T00:00:00"/>
    <s v="2017-18"/>
    <n v="2018"/>
    <n v="3"/>
    <s v="Mar"/>
    <x v="33"/>
    <n v="5"/>
    <s v="State"/>
    <n v="162.29"/>
    <n v="303.39999999999998"/>
    <n v="777.71"/>
    <n v="21.04"/>
    <n v="1243.4000000000001"/>
    <n v="1264.44"/>
    <m/>
  </r>
  <r>
    <d v="2018-03-01T00:00:00"/>
    <s v="2017-18"/>
    <n v="2018"/>
    <n v="3"/>
    <s v="Mar"/>
    <x v="34"/>
    <n v="19"/>
    <s v="State"/>
    <n v="1199.19"/>
    <n v="1494.35"/>
    <n v="765.23"/>
    <n v="297.05"/>
    <n v="3458.77"/>
    <n v="3755.82"/>
    <m/>
  </r>
  <r>
    <d v="2018-04-01T00:00:00"/>
    <s v="2018-19"/>
    <n v="2018"/>
    <n v="4"/>
    <s v="Apr"/>
    <x v="0"/>
    <n v="35"/>
    <s v="Union Territory"/>
    <n v="21.27"/>
    <n v="27.06"/>
    <n v="1.69"/>
    <n v="0.03"/>
    <n v="50.02"/>
    <n v="50.05"/>
    <m/>
  </r>
  <r>
    <d v="2018-04-01T00:00:00"/>
    <s v="2018-19"/>
    <n v="2018"/>
    <n v="4"/>
    <s v="Apr"/>
    <x v="1"/>
    <n v="28"/>
    <s v="State"/>
    <n v="529.42999999999995"/>
    <n v="812.46"/>
    <n v="883.39"/>
    <n v="25.89"/>
    <n v="2225.2800000000002"/>
    <n v="2251.17"/>
    <m/>
  </r>
  <r>
    <d v="2018-04-01T00:00:00"/>
    <s v="2018-19"/>
    <n v="2018"/>
    <n v="4"/>
    <s v="Apr"/>
    <x v="2"/>
    <n v="12"/>
    <s v="State"/>
    <n v="12.86"/>
    <n v="16.53"/>
    <n v="3.24"/>
    <n v="0.52"/>
    <n v="32.630000000000003"/>
    <n v="33.15"/>
    <m/>
  </r>
  <r>
    <d v="2018-04-01T00:00:00"/>
    <s v="2018-19"/>
    <n v="2018"/>
    <n v="4"/>
    <s v="Apr"/>
    <x v="3"/>
    <n v="18"/>
    <s v="State"/>
    <n v="172.48"/>
    <n v="276.88"/>
    <n v="176.89"/>
    <n v="52.97"/>
    <n v="626.25"/>
    <n v="679.22"/>
    <m/>
  </r>
  <r>
    <d v="2018-04-01T00:00:00"/>
    <s v="2018-19"/>
    <n v="2018"/>
    <n v="4"/>
    <s v="Apr"/>
    <x v="4"/>
    <n v="10"/>
    <s v="State"/>
    <n v="205.91"/>
    <n v="425.05"/>
    <n v="108.9"/>
    <n v="173.69"/>
    <n v="739.86"/>
    <n v="913.55"/>
    <m/>
  </r>
  <r>
    <d v="2018-04-01T00:00:00"/>
    <s v="2018-19"/>
    <n v="2018"/>
    <n v="4"/>
    <s v="Apr"/>
    <x v="5"/>
    <n v="4"/>
    <s v="Union Territory"/>
    <n v="33.67"/>
    <n v="46.39"/>
    <n v="101.44"/>
    <n v="0.23"/>
    <n v="181.5"/>
    <n v="181.73"/>
    <m/>
  </r>
  <r>
    <d v="2018-04-01T00:00:00"/>
    <s v="2018-19"/>
    <n v="2018"/>
    <n v="4"/>
    <s v="Apr"/>
    <x v="6"/>
    <n v="22"/>
    <s v="State"/>
    <n v="338.43"/>
    <n v="415.64"/>
    <n v="633.35"/>
    <n v="502.24"/>
    <n v="1387.42"/>
    <n v="1889.66"/>
    <m/>
  </r>
  <r>
    <d v="2018-04-01T00:00:00"/>
    <s v="2018-19"/>
    <n v="2018"/>
    <n v="4"/>
    <s v="Apr"/>
    <x v="7"/>
    <n v="38"/>
    <s v="Union Territory"/>
    <n v="28.75"/>
    <n v="41.26"/>
    <n v="187.56"/>
    <n v="0.14000000000000001"/>
    <n v="257.57"/>
    <n v="257.70999999999998"/>
    <m/>
  </r>
  <r>
    <d v="2018-04-01T00:00:00"/>
    <s v="2018-19"/>
    <n v="2018"/>
    <n v="4"/>
    <s v="Apr"/>
    <x v="8"/>
    <n v="7"/>
    <s v="Union Territory"/>
    <n v="1104.77"/>
    <n v="1331.57"/>
    <n v="1682.85"/>
    <n v="78.81"/>
    <n v="4119.1899999999996"/>
    <n v="4198"/>
    <m/>
  </r>
  <r>
    <d v="2018-04-01T00:00:00"/>
    <s v="2018-19"/>
    <n v="2018"/>
    <n v="4"/>
    <s v="Apr"/>
    <x v="9"/>
    <n v="30"/>
    <s v="State"/>
    <n v="89.39"/>
    <n v="122.13"/>
    <n v="137.47"/>
    <n v="3.48"/>
    <n v="348.99"/>
    <n v="352.47"/>
    <m/>
  </r>
  <r>
    <d v="2018-04-01T00:00:00"/>
    <s v="2018-19"/>
    <n v="2018"/>
    <n v="4"/>
    <s v="Apr"/>
    <x v="10"/>
    <n v="24"/>
    <s v="State"/>
    <n v="1701.28"/>
    <n v="2133.4"/>
    <n v="2190.0500000000002"/>
    <n v="303.89999999999998"/>
    <n v="6024.73"/>
    <n v="6328.63"/>
    <m/>
  </r>
  <r>
    <d v="2018-04-01T00:00:00"/>
    <s v="2018-19"/>
    <n v="2018"/>
    <n v="4"/>
    <s v="Apr"/>
    <x v="11"/>
    <n v="6"/>
    <s v="State"/>
    <n v="713.35"/>
    <n v="1100.32"/>
    <n v="2982.04"/>
    <n v="334.22"/>
    <n v="4795.71"/>
    <n v="5129.93"/>
    <m/>
  </r>
  <r>
    <d v="2018-04-01T00:00:00"/>
    <s v="2018-19"/>
    <n v="2018"/>
    <n v="4"/>
    <s v="Apr"/>
    <x v="12"/>
    <n v="2"/>
    <s v="State"/>
    <n v="88.97"/>
    <n v="135.99"/>
    <n v="420.82"/>
    <n v="1.48"/>
    <n v="645.78"/>
    <n v="647.26"/>
    <m/>
  </r>
  <r>
    <d v="2018-04-01T00:00:00"/>
    <s v="2018-19"/>
    <n v="2018"/>
    <n v="4"/>
    <s v="Apr"/>
    <x v="13"/>
    <n v="1"/>
    <s v="Union Territory"/>
    <n v="115.22"/>
    <n v="179.62"/>
    <n v="73.98"/>
    <n v="3.24"/>
    <n v="368.82"/>
    <n v="372.06"/>
    <m/>
  </r>
  <r>
    <d v="2018-04-01T00:00:00"/>
    <s v="2018-19"/>
    <n v="2018"/>
    <n v="4"/>
    <s v="Apr"/>
    <x v="14"/>
    <n v="20"/>
    <s v="State"/>
    <n v="348.7"/>
    <n v="489.66"/>
    <n v="1045.3499999999999"/>
    <n v="504.82"/>
    <n v="1883.71"/>
    <n v="2388.5300000000002"/>
    <m/>
  </r>
  <r>
    <d v="2018-04-01T00:00:00"/>
    <s v="2018-19"/>
    <n v="2018"/>
    <n v="4"/>
    <s v="Apr"/>
    <x v="15"/>
    <n v="29"/>
    <s v="State"/>
    <n v="1608.18"/>
    <n v="2192.4299999999998"/>
    <n v="2640.19"/>
    <n v="906.45"/>
    <n v="6440.8"/>
    <n v="7347.25"/>
    <m/>
  </r>
  <r>
    <d v="2018-04-01T00:00:00"/>
    <s v="2018-19"/>
    <n v="2018"/>
    <n v="4"/>
    <s v="Apr"/>
    <x v="16"/>
    <n v="32"/>
    <s v="State"/>
    <n v="457.51"/>
    <n v="702.07"/>
    <n v="232.56"/>
    <n v="4.0199999999999996"/>
    <n v="1392.14"/>
    <n v="1396.16"/>
    <m/>
  </r>
  <r>
    <d v="2018-04-01T00:00:00"/>
    <s v="2018-19"/>
    <n v="2018"/>
    <n v="4"/>
    <s v="Apr"/>
    <x v="17"/>
    <n v="31"/>
    <s v="Union Territory"/>
    <n v="1.17"/>
    <n v="1.26"/>
    <n v="0.09"/>
    <n v="0"/>
    <n v="2.52"/>
    <n v="2.52"/>
    <m/>
  </r>
  <r>
    <d v="2018-04-01T00:00:00"/>
    <s v="2018-19"/>
    <n v="2018"/>
    <n v="4"/>
    <s v="Apr"/>
    <x v="18"/>
    <n v="23"/>
    <s v="State"/>
    <n v="525.89"/>
    <n v="717.05"/>
    <n v="646.84"/>
    <n v="454.56"/>
    <n v="1889.78"/>
    <n v="2344.34"/>
    <m/>
  </r>
  <r>
    <d v="2018-04-01T00:00:00"/>
    <s v="2018-19"/>
    <n v="2018"/>
    <n v="4"/>
    <s v="Apr"/>
    <x v="19"/>
    <n v="27"/>
    <s v="State"/>
    <n v="4254.07"/>
    <n v="5382.56"/>
    <n v="5963.59"/>
    <n v="1125.6300000000001"/>
    <n v="15600.22"/>
    <n v="16725.849999999999"/>
    <m/>
  </r>
  <r>
    <d v="2018-04-01T00:00:00"/>
    <s v="2018-19"/>
    <n v="2018"/>
    <n v="4"/>
    <s v="Apr"/>
    <x v="20"/>
    <n v="14"/>
    <s v="State"/>
    <n v="13.9"/>
    <n v="18.420000000000002"/>
    <n v="1.49"/>
    <n v="0.03"/>
    <n v="33.81"/>
    <n v="33.840000000000003"/>
    <m/>
  </r>
  <r>
    <d v="2018-04-01T00:00:00"/>
    <s v="2018-19"/>
    <n v="2018"/>
    <n v="4"/>
    <s v="Apr"/>
    <x v="21"/>
    <n v="17"/>
    <s v="State"/>
    <n v="23.66"/>
    <n v="32.799999999999997"/>
    <n v="92.31"/>
    <n v="3.64"/>
    <n v="148.77000000000001"/>
    <n v="152.41"/>
    <m/>
  </r>
  <r>
    <d v="2018-04-01T00:00:00"/>
    <s v="2018-19"/>
    <n v="2018"/>
    <n v="4"/>
    <s v="Apr"/>
    <x v="22"/>
    <n v="15"/>
    <s v="State"/>
    <n v="5.88"/>
    <n v="9.41"/>
    <n v="1.96"/>
    <n v="0.04"/>
    <n v="17.25"/>
    <n v="17.29"/>
    <m/>
  </r>
  <r>
    <d v="2018-04-01T00:00:00"/>
    <s v="2018-19"/>
    <n v="2018"/>
    <n v="4"/>
    <s v="Apr"/>
    <x v="23"/>
    <n v="13"/>
    <s v="State"/>
    <n v="4.43"/>
    <n v="7.24"/>
    <n v="5.12"/>
    <n v="0.17"/>
    <n v="16.79"/>
    <n v="16.96"/>
    <m/>
  </r>
  <r>
    <d v="2018-04-01T00:00:00"/>
    <s v="2018-19"/>
    <n v="2018"/>
    <n v="4"/>
    <s v="Apr"/>
    <x v="24"/>
    <n v="21"/>
    <s v="State"/>
    <n v="448.98"/>
    <n v="639.24"/>
    <n v="495.94"/>
    <n v="583.64"/>
    <n v="1584.16"/>
    <n v="2167.8000000000002"/>
    <m/>
  </r>
  <r>
    <d v="2018-04-01T00:00:00"/>
    <s v="2018-19"/>
    <n v="2018"/>
    <n v="4"/>
    <s v="Apr"/>
    <x v="25"/>
    <n v="34"/>
    <s v="Union Territory"/>
    <n v="20.67"/>
    <n v="31.38"/>
    <n v="117.98"/>
    <n v="0.22"/>
    <n v="170.03"/>
    <n v="170.25"/>
    <m/>
  </r>
  <r>
    <d v="2018-04-01T00:00:00"/>
    <s v="2018-19"/>
    <n v="2018"/>
    <n v="4"/>
    <s v="Apr"/>
    <x v="26"/>
    <n v="3"/>
    <s v="State"/>
    <n v="310.48"/>
    <n v="498.58"/>
    <n v="432.34"/>
    <n v="17"/>
    <n v="1241.4000000000001"/>
    <n v="1258.4000000000001"/>
    <m/>
  </r>
  <r>
    <d v="2018-04-01T00:00:00"/>
    <s v="2018-19"/>
    <n v="2018"/>
    <n v="4"/>
    <s v="Apr"/>
    <x v="27"/>
    <n v="8"/>
    <s v="State"/>
    <n v="659.25"/>
    <n v="903.88"/>
    <n v="903.75"/>
    <n v="141.83000000000001"/>
    <n v="2466.88"/>
    <n v="2608.71"/>
    <m/>
  </r>
  <r>
    <d v="2018-04-01T00:00:00"/>
    <s v="2018-19"/>
    <n v="2018"/>
    <n v="4"/>
    <s v="Apr"/>
    <x v="28"/>
    <n v="11"/>
    <s v="State"/>
    <n v="11.58"/>
    <n v="15.74"/>
    <n v="123.22"/>
    <n v="0"/>
    <n v="150.54"/>
    <n v="150.54"/>
    <m/>
  </r>
  <r>
    <d v="2018-04-01T00:00:00"/>
    <s v="2018-19"/>
    <n v="2018"/>
    <n v="4"/>
    <s v="Apr"/>
    <x v="29"/>
    <n v="33"/>
    <s v="State"/>
    <n v="1499.28"/>
    <n v="2096.08"/>
    <n v="2395.6"/>
    <n v="674.98"/>
    <n v="5990.96"/>
    <n v="6665.94"/>
    <m/>
  </r>
  <r>
    <d v="2018-04-01T00:00:00"/>
    <s v="2018-19"/>
    <n v="2018"/>
    <n v="4"/>
    <s v="Apr"/>
    <x v="30"/>
    <n v="36"/>
    <s v="State"/>
    <n v="715.3"/>
    <n v="1021.27"/>
    <n v="1127.47"/>
    <n v="513.64"/>
    <n v="2864.04"/>
    <n v="3377.68"/>
    <m/>
  </r>
  <r>
    <d v="2018-04-01T00:00:00"/>
    <s v="2018-19"/>
    <n v="2018"/>
    <n v="4"/>
    <s v="Apr"/>
    <x v="31"/>
    <n v="16"/>
    <s v="State"/>
    <n v="16.95"/>
    <n v="25.48"/>
    <n v="3.22"/>
    <n v="0.06"/>
    <n v="45.65"/>
    <n v="45.71"/>
    <m/>
  </r>
  <r>
    <d v="2018-04-01T00:00:00"/>
    <s v="2018-19"/>
    <n v="2018"/>
    <n v="4"/>
    <s v="Apr"/>
    <x v="32"/>
    <n v="9"/>
    <s v="State"/>
    <n v="1330.07"/>
    <n v="2115.0700000000002"/>
    <n v="1545.28"/>
    <n v="1029.82"/>
    <n v="4990.42"/>
    <n v="6020.24"/>
    <m/>
  </r>
  <r>
    <d v="2018-04-01T00:00:00"/>
    <s v="2018-19"/>
    <n v="2018"/>
    <n v="4"/>
    <s v="Apr"/>
    <x v="33"/>
    <n v="5"/>
    <s v="State"/>
    <n v="211.48"/>
    <n v="355.83"/>
    <n v="924.75"/>
    <n v="22.56"/>
    <n v="1492.06"/>
    <n v="1514.62"/>
    <m/>
  </r>
  <r>
    <d v="2018-04-01T00:00:00"/>
    <s v="2018-19"/>
    <n v="2018"/>
    <n v="4"/>
    <s v="Apr"/>
    <x v="34"/>
    <n v="19"/>
    <s v="State"/>
    <n v="1017.02"/>
    <n v="1359.81"/>
    <n v="925.64"/>
    <n v="388.16"/>
    <n v="3302.47"/>
    <n v="3690.63"/>
    <m/>
  </r>
  <r>
    <d v="2018-05-01T00:00:00"/>
    <s v="2018-19"/>
    <n v="2018"/>
    <n v="5"/>
    <s v="May"/>
    <x v="0"/>
    <n v="35"/>
    <s v="Union Territory"/>
    <n v="5.6"/>
    <n v="8.6300000000000008"/>
    <n v="1.96"/>
    <n v="0.03"/>
    <n v="16.190000000000001"/>
    <n v="16.22"/>
    <m/>
  </r>
  <r>
    <d v="2018-05-01T00:00:00"/>
    <s v="2018-19"/>
    <n v="2018"/>
    <n v="5"/>
    <s v="May"/>
    <x v="1"/>
    <n v="28"/>
    <s v="State"/>
    <n v="488.45"/>
    <n v="689.92"/>
    <n v="762.84"/>
    <n v="20.87"/>
    <n v="1941.21"/>
    <n v="1962.08"/>
    <m/>
  </r>
  <r>
    <d v="2018-05-01T00:00:00"/>
    <s v="2018-19"/>
    <n v="2018"/>
    <n v="5"/>
    <s v="May"/>
    <x v="2"/>
    <n v="12"/>
    <s v="State"/>
    <n v="9.77"/>
    <n v="15.39"/>
    <n v="4.4800000000000004"/>
    <n v="0.01"/>
    <n v="29.64"/>
    <n v="29.65"/>
    <m/>
  </r>
  <r>
    <d v="2018-05-01T00:00:00"/>
    <s v="2018-19"/>
    <n v="2018"/>
    <n v="5"/>
    <s v="May"/>
    <x v="3"/>
    <n v="18"/>
    <s v="State"/>
    <n v="314.07"/>
    <n v="399.25"/>
    <n v="185.11"/>
    <n v="25.97"/>
    <n v="898.43"/>
    <n v="924.4"/>
    <m/>
  </r>
  <r>
    <d v="2018-05-01T00:00:00"/>
    <s v="2018-19"/>
    <n v="2018"/>
    <n v="5"/>
    <s v="May"/>
    <x v="4"/>
    <n v="10"/>
    <s v="State"/>
    <n v="167.85"/>
    <n v="335.01"/>
    <n v="119.73"/>
    <n v="116.8"/>
    <n v="622.59"/>
    <n v="739.39"/>
    <m/>
  </r>
  <r>
    <d v="2018-05-01T00:00:00"/>
    <s v="2018-19"/>
    <n v="2018"/>
    <n v="5"/>
    <s v="May"/>
    <x v="5"/>
    <n v="4"/>
    <s v="Union Territory"/>
    <n v="26.89"/>
    <n v="36.46"/>
    <n v="68.8"/>
    <n v="7.0000000000000007E-2"/>
    <n v="132.15"/>
    <n v="132.22"/>
    <m/>
  </r>
  <r>
    <d v="2018-05-01T00:00:00"/>
    <s v="2018-19"/>
    <n v="2018"/>
    <n v="5"/>
    <s v="May"/>
    <x v="6"/>
    <n v="22"/>
    <s v="State"/>
    <n v="299.94"/>
    <n v="378.1"/>
    <n v="662.44"/>
    <n v="529.11"/>
    <n v="1340.48"/>
    <n v="1869.59"/>
    <m/>
  </r>
  <r>
    <d v="2018-05-01T00:00:00"/>
    <s v="2018-19"/>
    <n v="2018"/>
    <n v="5"/>
    <s v="May"/>
    <x v="7"/>
    <n v="38"/>
    <s v="Union Territory"/>
    <n v="20.57"/>
    <n v="29.54"/>
    <n v="169.47"/>
    <n v="0.06"/>
    <n v="219.58"/>
    <n v="219.64"/>
    <m/>
  </r>
  <r>
    <d v="2018-05-01T00:00:00"/>
    <s v="2018-19"/>
    <n v="2018"/>
    <n v="5"/>
    <s v="May"/>
    <x v="8"/>
    <n v="7"/>
    <s v="Union Territory"/>
    <n v="631.29"/>
    <n v="797.35"/>
    <n v="1402.19"/>
    <n v="84.07"/>
    <n v="2830.83"/>
    <n v="2914.9"/>
    <m/>
  </r>
  <r>
    <d v="2018-05-01T00:00:00"/>
    <s v="2018-19"/>
    <n v="2018"/>
    <n v="5"/>
    <s v="May"/>
    <x v="9"/>
    <n v="30"/>
    <s v="State"/>
    <n v="78.8"/>
    <n v="106.46"/>
    <n v="129.47999999999999"/>
    <n v="2.79"/>
    <n v="314.74"/>
    <n v="317.52999999999997"/>
    <m/>
  </r>
  <r>
    <d v="2018-05-01T00:00:00"/>
    <s v="2018-19"/>
    <n v="2018"/>
    <n v="5"/>
    <s v="May"/>
    <x v="10"/>
    <n v="24"/>
    <s v="State"/>
    <n v="1726.58"/>
    <n v="2177.27"/>
    <n v="2016.55"/>
    <n v="341.56"/>
    <n v="5920.4"/>
    <n v="6261.96"/>
    <m/>
  </r>
  <r>
    <d v="2018-05-01T00:00:00"/>
    <s v="2018-19"/>
    <n v="2018"/>
    <n v="5"/>
    <s v="May"/>
    <x v="11"/>
    <n v="6"/>
    <s v="State"/>
    <n v="690.59"/>
    <n v="1015.29"/>
    <n v="2515.98"/>
    <n v="351.88"/>
    <n v="4221.8599999999997"/>
    <n v="4573.74"/>
    <m/>
  </r>
  <r>
    <d v="2018-05-01T00:00:00"/>
    <s v="2018-19"/>
    <n v="2018"/>
    <n v="5"/>
    <s v="May"/>
    <x v="12"/>
    <n v="2"/>
    <s v="State"/>
    <n v="74.38"/>
    <n v="116.83"/>
    <n v="453.85"/>
    <n v="1.05"/>
    <n v="645.05999999999995"/>
    <n v="646.11"/>
    <m/>
  </r>
  <r>
    <d v="2018-05-01T00:00:00"/>
    <s v="2018-19"/>
    <n v="2018"/>
    <n v="5"/>
    <s v="May"/>
    <x v="13"/>
    <n v="1"/>
    <s v="Union Territory"/>
    <n v="70.599999999999994"/>
    <n v="119.22"/>
    <n v="72.760000000000005"/>
    <n v="4.37"/>
    <n v="262.58"/>
    <n v="266.95"/>
    <m/>
  </r>
  <r>
    <d v="2018-05-01T00:00:00"/>
    <s v="2018-19"/>
    <n v="2018"/>
    <n v="5"/>
    <s v="May"/>
    <x v="14"/>
    <n v="20"/>
    <s v="State"/>
    <n v="251.29"/>
    <n v="358.41"/>
    <n v="893.7"/>
    <n v="454.38"/>
    <n v="1503.4"/>
    <n v="1957.78"/>
    <m/>
  </r>
  <r>
    <d v="2018-05-01T00:00:00"/>
    <s v="2018-19"/>
    <n v="2018"/>
    <n v="5"/>
    <s v="May"/>
    <x v="15"/>
    <n v="29"/>
    <s v="State"/>
    <n v="1260"/>
    <n v="1691.95"/>
    <n v="2102.0500000000002"/>
    <n v="698.12"/>
    <n v="5054"/>
    <n v="5752.12"/>
    <m/>
  </r>
  <r>
    <d v="2018-05-01T00:00:00"/>
    <s v="2018-19"/>
    <n v="2018"/>
    <n v="5"/>
    <s v="May"/>
    <x v="16"/>
    <n v="32"/>
    <s v="State"/>
    <n v="419.93"/>
    <n v="658.95"/>
    <n v="216.05"/>
    <n v="5.47"/>
    <n v="1294.93"/>
    <n v="1300.4000000000001"/>
    <m/>
  </r>
  <r>
    <d v="2018-05-01T00:00:00"/>
    <s v="2018-19"/>
    <n v="2018"/>
    <n v="5"/>
    <s v="May"/>
    <x v="17"/>
    <n v="31"/>
    <s v="Union Territory"/>
    <n v="0.06"/>
    <n v="0.06"/>
    <n v="0.02"/>
    <n v="0"/>
    <n v="0.14000000000000001"/>
    <n v="0.14000000000000001"/>
    <m/>
  </r>
  <r>
    <d v="2018-05-01T00:00:00"/>
    <s v="2018-19"/>
    <n v="2018"/>
    <n v="5"/>
    <s v="May"/>
    <x v="18"/>
    <n v="23"/>
    <s v="State"/>
    <n v="383.89"/>
    <n v="555.28"/>
    <n v="527.63"/>
    <n v="396.84"/>
    <n v="1466.8"/>
    <n v="1863.64"/>
    <m/>
  </r>
  <r>
    <d v="2018-05-01T00:00:00"/>
    <s v="2018-19"/>
    <n v="2018"/>
    <n v="5"/>
    <s v="May"/>
    <x v="19"/>
    <n v="27"/>
    <s v="State"/>
    <n v="3684.41"/>
    <n v="4606"/>
    <n v="3960.49"/>
    <n v="796.5"/>
    <n v="12250.9"/>
    <n v="13047.4"/>
    <m/>
  </r>
  <r>
    <d v="2018-05-01T00:00:00"/>
    <s v="2018-19"/>
    <n v="2018"/>
    <n v="5"/>
    <s v="May"/>
    <x v="20"/>
    <n v="14"/>
    <s v="State"/>
    <n v="5.26"/>
    <n v="9.2799999999999994"/>
    <n v="1.95"/>
    <n v="0.17"/>
    <n v="16.489999999999998"/>
    <n v="16.66"/>
    <m/>
  </r>
  <r>
    <d v="2018-05-01T00:00:00"/>
    <s v="2018-19"/>
    <n v="2018"/>
    <n v="5"/>
    <s v="May"/>
    <x v="21"/>
    <n v="17"/>
    <s v="State"/>
    <n v="13.72"/>
    <n v="19.920000000000002"/>
    <n v="89.94"/>
    <n v="3.02"/>
    <n v="123.58"/>
    <n v="126.6"/>
    <m/>
  </r>
  <r>
    <d v="2018-05-01T00:00:00"/>
    <s v="2018-19"/>
    <n v="2018"/>
    <n v="5"/>
    <s v="May"/>
    <x v="22"/>
    <n v="15"/>
    <s v="State"/>
    <n v="3.15"/>
    <n v="6.47"/>
    <n v="4.1399999999999997"/>
    <n v="0"/>
    <n v="13.76"/>
    <n v="13.76"/>
    <m/>
  </r>
  <r>
    <d v="2018-05-01T00:00:00"/>
    <s v="2018-19"/>
    <n v="2018"/>
    <n v="5"/>
    <s v="May"/>
    <x v="23"/>
    <n v="13"/>
    <s v="State"/>
    <n v="3.14"/>
    <n v="5.98"/>
    <n v="3.99"/>
    <n v="0.32"/>
    <n v="13.11"/>
    <n v="13.43"/>
    <m/>
  </r>
  <r>
    <d v="2018-05-01T00:00:00"/>
    <s v="2018-19"/>
    <n v="2018"/>
    <n v="5"/>
    <s v="May"/>
    <x v="24"/>
    <n v="21"/>
    <s v="State"/>
    <n v="360.08"/>
    <n v="499.24"/>
    <n v="637.63"/>
    <n v="395.01"/>
    <n v="1496.95"/>
    <n v="1891.96"/>
    <m/>
  </r>
  <r>
    <d v="2018-05-01T00:00:00"/>
    <s v="2018-19"/>
    <n v="2018"/>
    <n v="5"/>
    <s v="May"/>
    <x v="25"/>
    <n v="34"/>
    <s v="Union Territory"/>
    <n v="18.21"/>
    <n v="26.94"/>
    <n v="110.19"/>
    <n v="0.16"/>
    <n v="155.34"/>
    <n v="155.5"/>
    <m/>
  </r>
  <r>
    <d v="2018-05-01T00:00:00"/>
    <s v="2018-19"/>
    <n v="2018"/>
    <n v="5"/>
    <s v="May"/>
    <x v="26"/>
    <n v="3"/>
    <s v="State"/>
    <n v="237.85"/>
    <n v="397.4"/>
    <n v="487.8"/>
    <n v="16.260000000000002"/>
    <n v="1123.05"/>
    <n v="1139.31"/>
    <m/>
  </r>
  <r>
    <d v="2018-05-01T00:00:00"/>
    <s v="2018-19"/>
    <n v="2018"/>
    <n v="5"/>
    <s v="May"/>
    <x v="27"/>
    <n v="8"/>
    <s v="State"/>
    <n v="637.39"/>
    <n v="848.79"/>
    <n v="873.4"/>
    <n v="132.91999999999999"/>
    <n v="2359.58"/>
    <n v="2492.5"/>
    <m/>
  </r>
  <r>
    <d v="2018-05-01T00:00:00"/>
    <s v="2018-19"/>
    <n v="2018"/>
    <n v="5"/>
    <s v="May"/>
    <x v="28"/>
    <n v="11"/>
    <s v="State"/>
    <n v="9.94"/>
    <n v="13.55"/>
    <n v="143.15"/>
    <n v="0.66"/>
    <n v="166.64"/>
    <n v="167.3"/>
    <m/>
  </r>
  <r>
    <d v="2018-05-01T00:00:00"/>
    <s v="2018-19"/>
    <n v="2018"/>
    <n v="5"/>
    <s v="May"/>
    <x v="29"/>
    <n v="33"/>
    <s v="State"/>
    <n v="1388.18"/>
    <n v="1927.11"/>
    <n v="1682.28"/>
    <n v="491.02"/>
    <n v="4997.57"/>
    <n v="5488.59"/>
    <m/>
  </r>
  <r>
    <d v="2018-05-01T00:00:00"/>
    <s v="2018-19"/>
    <n v="2018"/>
    <n v="5"/>
    <s v="May"/>
    <x v="30"/>
    <n v="36"/>
    <s v="State"/>
    <n v="547.29999999999995"/>
    <n v="806.81"/>
    <n v="790.83"/>
    <n v="474.12"/>
    <n v="2144.94"/>
    <n v="2619.06"/>
    <m/>
  </r>
  <r>
    <d v="2018-05-01T00:00:00"/>
    <s v="2018-19"/>
    <n v="2018"/>
    <n v="5"/>
    <s v="May"/>
    <x v="31"/>
    <n v="16"/>
    <s v="State"/>
    <n v="16.899999999999999"/>
    <n v="25.84"/>
    <n v="2.68"/>
    <n v="0.24"/>
    <n v="45.42"/>
    <n v="45.66"/>
    <m/>
  </r>
  <r>
    <d v="2018-05-01T00:00:00"/>
    <s v="2018-19"/>
    <n v="2018"/>
    <n v="5"/>
    <s v="May"/>
    <x v="32"/>
    <n v="9"/>
    <s v="State"/>
    <n v="971.73"/>
    <n v="1502.79"/>
    <n v="1302.46"/>
    <n v="838.84"/>
    <n v="3776.98"/>
    <n v="4615.82"/>
    <m/>
  </r>
  <r>
    <d v="2018-05-01T00:00:00"/>
    <s v="2018-19"/>
    <n v="2018"/>
    <n v="5"/>
    <s v="May"/>
    <x v="33"/>
    <n v="5"/>
    <s v="State"/>
    <n v="160.37"/>
    <n v="303.98"/>
    <n v="761.5"/>
    <n v="20.84"/>
    <n v="1225.8499999999999"/>
    <n v="1246.69"/>
    <m/>
  </r>
  <r>
    <d v="2018-05-01T00:00:00"/>
    <s v="2018-19"/>
    <n v="2018"/>
    <n v="5"/>
    <s v="May"/>
    <x v="34"/>
    <n v="19"/>
    <s v="State"/>
    <n v="869.32"/>
    <n v="1171.3"/>
    <n v="786.37"/>
    <n v="281.39999999999998"/>
    <n v="2826.99"/>
    <n v="3108.39"/>
    <m/>
  </r>
  <r>
    <d v="2018-06-01T00:00:00"/>
    <s v="2018-19"/>
    <n v="2018"/>
    <n v="6"/>
    <s v="Jun"/>
    <x v="0"/>
    <n v="35"/>
    <s v="Union Territory"/>
    <n v="11.29"/>
    <n v="13.87"/>
    <n v="2.4700000000000002"/>
    <n v="0.06"/>
    <n v="27.63"/>
    <n v="27.69"/>
    <m/>
  </r>
  <r>
    <d v="2018-06-01T00:00:00"/>
    <s v="2018-19"/>
    <n v="2018"/>
    <n v="6"/>
    <s v="Jun"/>
    <x v="1"/>
    <n v="28"/>
    <s v="State"/>
    <n v="460.33"/>
    <n v="668.17"/>
    <n v="780.49"/>
    <n v="26.61"/>
    <n v="1908.99"/>
    <n v="1935.6"/>
    <m/>
  </r>
  <r>
    <d v="2018-06-01T00:00:00"/>
    <s v="2018-19"/>
    <n v="2018"/>
    <n v="6"/>
    <s v="Jun"/>
    <x v="2"/>
    <n v="12"/>
    <s v="State"/>
    <n v="9.32"/>
    <n v="13.54"/>
    <n v="3.95"/>
    <n v="0.01"/>
    <n v="26.81"/>
    <n v="26.82"/>
    <m/>
  </r>
  <r>
    <d v="2018-06-01T00:00:00"/>
    <s v="2018-19"/>
    <n v="2018"/>
    <n v="6"/>
    <s v="Jun"/>
    <x v="3"/>
    <n v="18"/>
    <s v="State"/>
    <n v="171.54"/>
    <n v="250.27"/>
    <n v="195.99"/>
    <n v="44.86"/>
    <n v="617.79999999999995"/>
    <n v="662.66"/>
    <m/>
  </r>
  <r>
    <d v="2018-06-01T00:00:00"/>
    <s v="2018-19"/>
    <n v="2018"/>
    <n v="6"/>
    <s v="Jun"/>
    <x v="4"/>
    <n v="10"/>
    <s v="State"/>
    <n v="178.75"/>
    <n v="365.74"/>
    <n v="87.86"/>
    <n v="128.78"/>
    <n v="632.35"/>
    <n v="761.13"/>
    <m/>
  </r>
  <r>
    <d v="2018-06-01T00:00:00"/>
    <s v="2018-19"/>
    <n v="2018"/>
    <n v="6"/>
    <s v="Jun"/>
    <x v="5"/>
    <n v="4"/>
    <s v="Union Territory"/>
    <n v="25.54"/>
    <n v="39.69"/>
    <n v="70.78"/>
    <n v="0.39"/>
    <n v="136.01"/>
    <n v="136.4"/>
    <m/>
  </r>
  <r>
    <d v="2018-06-01T00:00:00"/>
    <s v="2018-19"/>
    <n v="2018"/>
    <n v="6"/>
    <s v="Jun"/>
    <x v="6"/>
    <n v="22"/>
    <s v="State"/>
    <n v="303.48"/>
    <n v="383.21"/>
    <n v="693.19"/>
    <n v="521.86"/>
    <n v="1379.88"/>
    <n v="1901.74"/>
    <m/>
  </r>
  <r>
    <d v="2018-06-01T00:00:00"/>
    <s v="2018-19"/>
    <n v="2018"/>
    <n v="6"/>
    <s v="Jun"/>
    <x v="7"/>
    <n v="38"/>
    <s v="Union Territory"/>
    <n v="22.48"/>
    <n v="34.520000000000003"/>
    <n v="158.16"/>
    <n v="0.03"/>
    <n v="215.16"/>
    <n v="215.19"/>
    <m/>
  </r>
  <r>
    <d v="2018-06-01T00:00:00"/>
    <s v="2018-19"/>
    <n v="2018"/>
    <n v="6"/>
    <s v="Jun"/>
    <x v="8"/>
    <n v="7"/>
    <s v="Union Territory"/>
    <n v="619.82000000000005"/>
    <n v="795.19"/>
    <n v="1601.91"/>
    <n v="86.36"/>
    <n v="3016.92"/>
    <n v="3103.28"/>
    <m/>
  </r>
  <r>
    <d v="2018-06-01T00:00:00"/>
    <s v="2018-19"/>
    <n v="2018"/>
    <n v="6"/>
    <s v="Jun"/>
    <x v="9"/>
    <n v="30"/>
    <s v="State"/>
    <n v="83.28"/>
    <n v="113.49"/>
    <n v="135.33000000000001"/>
    <n v="3.15"/>
    <n v="332.1"/>
    <n v="335.25"/>
    <m/>
  </r>
  <r>
    <d v="2018-06-01T00:00:00"/>
    <s v="2018-19"/>
    <n v="2018"/>
    <n v="6"/>
    <s v="Jun"/>
    <x v="10"/>
    <n v="24"/>
    <s v="State"/>
    <n v="1634.99"/>
    <n v="2075.4899999999998"/>
    <n v="2251.42"/>
    <n v="400.6"/>
    <n v="5961.9"/>
    <n v="6362.5"/>
    <m/>
  </r>
  <r>
    <d v="2018-06-01T00:00:00"/>
    <s v="2018-19"/>
    <n v="2018"/>
    <n v="6"/>
    <s v="Jun"/>
    <x v="11"/>
    <n v="6"/>
    <s v="State"/>
    <n v="709.28"/>
    <n v="1090.6600000000001"/>
    <n v="2436.5300000000002"/>
    <n v="398.01"/>
    <n v="4236.47"/>
    <n v="4634.4799999999996"/>
    <m/>
  </r>
  <r>
    <d v="2018-06-01T00:00:00"/>
    <s v="2018-19"/>
    <n v="2018"/>
    <n v="6"/>
    <s v="Jun"/>
    <x v="12"/>
    <n v="2"/>
    <s v="State"/>
    <n v="81.19"/>
    <n v="128.47"/>
    <n v="430.16"/>
    <n v="1.44"/>
    <n v="639.82000000000005"/>
    <n v="641.26"/>
    <m/>
  </r>
  <r>
    <d v="2018-06-01T00:00:00"/>
    <s v="2018-19"/>
    <n v="2018"/>
    <n v="6"/>
    <s v="Jun"/>
    <x v="13"/>
    <n v="1"/>
    <s v="Union Territory"/>
    <n v="70.739999999999995"/>
    <n v="119.02"/>
    <n v="72.19"/>
    <n v="4.17"/>
    <n v="261.95"/>
    <n v="266.12"/>
    <m/>
  </r>
  <r>
    <d v="2018-06-01T00:00:00"/>
    <s v="2018-19"/>
    <n v="2018"/>
    <n v="6"/>
    <s v="Jun"/>
    <x v="14"/>
    <n v="20"/>
    <s v="State"/>
    <n v="273.36"/>
    <n v="385.05"/>
    <n v="849.82"/>
    <n v="470.87"/>
    <n v="1508.23"/>
    <n v="1979.1"/>
    <m/>
  </r>
  <r>
    <d v="2018-06-01T00:00:00"/>
    <s v="2018-19"/>
    <n v="2018"/>
    <n v="6"/>
    <s v="Jun"/>
    <x v="15"/>
    <n v="29"/>
    <s v="State"/>
    <n v="1317.79"/>
    <n v="1771.66"/>
    <n v="2285.64"/>
    <n v="868.72"/>
    <n v="5375.09"/>
    <n v="6243.81"/>
    <m/>
  </r>
  <r>
    <d v="2018-06-01T00:00:00"/>
    <s v="2018-19"/>
    <n v="2018"/>
    <n v="6"/>
    <s v="Jun"/>
    <x v="16"/>
    <n v="32"/>
    <s v="State"/>
    <n v="426.52"/>
    <n v="683.9"/>
    <n v="190"/>
    <n v="5.59"/>
    <n v="1300.42"/>
    <n v="1306.01"/>
    <m/>
  </r>
  <r>
    <d v="2018-06-01T00:00:00"/>
    <s v="2018-19"/>
    <n v="2018"/>
    <n v="6"/>
    <s v="Jun"/>
    <x v="17"/>
    <n v="31"/>
    <s v="Union Territory"/>
    <n v="3.09"/>
    <n v="3.13"/>
    <n v="0.13"/>
    <n v="0"/>
    <n v="6.35"/>
    <n v="6.35"/>
    <m/>
  </r>
  <r>
    <d v="2018-06-01T00:00:00"/>
    <s v="2018-19"/>
    <n v="2018"/>
    <n v="6"/>
    <s v="Jun"/>
    <x v="18"/>
    <n v="23"/>
    <s v="State"/>
    <n v="418.54"/>
    <n v="609.99"/>
    <n v="543.58000000000004"/>
    <n v="432.46"/>
    <n v="1572.11"/>
    <n v="2004.57"/>
    <m/>
  </r>
  <r>
    <d v="2018-06-01T00:00:00"/>
    <s v="2018-19"/>
    <n v="2018"/>
    <n v="6"/>
    <s v="Jun"/>
    <x v="19"/>
    <n v="27"/>
    <s v="State"/>
    <n v="3898.98"/>
    <n v="4810.38"/>
    <n v="4398.22"/>
    <n v="913.23"/>
    <n v="13107.58"/>
    <n v="14020.81"/>
    <m/>
  </r>
  <r>
    <d v="2018-06-01T00:00:00"/>
    <s v="2018-19"/>
    <n v="2018"/>
    <n v="6"/>
    <s v="Jun"/>
    <x v="20"/>
    <n v="14"/>
    <s v="State"/>
    <n v="8.44"/>
    <n v="12.39"/>
    <n v="1.0900000000000001"/>
    <n v="0.06"/>
    <n v="21.92"/>
    <n v="21.98"/>
    <m/>
  </r>
  <r>
    <d v="2018-06-01T00:00:00"/>
    <s v="2018-19"/>
    <n v="2018"/>
    <n v="6"/>
    <s v="Jun"/>
    <x v="21"/>
    <n v="17"/>
    <s v="State"/>
    <n v="14.92"/>
    <n v="20.95"/>
    <n v="76.040000000000006"/>
    <n v="4.2699999999999996"/>
    <n v="111.91"/>
    <n v="116.18"/>
    <m/>
  </r>
  <r>
    <d v="2018-06-01T00:00:00"/>
    <s v="2018-19"/>
    <n v="2018"/>
    <n v="6"/>
    <s v="Jun"/>
    <x v="22"/>
    <n v="15"/>
    <s v="State"/>
    <n v="3.25"/>
    <n v="6.24"/>
    <n v="0.74"/>
    <n v="0.03"/>
    <n v="10.23"/>
    <n v="10.26"/>
    <m/>
  </r>
  <r>
    <d v="2018-06-01T00:00:00"/>
    <s v="2018-19"/>
    <n v="2018"/>
    <n v="6"/>
    <s v="Jun"/>
    <x v="23"/>
    <n v="13"/>
    <s v="State"/>
    <n v="2.85"/>
    <n v="5.54"/>
    <n v="4.4400000000000004"/>
    <n v="0.6"/>
    <n v="12.83"/>
    <n v="13.43"/>
    <m/>
  </r>
  <r>
    <d v="2018-06-01T00:00:00"/>
    <s v="2018-19"/>
    <n v="2018"/>
    <n v="6"/>
    <s v="Jun"/>
    <x v="24"/>
    <n v="21"/>
    <s v="State"/>
    <n v="407.43"/>
    <n v="535.87"/>
    <n v="786.43"/>
    <n v="422.17"/>
    <n v="1729.73"/>
    <n v="2151.9"/>
    <m/>
  </r>
  <r>
    <d v="2018-06-01T00:00:00"/>
    <s v="2018-19"/>
    <n v="2018"/>
    <n v="6"/>
    <s v="Jun"/>
    <x v="25"/>
    <n v="34"/>
    <s v="Union Territory"/>
    <n v="19.61"/>
    <n v="27.2"/>
    <n v="98.99"/>
    <n v="0.24"/>
    <n v="145.80000000000001"/>
    <n v="146.04"/>
    <m/>
  </r>
  <r>
    <d v="2018-06-01T00:00:00"/>
    <s v="2018-19"/>
    <n v="2018"/>
    <n v="6"/>
    <s v="Jun"/>
    <x v="26"/>
    <n v="3"/>
    <s v="State"/>
    <n v="250.79"/>
    <n v="441.5"/>
    <n v="489.74"/>
    <n v="18.2"/>
    <n v="1182.03"/>
    <n v="1200.23"/>
    <m/>
  </r>
  <r>
    <d v="2018-06-01T00:00:00"/>
    <s v="2018-19"/>
    <n v="2018"/>
    <n v="6"/>
    <s v="Jun"/>
    <x v="27"/>
    <n v="8"/>
    <s v="State"/>
    <n v="606.74"/>
    <n v="833.94"/>
    <n v="850.17"/>
    <n v="133.24"/>
    <n v="2290.85"/>
    <n v="2424.09"/>
    <m/>
  </r>
  <r>
    <d v="2018-06-01T00:00:00"/>
    <s v="2018-19"/>
    <n v="2018"/>
    <n v="6"/>
    <s v="Jun"/>
    <x v="28"/>
    <n v="11"/>
    <s v="State"/>
    <n v="10.119999999999999"/>
    <n v="14.44"/>
    <n v="146.41"/>
    <n v="0.01"/>
    <n v="170.97"/>
    <n v="170.98"/>
    <m/>
  </r>
  <r>
    <d v="2018-06-01T00:00:00"/>
    <s v="2018-19"/>
    <n v="2018"/>
    <n v="6"/>
    <s v="Jun"/>
    <x v="29"/>
    <n v="33"/>
    <s v="State"/>
    <n v="1278.2"/>
    <n v="1806.52"/>
    <n v="1526.61"/>
    <n v="575.66"/>
    <n v="4611.33"/>
    <n v="5186.99"/>
    <m/>
  </r>
  <r>
    <d v="2018-06-01T00:00:00"/>
    <s v="2018-19"/>
    <n v="2018"/>
    <n v="6"/>
    <s v="Jun"/>
    <x v="30"/>
    <n v="36"/>
    <s v="State"/>
    <n v="563.42999999999995"/>
    <n v="797.96"/>
    <n v="792.22"/>
    <n v="547.87"/>
    <n v="2153.61"/>
    <n v="2701.48"/>
    <m/>
  </r>
  <r>
    <d v="2018-06-01T00:00:00"/>
    <s v="2018-19"/>
    <n v="2018"/>
    <n v="6"/>
    <s v="Jun"/>
    <x v="31"/>
    <n v="16"/>
    <s v="State"/>
    <n v="12.06"/>
    <n v="19.46"/>
    <n v="3.68"/>
    <n v="0.06"/>
    <n v="35.200000000000003"/>
    <n v="35.26"/>
    <m/>
  </r>
  <r>
    <d v="2018-06-01T00:00:00"/>
    <s v="2018-19"/>
    <n v="2018"/>
    <n v="6"/>
    <s v="Jun"/>
    <x v="32"/>
    <n v="9"/>
    <s v="State"/>
    <n v="1034.74"/>
    <n v="1624.02"/>
    <n v="1374.16"/>
    <n v="999.74"/>
    <n v="4032.92"/>
    <n v="5032.66"/>
    <m/>
  </r>
  <r>
    <d v="2018-06-01T00:00:00"/>
    <s v="2018-19"/>
    <n v="2018"/>
    <n v="6"/>
    <s v="Jun"/>
    <x v="33"/>
    <n v="5"/>
    <s v="State"/>
    <n v="164.16"/>
    <n v="309.88"/>
    <n v="770.71"/>
    <n v="21.28"/>
    <n v="1244.75"/>
    <n v="1266.03"/>
    <m/>
  </r>
  <r>
    <d v="2018-06-01T00:00:00"/>
    <s v="2018-19"/>
    <n v="2018"/>
    <n v="6"/>
    <s v="Jun"/>
    <x v="34"/>
    <n v="19"/>
    <s v="State"/>
    <n v="857.67"/>
    <n v="1188.32"/>
    <n v="747.79"/>
    <n v="318.08"/>
    <n v="2793.78"/>
    <n v="3111.86"/>
    <m/>
  </r>
  <r>
    <d v="2018-07-01T00:00:00"/>
    <s v="2018-19"/>
    <n v="2018"/>
    <n v="7"/>
    <s v="Jul"/>
    <x v="0"/>
    <n v="35"/>
    <s v="Union Territory"/>
    <n v="4.28"/>
    <n v="8.3800000000000008"/>
    <n v="1.74"/>
    <n v="0.02"/>
    <n v="14.4"/>
    <n v="14.42"/>
    <m/>
  </r>
  <r>
    <d v="2018-07-01T00:00:00"/>
    <s v="2018-19"/>
    <n v="2018"/>
    <n v="7"/>
    <s v="Jul"/>
    <x v="1"/>
    <n v="28"/>
    <s v="State"/>
    <n v="483.57"/>
    <n v="723.34"/>
    <n v="776.03"/>
    <n v="43.2"/>
    <n v="1982.94"/>
    <n v="2026.14"/>
    <m/>
  </r>
  <r>
    <d v="2018-07-01T00:00:00"/>
    <s v="2018-19"/>
    <n v="2018"/>
    <n v="7"/>
    <s v="Jul"/>
    <x v="2"/>
    <n v="12"/>
    <s v="State"/>
    <n v="10.050000000000001"/>
    <n v="14.69"/>
    <n v="3.89"/>
    <n v="0.02"/>
    <n v="28.63"/>
    <n v="28.65"/>
    <m/>
  </r>
  <r>
    <d v="2018-07-01T00:00:00"/>
    <s v="2018-19"/>
    <n v="2018"/>
    <n v="7"/>
    <s v="Jul"/>
    <x v="3"/>
    <n v="18"/>
    <s v="State"/>
    <n v="162.93"/>
    <n v="259.52999999999997"/>
    <n v="197.37"/>
    <n v="41.19"/>
    <n v="619.83000000000004"/>
    <n v="661.02"/>
    <m/>
  </r>
  <r>
    <d v="2018-07-01T00:00:00"/>
    <s v="2018-19"/>
    <n v="2018"/>
    <n v="7"/>
    <s v="Jul"/>
    <x v="4"/>
    <n v="10"/>
    <s v="State"/>
    <n v="194.84"/>
    <n v="393.18"/>
    <n v="100.65"/>
    <n v="162.54"/>
    <n v="688.67"/>
    <n v="851.21"/>
    <m/>
  </r>
  <r>
    <d v="2018-07-01T00:00:00"/>
    <s v="2018-19"/>
    <n v="2018"/>
    <n v="7"/>
    <s v="Jul"/>
    <x v="5"/>
    <n v="4"/>
    <s v="Union Territory"/>
    <n v="29.85"/>
    <n v="41.03"/>
    <n v="76.75"/>
    <n v="0.3"/>
    <n v="147.63"/>
    <n v="147.93"/>
    <m/>
  </r>
  <r>
    <d v="2018-07-01T00:00:00"/>
    <s v="2018-19"/>
    <n v="2018"/>
    <n v="7"/>
    <s v="Jul"/>
    <x v="6"/>
    <n v="22"/>
    <s v="State"/>
    <n v="337.88"/>
    <n v="420.32"/>
    <n v="550.54999999999995"/>
    <n v="601.32000000000005"/>
    <n v="1308.75"/>
    <n v="1910.07"/>
    <m/>
  </r>
  <r>
    <d v="2018-07-01T00:00:00"/>
    <s v="2018-19"/>
    <n v="2018"/>
    <n v="7"/>
    <s v="Jul"/>
    <x v="7"/>
    <n v="38"/>
    <s v="Union Territory"/>
    <n v="23.37"/>
    <n v="35.4"/>
    <n v="176.35"/>
    <n v="0.03"/>
    <n v="235.12"/>
    <n v="235.15"/>
    <m/>
  </r>
  <r>
    <d v="2018-07-01T00:00:00"/>
    <s v="2018-19"/>
    <n v="2018"/>
    <n v="7"/>
    <s v="Jul"/>
    <x v="8"/>
    <n v="7"/>
    <s v="Union Territory"/>
    <n v="662.98"/>
    <n v="834.08"/>
    <n v="1513.8"/>
    <n v="83.97"/>
    <n v="3010.86"/>
    <n v="3094.83"/>
    <m/>
  </r>
  <r>
    <d v="2018-07-01T00:00:00"/>
    <s v="2018-19"/>
    <n v="2018"/>
    <n v="7"/>
    <s v="Jul"/>
    <x v="9"/>
    <n v="30"/>
    <s v="State"/>
    <n v="73.709999999999994"/>
    <n v="106.01"/>
    <n v="137.69"/>
    <n v="1.28"/>
    <n v="317.41000000000003"/>
    <n v="318.69"/>
    <m/>
  </r>
  <r>
    <d v="2018-07-01T00:00:00"/>
    <s v="2018-19"/>
    <n v="2018"/>
    <n v="7"/>
    <s v="Jul"/>
    <x v="10"/>
    <n v="24"/>
    <s v="State"/>
    <n v="1543.92"/>
    <n v="1997.23"/>
    <n v="2189.6799999999998"/>
    <n v="348.87"/>
    <n v="5730.83"/>
    <n v="6079.7"/>
    <m/>
  </r>
  <r>
    <d v="2018-07-01T00:00:00"/>
    <s v="2018-19"/>
    <n v="2018"/>
    <n v="7"/>
    <s v="Jul"/>
    <x v="11"/>
    <n v="6"/>
    <s v="State"/>
    <n v="680.22"/>
    <n v="1003.56"/>
    <n v="2311.71"/>
    <n v="299.16000000000003"/>
    <n v="3995.49"/>
    <n v="4294.6499999999996"/>
    <m/>
  </r>
  <r>
    <d v="2018-07-01T00:00:00"/>
    <s v="2018-19"/>
    <n v="2018"/>
    <n v="7"/>
    <s v="Jul"/>
    <x v="12"/>
    <n v="2"/>
    <s v="State"/>
    <n v="85.42"/>
    <n v="131.11000000000001"/>
    <n v="399.77"/>
    <n v="1.2"/>
    <n v="616.29999999999995"/>
    <n v="617.5"/>
    <m/>
  </r>
  <r>
    <d v="2018-07-01T00:00:00"/>
    <s v="2018-19"/>
    <n v="2018"/>
    <n v="7"/>
    <s v="Jul"/>
    <x v="13"/>
    <n v="1"/>
    <s v="Union Territory"/>
    <n v="80.44"/>
    <n v="134.72"/>
    <n v="95.6"/>
    <n v="7.18"/>
    <n v="310.76"/>
    <n v="317.94"/>
    <m/>
  </r>
  <r>
    <d v="2018-07-01T00:00:00"/>
    <s v="2018-19"/>
    <n v="2018"/>
    <n v="7"/>
    <s v="Jul"/>
    <x v="14"/>
    <n v="20"/>
    <s v="State"/>
    <n v="300.68"/>
    <n v="429.5"/>
    <n v="710.62"/>
    <n v="407.15"/>
    <n v="1440.8"/>
    <n v="1847.95"/>
    <m/>
  </r>
  <r>
    <d v="2018-07-01T00:00:00"/>
    <s v="2018-19"/>
    <n v="2018"/>
    <n v="7"/>
    <s v="Jul"/>
    <x v="15"/>
    <n v="29"/>
    <s v="State"/>
    <n v="1389.42"/>
    <n v="1919.36"/>
    <n v="2473.9499999999998"/>
    <n v="993.51"/>
    <n v="5782.73"/>
    <n v="6776.24"/>
    <m/>
  </r>
  <r>
    <d v="2018-07-01T00:00:00"/>
    <s v="2018-19"/>
    <n v="2018"/>
    <n v="7"/>
    <s v="Jul"/>
    <x v="16"/>
    <n v="32"/>
    <s v="State"/>
    <n v="404.76"/>
    <n v="657.7"/>
    <n v="210.7"/>
    <n v="3.52"/>
    <n v="1273.1600000000001"/>
    <n v="1276.68"/>
    <m/>
  </r>
  <r>
    <d v="2018-07-01T00:00:00"/>
    <s v="2018-19"/>
    <n v="2018"/>
    <n v="7"/>
    <s v="Jul"/>
    <x v="17"/>
    <n v="31"/>
    <s v="Union Territory"/>
    <n v="0.38"/>
    <n v="0.42"/>
    <n v="0.08"/>
    <n v="0"/>
    <n v="0.88"/>
    <n v="0.88"/>
    <m/>
  </r>
  <r>
    <d v="2018-07-01T00:00:00"/>
    <s v="2018-19"/>
    <n v="2018"/>
    <n v="7"/>
    <s v="Jul"/>
    <x v="18"/>
    <n v="23"/>
    <s v="State"/>
    <n v="455.35"/>
    <n v="657.97"/>
    <n v="554.41"/>
    <n v="400.88"/>
    <n v="1667.73"/>
    <n v="2068.61"/>
    <m/>
  </r>
  <r>
    <d v="2018-07-01T00:00:00"/>
    <s v="2018-19"/>
    <n v="2018"/>
    <n v="7"/>
    <s v="Jul"/>
    <x v="19"/>
    <n v="27"/>
    <s v="State"/>
    <n v="3478.17"/>
    <n v="4529.76"/>
    <n v="4726.5"/>
    <n v="1016.69"/>
    <n v="12734.43"/>
    <n v="13751.12"/>
    <m/>
  </r>
  <r>
    <d v="2018-07-01T00:00:00"/>
    <s v="2018-19"/>
    <n v="2018"/>
    <n v="7"/>
    <s v="Jul"/>
    <x v="20"/>
    <n v="14"/>
    <s v="State"/>
    <n v="6.71"/>
    <n v="16.47"/>
    <n v="1.05"/>
    <n v="0.12"/>
    <n v="24.23"/>
    <n v="24.35"/>
    <m/>
  </r>
  <r>
    <d v="2018-07-01T00:00:00"/>
    <s v="2018-19"/>
    <n v="2018"/>
    <n v="7"/>
    <s v="Jul"/>
    <x v="21"/>
    <n v="17"/>
    <s v="State"/>
    <n v="15.42"/>
    <n v="22.28"/>
    <n v="74.739999999999995"/>
    <n v="1.41"/>
    <n v="112.44"/>
    <n v="113.85"/>
    <m/>
  </r>
  <r>
    <d v="2018-07-01T00:00:00"/>
    <s v="2018-19"/>
    <n v="2018"/>
    <n v="7"/>
    <s v="Jul"/>
    <x v="22"/>
    <n v="15"/>
    <s v="State"/>
    <n v="3.05"/>
    <n v="5.65"/>
    <n v="1.52"/>
    <n v="0"/>
    <n v="10.220000000000001"/>
    <n v="10.220000000000001"/>
    <m/>
  </r>
  <r>
    <d v="2018-07-01T00:00:00"/>
    <s v="2018-19"/>
    <n v="2018"/>
    <n v="7"/>
    <s v="Jul"/>
    <x v="23"/>
    <n v="13"/>
    <s v="State"/>
    <n v="2.91"/>
    <n v="4.7300000000000004"/>
    <n v="4.34"/>
    <n v="0.51"/>
    <n v="11.98"/>
    <n v="12.49"/>
    <m/>
  </r>
  <r>
    <d v="2018-07-01T00:00:00"/>
    <s v="2018-19"/>
    <n v="2018"/>
    <n v="7"/>
    <s v="Jul"/>
    <x v="24"/>
    <n v="21"/>
    <s v="State"/>
    <n v="400.58"/>
    <n v="546.84"/>
    <n v="651.11"/>
    <n v="460.35"/>
    <n v="1598.53"/>
    <n v="2058.88"/>
    <m/>
  </r>
  <r>
    <d v="2018-07-01T00:00:00"/>
    <s v="2018-19"/>
    <n v="2018"/>
    <n v="7"/>
    <s v="Jul"/>
    <x v="25"/>
    <n v="34"/>
    <s v="Union Territory"/>
    <n v="20.09"/>
    <n v="29.17"/>
    <n v="111.55"/>
    <n v="0.15"/>
    <n v="160.81"/>
    <n v="160.96"/>
    <m/>
  </r>
  <r>
    <d v="2018-07-01T00:00:00"/>
    <s v="2018-19"/>
    <n v="2018"/>
    <n v="7"/>
    <s v="Jul"/>
    <x v="26"/>
    <n v="3"/>
    <s v="State"/>
    <n v="265.76"/>
    <n v="453.4"/>
    <n v="436.09"/>
    <n v="16.18"/>
    <n v="1155.25"/>
    <n v="1171.43"/>
    <m/>
  </r>
  <r>
    <d v="2018-07-01T00:00:00"/>
    <s v="2018-19"/>
    <n v="2018"/>
    <n v="7"/>
    <s v="Jul"/>
    <x v="27"/>
    <n v="8"/>
    <s v="State"/>
    <n v="642.58000000000004"/>
    <n v="891.91"/>
    <n v="788.09"/>
    <n v="130.94"/>
    <n v="2322.58"/>
    <n v="2453.52"/>
    <m/>
  </r>
  <r>
    <d v="2018-07-01T00:00:00"/>
    <s v="2018-19"/>
    <n v="2018"/>
    <n v="7"/>
    <s v="Jul"/>
    <x v="28"/>
    <n v="11"/>
    <s v="State"/>
    <n v="16.38"/>
    <n v="23.58"/>
    <n v="141.16999999999999"/>
    <n v="0.13"/>
    <n v="181.13"/>
    <n v="181.26"/>
    <m/>
  </r>
  <r>
    <d v="2018-07-01T00:00:00"/>
    <s v="2018-19"/>
    <n v="2018"/>
    <n v="7"/>
    <s v="Jul"/>
    <x v="29"/>
    <n v="33"/>
    <s v="State"/>
    <n v="1367.35"/>
    <n v="1956.13"/>
    <n v="1636.15"/>
    <n v="656.16"/>
    <n v="4959.63"/>
    <n v="5615.79"/>
    <m/>
  </r>
  <r>
    <d v="2018-07-01T00:00:00"/>
    <s v="2018-19"/>
    <n v="2018"/>
    <n v="7"/>
    <s v="Jul"/>
    <x v="30"/>
    <n v="36"/>
    <s v="State"/>
    <n v="592.32000000000005"/>
    <n v="843.92"/>
    <n v="854.61"/>
    <n v="511.7"/>
    <n v="2290.85"/>
    <n v="2802.55"/>
    <m/>
  </r>
  <r>
    <d v="2018-07-01T00:00:00"/>
    <s v="2018-19"/>
    <n v="2018"/>
    <n v="7"/>
    <s v="Jul"/>
    <x v="31"/>
    <n v="16"/>
    <s v="State"/>
    <n v="17.41"/>
    <n v="24.48"/>
    <n v="3.51"/>
    <n v="0.57999999999999996"/>
    <n v="45.4"/>
    <n v="45.98"/>
    <m/>
  </r>
  <r>
    <d v="2018-07-01T00:00:00"/>
    <s v="2018-19"/>
    <n v="2018"/>
    <n v="7"/>
    <s v="Jul"/>
    <x v="32"/>
    <n v="9"/>
    <s v="State"/>
    <n v="1055.82"/>
    <n v="1637.23"/>
    <n v="1280.82"/>
    <n v="1009.23"/>
    <n v="3973.87"/>
    <n v="4983.1000000000004"/>
    <m/>
  </r>
  <r>
    <d v="2018-07-01T00:00:00"/>
    <s v="2018-19"/>
    <n v="2018"/>
    <n v="7"/>
    <s v="Jul"/>
    <x v="33"/>
    <n v="5"/>
    <s v="State"/>
    <n v="179.41"/>
    <n v="321.93"/>
    <n v="889.7"/>
    <n v="17.07"/>
    <n v="1391.04"/>
    <n v="1408.11"/>
    <m/>
  </r>
  <r>
    <d v="2018-07-01T00:00:00"/>
    <s v="2018-19"/>
    <n v="2018"/>
    <n v="7"/>
    <s v="Jul"/>
    <x v="34"/>
    <n v="19"/>
    <s v="State"/>
    <n v="875.78"/>
    <n v="1195.3900000000001"/>
    <n v="866.14"/>
    <n v="351.42"/>
    <n v="2937.31"/>
    <n v="3288.73"/>
    <m/>
  </r>
  <r>
    <d v="2018-08-01T00:00:00"/>
    <s v="2018-19"/>
    <n v="2018"/>
    <n v="8"/>
    <s v="Aug"/>
    <x v="0"/>
    <n v="35"/>
    <s v="Union Territory"/>
    <n v="4.12"/>
    <n v="8.17"/>
    <n v="1.22"/>
    <n v="0.09"/>
    <n v="13.51"/>
    <n v="13.6"/>
    <m/>
  </r>
  <r>
    <d v="2018-08-01T00:00:00"/>
    <s v="2018-19"/>
    <n v="2018"/>
    <n v="8"/>
    <s v="Aug"/>
    <x v="1"/>
    <n v="28"/>
    <s v="State"/>
    <n v="448.51"/>
    <n v="646.09"/>
    <n v="777.33"/>
    <n v="18.829999999999998"/>
    <n v="1871.93"/>
    <n v="1890.76"/>
    <m/>
  </r>
  <r>
    <d v="2018-08-01T00:00:00"/>
    <s v="2018-19"/>
    <n v="2018"/>
    <n v="8"/>
    <s v="Aug"/>
    <x v="2"/>
    <n v="12"/>
    <s v="State"/>
    <n v="7.14"/>
    <n v="11.08"/>
    <n v="4.22"/>
    <n v="0.23"/>
    <n v="22.44"/>
    <n v="22.67"/>
    <m/>
  </r>
  <r>
    <d v="2018-08-01T00:00:00"/>
    <s v="2018-19"/>
    <n v="2018"/>
    <n v="8"/>
    <s v="Aug"/>
    <x v="3"/>
    <n v="18"/>
    <s v="State"/>
    <n v="172.95"/>
    <n v="246.78"/>
    <n v="201.88"/>
    <n v="24.35"/>
    <n v="621.61"/>
    <n v="645.96"/>
    <m/>
  </r>
  <r>
    <d v="2018-08-01T00:00:00"/>
    <s v="2018-19"/>
    <n v="2018"/>
    <n v="8"/>
    <s v="Aug"/>
    <x v="4"/>
    <n v="10"/>
    <s v="State"/>
    <n v="192.94"/>
    <n v="357.08"/>
    <n v="127.57"/>
    <n v="168.23"/>
    <n v="677.59"/>
    <n v="845.82"/>
    <m/>
  </r>
  <r>
    <d v="2018-08-01T00:00:00"/>
    <s v="2018-19"/>
    <n v="2018"/>
    <n v="8"/>
    <s v="Aug"/>
    <x v="5"/>
    <n v="4"/>
    <s v="Union Territory"/>
    <n v="28.64"/>
    <n v="39.93"/>
    <n v="70.849999999999994"/>
    <n v="0.16"/>
    <n v="139.41999999999999"/>
    <n v="139.58000000000001"/>
    <m/>
  </r>
  <r>
    <d v="2018-08-01T00:00:00"/>
    <s v="2018-19"/>
    <n v="2018"/>
    <n v="8"/>
    <s v="Aug"/>
    <x v="6"/>
    <n v="22"/>
    <s v="State"/>
    <n v="309.88"/>
    <n v="398.68"/>
    <n v="576.66999999999996"/>
    <n v="535.74"/>
    <n v="1285.23"/>
    <n v="1820.97"/>
    <m/>
  </r>
  <r>
    <d v="2018-08-01T00:00:00"/>
    <s v="2018-19"/>
    <n v="2018"/>
    <n v="8"/>
    <s v="Aug"/>
    <x v="7"/>
    <n v="38"/>
    <s v="Union Territory"/>
    <n v="23.83"/>
    <n v="36.340000000000003"/>
    <n v="153.13999999999999"/>
    <n v="0.15"/>
    <n v="213.31"/>
    <n v="213.46"/>
    <m/>
  </r>
  <r>
    <d v="2018-08-01T00:00:00"/>
    <s v="2018-19"/>
    <n v="2018"/>
    <n v="8"/>
    <s v="Aug"/>
    <x v="8"/>
    <n v="7"/>
    <s v="Union Territory"/>
    <n v="655.04"/>
    <n v="825.96"/>
    <n v="1440.66"/>
    <n v="92.92"/>
    <n v="2921.66"/>
    <n v="3014.58"/>
    <m/>
  </r>
  <r>
    <d v="2018-08-01T00:00:00"/>
    <s v="2018-19"/>
    <n v="2018"/>
    <n v="8"/>
    <s v="Aug"/>
    <x v="9"/>
    <n v="30"/>
    <s v="State"/>
    <n v="77.069999999999993"/>
    <n v="107.74"/>
    <n v="120.58"/>
    <n v="1.41"/>
    <n v="305.39"/>
    <n v="306.8"/>
    <m/>
  </r>
  <r>
    <d v="2018-08-01T00:00:00"/>
    <s v="2018-19"/>
    <n v="2018"/>
    <n v="8"/>
    <s v="Aug"/>
    <x v="10"/>
    <n v="24"/>
    <s v="State"/>
    <n v="1413.49"/>
    <n v="1815.81"/>
    <n v="1701.42"/>
    <n v="321.54000000000002"/>
    <n v="4930.72"/>
    <n v="5252.26"/>
    <m/>
  </r>
  <r>
    <d v="2018-08-01T00:00:00"/>
    <s v="2018-19"/>
    <n v="2018"/>
    <n v="8"/>
    <s v="Aug"/>
    <x v="11"/>
    <n v="6"/>
    <s v="State"/>
    <n v="711.49"/>
    <n v="1088.28"/>
    <n v="2281.42"/>
    <n v="292.7"/>
    <n v="4081.19"/>
    <n v="4373.8900000000003"/>
    <m/>
  </r>
  <r>
    <d v="2018-08-01T00:00:00"/>
    <s v="2018-19"/>
    <n v="2018"/>
    <n v="8"/>
    <s v="Aug"/>
    <x v="12"/>
    <n v="2"/>
    <s v="State"/>
    <n v="77.459999999999994"/>
    <n v="121.38"/>
    <n v="362.27"/>
    <n v="1.2"/>
    <n v="561.11"/>
    <n v="562.30999999999995"/>
    <m/>
  </r>
  <r>
    <d v="2018-08-01T00:00:00"/>
    <s v="2018-19"/>
    <n v="2018"/>
    <n v="8"/>
    <s v="Aug"/>
    <x v="13"/>
    <n v="1"/>
    <s v="Union Territory"/>
    <n v="72.77"/>
    <n v="129.47"/>
    <n v="99.01"/>
    <n v="4.0199999999999996"/>
    <n v="301.25"/>
    <n v="305.27"/>
    <m/>
  </r>
  <r>
    <d v="2018-08-01T00:00:00"/>
    <s v="2018-19"/>
    <n v="2018"/>
    <n v="8"/>
    <s v="Aug"/>
    <x v="14"/>
    <n v="20"/>
    <s v="State"/>
    <n v="256.19"/>
    <n v="364.84"/>
    <n v="664.51"/>
    <n v="383.7"/>
    <n v="1285.54"/>
    <n v="1669.24"/>
    <m/>
  </r>
  <r>
    <d v="2018-08-01T00:00:00"/>
    <s v="2018-19"/>
    <n v="2018"/>
    <n v="8"/>
    <s v="Aug"/>
    <x v="15"/>
    <n v="29"/>
    <s v="State"/>
    <n v="1370.2"/>
    <n v="1845.95"/>
    <n v="2225.44"/>
    <n v="829.63"/>
    <n v="5441.59"/>
    <n v="6271.22"/>
    <m/>
  </r>
  <r>
    <d v="2018-08-01T00:00:00"/>
    <s v="2018-19"/>
    <n v="2018"/>
    <n v="8"/>
    <s v="Aug"/>
    <x v="16"/>
    <n v="32"/>
    <s v="State"/>
    <n v="351.82"/>
    <n v="529.94000000000005"/>
    <n v="243.79"/>
    <n v="3.75"/>
    <n v="1125.55"/>
    <n v="1129.3"/>
    <m/>
  </r>
  <r>
    <d v="2018-08-01T00:00:00"/>
    <s v="2018-19"/>
    <n v="2018"/>
    <n v="8"/>
    <s v="Aug"/>
    <x v="17"/>
    <n v="31"/>
    <s v="Union Territory"/>
    <n v="0.17"/>
    <n v="0.18"/>
    <n v="0.04"/>
    <n v="0"/>
    <n v="0.39"/>
    <n v="0.39"/>
    <m/>
  </r>
  <r>
    <d v="2018-08-01T00:00:00"/>
    <s v="2018-19"/>
    <n v="2018"/>
    <n v="8"/>
    <s v="Aug"/>
    <x v="18"/>
    <n v="23"/>
    <s v="State"/>
    <n v="414.22"/>
    <n v="596.15"/>
    <n v="573.91999999999996"/>
    <n v="378.26"/>
    <n v="1584.29"/>
    <n v="1962.55"/>
    <m/>
  </r>
  <r>
    <d v="2018-08-01T00:00:00"/>
    <s v="2018-19"/>
    <n v="2018"/>
    <n v="8"/>
    <s v="Aug"/>
    <x v="19"/>
    <n v="27"/>
    <s v="State"/>
    <n v="3468.06"/>
    <n v="4385.3"/>
    <n v="4142.54"/>
    <n v="836.03"/>
    <n v="11995.9"/>
    <n v="12831.93"/>
    <m/>
  </r>
  <r>
    <d v="2018-08-01T00:00:00"/>
    <s v="2018-19"/>
    <n v="2018"/>
    <n v="8"/>
    <s v="Aug"/>
    <x v="20"/>
    <n v="14"/>
    <s v="State"/>
    <n v="6.11"/>
    <n v="9.56"/>
    <n v="0.89"/>
    <n v="0.05"/>
    <n v="16.559999999999999"/>
    <n v="16.61"/>
    <m/>
  </r>
  <r>
    <d v="2018-08-01T00:00:00"/>
    <s v="2018-19"/>
    <n v="2018"/>
    <n v="8"/>
    <s v="Aug"/>
    <x v="21"/>
    <n v="17"/>
    <s v="State"/>
    <n v="15.66"/>
    <n v="21.27"/>
    <n v="64.73"/>
    <n v="0.68"/>
    <n v="101.66"/>
    <n v="102.34"/>
    <m/>
  </r>
  <r>
    <d v="2018-08-01T00:00:00"/>
    <s v="2018-19"/>
    <n v="2018"/>
    <n v="8"/>
    <s v="Aug"/>
    <x v="22"/>
    <n v="15"/>
    <s v="State"/>
    <n v="3.47"/>
    <n v="6.68"/>
    <n v="0.63"/>
    <n v="0.02"/>
    <n v="10.78"/>
    <n v="10.8"/>
    <m/>
  </r>
  <r>
    <d v="2018-08-01T00:00:00"/>
    <s v="2018-19"/>
    <n v="2018"/>
    <n v="8"/>
    <s v="Aug"/>
    <x v="23"/>
    <n v="13"/>
    <s v="State"/>
    <n v="4.58"/>
    <n v="6.73"/>
    <n v="3.6"/>
    <n v="0.39"/>
    <n v="14.91"/>
    <n v="15.3"/>
    <m/>
  </r>
  <r>
    <d v="2018-08-01T00:00:00"/>
    <s v="2018-19"/>
    <n v="2018"/>
    <n v="8"/>
    <s v="Aug"/>
    <x v="24"/>
    <n v="21"/>
    <s v="State"/>
    <n v="400.97"/>
    <n v="525.89"/>
    <n v="837.7"/>
    <n v="477.2"/>
    <n v="1764.56"/>
    <n v="2241.7600000000002"/>
    <m/>
  </r>
  <r>
    <d v="2018-08-01T00:00:00"/>
    <s v="2018-19"/>
    <n v="2018"/>
    <n v="8"/>
    <s v="Aug"/>
    <x v="25"/>
    <n v="34"/>
    <s v="Union Territory"/>
    <n v="16.95"/>
    <n v="30.7"/>
    <n v="101.37"/>
    <n v="0.1"/>
    <n v="149.02000000000001"/>
    <n v="149.12"/>
    <m/>
  </r>
  <r>
    <d v="2018-08-01T00:00:00"/>
    <s v="2018-19"/>
    <n v="2018"/>
    <n v="8"/>
    <s v="Aug"/>
    <x v="26"/>
    <n v="3"/>
    <s v="State"/>
    <n v="247.75"/>
    <n v="409.91"/>
    <n v="427.29"/>
    <n v="11.83"/>
    <n v="1084.95"/>
    <n v="1096.78"/>
    <m/>
  </r>
  <r>
    <d v="2018-08-01T00:00:00"/>
    <s v="2018-19"/>
    <n v="2018"/>
    <n v="8"/>
    <s v="Aug"/>
    <x v="27"/>
    <n v="8"/>
    <s v="State"/>
    <n v="570.64"/>
    <n v="796.9"/>
    <n v="748.83"/>
    <n v="124.02"/>
    <n v="2116.37"/>
    <n v="2240.39"/>
    <m/>
  </r>
  <r>
    <d v="2018-08-01T00:00:00"/>
    <s v="2018-19"/>
    <n v="2018"/>
    <n v="8"/>
    <s v="Aug"/>
    <x v="28"/>
    <n v="11"/>
    <s v="State"/>
    <n v="7.08"/>
    <n v="12.23"/>
    <n v="143.79"/>
    <n v="0.03"/>
    <n v="163.1"/>
    <n v="163.13"/>
    <m/>
  </r>
  <r>
    <d v="2018-08-01T00:00:00"/>
    <s v="2018-19"/>
    <n v="2018"/>
    <n v="8"/>
    <s v="Aug"/>
    <x v="29"/>
    <n v="33"/>
    <s v="State"/>
    <n v="1395.26"/>
    <n v="2000.38"/>
    <n v="1567.42"/>
    <n v="472.53"/>
    <n v="4963.0600000000004"/>
    <n v="5435.59"/>
    <m/>
  </r>
  <r>
    <d v="2018-08-01T00:00:00"/>
    <s v="2018-19"/>
    <n v="2018"/>
    <n v="8"/>
    <s v="Aug"/>
    <x v="30"/>
    <n v="36"/>
    <s v="State"/>
    <n v="566.23"/>
    <n v="792.95"/>
    <n v="833.04"/>
    <n v="467.53"/>
    <n v="2192.2199999999998"/>
    <n v="2659.75"/>
    <m/>
  </r>
  <r>
    <d v="2018-08-01T00:00:00"/>
    <s v="2018-19"/>
    <n v="2018"/>
    <n v="8"/>
    <s v="Aug"/>
    <x v="31"/>
    <n v="16"/>
    <s v="State"/>
    <n v="14.18"/>
    <n v="20.12"/>
    <n v="3.9"/>
    <n v="0.1"/>
    <n v="38.200000000000003"/>
    <n v="38.299999999999997"/>
    <m/>
  </r>
  <r>
    <d v="2018-08-01T00:00:00"/>
    <s v="2018-19"/>
    <n v="2018"/>
    <n v="8"/>
    <s v="Aug"/>
    <x v="32"/>
    <n v="9"/>
    <s v="State"/>
    <n v="935.42"/>
    <n v="1452.78"/>
    <n v="1353.17"/>
    <n v="1022.19"/>
    <n v="3741.37"/>
    <n v="4763.5600000000004"/>
    <m/>
  </r>
  <r>
    <d v="2018-08-01T00:00:00"/>
    <s v="2018-19"/>
    <n v="2018"/>
    <n v="8"/>
    <s v="Aug"/>
    <x v="33"/>
    <n v="5"/>
    <s v="State"/>
    <n v="158.9"/>
    <n v="297.24"/>
    <n v="549.46"/>
    <n v="14.57"/>
    <n v="1005.6"/>
    <n v="1020.17"/>
    <m/>
  </r>
  <r>
    <d v="2018-08-01T00:00:00"/>
    <s v="2018-19"/>
    <n v="2018"/>
    <n v="8"/>
    <s v="Aug"/>
    <x v="34"/>
    <n v="19"/>
    <s v="State"/>
    <n v="883.31"/>
    <n v="1178.5"/>
    <n v="768.88"/>
    <n v="293.85000000000002"/>
    <n v="2830.69"/>
    <n v="3124.54"/>
    <m/>
  </r>
  <r>
    <d v="2018-09-01T00:00:00"/>
    <s v="2018-19"/>
    <n v="2018"/>
    <n v="9"/>
    <s v="Sep"/>
    <x v="0"/>
    <n v="35"/>
    <s v="Union Territory"/>
    <n v="9.2200000000000006"/>
    <n v="12.51"/>
    <n v="1.17"/>
    <n v="0.02"/>
    <n v="22.9"/>
    <n v="22.92"/>
    <m/>
  </r>
  <r>
    <d v="2018-09-01T00:00:00"/>
    <s v="2018-19"/>
    <n v="2018"/>
    <n v="9"/>
    <s v="Sep"/>
    <x v="1"/>
    <n v="28"/>
    <s v="State"/>
    <n v="493.36"/>
    <n v="692.61"/>
    <n v="808.7"/>
    <n v="28.62"/>
    <n v="1994.67"/>
    <n v="2023.29"/>
    <m/>
  </r>
  <r>
    <d v="2018-09-01T00:00:00"/>
    <s v="2018-19"/>
    <n v="2018"/>
    <n v="9"/>
    <s v="Sep"/>
    <x v="2"/>
    <n v="12"/>
    <s v="State"/>
    <n v="10.23"/>
    <n v="13.41"/>
    <n v="2.16"/>
    <n v="0.14000000000000001"/>
    <n v="25.8"/>
    <n v="25.94"/>
    <m/>
  </r>
  <r>
    <d v="2018-09-01T00:00:00"/>
    <s v="2018-19"/>
    <n v="2018"/>
    <n v="9"/>
    <s v="Sep"/>
    <x v="3"/>
    <n v="18"/>
    <s v="State"/>
    <n v="184.27"/>
    <n v="256.83999999999997"/>
    <n v="223.82"/>
    <n v="31.82"/>
    <n v="664.93"/>
    <n v="696.75"/>
    <m/>
  </r>
  <r>
    <d v="2018-09-01T00:00:00"/>
    <s v="2018-19"/>
    <n v="2018"/>
    <n v="9"/>
    <s v="Sep"/>
    <x v="4"/>
    <n v="10"/>
    <s v="State"/>
    <n v="195.55"/>
    <n v="374.04"/>
    <n v="90.67"/>
    <n v="170.28"/>
    <n v="660.26"/>
    <n v="830.54"/>
    <m/>
  </r>
  <r>
    <d v="2018-09-01T00:00:00"/>
    <s v="2018-19"/>
    <n v="2018"/>
    <n v="9"/>
    <s v="Sep"/>
    <x v="5"/>
    <n v="4"/>
    <s v="Union Territory"/>
    <n v="26.98"/>
    <n v="40.93"/>
    <n v="75.28"/>
    <n v="0.18"/>
    <n v="143.19"/>
    <n v="143.37"/>
    <m/>
  </r>
  <r>
    <d v="2018-09-01T00:00:00"/>
    <s v="2018-19"/>
    <n v="2018"/>
    <n v="9"/>
    <s v="Sep"/>
    <x v="6"/>
    <n v="22"/>
    <s v="State"/>
    <n v="287.07"/>
    <n v="361.02"/>
    <n v="509.3"/>
    <n v="513.6"/>
    <n v="1157.3900000000001"/>
    <n v="1670.99"/>
    <m/>
  </r>
  <r>
    <d v="2018-09-01T00:00:00"/>
    <s v="2018-19"/>
    <n v="2018"/>
    <n v="9"/>
    <s v="Sep"/>
    <x v="7"/>
    <n v="38"/>
    <s v="Union Territory"/>
    <n v="21.83"/>
    <n v="32.950000000000003"/>
    <n v="168.82"/>
    <n v="0.2"/>
    <n v="223.6"/>
    <n v="223.8"/>
    <m/>
  </r>
  <r>
    <d v="2018-09-01T00:00:00"/>
    <s v="2018-19"/>
    <n v="2018"/>
    <n v="9"/>
    <s v="Sep"/>
    <x v="8"/>
    <n v="7"/>
    <s v="Union Territory"/>
    <n v="620.52"/>
    <n v="787.04"/>
    <n v="1642.9"/>
    <n v="89.04"/>
    <n v="3050.46"/>
    <n v="3139.5"/>
    <m/>
  </r>
  <r>
    <d v="2018-09-01T00:00:00"/>
    <s v="2018-19"/>
    <n v="2018"/>
    <n v="9"/>
    <s v="Sep"/>
    <x v="9"/>
    <n v="30"/>
    <s v="State"/>
    <n v="69.23"/>
    <n v="101.03"/>
    <n v="134.41999999999999"/>
    <n v="3.83"/>
    <n v="304.68"/>
    <n v="308.51"/>
    <m/>
  </r>
  <r>
    <d v="2018-09-01T00:00:00"/>
    <s v="2018-19"/>
    <n v="2018"/>
    <n v="9"/>
    <s v="Sep"/>
    <x v="10"/>
    <n v="24"/>
    <s v="State"/>
    <n v="1547.8"/>
    <n v="1999.97"/>
    <n v="2229.5700000000002"/>
    <n v="322.81"/>
    <n v="5777.34"/>
    <n v="6100.15"/>
    <m/>
  </r>
  <r>
    <d v="2018-09-01T00:00:00"/>
    <s v="2018-19"/>
    <n v="2018"/>
    <n v="9"/>
    <s v="Sep"/>
    <x v="11"/>
    <n v="6"/>
    <s v="State"/>
    <n v="688.69"/>
    <n v="1039.9100000000001"/>
    <n v="2156.4299999999998"/>
    <n v="307.10000000000002"/>
    <n v="3885.03"/>
    <n v="4192.13"/>
    <m/>
  </r>
  <r>
    <d v="2018-09-01T00:00:00"/>
    <s v="2018-19"/>
    <n v="2018"/>
    <n v="9"/>
    <s v="Sep"/>
    <x v="12"/>
    <n v="2"/>
    <s v="State"/>
    <n v="79.099999999999994"/>
    <n v="118.53"/>
    <n v="450.11"/>
    <n v="0.8"/>
    <n v="647.74"/>
    <n v="648.54"/>
    <m/>
  </r>
  <r>
    <d v="2018-09-01T00:00:00"/>
    <s v="2018-19"/>
    <n v="2018"/>
    <n v="9"/>
    <s v="Sep"/>
    <x v="13"/>
    <n v="1"/>
    <s v="Union Territory"/>
    <n v="78.61"/>
    <n v="129.74"/>
    <n v="123.85"/>
    <n v="4.6500000000000004"/>
    <n v="332.2"/>
    <n v="336.85"/>
    <m/>
  </r>
  <r>
    <d v="2018-09-01T00:00:00"/>
    <s v="2018-19"/>
    <n v="2018"/>
    <n v="9"/>
    <s v="Sep"/>
    <x v="14"/>
    <n v="20"/>
    <s v="State"/>
    <n v="264.31"/>
    <n v="367.6"/>
    <n v="755.85"/>
    <n v="347.83"/>
    <n v="1387.76"/>
    <n v="1735.59"/>
    <m/>
  </r>
  <r>
    <d v="2018-09-01T00:00:00"/>
    <s v="2018-19"/>
    <n v="2018"/>
    <n v="9"/>
    <s v="Sep"/>
    <x v="15"/>
    <n v="29"/>
    <s v="State"/>
    <n v="1316.81"/>
    <n v="1809.4"/>
    <n v="2287.52"/>
    <n v="898.26"/>
    <n v="5413.73"/>
    <n v="6311.99"/>
    <m/>
  </r>
  <r>
    <d v="2018-09-01T00:00:00"/>
    <s v="2018-19"/>
    <n v="2018"/>
    <n v="9"/>
    <s v="Sep"/>
    <x v="16"/>
    <n v="32"/>
    <s v="State"/>
    <n v="345.11"/>
    <n v="529.42999999999995"/>
    <n v="164.83"/>
    <n v="2.87"/>
    <n v="1039.3699999999999"/>
    <n v="1042.24"/>
    <m/>
  </r>
  <r>
    <d v="2018-09-01T00:00:00"/>
    <s v="2018-19"/>
    <n v="2018"/>
    <n v="9"/>
    <s v="Sep"/>
    <x v="17"/>
    <n v="31"/>
    <s v="Union Territory"/>
    <n v="0.06"/>
    <n v="0.47"/>
    <n v="0"/>
    <n v="0"/>
    <n v="0.53"/>
    <n v="0.53"/>
    <m/>
  </r>
  <r>
    <d v="2018-09-01T00:00:00"/>
    <s v="2018-19"/>
    <n v="2018"/>
    <n v="9"/>
    <s v="Sep"/>
    <x v="18"/>
    <n v="23"/>
    <s v="State"/>
    <n v="400.14"/>
    <n v="572.94000000000005"/>
    <n v="528.69000000000005"/>
    <n v="397.17"/>
    <n v="1501.77"/>
    <n v="1898.94"/>
    <m/>
  </r>
  <r>
    <d v="2018-09-01T00:00:00"/>
    <s v="2018-19"/>
    <n v="2018"/>
    <n v="9"/>
    <s v="Sep"/>
    <x v="19"/>
    <n v="27"/>
    <s v="State"/>
    <n v="3428.64"/>
    <n v="4292.71"/>
    <n v="4307.92"/>
    <n v="1052.22"/>
    <n v="12029.27"/>
    <n v="13081.49"/>
    <m/>
  </r>
  <r>
    <d v="2018-09-01T00:00:00"/>
    <s v="2018-19"/>
    <n v="2018"/>
    <n v="9"/>
    <s v="Sep"/>
    <x v="20"/>
    <n v="14"/>
    <s v="State"/>
    <n v="10.65"/>
    <n v="20.16"/>
    <n v="1.02"/>
    <n v="0"/>
    <n v="31.83"/>
    <n v="31.83"/>
    <m/>
  </r>
  <r>
    <d v="2018-09-01T00:00:00"/>
    <s v="2018-19"/>
    <n v="2018"/>
    <n v="9"/>
    <s v="Sep"/>
    <x v="21"/>
    <n v="17"/>
    <s v="State"/>
    <n v="13.41"/>
    <n v="19.91"/>
    <n v="57.73"/>
    <n v="1.49"/>
    <n v="91.05"/>
    <n v="92.54"/>
    <m/>
  </r>
  <r>
    <d v="2018-09-01T00:00:00"/>
    <s v="2018-19"/>
    <n v="2018"/>
    <n v="9"/>
    <s v="Sep"/>
    <x v="22"/>
    <n v="15"/>
    <s v="State"/>
    <n v="5.3"/>
    <n v="7.56"/>
    <n v="0.46"/>
    <n v="7.0000000000000007E-2"/>
    <n v="13.32"/>
    <n v="13.39"/>
    <m/>
  </r>
  <r>
    <d v="2018-09-01T00:00:00"/>
    <s v="2018-19"/>
    <n v="2018"/>
    <n v="9"/>
    <s v="Sep"/>
    <x v="23"/>
    <n v="13"/>
    <s v="State"/>
    <n v="5.45"/>
    <n v="7.74"/>
    <n v="8.6300000000000008"/>
    <n v="0.17"/>
    <n v="21.82"/>
    <n v="21.99"/>
    <m/>
  </r>
  <r>
    <d v="2018-09-01T00:00:00"/>
    <s v="2018-19"/>
    <n v="2018"/>
    <n v="9"/>
    <s v="Sep"/>
    <x v="24"/>
    <n v="21"/>
    <s v="State"/>
    <n v="403.92"/>
    <n v="527.58000000000004"/>
    <n v="808.73"/>
    <n v="446.53"/>
    <n v="1740.23"/>
    <n v="2186.7600000000002"/>
    <m/>
  </r>
  <r>
    <d v="2018-09-01T00:00:00"/>
    <s v="2018-19"/>
    <n v="2018"/>
    <n v="9"/>
    <s v="Sep"/>
    <x v="25"/>
    <n v="34"/>
    <s v="Union Territory"/>
    <n v="18.899999999999999"/>
    <n v="29.82"/>
    <n v="111.9"/>
    <n v="0.2"/>
    <n v="160.62"/>
    <n v="160.82"/>
    <m/>
  </r>
  <r>
    <d v="2018-09-01T00:00:00"/>
    <s v="2018-19"/>
    <n v="2018"/>
    <n v="9"/>
    <s v="Sep"/>
    <x v="26"/>
    <n v="3"/>
    <s v="State"/>
    <n v="250.89"/>
    <n v="406.1"/>
    <n v="445.78"/>
    <n v="14.31"/>
    <n v="1102.77"/>
    <n v="1117.08"/>
    <m/>
  </r>
  <r>
    <d v="2018-09-01T00:00:00"/>
    <s v="2018-19"/>
    <n v="2018"/>
    <n v="9"/>
    <s v="Sep"/>
    <x v="27"/>
    <n v="8"/>
    <s v="State"/>
    <n v="559.53"/>
    <n v="773.57"/>
    <n v="781.36"/>
    <n v="129.02000000000001"/>
    <n v="2114.46"/>
    <n v="2243.48"/>
    <m/>
  </r>
  <r>
    <d v="2018-09-01T00:00:00"/>
    <s v="2018-19"/>
    <n v="2018"/>
    <n v="9"/>
    <s v="Sep"/>
    <x v="28"/>
    <n v="11"/>
    <s v="State"/>
    <n v="7.82"/>
    <n v="11.34"/>
    <n v="145.91999999999999"/>
    <n v="0.01"/>
    <n v="165.08"/>
    <n v="165.09"/>
    <m/>
  </r>
  <r>
    <d v="2018-09-01T00:00:00"/>
    <s v="2018-19"/>
    <n v="2018"/>
    <n v="9"/>
    <s v="Sep"/>
    <x v="29"/>
    <n v="33"/>
    <s v="State"/>
    <n v="1384.41"/>
    <n v="1976.47"/>
    <n v="1756.48"/>
    <n v="616.03"/>
    <n v="5117.3599999999997"/>
    <n v="5733.39"/>
    <m/>
  </r>
  <r>
    <d v="2018-09-01T00:00:00"/>
    <s v="2018-19"/>
    <n v="2018"/>
    <n v="9"/>
    <s v="Sep"/>
    <x v="30"/>
    <n v="36"/>
    <s v="State"/>
    <n v="614.97"/>
    <n v="854.31"/>
    <n v="784.23"/>
    <n v="468.28"/>
    <n v="2253.5100000000002"/>
    <n v="2721.79"/>
    <m/>
  </r>
  <r>
    <d v="2018-09-01T00:00:00"/>
    <s v="2018-19"/>
    <n v="2018"/>
    <n v="9"/>
    <s v="Sep"/>
    <x v="31"/>
    <n v="16"/>
    <s v="State"/>
    <n v="18.239999999999998"/>
    <n v="25.94"/>
    <n v="4.63"/>
    <n v="0.68"/>
    <n v="48.81"/>
    <n v="49.49"/>
    <m/>
  </r>
  <r>
    <d v="2018-09-01T00:00:00"/>
    <s v="2018-19"/>
    <n v="2018"/>
    <n v="9"/>
    <s v="Sep"/>
    <x v="32"/>
    <n v="9"/>
    <s v="State"/>
    <n v="917.49"/>
    <n v="1408.93"/>
    <n v="1438.67"/>
    <n v="1046.8499999999999"/>
    <n v="3765.09"/>
    <n v="4811.9399999999996"/>
    <m/>
  </r>
  <r>
    <d v="2018-09-01T00:00:00"/>
    <s v="2018-19"/>
    <n v="2018"/>
    <n v="9"/>
    <s v="Sep"/>
    <x v="33"/>
    <n v="5"/>
    <s v="State"/>
    <n v="157.81"/>
    <n v="289.72000000000003"/>
    <n v="779.54"/>
    <n v="19.52"/>
    <n v="1227.07"/>
    <n v="1246.5899999999999"/>
    <m/>
  </r>
  <r>
    <d v="2018-09-01T00:00:00"/>
    <s v="2018-19"/>
    <n v="2018"/>
    <n v="9"/>
    <s v="Sep"/>
    <x v="34"/>
    <n v="19"/>
    <s v="State"/>
    <n v="870.93"/>
    <n v="1150.44"/>
    <n v="799.75"/>
    <n v="309.05"/>
    <n v="2821.12"/>
    <n v="3130.17"/>
    <m/>
  </r>
  <r>
    <d v="2018-10-01T00:00:00"/>
    <s v="2018-19"/>
    <n v="2018"/>
    <n v="10"/>
    <s v="Oct"/>
    <x v="0"/>
    <n v="35"/>
    <s v="Union Territory"/>
    <n v="3.89"/>
    <n v="7.43"/>
    <n v="1.58"/>
    <n v="0"/>
    <n v="12.9"/>
    <n v="12.9"/>
    <m/>
  </r>
  <r>
    <d v="2018-10-01T00:00:00"/>
    <s v="2018-19"/>
    <n v="2018"/>
    <n v="10"/>
    <s v="Oct"/>
    <x v="1"/>
    <n v="28"/>
    <s v="State"/>
    <n v="548.30999999999995"/>
    <n v="786.62"/>
    <n v="856.42"/>
    <n v="20.9"/>
    <n v="2191.35"/>
    <n v="2212.25"/>
    <m/>
  </r>
  <r>
    <d v="2018-10-01T00:00:00"/>
    <s v="2018-19"/>
    <n v="2018"/>
    <n v="10"/>
    <s v="Oct"/>
    <x v="2"/>
    <n v="12"/>
    <s v="State"/>
    <n v="9.7899999999999991"/>
    <n v="14.67"/>
    <n v="3.25"/>
    <n v="0.49"/>
    <n v="27.71"/>
    <n v="28.2"/>
    <m/>
  </r>
  <r>
    <d v="2018-10-01T00:00:00"/>
    <s v="2018-19"/>
    <n v="2018"/>
    <n v="10"/>
    <s v="Oct"/>
    <x v="3"/>
    <n v="18"/>
    <s v="State"/>
    <n v="203.19"/>
    <n v="288.75"/>
    <n v="227"/>
    <n v="37.85"/>
    <n v="718.94"/>
    <n v="756.79"/>
    <m/>
  </r>
  <r>
    <d v="2018-10-01T00:00:00"/>
    <s v="2018-19"/>
    <n v="2018"/>
    <n v="10"/>
    <s v="Oct"/>
    <x v="4"/>
    <n v="10"/>
    <s v="State"/>
    <n v="197.94"/>
    <n v="397.09"/>
    <n v="92.46"/>
    <n v="124.94"/>
    <n v="687.49"/>
    <n v="812.43"/>
    <m/>
  </r>
  <r>
    <d v="2018-10-01T00:00:00"/>
    <s v="2018-19"/>
    <n v="2018"/>
    <n v="10"/>
    <s v="Oct"/>
    <x v="5"/>
    <n v="4"/>
    <s v="Union Territory"/>
    <n v="26.08"/>
    <n v="34.78"/>
    <n v="80.06"/>
    <n v="0.3"/>
    <n v="140.91999999999999"/>
    <n v="141.22"/>
    <m/>
  </r>
  <r>
    <d v="2018-10-01T00:00:00"/>
    <s v="2018-19"/>
    <n v="2018"/>
    <n v="10"/>
    <s v="Oct"/>
    <x v="6"/>
    <n v="22"/>
    <s v="State"/>
    <n v="321.97000000000003"/>
    <n v="423.92"/>
    <n v="523.27"/>
    <n v="467.54"/>
    <n v="1269.1600000000001"/>
    <n v="1736.7"/>
    <m/>
  </r>
  <r>
    <d v="2018-10-01T00:00:00"/>
    <s v="2018-19"/>
    <n v="2018"/>
    <n v="10"/>
    <s v="Oct"/>
    <x v="7"/>
    <n v="38"/>
    <s v="Union Territory"/>
    <n v="25.55"/>
    <n v="37.619999999999997"/>
    <n v="178.73"/>
    <n v="0.05"/>
    <n v="241.9"/>
    <n v="241.95"/>
    <m/>
  </r>
  <r>
    <d v="2018-10-01T00:00:00"/>
    <s v="2018-19"/>
    <n v="2018"/>
    <n v="10"/>
    <s v="Oct"/>
    <x v="8"/>
    <n v="7"/>
    <s v="Union Territory"/>
    <n v="666.38"/>
    <n v="859.74"/>
    <n v="1671.1"/>
    <n v="89.82"/>
    <n v="3197.22"/>
    <n v="3287.04"/>
    <m/>
  </r>
  <r>
    <d v="2018-10-01T00:00:00"/>
    <s v="2018-19"/>
    <n v="2018"/>
    <n v="10"/>
    <s v="Oct"/>
    <x v="9"/>
    <n v="30"/>
    <s v="State"/>
    <n v="76.39"/>
    <n v="112.69"/>
    <n v="122.16"/>
    <n v="1.46"/>
    <n v="311.24"/>
    <n v="312.7"/>
    <m/>
  </r>
  <r>
    <d v="2018-10-01T00:00:00"/>
    <s v="2018-19"/>
    <n v="2018"/>
    <n v="10"/>
    <s v="Oct"/>
    <x v="10"/>
    <n v="24"/>
    <s v="State"/>
    <n v="1591.84"/>
    <n v="1998.91"/>
    <n v="2260.9699999999998"/>
    <n v="307.48"/>
    <n v="5851.72"/>
    <n v="6159.2"/>
    <m/>
  </r>
  <r>
    <d v="2018-10-01T00:00:00"/>
    <s v="2018-19"/>
    <n v="2018"/>
    <n v="10"/>
    <s v="Oct"/>
    <x v="11"/>
    <n v="6"/>
    <s v="State"/>
    <n v="707.76"/>
    <n v="1053.8399999999999"/>
    <n v="2373.9499999999998"/>
    <n v="325.75"/>
    <n v="4135.55"/>
    <n v="4461.3"/>
    <m/>
  </r>
  <r>
    <d v="2018-10-01T00:00:00"/>
    <s v="2018-19"/>
    <n v="2018"/>
    <n v="10"/>
    <s v="Oct"/>
    <x v="12"/>
    <n v="2"/>
    <s v="State"/>
    <n v="78.77"/>
    <n v="124.54"/>
    <n v="445.78"/>
    <n v="1.55"/>
    <n v="649.09"/>
    <n v="650.64"/>
    <m/>
  </r>
  <r>
    <d v="2018-10-01T00:00:00"/>
    <s v="2018-19"/>
    <n v="2018"/>
    <n v="10"/>
    <s v="Oct"/>
    <x v="13"/>
    <n v="1"/>
    <s v="Union Territory"/>
    <n v="84.91"/>
    <n v="133.22999999999999"/>
    <n v="103.03"/>
    <n v="2.89"/>
    <n v="321.17"/>
    <n v="324.06"/>
    <m/>
  </r>
  <r>
    <d v="2018-10-01T00:00:00"/>
    <s v="2018-19"/>
    <n v="2018"/>
    <n v="10"/>
    <s v="Oct"/>
    <x v="14"/>
    <n v="20"/>
    <s v="State"/>
    <n v="359.99"/>
    <n v="469.16"/>
    <n v="894.17"/>
    <n v="368.01"/>
    <n v="1723.32"/>
    <n v="2091.33"/>
    <m/>
  </r>
  <r>
    <d v="2018-10-01T00:00:00"/>
    <s v="2018-19"/>
    <n v="2018"/>
    <n v="10"/>
    <s v="Oct"/>
    <x v="15"/>
    <n v="29"/>
    <s v="State"/>
    <n v="1385.81"/>
    <n v="1880.13"/>
    <n v="2445.1799999999998"/>
    <n v="876.38"/>
    <n v="5711.12"/>
    <n v="6587.5"/>
    <m/>
  </r>
  <r>
    <d v="2018-10-01T00:00:00"/>
    <s v="2018-19"/>
    <n v="2018"/>
    <n v="10"/>
    <s v="Oct"/>
    <x v="16"/>
    <n v="32"/>
    <s v="State"/>
    <n v="451.48"/>
    <n v="787.77"/>
    <n v="256.72000000000003"/>
    <n v="4.66"/>
    <n v="1495.97"/>
    <n v="1500.63"/>
    <m/>
  </r>
  <r>
    <d v="2018-10-01T00:00:00"/>
    <s v="2018-19"/>
    <n v="2018"/>
    <n v="10"/>
    <s v="Oct"/>
    <x v="17"/>
    <n v="31"/>
    <s v="Union Territory"/>
    <n v="0.04"/>
    <n v="0.05"/>
    <n v="0.05"/>
    <n v="0"/>
    <n v="0.14000000000000001"/>
    <n v="0.14000000000000001"/>
    <m/>
  </r>
  <r>
    <d v="2018-10-01T00:00:00"/>
    <s v="2018-19"/>
    <n v="2018"/>
    <n v="10"/>
    <s v="Oct"/>
    <x v="18"/>
    <n v="23"/>
    <s v="State"/>
    <n v="435.69"/>
    <n v="640.66"/>
    <n v="514.66"/>
    <n v="401.5"/>
    <n v="1591.01"/>
    <n v="1992.51"/>
    <m/>
  </r>
  <r>
    <d v="2018-10-01T00:00:00"/>
    <s v="2018-19"/>
    <n v="2018"/>
    <n v="10"/>
    <s v="Oct"/>
    <x v="19"/>
    <n v="27"/>
    <s v="State"/>
    <n v="3671.84"/>
    <n v="4595.09"/>
    <n v="5314.06"/>
    <n v="953.39"/>
    <n v="13580.99"/>
    <n v="14534.38"/>
    <m/>
  </r>
  <r>
    <d v="2018-10-01T00:00:00"/>
    <s v="2018-19"/>
    <n v="2018"/>
    <n v="10"/>
    <s v="Oct"/>
    <x v="20"/>
    <n v="14"/>
    <s v="State"/>
    <n v="7.76"/>
    <n v="15.18"/>
    <n v="1.23"/>
    <n v="0.15"/>
    <n v="24.17"/>
    <n v="24.32"/>
    <m/>
  </r>
  <r>
    <d v="2018-10-01T00:00:00"/>
    <s v="2018-19"/>
    <n v="2018"/>
    <n v="10"/>
    <s v="Oct"/>
    <x v="21"/>
    <n v="17"/>
    <s v="State"/>
    <n v="16.260000000000002"/>
    <n v="25.76"/>
    <n v="52.4"/>
    <n v="1.18"/>
    <n v="94.42"/>
    <n v="95.6"/>
    <m/>
  </r>
  <r>
    <d v="2018-10-01T00:00:00"/>
    <s v="2018-19"/>
    <n v="2018"/>
    <n v="10"/>
    <s v="Oct"/>
    <x v="22"/>
    <n v="15"/>
    <s v="State"/>
    <n v="2.42"/>
    <n v="5.01"/>
    <n v="2.77"/>
    <n v="0"/>
    <n v="10.199999999999999"/>
    <n v="10.199999999999999"/>
    <m/>
  </r>
  <r>
    <d v="2018-10-01T00:00:00"/>
    <s v="2018-19"/>
    <n v="2018"/>
    <n v="10"/>
    <s v="Oct"/>
    <x v="23"/>
    <n v="13"/>
    <s v="State"/>
    <n v="4.8099999999999996"/>
    <n v="8"/>
    <n v="5.25"/>
    <n v="0.52"/>
    <n v="18.059999999999999"/>
    <n v="18.579999999999998"/>
    <m/>
  </r>
  <r>
    <d v="2018-10-01T00:00:00"/>
    <s v="2018-19"/>
    <n v="2018"/>
    <n v="10"/>
    <s v="Oct"/>
    <x v="24"/>
    <n v="21"/>
    <s v="State"/>
    <n v="423.29"/>
    <n v="555.94000000000005"/>
    <n v="755.75"/>
    <n v="454.71"/>
    <n v="1734.98"/>
    <n v="2189.69"/>
    <m/>
  </r>
  <r>
    <d v="2018-10-01T00:00:00"/>
    <s v="2018-19"/>
    <n v="2018"/>
    <n v="10"/>
    <s v="Oct"/>
    <x v="25"/>
    <n v="34"/>
    <s v="Union Territory"/>
    <n v="18.72"/>
    <n v="30.56"/>
    <n v="91.66"/>
    <n v="0.09"/>
    <n v="140.94"/>
    <n v="141.03"/>
    <m/>
  </r>
  <r>
    <d v="2018-10-01T00:00:00"/>
    <s v="2018-19"/>
    <n v="2018"/>
    <n v="10"/>
    <s v="Oct"/>
    <x v="26"/>
    <n v="3"/>
    <s v="State"/>
    <n v="268.77999999999997"/>
    <n v="431.2"/>
    <n v="417.09"/>
    <n v="12.39"/>
    <n v="1117.07"/>
    <n v="1129.46"/>
    <m/>
  </r>
  <r>
    <d v="2018-10-01T00:00:00"/>
    <s v="2018-19"/>
    <n v="2018"/>
    <n v="10"/>
    <s v="Oct"/>
    <x v="27"/>
    <n v="8"/>
    <s v="State"/>
    <n v="672.05"/>
    <n v="949.11"/>
    <n v="820.3"/>
    <n v="112.44"/>
    <n v="2441.46"/>
    <n v="2553.9"/>
    <m/>
  </r>
  <r>
    <d v="2018-10-01T00:00:00"/>
    <s v="2018-19"/>
    <n v="2018"/>
    <n v="10"/>
    <s v="Oct"/>
    <x v="28"/>
    <n v="11"/>
    <s v="State"/>
    <n v="9.89"/>
    <n v="15.23"/>
    <n v="115.51"/>
    <n v="0.32"/>
    <n v="140.63"/>
    <n v="140.94999999999999"/>
    <m/>
  </r>
  <r>
    <d v="2018-10-01T00:00:00"/>
    <s v="2018-19"/>
    <n v="2018"/>
    <n v="10"/>
    <s v="Oct"/>
    <x v="29"/>
    <n v="33"/>
    <s v="State"/>
    <n v="1389.87"/>
    <n v="2045.88"/>
    <n v="1902.12"/>
    <n v="752.69"/>
    <n v="5337.87"/>
    <n v="6090.56"/>
    <m/>
  </r>
  <r>
    <d v="2018-10-01T00:00:00"/>
    <s v="2018-19"/>
    <n v="2018"/>
    <n v="10"/>
    <s v="Oct"/>
    <x v="30"/>
    <n v="36"/>
    <s v="State"/>
    <n v="646.02"/>
    <n v="904.44"/>
    <n v="820.14"/>
    <n v="522.32000000000005"/>
    <n v="2370.6"/>
    <n v="2892.92"/>
    <m/>
  </r>
  <r>
    <d v="2018-10-01T00:00:00"/>
    <s v="2018-19"/>
    <n v="2018"/>
    <n v="10"/>
    <s v="Oct"/>
    <x v="31"/>
    <n v="16"/>
    <s v="State"/>
    <n v="15.31"/>
    <n v="23.78"/>
    <n v="4.95"/>
    <n v="0.27"/>
    <n v="44.04"/>
    <n v="44.31"/>
    <m/>
  </r>
  <r>
    <d v="2018-10-01T00:00:00"/>
    <s v="2018-19"/>
    <n v="2018"/>
    <n v="10"/>
    <s v="Oct"/>
    <x v="32"/>
    <n v="9"/>
    <s v="State"/>
    <n v="1023.37"/>
    <n v="1580.76"/>
    <n v="1327.72"/>
    <n v="903.22"/>
    <n v="3931.85"/>
    <n v="4835.07"/>
    <m/>
  </r>
  <r>
    <d v="2018-10-01T00:00:00"/>
    <s v="2018-19"/>
    <n v="2018"/>
    <n v="10"/>
    <s v="Oct"/>
    <x v="33"/>
    <n v="5"/>
    <s v="State"/>
    <n v="179.39"/>
    <n v="341.43"/>
    <n v="868.64"/>
    <n v="21.38"/>
    <n v="1389.46"/>
    <n v="1410.84"/>
    <m/>
  </r>
  <r>
    <d v="2018-10-01T00:00:00"/>
    <s v="2018-19"/>
    <n v="2018"/>
    <n v="10"/>
    <s v="Oct"/>
    <x v="34"/>
    <n v="19"/>
    <s v="State"/>
    <n v="921.37"/>
    <n v="1223.78"/>
    <n v="811.59"/>
    <n v="278.66000000000003"/>
    <n v="2956.74"/>
    <n v="3235.4"/>
    <m/>
  </r>
  <r>
    <d v="2018-11-01T00:00:00"/>
    <s v="2018-19"/>
    <n v="2018"/>
    <n v="11"/>
    <s v="Nov"/>
    <x v="0"/>
    <n v="35"/>
    <s v="Union Territory"/>
    <n v="12.67"/>
    <n v="16.59"/>
    <n v="1.45"/>
    <n v="7.0000000000000007E-2"/>
    <n v="30.71"/>
    <n v="30.78"/>
    <m/>
  </r>
  <r>
    <d v="2018-11-01T00:00:00"/>
    <s v="2018-19"/>
    <n v="2018"/>
    <n v="11"/>
    <s v="Nov"/>
    <x v="1"/>
    <n v="28"/>
    <s v="State"/>
    <n v="528.97"/>
    <n v="741.88"/>
    <n v="858.34"/>
    <n v="15.73"/>
    <n v="2129.19"/>
    <n v="2144.92"/>
    <m/>
  </r>
  <r>
    <d v="2018-11-01T00:00:00"/>
    <s v="2018-19"/>
    <n v="2018"/>
    <n v="11"/>
    <s v="Nov"/>
    <x v="2"/>
    <n v="12"/>
    <s v="State"/>
    <n v="6.47"/>
    <n v="11.59"/>
    <n v="3.54"/>
    <n v="0.11"/>
    <n v="21.6"/>
    <n v="21.71"/>
    <m/>
  </r>
  <r>
    <d v="2018-11-01T00:00:00"/>
    <s v="2018-19"/>
    <n v="2018"/>
    <n v="11"/>
    <s v="Nov"/>
    <x v="3"/>
    <n v="18"/>
    <s v="State"/>
    <n v="203.03"/>
    <n v="275.19"/>
    <n v="218.37"/>
    <n v="42.9"/>
    <n v="696.59"/>
    <n v="739.49"/>
    <m/>
  </r>
  <r>
    <d v="2018-11-01T00:00:00"/>
    <s v="2018-19"/>
    <n v="2018"/>
    <n v="11"/>
    <s v="Nov"/>
    <x v="4"/>
    <n v="10"/>
    <s v="State"/>
    <n v="217.43"/>
    <n v="393.99"/>
    <n v="141.33000000000001"/>
    <n v="161.93"/>
    <n v="752.75"/>
    <n v="914.68"/>
    <m/>
  </r>
  <r>
    <d v="2018-11-01T00:00:00"/>
    <s v="2018-19"/>
    <n v="2018"/>
    <n v="11"/>
    <s v="Nov"/>
    <x v="5"/>
    <n v="4"/>
    <s v="Union Territory"/>
    <n v="30.18"/>
    <n v="40.81"/>
    <n v="74.400000000000006"/>
    <n v="0.12"/>
    <n v="145.38999999999999"/>
    <n v="145.51"/>
    <m/>
  </r>
  <r>
    <d v="2018-11-01T00:00:00"/>
    <s v="2018-19"/>
    <n v="2018"/>
    <n v="11"/>
    <s v="Nov"/>
    <x v="6"/>
    <n v="22"/>
    <s v="State"/>
    <n v="322.52"/>
    <n v="410.95"/>
    <n v="721.94"/>
    <n v="549.88"/>
    <n v="1455.41"/>
    <n v="2005.29"/>
    <m/>
  </r>
  <r>
    <d v="2018-11-01T00:00:00"/>
    <s v="2018-19"/>
    <n v="2018"/>
    <n v="11"/>
    <s v="Nov"/>
    <x v="7"/>
    <n v="38"/>
    <s v="Union Territory"/>
    <n v="23.27"/>
    <n v="32.17"/>
    <n v="173.37"/>
    <n v="0.04"/>
    <n v="228.81"/>
    <n v="228.85"/>
    <m/>
  </r>
  <r>
    <d v="2018-11-01T00:00:00"/>
    <s v="2018-19"/>
    <n v="2018"/>
    <n v="11"/>
    <s v="Nov"/>
    <x v="8"/>
    <n v="7"/>
    <s v="Union Territory"/>
    <n v="670.85"/>
    <n v="878.22"/>
    <n v="1632.11"/>
    <n v="95.54"/>
    <n v="3181.18"/>
    <n v="3276.72"/>
    <m/>
  </r>
  <r>
    <d v="2018-11-01T00:00:00"/>
    <s v="2018-19"/>
    <n v="2018"/>
    <n v="11"/>
    <s v="Nov"/>
    <x v="9"/>
    <n v="30"/>
    <s v="State"/>
    <n v="75.97"/>
    <n v="112.42"/>
    <n v="134.87"/>
    <n v="2.1800000000000002"/>
    <n v="323.26"/>
    <n v="325.44"/>
    <m/>
  </r>
  <r>
    <d v="2018-11-01T00:00:00"/>
    <s v="2018-19"/>
    <n v="2018"/>
    <n v="11"/>
    <s v="Nov"/>
    <x v="10"/>
    <n v="24"/>
    <s v="State"/>
    <n v="1626.01"/>
    <n v="2124.8200000000002"/>
    <n v="1960.7"/>
    <n v="352.18"/>
    <n v="5711.53"/>
    <n v="6063.71"/>
    <m/>
  </r>
  <r>
    <d v="2018-11-01T00:00:00"/>
    <s v="2018-19"/>
    <n v="2018"/>
    <n v="11"/>
    <s v="Nov"/>
    <x v="11"/>
    <n v="6"/>
    <s v="State"/>
    <n v="779.12"/>
    <n v="1068.69"/>
    <n v="2522.08"/>
    <n v="307.7"/>
    <n v="4369.8900000000003"/>
    <n v="4677.59"/>
    <m/>
  </r>
  <r>
    <d v="2018-11-01T00:00:00"/>
    <s v="2018-19"/>
    <n v="2018"/>
    <n v="11"/>
    <s v="Nov"/>
    <x v="12"/>
    <n v="2"/>
    <s v="State"/>
    <n v="97.55"/>
    <n v="141.13"/>
    <n v="427.71"/>
    <n v="0.99"/>
    <n v="666.39"/>
    <n v="667.38"/>
    <m/>
  </r>
  <r>
    <d v="2018-11-01T00:00:00"/>
    <s v="2018-19"/>
    <n v="2018"/>
    <n v="11"/>
    <s v="Nov"/>
    <x v="13"/>
    <n v="1"/>
    <s v="Union Territory"/>
    <n v="75.86"/>
    <n v="126.52"/>
    <n v="82.08"/>
    <n v="1.83"/>
    <n v="284.45999999999998"/>
    <n v="286.29000000000002"/>
    <m/>
  </r>
  <r>
    <d v="2018-11-01T00:00:00"/>
    <s v="2018-19"/>
    <n v="2018"/>
    <n v="11"/>
    <s v="Nov"/>
    <x v="14"/>
    <n v="20"/>
    <s v="State"/>
    <n v="310.08999999999997"/>
    <n v="425.2"/>
    <n v="872.31"/>
    <n v="408.15"/>
    <n v="1607.6"/>
    <n v="2015.75"/>
    <m/>
  </r>
  <r>
    <d v="2018-11-01T00:00:00"/>
    <s v="2018-19"/>
    <n v="2018"/>
    <n v="11"/>
    <s v="Nov"/>
    <x v="15"/>
    <n v="29"/>
    <s v="State"/>
    <n v="1373.42"/>
    <n v="1862.27"/>
    <n v="2486.7399999999998"/>
    <n v="776.08"/>
    <n v="5722.43"/>
    <n v="6498.51"/>
    <m/>
  </r>
  <r>
    <d v="2018-11-01T00:00:00"/>
    <s v="2018-19"/>
    <n v="2018"/>
    <n v="11"/>
    <s v="Nov"/>
    <x v="16"/>
    <n v="32"/>
    <s v="State"/>
    <n v="440.65"/>
    <n v="676.36"/>
    <n v="218.21"/>
    <n v="4.13"/>
    <n v="1335.22"/>
    <n v="1339.35"/>
    <m/>
  </r>
  <r>
    <d v="2018-11-01T00:00:00"/>
    <s v="2018-19"/>
    <n v="2018"/>
    <n v="11"/>
    <s v="Nov"/>
    <x v="17"/>
    <n v="31"/>
    <s v="Union Territory"/>
    <n v="0.28000000000000003"/>
    <n v="0.57999999999999996"/>
    <n v="0.02"/>
    <n v="0"/>
    <n v="0.88"/>
    <n v="0.88"/>
    <m/>
  </r>
  <r>
    <d v="2018-11-01T00:00:00"/>
    <s v="2018-19"/>
    <n v="2018"/>
    <n v="11"/>
    <s v="Nov"/>
    <x v="18"/>
    <n v="23"/>
    <s v="State"/>
    <n v="477.85"/>
    <n v="651.16999999999996"/>
    <n v="580.91"/>
    <n v="414.15"/>
    <n v="1709.93"/>
    <n v="2124.08"/>
    <m/>
  </r>
  <r>
    <d v="2018-11-01T00:00:00"/>
    <s v="2018-19"/>
    <n v="2018"/>
    <n v="11"/>
    <s v="Nov"/>
    <x v="19"/>
    <n v="27"/>
    <s v="State"/>
    <n v="3784.05"/>
    <n v="4771.82"/>
    <n v="4452.76"/>
    <n v="924.68"/>
    <n v="13008.63"/>
    <n v="13933.31"/>
    <m/>
  </r>
  <r>
    <d v="2018-11-01T00:00:00"/>
    <s v="2018-19"/>
    <n v="2018"/>
    <n v="11"/>
    <s v="Nov"/>
    <x v="20"/>
    <n v="14"/>
    <s v="State"/>
    <n v="6.75"/>
    <n v="11.49"/>
    <n v="3.19"/>
    <n v="0.06"/>
    <n v="21.43"/>
    <n v="21.49"/>
    <m/>
  </r>
  <r>
    <d v="2018-11-01T00:00:00"/>
    <s v="2018-19"/>
    <n v="2018"/>
    <n v="11"/>
    <s v="Nov"/>
    <x v="21"/>
    <n v="17"/>
    <s v="State"/>
    <n v="13.2"/>
    <n v="20.36"/>
    <n v="66.3"/>
    <n v="1.43"/>
    <n v="99.86"/>
    <n v="101.29"/>
    <m/>
  </r>
  <r>
    <d v="2018-11-01T00:00:00"/>
    <s v="2018-19"/>
    <n v="2018"/>
    <n v="11"/>
    <s v="Nov"/>
    <x v="22"/>
    <n v="15"/>
    <s v="State"/>
    <n v="4.6500000000000004"/>
    <n v="7.6"/>
    <n v="3.4"/>
    <n v="0.14000000000000001"/>
    <n v="15.65"/>
    <n v="15.79"/>
    <m/>
  </r>
  <r>
    <d v="2018-11-01T00:00:00"/>
    <s v="2018-19"/>
    <n v="2018"/>
    <n v="11"/>
    <s v="Nov"/>
    <x v="23"/>
    <n v="13"/>
    <s v="State"/>
    <n v="4.2"/>
    <n v="6.38"/>
    <n v="3.98"/>
    <n v="0.53"/>
    <n v="14.56"/>
    <n v="15.09"/>
    <m/>
  </r>
  <r>
    <d v="2018-11-01T00:00:00"/>
    <s v="2018-19"/>
    <n v="2018"/>
    <n v="11"/>
    <s v="Nov"/>
    <x v="24"/>
    <n v="21"/>
    <s v="State"/>
    <n v="424.62"/>
    <n v="551.02"/>
    <n v="895.26"/>
    <n v="503.4"/>
    <n v="1870.9"/>
    <n v="2374.3000000000002"/>
    <m/>
  </r>
  <r>
    <d v="2018-11-01T00:00:00"/>
    <s v="2018-19"/>
    <n v="2018"/>
    <n v="11"/>
    <s v="Nov"/>
    <x v="25"/>
    <n v="34"/>
    <s v="Union Territory"/>
    <n v="18.75"/>
    <n v="30.75"/>
    <n v="117.52"/>
    <n v="3.18"/>
    <n v="167.02"/>
    <n v="170.2"/>
    <m/>
  </r>
  <r>
    <d v="2018-11-01T00:00:00"/>
    <s v="2018-19"/>
    <n v="2018"/>
    <n v="11"/>
    <s v="Nov"/>
    <x v="26"/>
    <n v="3"/>
    <s v="State"/>
    <n v="270.58999999999997"/>
    <n v="469.34"/>
    <n v="472.79"/>
    <n v="7.04"/>
    <n v="1212.72"/>
    <n v="1219.76"/>
    <m/>
  </r>
  <r>
    <d v="2018-11-01T00:00:00"/>
    <s v="2018-19"/>
    <n v="2018"/>
    <n v="11"/>
    <s v="Nov"/>
    <x v="27"/>
    <n v="8"/>
    <s v="State"/>
    <n v="691.17"/>
    <n v="970.8"/>
    <n v="877.69"/>
    <n v="124.38"/>
    <n v="2539.66"/>
    <n v="2664.04"/>
    <m/>
  </r>
  <r>
    <d v="2018-11-01T00:00:00"/>
    <s v="2018-19"/>
    <n v="2018"/>
    <n v="11"/>
    <s v="Nov"/>
    <x v="28"/>
    <n v="11"/>
    <s v="State"/>
    <n v="10.01"/>
    <n v="19.5"/>
    <n v="118.82"/>
    <n v="0.1"/>
    <n v="148.33000000000001"/>
    <n v="148.43"/>
    <m/>
  </r>
  <r>
    <d v="2018-11-01T00:00:00"/>
    <s v="2018-19"/>
    <n v="2018"/>
    <n v="11"/>
    <s v="Nov"/>
    <x v="29"/>
    <n v="33"/>
    <s v="State"/>
    <n v="1462.3"/>
    <n v="2073.2399999999998"/>
    <n v="1747.47"/>
    <n v="530.33000000000004"/>
    <n v="5283.01"/>
    <n v="5813.34"/>
    <m/>
  </r>
  <r>
    <d v="2018-11-01T00:00:00"/>
    <s v="2018-19"/>
    <n v="2018"/>
    <n v="11"/>
    <s v="Nov"/>
    <x v="30"/>
    <n v="36"/>
    <s v="State"/>
    <n v="717.16"/>
    <n v="1004.77"/>
    <n v="795.38"/>
    <n v="549.22"/>
    <n v="2517.31"/>
    <n v="3066.53"/>
    <m/>
  </r>
  <r>
    <d v="2018-11-01T00:00:00"/>
    <s v="2018-19"/>
    <n v="2018"/>
    <n v="11"/>
    <s v="Nov"/>
    <x v="31"/>
    <n v="16"/>
    <s v="State"/>
    <n v="15.39"/>
    <n v="21.59"/>
    <n v="4.28"/>
    <n v="0.1"/>
    <n v="41.26"/>
    <n v="41.36"/>
    <m/>
  </r>
  <r>
    <d v="2018-11-01T00:00:00"/>
    <s v="2018-19"/>
    <n v="2018"/>
    <n v="11"/>
    <s v="Nov"/>
    <x v="32"/>
    <n v="9"/>
    <s v="State"/>
    <n v="1048.55"/>
    <n v="1616.45"/>
    <n v="1386.28"/>
    <n v="1107.06"/>
    <n v="4051.28"/>
    <n v="5158.34"/>
    <m/>
  </r>
  <r>
    <d v="2018-11-01T00:00:00"/>
    <s v="2018-19"/>
    <n v="2018"/>
    <n v="11"/>
    <s v="Nov"/>
    <x v="33"/>
    <n v="5"/>
    <s v="State"/>
    <n v="167.82"/>
    <n v="339.53"/>
    <n v="616.85"/>
    <n v="23.36"/>
    <n v="1124.2"/>
    <n v="1147.56"/>
    <m/>
  </r>
  <r>
    <d v="2018-11-01T00:00:00"/>
    <s v="2018-19"/>
    <n v="2018"/>
    <n v="11"/>
    <s v="Nov"/>
    <x v="34"/>
    <n v="19"/>
    <s v="State"/>
    <n v="873.78"/>
    <n v="1125.81"/>
    <n v="755.08"/>
    <n v="280.11"/>
    <n v="2754.67"/>
    <n v="3034.78"/>
    <m/>
  </r>
  <r>
    <d v="2018-12-01T00:00:00"/>
    <s v="2018-19"/>
    <n v="2018"/>
    <n v="12"/>
    <s v="Dec"/>
    <x v="0"/>
    <n v="35"/>
    <s v="Union Territory"/>
    <n v="7.57"/>
    <n v="11.78"/>
    <n v="2.54"/>
    <n v="0"/>
    <n v="21.89"/>
    <n v="21.89"/>
    <m/>
  </r>
  <r>
    <d v="2018-12-01T00:00:00"/>
    <s v="2018-19"/>
    <n v="2018"/>
    <n v="12"/>
    <s v="Dec"/>
    <x v="1"/>
    <n v="28"/>
    <s v="State"/>
    <n v="503.75"/>
    <n v="697.53"/>
    <n v="831.58"/>
    <n v="15.9"/>
    <n v="2032.86"/>
    <n v="2048.7600000000002"/>
    <m/>
  </r>
  <r>
    <d v="2018-12-01T00:00:00"/>
    <s v="2018-19"/>
    <n v="2018"/>
    <n v="12"/>
    <s v="Dec"/>
    <x v="2"/>
    <n v="12"/>
    <s v="State"/>
    <n v="9.25"/>
    <n v="12.41"/>
    <n v="4.18"/>
    <n v="0.11"/>
    <n v="25.84"/>
    <n v="25.95"/>
    <m/>
  </r>
  <r>
    <d v="2018-12-01T00:00:00"/>
    <s v="2018-19"/>
    <n v="2018"/>
    <n v="12"/>
    <s v="Dec"/>
    <x v="3"/>
    <n v="18"/>
    <s v="State"/>
    <n v="198.43"/>
    <n v="270"/>
    <n v="231.22"/>
    <n v="43.52"/>
    <n v="699.65"/>
    <n v="743.17"/>
    <m/>
  </r>
  <r>
    <d v="2018-12-01T00:00:00"/>
    <s v="2018-19"/>
    <n v="2018"/>
    <n v="12"/>
    <s v="Dec"/>
    <x v="4"/>
    <n v="10"/>
    <s v="State"/>
    <n v="220.52"/>
    <n v="393.52"/>
    <n v="118.85"/>
    <n v="176.37"/>
    <n v="732.89"/>
    <n v="909.26"/>
    <m/>
  </r>
  <r>
    <d v="2018-12-01T00:00:00"/>
    <s v="2018-19"/>
    <n v="2018"/>
    <n v="12"/>
    <s v="Dec"/>
    <x v="5"/>
    <n v="4"/>
    <s v="Union Territory"/>
    <n v="28.68"/>
    <n v="40.64"/>
    <n v="73.33"/>
    <n v="0.22"/>
    <n v="142.65"/>
    <n v="142.87"/>
    <m/>
  </r>
  <r>
    <d v="2018-12-01T00:00:00"/>
    <s v="2018-19"/>
    <n v="2018"/>
    <n v="12"/>
    <s v="Dec"/>
    <x v="6"/>
    <n v="22"/>
    <s v="State"/>
    <n v="314.83999999999997"/>
    <n v="409.71"/>
    <n v="554.25"/>
    <n v="573.20000000000005"/>
    <n v="1278.8"/>
    <n v="1852"/>
    <m/>
  </r>
  <r>
    <d v="2018-12-01T00:00:00"/>
    <s v="2018-19"/>
    <n v="2018"/>
    <n v="12"/>
    <s v="Dec"/>
    <x v="7"/>
    <n v="38"/>
    <s v="Union Territory"/>
    <n v="24.77"/>
    <n v="34.29"/>
    <n v="146.28"/>
    <n v="0.03"/>
    <n v="205.34"/>
    <n v="205.37"/>
    <m/>
  </r>
  <r>
    <d v="2018-12-01T00:00:00"/>
    <s v="2018-19"/>
    <n v="2018"/>
    <n v="12"/>
    <s v="Dec"/>
    <x v="8"/>
    <n v="7"/>
    <s v="Union Territory"/>
    <n v="651.25"/>
    <n v="845.01"/>
    <n v="1560.65"/>
    <n v="89.23"/>
    <n v="3056.91"/>
    <n v="3146.14"/>
    <m/>
  </r>
  <r>
    <d v="2018-12-01T00:00:00"/>
    <s v="2018-19"/>
    <n v="2018"/>
    <n v="12"/>
    <s v="Dec"/>
    <x v="9"/>
    <n v="30"/>
    <s v="State"/>
    <n v="90.59"/>
    <n v="126.43"/>
    <n v="122.79"/>
    <n v="2.2200000000000002"/>
    <n v="339.81"/>
    <n v="342.03"/>
    <m/>
  </r>
  <r>
    <d v="2018-12-01T00:00:00"/>
    <s v="2018-19"/>
    <n v="2018"/>
    <n v="12"/>
    <s v="Dec"/>
    <x v="10"/>
    <n v="24"/>
    <s v="State"/>
    <n v="1514.08"/>
    <n v="1971.89"/>
    <n v="1850.79"/>
    <n v="282.38"/>
    <n v="5336.76"/>
    <n v="5619.14"/>
    <m/>
  </r>
  <r>
    <d v="2018-12-01T00:00:00"/>
    <s v="2018-19"/>
    <n v="2018"/>
    <n v="12"/>
    <s v="Dec"/>
    <x v="11"/>
    <n v="6"/>
    <s v="State"/>
    <n v="657.02"/>
    <n v="971.08"/>
    <n v="2690.77"/>
    <n v="327.43"/>
    <n v="4318.87"/>
    <n v="4646.3"/>
    <m/>
  </r>
  <r>
    <d v="2018-12-01T00:00:00"/>
    <s v="2018-19"/>
    <n v="2018"/>
    <n v="12"/>
    <s v="Dec"/>
    <x v="12"/>
    <n v="2"/>
    <s v="State"/>
    <n v="89.7"/>
    <n v="139.61000000000001"/>
    <n v="364.69"/>
    <n v="0.73"/>
    <n v="594"/>
    <n v="594.73"/>
    <m/>
  </r>
  <r>
    <d v="2018-12-01T00:00:00"/>
    <s v="2018-19"/>
    <n v="2018"/>
    <n v="12"/>
    <s v="Dec"/>
    <x v="13"/>
    <n v="1"/>
    <s v="Union Territory"/>
    <n v="77.94"/>
    <n v="135.15"/>
    <n v="78.59"/>
    <n v="0.87"/>
    <n v="291.68"/>
    <n v="292.55"/>
    <m/>
  </r>
  <r>
    <d v="2018-12-01T00:00:00"/>
    <s v="2018-19"/>
    <n v="2018"/>
    <n v="12"/>
    <s v="Dec"/>
    <x v="14"/>
    <n v="20"/>
    <s v="State"/>
    <n v="298.32"/>
    <n v="411.15"/>
    <n v="855.44"/>
    <n v="430.57"/>
    <n v="1564.91"/>
    <n v="1995.48"/>
    <m/>
  </r>
  <r>
    <d v="2018-12-01T00:00:00"/>
    <s v="2018-19"/>
    <n v="2018"/>
    <n v="12"/>
    <s v="Dec"/>
    <x v="15"/>
    <n v="29"/>
    <s v="State"/>
    <n v="1453.78"/>
    <n v="1950.98"/>
    <n v="2021.54"/>
    <n v="782.34"/>
    <n v="5426.3"/>
    <n v="6208.64"/>
    <m/>
  </r>
  <r>
    <d v="2018-12-01T00:00:00"/>
    <s v="2018-19"/>
    <n v="2018"/>
    <n v="12"/>
    <s v="Dec"/>
    <x v="16"/>
    <n v="32"/>
    <s v="State"/>
    <n v="461.35"/>
    <n v="722.55"/>
    <n v="227.61"/>
    <n v="4.45"/>
    <n v="1411.51"/>
    <n v="1415.96"/>
    <m/>
  </r>
  <r>
    <d v="2018-12-01T00:00:00"/>
    <s v="2018-19"/>
    <n v="2018"/>
    <n v="12"/>
    <s v="Dec"/>
    <x v="17"/>
    <n v="31"/>
    <s v="Union Territory"/>
    <n v="1.67"/>
    <n v="1.85"/>
    <n v="0.03"/>
    <n v="0"/>
    <n v="3.55"/>
    <n v="3.55"/>
    <m/>
  </r>
  <r>
    <d v="2018-12-01T00:00:00"/>
    <s v="2018-19"/>
    <n v="2018"/>
    <n v="12"/>
    <s v="Dec"/>
    <x v="18"/>
    <n v="23"/>
    <s v="State"/>
    <n v="478.27"/>
    <n v="663.38"/>
    <n v="560.78"/>
    <n v="391.92"/>
    <n v="1702.43"/>
    <n v="2094.35"/>
    <m/>
  </r>
  <r>
    <d v="2018-12-01T00:00:00"/>
    <s v="2018-19"/>
    <n v="2018"/>
    <n v="12"/>
    <s v="Dec"/>
    <x v="19"/>
    <n v="27"/>
    <s v="State"/>
    <n v="3689.91"/>
    <n v="4503.08"/>
    <n v="4517.03"/>
    <n v="814.08"/>
    <n v="12710.02"/>
    <n v="13524.1"/>
    <m/>
  </r>
  <r>
    <d v="2018-12-01T00:00:00"/>
    <s v="2018-19"/>
    <n v="2018"/>
    <n v="12"/>
    <s v="Dec"/>
    <x v="20"/>
    <n v="14"/>
    <s v="State"/>
    <n v="9.77"/>
    <n v="15.65"/>
    <n v="1.44"/>
    <n v="0.25"/>
    <n v="26.86"/>
    <n v="27.11"/>
    <m/>
  </r>
  <r>
    <d v="2018-12-01T00:00:00"/>
    <s v="2018-19"/>
    <n v="2018"/>
    <n v="12"/>
    <s v="Dec"/>
    <x v="21"/>
    <n v="17"/>
    <s v="State"/>
    <n v="14.05"/>
    <n v="20.98"/>
    <n v="72.87"/>
    <n v="0.14000000000000001"/>
    <n v="107.9"/>
    <n v="108.04"/>
    <m/>
  </r>
  <r>
    <d v="2018-12-01T00:00:00"/>
    <s v="2018-19"/>
    <n v="2018"/>
    <n v="12"/>
    <s v="Dec"/>
    <x v="22"/>
    <n v="15"/>
    <s v="State"/>
    <n v="3.58"/>
    <n v="6.07"/>
    <n v="3.31"/>
    <n v="0.11"/>
    <n v="12.96"/>
    <n v="13.07"/>
    <m/>
  </r>
  <r>
    <d v="2018-12-01T00:00:00"/>
    <s v="2018-19"/>
    <n v="2018"/>
    <n v="12"/>
    <s v="Dec"/>
    <x v="23"/>
    <n v="13"/>
    <s v="State"/>
    <n v="4.25"/>
    <n v="6.87"/>
    <n v="4.55"/>
    <n v="0.87"/>
    <n v="15.67"/>
    <n v="16.54"/>
    <m/>
  </r>
  <r>
    <d v="2018-12-01T00:00:00"/>
    <s v="2018-19"/>
    <n v="2018"/>
    <n v="12"/>
    <s v="Dec"/>
    <x v="24"/>
    <n v="21"/>
    <s v="State"/>
    <n v="443.58"/>
    <n v="572.38"/>
    <n v="823.6"/>
    <n v="507.03"/>
    <n v="1839.56"/>
    <n v="2346.59"/>
    <m/>
  </r>
  <r>
    <d v="2018-12-01T00:00:00"/>
    <s v="2018-19"/>
    <n v="2018"/>
    <n v="12"/>
    <s v="Dec"/>
    <x v="25"/>
    <n v="34"/>
    <s v="Union Territory"/>
    <n v="17.88"/>
    <n v="29.22"/>
    <n v="104.65"/>
    <n v="0.15"/>
    <n v="151.75"/>
    <n v="151.9"/>
    <m/>
  </r>
  <r>
    <d v="2018-12-01T00:00:00"/>
    <s v="2018-19"/>
    <n v="2018"/>
    <n v="12"/>
    <s v="Dec"/>
    <x v="26"/>
    <n v="3"/>
    <s v="State"/>
    <n v="273.49"/>
    <n v="459.58"/>
    <n v="422.78"/>
    <n v="6.62"/>
    <n v="1155.8499999999999"/>
    <n v="1162.47"/>
    <m/>
  </r>
  <r>
    <d v="2018-12-01T00:00:00"/>
    <s v="2018-19"/>
    <n v="2018"/>
    <n v="12"/>
    <s v="Dec"/>
    <x v="27"/>
    <n v="8"/>
    <s v="State"/>
    <n v="668.7"/>
    <n v="924.61"/>
    <n v="752.85"/>
    <n v="110.26"/>
    <n v="2346.16"/>
    <n v="2456.42"/>
    <m/>
  </r>
  <r>
    <d v="2018-12-01T00:00:00"/>
    <s v="2018-19"/>
    <n v="2018"/>
    <n v="12"/>
    <s v="Dec"/>
    <x v="28"/>
    <n v="11"/>
    <s v="State"/>
    <n v="7.3"/>
    <n v="11.49"/>
    <n v="130.66"/>
    <n v="0.28000000000000003"/>
    <n v="149.44999999999999"/>
    <n v="149.72999999999999"/>
    <m/>
  </r>
  <r>
    <d v="2018-12-01T00:00:00"/>
    <s v="2018-19"/>
    <n v="2018"/>
    <n v="12"/>
    <s v="Dec"/>
    <x v="29"/>
    <n v="33"/>
    <s v="State"/>
    <n v="1383.79"/>
    <n v="1987.28"/>
    <n v="1536.21"/>
    <n v="507.8"/>
    <n v="4907.28"/>
    <n v="5415.08"/>
    <m/>
  </r>
  <r>
    <d v="2018-12-01T00:00:00"/>
    <s v="2018-19"/>
    <n v="2018"/>
    <n v="12"/>
    <s v="Dec"/>
    <x v="30"/>
    <n v="36"/>
    <s v="State"/>
    <n v="649.70000000000005"/>
    <n v="907.83"/>
    <n v="879.44"/>
    <n v="577.33000000000004"/>
    <n v="2436.9699999999998"/>
    <n v="3014.3"/>
    <m/>
  </r>
  <r>
    <d v="2018-12-01T00:00:00"/>
    <s v="2018-19"/>
    <n v="2018"/>
    <n v="12"/>
    <s v="Dec"/>
    <x v="31"/>
    <n v="16"/>
    <s v="State"/>
    <n v="17.29"/>
    <n v="25.65"/>
    <n v="4.8899999999999997"/>
    <n v="0.14000000000000001"/>
    <n v="47.83"/>
    <n v="47.97"/>
    <m/>
  </r>
  <r>
    <d v="2018-12-01T00:00:00"/>
    <s v="2018-19"/>
    <n v="2018"/>
    <n v="12"/>
    <s v="Dec"/>
    <x v="32"/>
    <n v="9"/>
    <s v="State"/>
    <n v="1065.01"/>
    <n v="1622.84"/>
    <n v="1206.53"/>
    <n v="1062.4000000000001"/>
    <n v="3894.38"/>
    <n v="4956.78"/>
    <m/>
  </r>
  <r>
    <d v="2018-12-01T00:00:00"/>
    <s v="2018-19"/>
    <n v="2018"/>
    <n v="12"/>
    <s v="Dec"/>
    <x v="33"/>
    <n v="5"/>
    <s v="State"/>
    <n v="154.25"/>
    <n v="292.68"/>
    <n v="591.46"/>
    <n v="16.84"/>
    <n v="1038.3900000000001"/>
    <n v="1055.23"/>
    <m/>
  </r>
  <r>
    <d v="2018-12-01T00:00:00"/>
    <s v="2018-19"/>
    <n v="2018"/>
    <n v="12"/>
    <s v="Dec"/>
    <x v="34"/>
    <n v="19"/>
    <s v="State"/>
    <n v="937.4"/>
    <n v="1230.53"/>
    <n v="737.13"/>
    <n v="324.94"/>
    <n v="2905.06"/>
    <n v="3230"/>
    <m/>
  </r>
  <r>
    <d v="2019-01-01T00:00:00"/>
    <s v="2018-19"/>
    <n v="2019"/>
    <n v="1"/>
    <s v="Jan"/>
    <x v="0"/>
    <n v="35"/>
    <s v="Union Territory"/>
    <n v="12.48"/>
    <n v="18.079999999999998"/>
    <n v="3.95"/>
    <n v="0.02"/>
    <n v="34.51"/>
    <n v="34.53"/>
    <m/>
  </r>
  <r>
    <d v="2019-01-01T00:00:00"/>
    <s v="2018-19"/>
    <n v="2019"/>
    <n v="1"/>
    <s v="Jan"/>
    <x v="1"/>
    <n v="28"/>
    <s v="State"/>
    <n v="538.51"/>
    <n v="785.8"/>
    <n v="811.71"/>
    <n v="22.71"/>
    <n v="2136.02"/>
    <n v="2158.73"/>
    <m/>
  </r>
  <r>
    <d v="2019-01-01T00:00:00"/>
    <s v="2018-19"/>
    <n v="2019"/>
    <n v="1"/>
    <s v="Jan"/>
    <x v="2"/>
    <n v="12"/>
    <s v="State"/>
    <n v="14.39"/>
    <n v="19.440000000000001"/>
    <n v="4.37"/>
    <n v="0.04"/>
    <n v="38.200000000000003"/>
    <n v="38.24"/>
    <m/>
  </r>
  <r>
    <d v="2019-01-01T00:00:00"/>
    <s v="2018-19"/>
    <n v="2019"/>
    <n v="1"/>
    <s v="Jan"/>
    <x v="3"/>
    <n v="18"/>
    <s v="State"/>
    <n v="206.59"/>
    <n v="318.58999999999997"/>
    <n v="214.71"/>
    <n v="47.01"/>
    <n v="739.89"/>
    <n v="786.9"/>
    <m/>
  </r>
  <r>
    <d v="2019-01-01T00:00:00"/>
    <s v="2018-19"/>
    <n v="2019"/>
    <n v="1"/>
    <s v="Jan"/>
    <x v="4"/>
    <n v="10"/>
    <s v="State"/>
    <n v="253.9"/>
    <n v="453.13"/>
    <n v="137.63999999999999"/>
    <n v="194.78"/>
    <n v="844.67"/>
    <n v="1039.45"/>
    <m/>
  </r>
  <r>
    <d v="2019-01-01T00:00:00"/>
    <s v="2018-19"/>
    <n v="2019"/>
    <n v="1"/>
    <s v="Jan"/>
    <x v="5"/>
    <n v="4"/>
    <s v="Union Territory"/>
    <n v="31.08"/>
    <n v="50.15"/>
    <n v="76.459999999999994"/>
    <n v="1.35"/>
    <n v="157.69"/>
    <n v="159.04"/>
    <m/>
  </r>
  <r>
    <d v="2019-01-01T00:00:00"/>
    <s v="2018-19"/>
    <n v="2019"/>
    <n v="1"/>
    <s v="Jan"/>
    <x v="6"/>
    <n v="22"/>
    <s v="State"/>
    <n v="347.93"/>
    <n v="453.89"/>
    <n v="702.93"/>
    <n v="559.34"/>
    <n v="1504.75"/>
    <n v="2064.09"/>
    <m/>
  </r>
  <r>
    <d v="2019-01-01T00:00:00"/>
    <s v="2018-19"/>
    <n v="2019"/>
    <n v="1"/>
    <s v="Jan"/>
    <x v="7"/>
    <n v="38"/>
    <s v="Union Territory"/>
    <n v="27.79"/>
    <n v="44.22"/>
    <n v="201.29"/>
    <n v="0.41"/>
    <n v="273.3"/>
    <n v="273.70999999999998"/>
    <m/>
  </r>
  <r>
    <d v="2019-01-01T00:00:00"/>
    <s v="2018-19"/>
    <n v="2019"/>
    <n v="1"/>
    <s v="Jan"/>
    <x v="8"/>
    <n v="7"/>
    <s v="Union Territory"/>
    <n v="693.59"/>
    <n v="945.91"/>
    <n v="1782.94"/>
    <n v="102.72"/>
    <n v="3422.44"/>
    <n v="3525.16"/>
    <m/>
  </r>
  <r>
    <d v="2019-01-01T00:00:00"/>
    <s v="2018-19"/>
    <n v="2019"/>
    <n v="1"/>
    <s v="Jan"/>
    <x v="9"/>
    <n v="30"/>
    <s v="State"/>
    <n v="99.47"/>
    <n v="150.80000000000001"/>
    <n v="140.79"/>
    <n v="2.75"/>
    <n v="391.06"/>
    <n v="393.81"/>
    <m/>
  </r>
  <r>
    <d v="2019-01-01T00:00:00"/>
    <s v="2018-19"/>
    <n v="2019"/>
    <n v="1"/>
    <s v="Jan"/>
    <x v="10"/>
    <n v="24"/>
    <s v="State"/>
    <n v="1722.12"/>
    <n v="2227.25"/>
    <n v="1932.56"/>
    <n v="302.92"/>
    <n v="5881.93"/>
    <n v="6184.85"/>
    <m/>
  </r>
  <r>
    <d v="2019-01-01T00:00:00"/>
    <s v="2018-19"/>
    <n v="2019"/>
    <n v="1"/>
    <s v="Jan"/>
    <x v="11"/>
    <n v="6"/>
    <s v="State"/>
    <n v="728.94"/>
    <n v="1065.1500000000001"/>
    <n v="2679.34"/>
    <n v="341.3"/>
    <n v="4473.43"/>
    <n v="4814.7299999999996"/>
    <m/>
  </r>
  <r>
    <d v="2019-01-01T00:00:00"/>
    <s v="2018-19"/>
    <n v="2019"/>
    <n v="1"/>
    <s v="Jan"/>
    <x v="12"/>
    <n v="2"/>
    <s v="State"/>
    <n v="88.48"/>
    <n v="145.29"/>
    <n v="410.31"/>
    <n v="2.67"/>
    <n v="644.08000000000004"/>
    <n v="646.75"/>
    <m/>
  </r>
  <r>
    <d v="2019-01-01T00:00:00"/>
    <s v="2018-19"/>
    <n v="2019"/>
    <n v="1"/>
    <s v="Jan"/>
    <x v="13"/>
    <n v="1"/>
    <s v="Union Territory"/>
    <n v="94.44"/>
    <n v="160.06"/>
    <n v="75.290000000000006"/>
    <n v="1.41"/>
    <n v="329.79"/>
    <n v="331.2"/>
    <m/>
  </r>
  <r>
    <d v="2019-01-01T00:00:00"/>
    <s v="2018-19"/>
    <n v="2019"/>
    <n v="1"/>
    <s v="Jan"/>
    <x v="14"/>
    <n v="20"/>
    <s v="State"/>
    <n v="319.85000000000002"/>
    <n v="447.26"/>
    <n v="755.72"/>
    <n v="441.95"/>
    <n v="1522.83"/>
    <n v="1964.78"/>
    <m/>
  </r>
  <r>
    <d v="2019-01-01T00:00:00"/>
    <s v="2018-19"/>
    <n v="2019"/>
    <n v="1"/>
    <s v="Jan"/>
    <x v="15"/>
    <n v="29"/>
    <s v="State"/>
    <n v="1619.03"/>
    <n v="2193.54"/>
    <n v="2546.5700000000002"/>
    <n v="970.16"/>
    <n v="6359.14"/>
    <n v="7329.3"/>
    <m/>
  </r>
  <r>
    <d v="2019-01-01T00:00:00"/>
    <s v="2018-19"/>
    <n v="2019"/>
    <n v="1"/>
    <s v="Jan"/>
    <x v="16"/>
    <n v="32"/>
    <s v="State"/>
    <n v="474.91"/>
    <n v="821.39"/>
    <n v="275.22000000000003"/>
    <n v="12.83"/>
    <n v="1571.52"/>
    <n v="1584.35"/>
    <m/>
  </r>
  <r>
    <d v="2019-01-01T00:00:00"/>
    <s v="2018-19"/>
    <n v="2019"/>
    <n v="1"/>
    <s v="Jan"/>
    <x v="17"/>
    <n v="31"/>
    <s v="Union Territory"/>
    <n v="0.44"/>
    <n v="0.6"/>
    <n v="0.04"/>
    <n v="0"/>
    <n v="1.08"/>
    <n v="1.08"/>
    <m/>
  </r>
  <r>
    <d v="2019-01-01T00:00:00"/>
    <s v="2018-19"/>
    <n v="2019"/>
    <n v="1"/>
    <s v="Jan"/>
    <x v="18"/>
    <n v="23"/>
    <s v="State"/>
    <n v="548.04999999999995"/>
    <n v="756.42"/>
    <n v="656.76"/>
    <n v="452.89"/>
    <n v="1961.23"/>
    <n v="2414.12"/>
    <m/>
  </r>
  <r>
    <d v="2019-01-01T00:00:00"/>
    <s v="2018-19"/>
    <n v="2019"/>
    <n v="1"/>
    <s v="Jan"/>
    <x v="19"/>
    <n v="27"/>
    <s v="State"/>
    <n v="3850.33"/>
    <n v="4837.32"/>
    <n v="5491.97"/>
    <n v="971.06"/>
    <n v="14179.62"/>
    <n v="15150.68"/>
    <m/>
  </r>
  <r>
    <d v="2019-01-01T00:00:00"/>
    <s v="2018-19"/>
    <n v="2019"/>
    <n v="1"/>
    <s v="Jan"/>
    <x v="20"/>
    <n v="14"/>
    <s v="State"/>
    <n v="8.5299999999999994"/>
    <n v="13.54"/>
    <n v="1.51"/>
    <n v="0.13"/>
    <n v="23.58"/>
    <n v="23.71"/>
    <m/>
  </r>
  <r>
    <d v="2019-01-01T00:00:00"/>
    <s v="2018-19"/>
    <n v="2019"/>
    <n v="1"/>
    <s v="Jan"/>
    <x v="21"/>
    <n v="17"/>
    <s v="State"/>
    <n v="16.61"/>
    <n v="23.74"/>
    <n v="62.76"/>
    <n v="0.81"/>
    <n v="103.11"/>
    <n v="103.92"/>
    <m/>
  </r>
  <r>
    <d v="2019-01-01T00:00:00"/>
    <s v="2018-19"/>
    <n v="2019"/>
    <n v="1"/>
    <s v="Jan"/>
    <x v="22"/>
    <n v="15"/>
    <s v="State"/>
    <n v="7.1"/>
    <n v="11.91"/>
    <n v="7.26"/>
    <n v="0.14000000000000001"/>
    <n v="26.27"/>
    <n v="26.41"/>
    <m/>
  </r>
  <r>
    <d v="2019-01-01T00:00:00"/>
    <s v="2018-19"/>
    <n v="2019"/>
    <n v="1"/>
    <s v="Jan"/>
    <x v="23"/>
    <n v="13"/>
    <s v="State"/>
    <n v="4.8600000000000003"/>
    <n v="6.93"/>
    <n v="4.74"/>
    <n v="0.9"/>
    <n v="16.53"/>
    <n v="17.43"/>
    <m/>
  </r>
  <r>
    <d v="2019-01-01T00:00:00"/>
    <s v="2018-19"/>
    <n v="2019"/>
    <n v="1"/>
    <s v="Jan"/>
    <x v="24"/>
    <n v="21"/>
    <s v="State"/>
    <n v="448.85"/>
    <n v="596.19000000000005"/>
    <n v="821.84"/>
    <n v="471.15"/>
    <n v="1866.88"/>
    <n v="2338.0300000000002"/>
    <m/>
  </r>
  <r>
    <d v="2019-01-01T00:00:00"/>
    <s v="2018-19"/>
    <n v="2019"/>
    <n v="1"/>
    <s v="Jan"/>
    <x v="25"/>
    <n v="34"/>
    <s v="Union Territory"/>
    <n v="20.72"/>
    <n v="35.54"/>
    <n v="101.43"/>
    <n v="1.28"/>
    <n v="157.69"/>
    <n v="158.97"/>
    <m/>
  </r>
  <r>
    <d v="2019-01-01T00:00:00"/>
    <s v="2018-19"/>
    <n v="2019"/>
    <n v="1"/>
    <s v="Jan"/>
    <x v="26"/>
    <n v="3"/>
    <s v="State"/>
    <n v="296.89"/>
    <n v="529.1"/>
    <n v="374.68"/>
    <n v="15.36"/>
    <n v="1200.67"/>
    <n v="1216.03"/>
    <m/>
  </r>
  <r>
    <d v="2019-01-01T00:00:00"/>
    <s v="2018-19"/>
    <n v="2019"/>
    <n v="1"/>
    <s v="Jan"/>
    <x v="27"/>
    <n v="8"/>
    <s v="State"/>
    <n v="709.63"/>
    <n v="1036.73"/>
    <n v="898.3"/>
    <n v="131.28"/>
    <n v="2644.66"/>
    <n v="2775.94"/>
    <m/>
  </r>
  <r>
    <d v="2019-01-01T00:00:00"/>
    <s v="2018-19"/>
    <n v="2019"/>
    <n v="1"/>
    <s v="Jan"/>
    <x v="28"/>
    <n v="11"/>
    <s v="State"/>
    <n v="8.59"/>
    <n v="14.55"/>
    <n v="151.94"/>
    <n v="0.44"/>
    <n v="175.08"/>
    <n v="175.52"/>
    <m/>
  </r>
  <r>
    <d v="2019-01-01T00:00:00"/>
    <s v="2018-19"/>
    <n v="2019"/>
    <n v="1"/>
    <s v="Jan"/>
    <x v="29"/>
    <n v="33"/>
    <s v="State"/>
    <n v="1479.07"/>
    <n v="2178.52"/>
    <n v="1917.79"/>
    <n v="625.91999999999996"/>
    <n v="5575.38"/>
    <n v="6201.3"/>
    <m/>
  </r>
  <r>
    <d v="2019-01-01T00:00:00"/>
    <s v="2018-19"/>
    <n v="2019"/>
    <n v="1"/>
    <s v="Jan"/>
    <x v="30"/>
    <n v="36"/>
    <s v="State"/>
    <n v="711.7"/>
    <n v="992.46"/>
    <n v="886.05"/>
    <n v="604.74"/>
    <n v="2590.21"/>
    <n v="3194.95"/>
    <m/>
  </r>
  <r>
    <d v="2019-01-01T00:00:00"/>
    <s v="2018-19"/>
    <n v="2019"/>
    <n v="1"/>
    <s v="Jan"/>
    <x v="31"/>
    <n v="16"/>
    <s v="State"/>
    <n v="18.73"/>
    <n v="26.75"/>
    <n v="6.45"/>
    <n v="0.23"/>
    <n v="51.93"/>
    <n v="52.16"/>
    <m/>
  </r>
  <r>
    <d v="2019-01-01T00:00:00"/>
    <s v="2018-19"/>
    <n v="2019"/>
    <n v="1"/>
    <s v="Jan"/>
    <x v="32"/>
    <n v="9"/>
    <s v="State"/>
    <n v="1159.57"/>
    <n v="1864.76"/>
    <n v="1336.79"/>
    <n v="1123.98"/>
    <n v="4361.12"/>
    <n v="5485.1"/>
    <m/>
  </r>
  <r>
    <d v="2019-01-01T00:00:00"/>
    <s v="2018-19"/>
    <n v="2019"/>
    <n v="1"/>
    <s v="Jan"/>
    <x v="33"/>
    <n v="5"/>
    <s v="State"/>
    <n v="175.9"/>
    <n v="303.33"/>
    <n v="652.76"/>
    <n v="13.63"/>
    <n v="1131.99"/>
    <n v="1145.6199999999999"/>
    <m/>
  </r>
  <r>
    <d v="2019-01-01T00:00:00"/>
    <s v="2018-19"/>
    <n v="2019"/>
    <n v="1"/>
    <s v="Jan"/>
    <x v="34"/>
    <n v="19"/>
    <s v="State"/>
    <n v="996.6"/>
    <n v="1262.49"/>
    <n v="866.97"/>
    <n v="369.3"/>
    <n v="3126.06"/>
    <n v="3495.36"/>
    <m/>
  </r>
  <r>
    <d v="2019-02-01T00:00:00"/>
    <s v="2018-19"/>
    <n v="2019"/>
    <n v="2"/>
    <s v="Feb"/>
    <x v="0"/>
    <n v="35"/>
    <s v="Union Territory"/>
    <n v="9.2899999999999991"/>
    <n v="13.27"/>
    <n v="2.06"/>
    <n v="0.15"/>
    <n v="24.62"/>
    <n v="24.77"/>
    <m/>
  </r>
  <r>
    <d v="2019-02-01T00:00:00"/>
    <s v="2018-19"/>
    <n v="2019"/>
    <n v="2"/>
    <s v="Feb"/>
    <x v="1"/>
    <n v="28"/>
    <s v="State"/>
    <n v="536.88"/>
    <n v="740.28"/>
    <n v="795.66"/>
    <n v="15.56"/>
    <n v="2072.8200000000002"/>
    <n v="2088.38"/>
    <m/>
  </r>
  <r>
    <d v="2019-02-01T00:00:00"/>
    <s v="2018-19"/>
    <n v="2019"/>
    <n v="2"/>
    <s v="Feb"/>
    <x v="2"/>
    <n v="12"/>
    <s v="State"/>
    <n v="11.85"/>
    <n v="15.83"/>
    <n v="4.09"/>
    <n v="0.19"/>
    <n v="31.77"/>
    <n v="31.96"/>
    <m/>
  </r>
  <r>
    <d v="2019-02-01T00:00:00"/>
    <s v="2018-19"/>
    <n v="2019"/>
    <n v="2"/>
    <s v="Feb"/>
    <x v="3"/>
    <n v="18"/>
    <s v="State"/>
    <n v="221.52"/>
    <n v="311.02999999999997"/>
    <n v="170.13"/>
    <n v="33.630000000000003"/>
    <n v="702.68"/>
    <n v="736.31"/>
    <m/>
  </r>
  <r>
    <d v="2019-02-01T00:00:00"/>
    <s v="2018-19"/>
    <n v="2019"/>
    <n v="2"/>
    <s v="Feb"/>
    <x v="4"/>
    <n v="10"/>
    <s v="State"/>
    <n v="244.27"/>
    <n v="433.15"/>
    <n v="113.4"/>
    <n v="170.2"/>
    <n v="790.82"/>
    <n v="961.02"/>
    <m/>
  </r>
  <r>
    <d v="2019-02-01T00:00:00"/>
    <s v="2018-19"/>
    <n v="2019"/>
    <n v="2"/>
    <s v="Feb"/>
    <x v="5"/>
    <n v="4"/>
    <s v="Union Territory"/>
    <n v="27.91"/>
    <n v="41.39"/>
    <n v="76.98"/>
    <n v="0.32"/>
    <n v="146.28"/>
    <n v="146.6"/>
    <m/>
  </r>
  <r>
    <d v="2019-02-01T00:00:00"/>
    <s v="2018-19"/>
    <n v="2019"/>
    <n v="2"/>
    <s v="Feb"/>
    <x v="6"/>
    <n v="22"/>
    <s v="State"/>
    <n v="405.9"/>
    <n v="514.54999999999995"/>
    <n v="648.95000000000005"/>
    <n v="498.23"/>
    <n v="1569.4"/>
    <n v="2067.63"/>
    <m/>
  </r>
  <r>
    <d v="2019-02-01T00:00:00"/>
    <s v="2018-19"/>
    <n v="2019"/>
    <n v="2"/>
    <s v="Feb"/>
    <x v="7"/>
    <n v="38"/>
    <s v="Union Territory"/>
    <n v="27.37"/>
    <n v="37.42"/>
    <n v="166.22"/>
    <n v="7.0000000000000007E-2"/>
    <n v="231.01"/>
    <n v="231.08"/>
    <m/>
  </r>
  <r>
    <d v="2019-02-01T00:00:00"/>
    <s v="2018-19"/>
    <n v="2019"/>
    <n v="2"/>
    <s v="Feb"/>
    <x v="8"/>
    <n v="7"/>
    <s v="Union Territory"/>
    <n v="712.48"/>
    <n v="918.21"/>
    <n v="1704.35"/>
    <n v="87.15"/>
    <n v="3335.04"/>
    <n v="3422.19"/>
    <m/>
  </r>
  <r>
    <d v="2019-02-01T00:00:00"/>
    <s v="2018-19"/>
    <n v="2019"/>
    <n v="2"/>
    <s v="Feb"/>
    <x v="9"/>
    <n v="30"/>
    <s v="State"/>
    <n v="90.55"/>
    <n v="140.52000000000001"/>
    <n v="167.16"/>
    <n v="2.5099999999999998"/>
    <n v="398.23"/>
    <n v="400.74"/>
    <m/>
  </r>
  <r>
    <d v="2019-02-01T00:00:00"/>
    <s v="2018-19"/>
    <n v="2019"/>
    <n v="2"/>
    <s v="Feb"/>
    <x v="10"/>
    <n v="24"/>
    <s v="State"/>
    <n v="1729.6"/>
    <n v="2256.59"/>
    <n v="2108.14"/>
    <n v="412.69"/>
    <n v="6094.33"/>
    <n v="6507.02"/>
    <m/>
  </r>
  <r>
    <d v="2019-02-01T00:00:00"/>
    <s v="2018-19"/>
    <n v="2019"/>
    <n v="2"/>
    <s v="Feb"/>
    <x v="11"/>
    <n v="6"/>
    <s v="State"/>
    <n v="694.39"/>
    <n v="1063.1500000000001"/>
    <n v="2819.9"/>
    <n v="295.48"/>
    <n v="4577.4399999999996"/>
    <n v="4872.92"/>
    <m/>
  </r>
  <r>
    <d v="2019-02-01T00:00:00"/>
    <s v="2018-19"/>
    <n v="2019"/>
    <n v="2"/>
    <s v="Feb"/>
    <x v="12"/>
    <n v="2"/>
    <s v="State"/>
    <n v="89.32"/>
    <n v="131.21"/>
    <n v="388.59"/>
    <n v="0.87"/>
    <n v="609.12"/>
    <n v="609.99"/>
    <m/>
  </r>
  <r>
    <d v="2019-02-01T00:00:00"/>
    <s v="2018-19"/>
    <n v="2019"/>
    <n v="2"/>
    <s v="Feb"/>
    <x v="13"/>
    <n v="1"/>
    <s v="Union Territory"/>
    <n v="97.02"/>
    <n v="139.24"/>
    <n v="67.290000000000006"/>
    <n v="1.95"/>
    <n v="303.55"/>
    <n v="305.5"/>
    <m/>
  </r>
  <r>
    <d v="2019-02-01T00:00:00"/>
    <s v="2018-19"/>
    <n v="2019"/>
    <n v="2"/>
    <s v="Feb"/>
    <x v="14"/>
    <n v="20"/>
    <s v="State"/>
    <n v="325.70999999999998"/>
    <n v="432.22"/>
    <n v="877.14"/>
    <n v="485.84"/>
    <n v="1635.07"/>
    <n v="2120.91"/>
    <m/>
  </r>
  <r>
    <d v="2019-02-01T00:00:00"/>
    <s v="2018-19"/>
    <n v="2019"/>
    <n v="2"/>
    <s v="Feb"/>
    <x v="15"/>
    <n v="29"/>
    <s v="State"/>
    <n v="1513"/>
    <n v="2058.35"/>
    <n v="2133.29"/>
    <n v="748.64"/>
    <n v="5704.64"/>
    <n v="6453.28"/>
    <m/>
  </r>
  <r>
    <d v="2019-02-01T00:00:00"/>
    <s v="2018-19"/>
    <n v="2019"/>
    <n v="2"/>
    <s v="Feb"/>
    <x v="16"/>
    <n v="32"/>
    <s v="State"/>
    <n v="447.04"/>
    <n v="717.8"/>
    <n v="244.58"/>
    <n v="6.59"/>
    <n v="1409.42"/>
    <n v="1416.01"/>
    <m/>
  </r>
  <r>
    <d v="2019-02-01T00:00:00"/>
    <s v="2018-19"/>
    <n v="2019"/>
    <n v="2"/>
    <s v="Feb"/>
    <x v="17"/>
    <n v="31"/>
    <s v="Union Territory"/>
    <n v="0.92"/>
    <n v="1.72"/>
    <n v="0.05"/>
    <n v="0"/>
    <n v="2.69"/>
    <n v="2.69"/>
    <m/>
  </r>
  <r>
    <d v="2019-02-01T00:00:00"/>
    <s v="2018-19"/>
    <n v="2019"/>
    <n v="2"/>
    <s v="Feb"/>
    <x v="18"/>
    <n v="23"/>
    <s v="State"/>
    <n v="541.87"/>
    <n v="734.57"/>
    <n v="588.15"/>
    <n v="426.81"/>
    <n v="1864.59"/>
    <n v="2291.4"/>
    <m/>
  </r>
  <r>
    <d v="2019-02-01T00:00:00"/>
    <s v="2018-19"/>
    <n v="2019"/>
    <n v="2"/>
    <s v="Feb"/>
    <x v="19"/>
    <n v="27"/>
    <s v="State"/>
    <n v="3762.15"/>
    <n v="4750.96"/>
    <n v="4514.5600000000004"/>
    <n v="1064.0999999999999"/>
    <n v="13027.67"/>
    <n v="14091.77"/>
    <m/>
  </r>
  <r>
    <d v="2019-02-01T00:00:00"/>
    <s v="2018-19"/>
    <n v="2019"/>
    <n v="2"/>
    <s v="Feb"/>
    <x v="20"/>
    <n v="14"/>
    <s v="State"/>
    <n v="6.75"/>
    <n v="12.59"/>
    <n v="1.68"/>
    <n v="0.09"/>
    <n v="21.02"/>
    <n v="21.11"/>
    <m/>
  </r>
  <r>
    <d v="2019-02-01T00:00:00"/>
    <s v="2018-19"/>
    <n v="2019"/>
    <n v="2"/>
    <s v="Feb"/>
    <x v="21"/>
    <n v="17"/>
    <s v="State"/>
    <n v="18.3"/>
    <n v="23.92"/>
    <n v="85.71"/>
    <n v="0.95"/>
    <n v="127.93"/>
    <n v="128.88"/>
    <m/>
  </r>
  <r>
    <d v="2019-02-01T00:00:00"/>
    <s v="2018-19"/>
    <n v="2019"/>
    <n v="2"/>
    <s v="Feb"/>
    <x v="22"/>
    <n v="15"/>
    <s v="State"/>
    <n v="6.22"/>
    <n v="10.45"/>
    <n v="5.46"/>
    <n v="0"/>
    <n v="22.13"/>
    <n v="22.13"/>
    <m/>
  </r>
  <r>
    <d v="2019-02-01T00:00:00"/>
    <s v="2018-19"/>
    <n v="2019"/>
    <n v="2"/>
    <s v="Feb"/>
    <x v="23"/>
    <n v="13"/>
    <s v="State"/>
    <n v="5.0999999999999996"/>
    <n v="8.18"/>
    <n v="4.21"/>
    <n v="2.16"/>
    <n v="17.489999999999998"/>
    <n v="19.649999999999999"/>
    <m/>
  </r>
  <r>
    <d v="2019-02-01T00:00:00"/>
    <s v="2018-19"/>
    <n v="2019"/>
    <n v="2"/>
    <s v="Feb"/>
    <x v="24"/>
    <n v="21"/>
    <s v="State"/>
    <n v="526.17999999999995"/>
    <n v="672.99"/>
    <n v="725.24"/>
    <n v="449.63"/>
    <n v="1924.41"/>
    <n v="2374.04"/>
    <m/>
  </r>
  <r>
    <d v="2019-02-01T00:00:00"/>
    <s v="2018-19"/>
    <n v="2019"/>
    <n v="2"/>
    <s v="Feb"/>
    <x v="25"/>
    <n v="34"/>
    <s v="Union Territory"/>
    <n v="19.39"/>
    <n v="32.479999999999997"/>
    <n v="123.27"/>
    <n v="0.16"/>
    <n v="175.14"/>
    <n v="175.3"/>
    <m/>
  </r>
  <r>
    <d v="2019-02-01T00:00:00"/>
    <s v="2018-19"/>
    <n v="2019"/>
    <n v="2"/>
    <s v="Feb"/>
    <x v="26"/>
    <n v="3"/>
    <s v="State"/>
    <n v="267.7"/>
    <n v="453.2"/>
    <n v="370.14"/>
    <n v="9.01"/>
    <n v="1091.04"/>
    <n v="1100.05"/>
    <m/>
  </r>
  <r>
    <d v="2019-02-01T00:00:00"/>
    <s v="2018-19"/>
    <n v="2019"/>
    <n v="2"/>
    <s v="Feb"/>
    <x v="27"/>
    <n v="8"/>
    <s v="State"/>
    <n v="693.05"/>
    <n v="986.86"/>
    <n v="875.79"/>
    <n v="120.23"/>
    <n v="2555.6999999999998"/>
    <n v="2675.93"/>
    <m/>
  </r>
  <r>
    <d v="2019-02-01T00:00:00"/>
    <s v="2018-19"/>
    <n v="2019"/>
    <n v="2"/>
    <s v="Feb"/>
    <x v="28"/>
    <n v="11"/>
    <s v="State"/>
    <n v="8.9700000000000006"/>
    <n v="13.98"/>
    <n v="121.92"/>
    <n v="0.02"/>
    <n v="144.87"/>
    <n v="144.88999999999999"/>
    <m/>
  </r>
  <r>
    <d v="2019-02-01T00:00:00"/>
    <s v="2018-19"/>
    <n v="2019"/>
    <n v="2"/>
    <s v="Feb"/>
    <x v="29"/>
    <n v="33"/>
    <s v="State"/>
    <n v="1509.93"/>
    <n v="2115.9299999999998"/>
    <n v="1797.3"/>
    <n v="551.04999999999995"/>
    <n v="5423.16"/>
    <n v="5974.21"/>
    <m/>
  </r>
  <r>
    <d v="2019-02-01T00:00:00"/>
    <s v="2018-19"/>
    <n v="2019"/>
    <n v="2"/>
    <s v="Feb"/>
    <x v="30"/>
    <n v="36"/>
    <s v="State"/>
    <n v="786.13"/>
    <n v="1040.23"/>
    <n v="934.48"/>
    <n v="699.09"/>
    <n v="2760.84"/>
    <n v="3459.93"/>
    <m/>
  </r>
  <r>
    <d v="2019-02-01T00:00:00"/>
    <s v="2018-19"/>
    <n v="2019"/>
    <n v="2"/>
    <s v="Feb"/>
    <x v="31"/>
    <n v="16"/>
    <s v="State"/>
    <n v="16.670000000000002"/>
    <n v="23.58"/>
    <n v="5.65"/>
    <n v="0.21"/>
    <n v="45.9"/>
    <n v="46.11"/>
    <m/>
  </r>
  <r>
    <d v="2019-02-01T00:00:00"/>
    <s v="2018-19"/>
    <n v="2019"/>
    <n v="2"/>
    <s v="Feb"/>
    <x v="32"/>
    <n v="9"/>
    <s v="State"/>
    <n v="1064.1199999999999"/>
    <n v="1672.16"/>
    <n v="1299.44"/>
    <n v="1076.6099999999999"/>
    <n v="4035.72"/>
    <n v="5112.33"/>
    <m/>
  </r>
  <r>
    <d v="2019-02-01T00:00:00"/>
    <s v="2018-19"/>
    <n v="2019"/>
    <n v="2"/>
    <s v="Feb"/>
    <x v="33"/>
    <n v="5"/>
    <s v="State"/>
    <n v="187.99"/>
    <n v="333.92"/>
    <n v="691.58"/>
    <n v="23.87"/>
    <n v="1213.49"/>
    <n v="1237.3599999999999"/>
    <m/>
  </r>
  <r>
    <d v="2019-02-01T00:00:00"/>
    <s v="2018-19"/>
    <n v="2019"/>
    <n v="2"/>
    <s v="Feb"/>
    <x v="34"/>
    <n v="19"/>
    <s v="State"/>
    <n v="1006.3"/>
    <n v="1320.63"/>
    <n v="781.03"/>
    <n v="381.73"/>
    <n v="3107.96"/>
    <n v="3489.69"/>
    <m/>
  </r>
  <r>
    <d v="2019-03-01T00:00:00"/>
    <s v="2018-19"/>
    <n v="2019"/>
    <n v="3"/>
    <s v="Mar"/>
    <x v="0"/>
    <n v="35"/>
    <s v="Union Territory"/>
    <n v="9.65"/>
    <n v="15.33"/>
    <n v="2.58"/>
    <n v="0.08"/>
    <n v="27.56"/>
    <n v="27.64"/>
    <m/>
  </r>
  <r>
    <d v="2019-03-01T00:00:00"/>
    <s v="2018-19"/>
    <n v="2019"/>
    <n v="3"/>
    <s v="Mar"/>
    <x v="1"/>
    <n v="28"/>
    <s v="State"/>
    <n v="671.84"/>
    <n v="912.22"/>
    <n v="987.55"/>
    <n v="17.72"/>
    <n v="2571.61"/>
    <n v="2589.33"/>
    <m/>
  </r>
  <r>
    <d v="2019-03-01T00:00:00"/>
    <s v="2018-19"/>
    <n v="2019"/>
    <n v="3"/>
    <s v="Mar"/>
    <x v="2"/>
    <n v="12"/>
    <s v="State"/>
    <n v="33.090000000000003"/>
    <n v="42.1"/>
    <n v="9.91"/>
    <n v="0.24"/>
    <n v="85.1"/>
    <n v="85.34"/>
    <m/>
  </r>
  <r>
    <d v="2019-03-01T00:00:00"/>
    <s v="2018-19"/>
    <n v="2019"/>
    <n v="3"/>
    <s v="Mar"/>
    <x v="3"/>
    <n v="18"/>
    <s v="State"/>
    <n v="277.75"/>
    <n v="407.62"/>
    <n v="228.19"/>
    <n v="42.16"/>
    <n v="913.56"/>
    <n v="955.72"/>
    <m/>
  </r>
  <r>
    <d v="2019-03-01T00:00:00"/>
    <s v="2018-19"/>
    <n v="2019"/>
    <n v="3"/>
    <s v="Mar"/>
    <x v="4"/>
    <n v="10"/>
    <s v="State"/>
    <n v="325.70999999999998"/>
    <n v="551.15"/>
    <n v="125.81"/>
    <n v="174.32"/>
    <n v="1002.67"/>
    <n v="1176.99"/>
    <m/>
  </r>
  <r>
    <d v="2019-03-01T00:00:00"/>
    <s v="2018-19"/>
    <n v="2019"/>
    <n v="3"/>
    <s v="Mar"/>
    <x v="5"/>
    <n v="4"/>
    <s v="Union Territory"/>
    <n v="32.950000000000003"/>
    <n v="44.79"/>
    <n v="84.06"/>
    <n v="0.19"/>
    <n v="161.80000000000001"/>
    <n v="161.99"/>
    <m/>
  </r>
  <r>
    <d v="2019-03-01T00:00:00"/>
    <s v="2018-19"/>
    <n v="2019"/>
    <n v="3"/>
    <s v="Mar"/>
    <x v="6"/>
    <n v="22"/>
    <s v="State"/>
    <n v="416.76"/>
    <n v="526.23"/>
    <n v="563.09"/>
    <n v="636.91999999999996"/>
    <n v="1506.08"/>
    <n v="2143"/>
    <m/>
  </r>
  <r>
    <d v="2019-03-01T00:00:00"/>
    <s v="2018-19"/>
    <n v="2019"/>
    <n v="3"/>
    <s v="Mar"/>
    <x v="7"/>
    <n v="38"/>
    <s v="Union Territory"/>
    <n v="30.53"/>
    <n v="43.64"/>
    <n v="202.76"/>
    <n v="0.18"/>
    <n v="276.93"/>
    <n v="277.11"/>
    <m/>
  </r>
  <r>
    <d v="2019-03-01T00:00:00"/>
    <s v="2018-19"/>
    <n v="2019"/>
    <n v="3"/>
    <s v="Mar"/>
    <x v="8"/>
    <n v="7"/>
    <s v="Union Territory"/>
    <n v="796.37"/>
    <n v="1020.89"/>
    <n v="1812.43"/>
    <n v="92.73"/>
    <n v="3629.69"/>
    <n v="3722.42"/>
    <m/>
  </r>
  <r>
    <d v="2019-03-01T00:00:00"/>
    <s v="2018-19"/>
    <n v="2019"/>
    <n v="3"/>
    <s v="Mar"/>
    <x v="9"/>
    <n v="30"/>
    <s v="State"/>
    <n v="103.81"/>
    <n v="148.93"/>
    <n v="134.44"/>
    <n v="2"/>
    <n v="387.18"/>
    <n v="389.18"/>
    <m/>
  </r>
  <r>
    <d v="2019-03-01T00:00:00"/>
    <s v="2018-19"/>
    <n v="2019"/>
    <n v="3"/>
    <s v="Mar"/>
    <x v="10"/>
    <n v="24"/>
    <s v="State"/>
    <n v="1824.12"/>
    <n v="2446.0700000000002"/>
    <n v="1972.83"/>
    <n v="278.08999999999997"/>
    <n v="6243.02"/>
    <n v="6521.11"/>
    <m/>
  </r>
  <r>
    <d v="2019-03-01T00:00:00"/>
    <s v="2018-19"/>
    <n v="2019"/>
    <n v="3"/>
    <s v="Mar"/>
    <x v="11"/>
    <n v="6"/>
    <s v="State"/>
    <n v="758.85"/>
    <n v="1130.3900000000001"/>
    <n v="2363.1999999999998"/>
    <n v="308.61"/>
    <n v="4252.4399999999996"/>
    <n v="4561.05"/>
    <m/>
  </r>
  <r>
    <d v="2019-03-01T00:00:00"/>
    <s v="2018-19"/>
    <n v="2019"/>
    <n v="3"/>
    <s v="Mar"/>
    <x v="12"/>
    <n v="2"/>
    <s v="State"/>
    <n v="99.83"/>
    <n v="156.91"/>
    <n v="402.95"/>
    <n v="0.56000000000000005"/>
    <n v="659.69"/>
    <n v="660.25"/>
    <m/>
  </r>
  <r>
    <d v="2019-03-01T00:00:00"/>
    <s v="2018-19"/>
    <n v="2019"/>
    <n v="3"/>
    <s v="Mar"/>
    <x v="13"/>
    <n v="1"/>
    <s v="Union Territory"/>
    <n v="125.1"/>
    <n v="180.28"/>
    <n v="77.31"/>
    <n v="4.93"/>
    <n v="382.69"/>
    <n v="387.62"/>
    <m/>
  </r>
  <r>
    <d v="2019-03-01T00:00:00"/>
    <s v="2018-19"/>
    <n v="2019"/>
    <n v="3"/>
    <s v="Mar"/>
    <x v="14"/>
    <n v="20"/>
    <s v="State"/>
    <n v="368.3"/>
    <n v="498.7"/>
    <n v="825.82"/>
    <n v="456.63"/>
    <n v="1692.82"/>
    <n v="2149.4499999999998"/>
    <m/>
  </r>
  <r>
    <d v="2019-03-01T00:00:00"/>
    <s v="2018-19"/>
    <n v="2019"/>
    <n v="3"/>
    <s v="Mar"/>
    <x v="15"/>
    <n v="29"/>
    <s v="State"/>
    <n v="1709.03"/>
    <n v="2240.39"/>
    <n v="2302.19"/>
    <n v="731.03"/>
    <n v="6251.61"/>
    <n v="6982.64"/>
    <m/>
  </r>
  <r>
    <d v="2019-03-01T00:00:00"/>
    <s v="2018-19"/>
    <n v="2019"/>
    <n v="3"/>
    <s v="Mar"/>
    <x v="16"/>
    <n v="32"/>
    <s v="State"/>
    <n v="526.98"/>
    <n v="782.35"/>
    <n v="319.97000000000003"/>
    <n v="6.14"/>
    <n v="1629.3"/>
    <n v="1635.44"/>
    <m/>
  </r>
  <r>
    <d v="2019-03-01T00:00:00"/>
    <s v="2018-19"/>
    <n v="2019"/>
    <n v="3"/>
    <s v="Mar"/>
    <x v="17"/>
    <n v="31"/>
    <s v="Union Territory"/>
    <n v="0.28000000000000003"/>
    <n v="0.54"/>
    <n v="0.05"/>
    <n v="0"/>
    <n v="0.87"/>
    <n v="0.87"/>
    <m/>
  </r>
  <r>
    <d v="2019-03-01T00:00:00"/>
    <s v="2018-19"/>
    <n v="2019"/>
    <n v="3"/>
    <s v="Mar"/>
    <x v="18"/>
    <n v="23"/>
    <s v="State"/>
    <n v="638.84"/>
    <n v="877.63"/>
    <n v="715.82"/>
    <n v="391.47"/>
    <n v="2232.29"/>
    <n v="2623.76"/>
    <m/>
  </r>
  <r>
    <d v="2019-03-01T00:00:00"/>
    <s v="2018-19"/>
    <n v="2019"/>
    <n v="3"/>
    <s v="Mar"/>
    <x v="19"/>
    <n v="27"/>
    <s v="State"/>
    <n v="4380.34"/>
    <n v="5473.85"/>
    <n v="4766.99"/>
    <n v="974.59"/>
    <n v="14621.18"/>
    <n v="15595.77"/>
    <m/>
  </r>
  <r>
    <d v="2019-03-01T00:00:00"/>
    <s v="2018-19"/>
    <n v="2019"/>
    <n v="3"/>
    <s v="Mar"/>
    <x v="20"/>
    <n v="14"/>
    <s v="State"/>
    <n v="18.2"/>
    <n v="26"/>
    <n v="1.88"/>
    <n v="0.03"/>
    <n v="46.08"/>
    <n v="46.11"/>
    <m/>
  </r>
  <r>
    <d v="2019-03-01T00:00:00"/>
    <s v="2018-19"/>
    <n v="2019"/>
    <n v="3"/>
    <s v="Mar"/>
    <x v="21"/>
    <n v="17"/>
    <s v="State"/>
    <n v="22.19"/>
    <n v="32.14"/>
    <n v="70.31"/>
    <n v="2.14"/>
    <n v="124.64"/>
    <n v="126.78"/>
    <m/>
  </r>
  <r>
    <d v="2019-03-01T00:00:00"/>
    <s v="2018-19"/>
    <n v="2019"/>
    <n v="3"/>
    <s v="Mar"/>
    <x v="22"/>
    <n v="15"/>
    <s v="State"/>
    <n v="16.3"/>
    <n v="24.59"/>
    <n v="8.86"/>
    <n v="0.01"/>
    <n v="49.75"/>
    <n v="49.76"/>
    <m/>
  </r>
  <r>
    <d v="2019-03-01T00:00:00"/>
    <s v="2018-19"/>
    <n v="2019"/>
    <n v="3"/>
    <s v="Mar"/>
    <x v="23"/>
    <n v="13"/>
    <s v="State"/>
    <n v="16.62"/>
    <n v="22.12"/>
    <n v="5.37"/>
    <n v="1.79"/>
    <n v="44.11"/>
    <n v="45.9"/>
    <m/>
  </r>
  <r>
    <d v="2019-03-01T00:00:00"/>
    <s v="2018-19"/>
    <n v="2019"/>
    <n v="3"/>
    <s v="Mar"/>
    <x v="24"/>
    <n v="21"/>
    <s v="State"/>
    <n v="605.71"/>
    <n v="782.99"/>
    <n v="766.85"/>
    <n v="470.36"/>
    <n v="2155.5500000000002"/>
    <n v="2625.91"/>
    <m/>
  </r>
  <r>
    <d v="2019-03-01T00:00:00"/>
    <s v="2018-19"/>
    <n v="2019"/>
    <n v="3"/>
    <s v="Mar"/>
    <x v="25"/>
    <n v="34"/>
    <s v="Union Territory"/>
    <n v="22.81"/>
    <n v="33.6"/>
    <n v="127.18"/>
    <n v="0.4"/>
    <n v="183.59"/>
    <n v="183.99"/>
    <m/>
  </r>
  <r>
    <d v="2019-03-01T00:00:00"/>
    <s v="2018-19"/>
    <n v="2019"/>
    <n v="3"/>
    <s v="Mar"/>
    <x v="26"/>
    <n v="3"/>
    <s v="State"/>
    <n v="282.14999999999998"/>
    <n v="454.34"/>
    <n v="419.6"/>
    <n v="9.93"/>
    <n v="1156.0899999999999"/>
    <n v="1166.02"/>
    <m/>
  </r>
  <r>
    <d v="2019-03-01T00:00:00"/>
    <s v="2018-19"/>
    <n v="2019"/>
    <n v="3"/>
    <s v="Mar"/>
    <x v="27"/>
    <n v="8"/>
    <s v="State"/>
    <n v="868.36"/>
    <n v="1242.8599999999999"/>
    <n v="895.33"/>
    <n v="125.86"/>
    <n v="3006.55"/>
    <n v="3132.41"/>
    <m/>
  </r>
  <r>
    <d v="2019-03-01T00:00:00"/>
    <s v="2018-19"/>
    <n v="2019"/>
    <n v="3"/>
    <s v="Mar"/>
    <x v="28"/>
    <n v="11"/>
    <s v="State"/>
    <n v="11.72"/>
    <n v="16.89"/>
    <n v="130.93"/>
    <n v="0.05"/>
    <n v="159.54"/>
    <n v="159.59"/>
    <m/>
  </r>
  <r>
    <d v="2019-03-01T00:00:00"/>
    <s v="2018-19"/>
    <n v="2019"/>
    <n v="3"/>
    <s v="Mar"/>
    <x v="29"/>
    <n v="33"/>
    <s v="State"/>
    <n v="1739.84"/>
    <n v="2335.17"/>
    <n v="2152.2399999999998"/>
    <n v="713.84"/>
    <n v="6227.25"/>
    <n v="6941.09"/>
    <m/>
  </r>
  <r>
    <d v="2019-03-01T00:00:00"/>
    <s v="2018-19"/>
    <n v="2019"/>
    <n v="3"/>
    <s v="Mar"/>
    <x v="30"/>
    <n v="36"/>
    <s v="State"/>
    <n v="970.65"/>
    <n v="1276.45"/>
    <n v="1088.54"/>
    <n v="560.99"/>
    <n v="3335.64"/>
    <n v="3896.63"/>
    <m/>
  </r>
  <r>
    <d v="2019-03-01T00:00:00"/>
    <s v="2018-19"/>
    <n v="2019"/>
    <n v="3"/>
    <s v="Mar"/>
    <x v="31"/>
    <n v="16"/>
    <s v="State"/>
    <n v="24.31"/>
    <n v="32.97"/>
    <n v="6.3"/>
    <n v="0.32"/>
    <n v="63.58"/>
    <n v="63.9"/>
    <m/>
  </r>
  <r>
    <d v="2019-03-01T00:00:00"/>
    <s v="2018-19"/>
    <n v="2019"/>
    <n v="3"/>
    <s v="Mar"/>
    <x v="32"/>
    <n v="9"/>
    <s v="State"/>
    <n v="1239.8599999999999"/>
    <n v="1872.29"/>
    <n v="1391.67"/>
    <n v="1043.93"/>
    <n v="4503.82"/>
    <n v="5547.75"/>
    <m/>
  </r>
  <r>
    <d v="2019-03-01T00:00:00"/>
    <s v="2018-19"/>
    <n v="2019"/>
    <n v="3"/>
    <s v="Mar"/>
    <x v="33"/>
    <n v="5"/>
    <s v="State"/>
    <n v="203.32"/>
    <n v="360.47"/>
    <n v="862.33"/>
    <n v="24.97"/>
    <n v="1426.12"/>
    <n v="1451.09"/>
    <m/>
  </r>
  <r>
    <d v="2019-03-01T00:00:00"/>
    <s v="2018-19"/>
    <n v="2019"/>
    <n v="3"/>
    <s v="Mar"/>
    <x v="34"/>
    <n v="19"/>
    <s v="State"/>
    <n v="1160.83"/>
    <n v="1480.52"/>
    <n v="877.78"/>
    <n v="321.7"/>
    <n v="3519.13"/>
    <n v="3840.83"/>
    <m/>
  </r>
  <r>
    <d v="2019-04-01T00:00:00"/>
    <s v="2019-20"/>
    <n v="2019"/>
    <n v="4"/>
    <s v="Apr"/>
    <x v="0"/>
    <n v="35"/>
    <s v="Union Territory"/>
    <n v="14.46"/>
    <n v="20.11"/>
    <n v="3.06"/>
    <n v="0.09"/>
    <n v="37.630000000000003"/>
    <n v="37.72"/>
    <m/>
  </r>
  <r>
    <d v="2019-04-01T00:00:00"/>
    <s v="2019-20"/>
    <n v="2019"/>
    <n v="4"/>
    <s v="Apr"/>
    <x v="1"/>
    <n v="28"/>
    <s v="State"/>
    <n v="677.65"/>
    <n v="924.03"/>
    <n v="925.24"/>
    <n v="32.270000000000003"/>
    <n v="2526.92"/>
    <n v="2559.19"/>
    <m/>
  </r>
  <r>
    <d v="2019-04-01T00:00:00"/>
    <s v="2019-20"/>
    <n v="2019"/>
    <n v="4"/>
    <s v="Apr"/>
    <x v="2"/>
    <n v="12"/>
    <s v="State"/>
    <n v="23.28"/>
    <n v="29.15"/>
    <n v="4.22"/>
    <n v="0.05"/>
    <n v="56.65"/>
    <n v="56.7"/>
    <m/>
  </r>
  <r>
    <d v="2019-04-01T00:00:00"/>
    <s v="2019-20"/>
    <n v="2019"/>
    <n v="4"/>
    <s v="Apr"/>
    <x v="3"/>
    <n v="18"/>
    <s v="State"/>
    <n v="276.69"/>
    <n v="406.66"/>
    <n v="193.47"/>
    <n v="55.54"/>
    <n v="876.82"/>
    <n v="932.36"/>
    <m/>
  </r>
  <r>
    <d v="2019-04-01T00:00:00"/>
    <s v="2019-20"/>
    <n v="2019"/>
    <n v="4"/>
    <s v="Apr"/>
    <x v="4"/>
    <n v="10"/>
    <s v="State"/>
    <n v="318.48"/>
    <n v="566.98"/>
    <n v="120.01"/>
    <n v="161.33000000000001"/>
    <n v="1005.47"/>
    <n v="1166.8"/>
    <m/>
  </r>
  <r>
    <d v="2019-04-01T00:00:00"/>
    <s v="2019-20"/>
    <n v="2019"/>
    <n v="4"/>
    <s v="Apr"/>
    <x v="5"/>
    <n v="4"/>
    <s v="Union Territory"/>
    <n v="34.630000000000003"/>
    <n v="48.24"/>
    <n v="116.66"/>
    <n v="0.43"/>
    <n v="199.53"/>
    <n v="199.96"/>
    <m/>
  </r>
  <r>
    <d v="2019-04-01T00:00:00"/>
    <s v="2019-20"/>
    <n v="2019"/>
    <n v="4"/>
    <s v="Apr"/>
    <x v="6"/>
    <n v="22"/>
    <s v="State"/>
    <n v="415.86"/>
    <n v="516.55999999999995"/>
    <n v="731.79"/>
    <n v="634.71"/>
    <n v="1664.21"/>
    <n v="2298.92"/>
    <m/>
  </r>
  <r>
    <d v="2019-04-01T00:00:00"/>
    <s v="2019-20"/>
    <n v="2019"/>
    <n v="4"/>
    <s v="Apr"/>
    <x v="7"/>
    <n v="38"/>
    <s v="Union Territory"/>
    <n v="28.56"/>
    <n v="39.299999999999997"/>
    <n v="208.97"/>
    <n v="7.0000000000000007E-2"/>
    <n v="276.83"/>
    <n v="276.89999999999998"/>
    <m/>
  </r>
  <r>
    <d v="2019-04-01T00:00:00"/>
    <s v="2019-20"/>
    <n v="2019"/>
    <n v="4"/>
    <s v="Apr"/>
    <x v="8"/>
    <n v="7"/>
    <s v="Union Territory"/>
    <n v="912.34"/>
    <n v="1146.03"/>
    <n v="2204.46"/>
    <n v="78.430000000000007"/>
    <n v="4262.83"/>
    <n v="4341.26"/>
    <m/>
  </r>
  <r>
    <d v="2019-04-01T00:00:00"/>
    <s v="2019-20"/>
    <n v="2019"/>
    <n v="4"/>
    <s v="Apr"/>
    <x v="9"/>
    <n v="30"/>
    <s v="State"/>
    <n v="107.64"/>
    <n v="157.34"/>
    <n v="146.9"/>
    <n v="3.34"/>
    <n v="411.88"/>
    <n v="415.22"/>
    <m/>
  </r>
  <r>
    <d v="2019-04-01T00:00:00"/>
    <s v="2019-20"/>
    <n v="2019"/>
    <n v="4"/>
    <s v="Apr"/>
    <x v="10"/>
    <n v="24"/>
    <s v="State"/>
    <n v="1849.37"/>
    <n v="2393.15"/>
    <n v="2276.5500000000002"/>
    <n v="355"/>
    <n v="6519.07"/>
    <n v="6874.07"/>
    <m/>
  </r>
  <r>
    <d v="2019-04-01T00:00:00"/>
    <s v="2019-20"/>
    <n v="2019"/>
    <n v="4"/>
    <s v="Apr"/>
    <x v="11"/>
    <n v="6"/>
    <s v="State"/>
    <n v="743.37"/>
    <n v="1122.28"/>
    <n v="3168.69"/>
    <n v="337.54"/>
    <n v="5034.34"/>
    <n v="5371.88"/>
    <m/>
  </r>
  <r>
    <d v="2019-04-01T00:00:00"/>
    <s v="2019-20"/>
    <n v="2019"/>
    <n v="4"/>
    <s v="Apr"/>
    <x v="12"/>
    <n v="2"/>
    <s v="State"/>
    <n v="111.09"/>
    <n v="169.26"/>
    <n v="418.78"/>
    <n v="0.99"/>
    <n v="699.13"/>
    <n v="700.12"/>
    <m/>
  </r>
  <r>
    <d v="2019-04-01T00:00:00"/>
    <s v="2019-20"/>
    <n v="2019"/>
    <n v="4"/>
    <s v="Apr"/>
    <x v="13"/>
    <n v="1"/>
    <s v="Union Territory"/>
    <n v="116.35"/>
    <n v="198.78"/>
    <n v="63.97"/>
    <n v="3.04"/>
    <n v="379.1"/>
    <n v="382.14"/>
    <m/>
  </r>
  <r>
    <d v="2019-04-01T00:00:00"/>
    <s v="2019-20"/>
    <n v="2019"/>
    <n v="4"/>
    <s v="Apr"/>
    <x v="14"/>
    <n v="20"/>
    <s v="State"/>
    <n v="460.7"/>
    <n v="620"/>
    <n v="1212.22"/>
    <n v="473.63"/>
    <n v="2292.92"/>
    <n v="2766.55"/>
    <m/>
  </r>
  <r>
    <d v="2019-04-01T00:00:00"/>
    <s v="2019-20"/>
    <n v="2019"/>
    <n v="4"/>
    <s v="Apr"/>
    <x v="15"/>
    <n v="29"/>
    <s v="State"/>
    <n v="1913.58"/>
    <n v="2482.98"/>
    <n v="2651.14"/>
    <n v="957.2"/>
    <n v="7047.7"/>
    <n v="8004.9"/>
    <m/>
  </r>
  <r>
    <d v="2019-04-01T00:00:00"/>
    <s v="2019-20"/>
    <n v="2019"/>
    <n v="4"/>
    <s v="Apr"/>
    <x v="16"/>
    <n v="32"/>
    <s v="State"/>
    <n v="509.12"/>
    <n v="843.69"/>
    <n v="408.83"/>
    <n v="4.55"/>
    <n v="1761.64"/>
    <n v="1766.19"/>
    <m/>
  </r>
  <r>
    <d v="2019-04-01T00:00:00"/>
    <s v="2019-20"/>
    <n v="2019"/>
    <n v="4"/>
    <s v="Apr"/>
    <x v="17"/>
    <n v="31"/>
    <s v="Union Territory"/>
    <n v="1.26"/>
    <n v="1.43"/>
    <n v="0.09"/>
    <n v="0"/>
    <n v="2.78"/>
    <n v="2.78"/>
    <m/>
  </r>
  <r>
    <d v="2019-04-01T00:00:00"/>
    <s v="2019-20"/>
    <n v="2019"/>
    <n v="4"/>
    <s v="Apr"/>
    <x v="18"/>
    <n v="23"/>
    <s v="State"/>
    <n v="623.51"/>
    <n v="841.43"/>
    <n v="709.08"/>
    <n v="451.68"/>
    <n v="2174.02"/>
    <n v="2625.7"/>
    <m/>
  </r>
  <r>
    <d v="2019-04-01T00:00:00"/>
    <s v="2019-20"/>
    <n v="2019"/>
    <n v="4"/>
    <s v="Apr"/>
    <x v="19"/>
    <n v="27"/>
    <s v="State"/>
    <n v="4717.1400000000003"/>
    <n v="5860.1"/>
    <n v="6369.62"/>
    <n v="1176.18"/>
    <n v="16946.86"/>
    <n v="18123.04"/>
    <m/>
  </r>
  <r>
    <d v="2019-04-01T00:00:00"/>
    <s v="2019-20"/>
    <n v="2019"/>
    <n v="4"/>
    <s v="Apr"/>
    <x v="20"/>
    <n v="14"/>
    <s v="State"/>
    <n v="14.09"/>
    <n v="20.57"/>
    <n v="2.56"/>
    <n v="0.02"/>
    <n v="37.22"/>
    <n v="37.24"/>
    <m/>
  </r>
  <r>
    <d v="2019-04-01T00:00:00"/>
    <s v="2019-20"/>
    <n v="2019"/>
    <n v="4"/>
    <s v="Apr"/>
    <x v="21"/>
    <n v="17"/>
    <s v="State"/>
    <n v="30.78"/>
    <n v="41.57"/>
    <n v="95.17"/>
    <n v="0.87"/>
    <n v="167.52"/>
    <n v="168.39"/>
    <m/>
  </r>
  <r>
    <d v="2019-04-01T00:00:00"/>
    <s v="2019-20"/>
    <n v="2019"/>
    <n v="4"/>
    <s v="Apr"/>
    <x v="22"/>
    <n v="15"/>
    <s v="State"/>
    <n v="9.8699999999999992"/>
    <n v="13.68"/>
    <n v="11.52"/>
    <n v="0"/>
    <n v="35.07"/>
    <n v="35.07"/>
    <m/>
  </r>
  <r>
    <d v="2019-04-01T00:00:00"/>
    <s v="2019-20"/>
    <n v="2019"/>
    <n v="4"/>
    <s v="Apr"/>
    <x v="23"/>
    <n v="13"/>
    <s v="State"/>
    <n v="8.0299999999999994"/>
    <n v="12.78"/>
    <n v="6.22"/>
    <n v="1.89"/>
    <n v="27.03"/>
    <n v="28.92"/>
    <m/>
  </r>
  <r>
    <d v="2019-04-01T00:00:00"/>
    <s v="2019-20"/>
    <n v="2019"/>
    <n v="4"/>
    <s v="Apr"/>
    <x v="24"/>
    <n v="21"/>
    <s v="State"/>
    <n v="671.98"/>
    <n v="927.6"/>
    <n v="770.01"/>
    <n v="586.01"/>
    <n v="2369.59"/>
    <n v="2955.6"/>
    <m/>
  </r>
  <r>
    <d v="2019-04-01T00:00:00"/>
    <s v="2019-20"/>
    <n v="2019"/>
    <n v="4"/>
    <s v="Apr"/>
    <x v="25"/>
    <n v="34"/>
    <s v="Union Territory"/>
    <n v="20.58"/>
    <n v="32.03"/>
    <n v="119.67"/>
    <n v="0.99"/>
    <n v="172.28"/>
    <n v="173.27"/>
    <m/>
  </r>
  <r>
    <d v="2019-04-01T00:00:00"/>
    <s v="2019-20"/>
    <n v="2019"/>
    <n v="4"/>
    <s v="Apr"/>
    <x v="26"/>
    <n v="3"/>
    <s v="State"/>
    <n v="365.44"/>
    <n v="553.87"/>
    <n v="438.87"/>
    <n v="16.100000000000001"/>
    <n v="1358.18"/>
    <n v="1374.28"/>
    <m/>
  </r>
  <r>
    <d v="2019-04-01T00:00:00"/>
    <s v="2019-20"/>
    <n v="2019"/>
    <n v="4"/>
    <s v="Apr"/>
    <x v="27"/>
    <n v="8"/>
    <s v="State"/>
    <n v="815.99"/>
    <n v="1073.25"/>
    <n v="878.1"/>
    <n v="128.69999999999999"/>
    <n v="2767.34"/>
    <n v="2896.04"/>
    <m/>
  </r>
  <r>
    <d v="2019-04-01T00:00:00"/>
    <s v="2019-20"/>
    <n v="2019"/>
    <n v="4"/>
    <s v="Apr"/>
    <x v="28"/>
    <n v="11"/>
    <s v="State"/>
    <n v="16.77"/>
    <n v="27.5"/>
    <n v="121.13"/>
    <n v="0.19"/>
    <n v="165.4"/>
    <n v="165.59"/>
    <m/>
  </r>
  <r>
    <d v="2019-04-01T00:00:00"/>
    <s v="2019-20"/>
    <n v="2019"/>
    <n v="4"/>
    <s v="Apr"/>
    <x v="29"/>
    <n v="33"/>
    <s v="State"/>
    <n v="1678.87"/>
    <n v="2415.16"/>
    <n v="2122.1799999999998"/>
    <n v="554.92999999999995"/>
    <n v="6216.21"/>
    <n v="6771.14"/>
    <m/>
  </r>
  <r>
    <d v="2019-04-01T00:00:00"/>
    <s v="2019-20"/>
    <n v="2019"/>
    <n v="4"/>
    <s v="Apr"/>
    <x v="30"/>
    <n v="36"/>
    <s v="State"/>
    <n v="834.28"/>
    <n v="1144.78"/>
    <n v="997.16"/>
    <n v="533.70000000000005"/>
    <n v="2976.22"/>
    <n v="3509.92"/>
    <m/>
  </r>
  <r>
    <d v="2019-04-01T00:00:00"/>
    <s v="2019-20"/>
    <n v="2019"/>
    <n v="4"/>
    <s v="Apr"/>
    <x v="31"/>
    <n v="16"/>
    <s v="State"/>
    <n v="20.28"/>
    <n v="34.68"/>
    <n v="5.92"/>
    <n v="0.13"/>
    <n v="60.88"/>
    <n v="61.01"/>
    <m/>
  </r>
  <r>
    <d v="2019-04-01T00:00:00"/>
    <s v="2019-20"/>
    <n v="2019"/>
    <n v="4"/>
    <s v="Apr"/>
    <x v="32"/>
    <n v="9"/>
    <s v="State"/>
    <n v="1395.59"/>
    <n v="2160.23"/>
    <n v="1650.51"/>
    <n v="1103.45"/>
    <n v="5206.33"/>
    <n v="6309.78"/>
    <m/>
  </r>
  <r>
    <d v="2019-04-01T00:00:00"/>
    <s v="2019-20"/>
    <n v="2019"/>
    <n v="4"/>
    <s v="Apr"/>
    <x v="33"/>
    <n v="5"/>
    <s v="State"/>
    <n v="218.8"/>
    <n v="369.64"/>
    <n v="1004.96"/>
    <n v="23.89"/>
    <n v="1593.4"/>
    <n v="1617.29"/>
    <m/>
  </r>
  <r>
    <d v="2019-04-01T00:00:00"/>
    <s v="2019-20"/>
    <n v="2019"/>
    <n v="4"/>
    <s v="Apr"/>
    <x v="34"/>
    <n v="19"/>
    <s v="State"/>
    <n v="1190.21"/>
    <n v="1549.62"/>
    <n v="1031.28"/>
    <n v="438.22"/>
    <n v="3771.11"/>
    <n v="4209.33"/>
    <m/>
  </r>
  <r>
    <d v="2019-05-01T00:00:00"/>
    <s v="2019-20"/>
    <n v="2019"/>
    <n v="5"/>
    <s v="May"/>
    <x v="0"/>
    <n v="35"/>
    <s v="Union Territory"/>
    <n v="14.28"/>
    <n v="22.52"/>
    <n v="2.37"/>
    <n v="0.25"/>
    <n v="39.17"/>
    <n v="39.42"/>
    <m/>
  </r>
  <r>
    <d v="2019-05-01T00:00:00"/>
    <s v="2019-20"/>
    <n v="2019"/>
    <n v="5"/>
    <s v="May"/>
    <x v="1"/>
    <n v="28"/>
    <s v="State"/>
    <n v="528.4"/>
    <n v="776.9"/>
    <n v="803.85"/>
    <n v="33.229999999999997"/>
    <n v="2109.15"/>
    <n v="2142.38"/>
    <m/>
  </r>
  <r>
    <d v="2019-05-01T00:00:00"/>
    <s v="2019-20"/>
    <n v="2019"/>
    <n v="5"/>
    <s v="May"/>
    <x v="2"/>
    <n v="12"/>
    <s v="State"/>
    <n v="12.87"/>
    <n v="17"/>
    <n v="6.18"/>
    <n v="0.49"/>
    <n v="36.049999999999997"/>
    <n v="36.54"/>
    <m/>
  </r>
  <r>
    <d v="2019-05-01T00:00:00"/>
    <s v="2019-20"/>
    <n v="2019"/>
    <n v="5"/>
    <s v="May"/>
    <x v="3"/>
    <n v="18"/>
    <s v="State"/>
    <n v="225.32"/>
    <n v="326.58999999999997"/>
    <n v="192.1"/>
    <n v="25.6"/>
    <n v="744.01"/>
    <n v="769.61"/>
    <m/>
  </r>
  <r>
    <d v="2019-05-01T00:00:00"/>
    <s v="2019-20"/>
    <n v="2019"/>
    <n v="5"/>
    <s v="May"/>
    <x v="4"/>
    <n v="10"/>
    <s v="State"/>
    <n v="232.45"/>
    <n v="466.71"/>
    <n v="119.37"/>
    <n v="163.06"/>
    <n v="818.53"/>
    <n v="981.59"/>
    <m/>
  </r>
  <r>
    <d v="2019-05-01T00:00:00"/>
    <s v="2019-20"/>
    <n v="2019"/>
    <n v="5"/>
    <s v="May"/>
    <x v="5"/>
    <n v="4"/>
    <s v="Union Territory"/>
    <n v="28.63"/>
    <n v="41.79"/>
    <n v="75.650000000000006"/>
    <n v="0.6"/>
    <n v="146.07"/>
    <n v="146.66999999999999"/>
    <m/>
  </r>
  <r>
    <d v="2019-05-01T00:00:00"/>
    <s v="2019-20"/>
    <n v="2019"/>
    <n v="5"/>
    <s v="May"/>
    <x v="6"/>
    <n v="22"/>
    <s v="State"/>
    <n v="341.05"/>
    <n v="434.66"/>
    <n v="695.13"/>
    <n v="528.1"/>
    <n v="1470.84"/>
    <n v="1998.94"/>
    <m/>
  </r>
  <r>
    <d v="2019-05-01T00:00:00"/>
    <s v="2019-20"/>
    <n v="2019"/>
    <n v="5"/>
    <s v="May"/>
    <x v="7"/>
    <n v="38"/>
    <s v="Union Territory"/>
    <n v="22.09"/>
    <n v="36.590000000000003"/>
    <n v="169.85"/>
    <n v="0.19"/>
    <n v="228.53"/>
    <n v="228.72"/>
    <m/>
  </r>
  <r>
    <d v="2019-05-01T00:00:00"/>
    <s v="2019-20"/>
    <n v="2019"/>
    <n v="5"/>
    <s v="May"/>
    <x v="8"/>
    <n v="7"/>
    <s v="Union Territory"/>
    <n v="765.43"/>
    <n v="966.69"/>
    <n v="1840.76"/>
    <n v="90.85"/>
    <n v="3572.88"/>
    <n v="3663.73"/>
    <m/>
  </r>
  <r>
    <d v="2019-05-01T00:00:00"/>
    <s v="2019-20"/>
    <n v="2019"/>
    <n v="5"/>
    <s v="May"/>
    <x v="9"/>
    <n v="30"/>
    <s v="State"/>
    <n v="87.54"/>
    <n v="128.43"/>
    <n v="128.6"/>
    <n v="4.17"/>
    <n v="344.57"/>
    <n v="348.74"/>
    <m/>
  </r>
  <r>
    <d v="2019-05-01T00:00:00"/>
    <s v="2019-20"/>
    <n v="2019"/>
    <n v="5"/>
    <s v="May"/>
    <x v="10"/>
    <n v="24"/>
    <s v="State"/>
    <n v="1815.07"/>
    <n v="2316.94"/>
    <n v="2145.9699999999998"/>
    <n v="330.84"/>
    <n v="6277.98"/>
    <n v="6608.82"/>
    <m/>
  </r>
  <r>
    <d v="2019-05-01T00:00:00"/>
    <s v="2019-20"/>
    <n v="2019"/>
    <n v="5"/>
    <s v="May"/>
    <x v="11"/>
    <n v="6"/>
    <s v="State"/>
    <n v="781.03"/>
    <n v="1125.4000000000001"/>
    <n v="2418.14"/>
    <n v="299.44"/>
    <n v="4324.57"/>
    <n v="4624.01"/>
    <m/>
  </r>
  <r>
    <d v="2019-05-01T00:00:00"/>
    <s v="2019-20"/>
    <n v="2019"/>
    <n v="5"/>
    <s v="May"/>
    <x v="12"/>
    <n v="2"/>
    <s v="State"/>
    <n v="85.45"/>
    <n v="129.97999999999999"/>
    <n v="423.2"/>
    <n v="1.28"/>
    <n v="638.63"/>
    <n v="639.91"/>
    <m/>
  </r>
  <r>
    <d v="2019-05-01T00:00:00"/>
    <s v="2019-20"/>
    <n v="2019"/>
    <n v="5"/>
    <s v="May"/>
    <x v="13"/>
    <n v="1"/>
    <s v="Union Territory"/>
    <n v="80.040000000000006"/>
    <n v="147.32"/>
    <n v="78.16"/>
    <n v="5.77"/>
    <n v="305.52"/>
    <n v="311.29000000000002"/>
    <m/>
  </r>
  <r>
    <d v="2019-05-01T00:00:00"/>
    <s v="2019-20"/>
    <n v="2019"/>
    <n v="5"/>
    <s v="May"/>
    <x v="14"/>
    <n v="20"/>
    <s v="State"/>
    <n v="298.97000000000003"/>
    <n v="433.29"/>
    <n v="668.49"/>
    <n v="487.16"/>
    <n v="1400.75"/>
    <n v="1887.91"/>
    <m/>
  </r>
  <r>
    <d v="2019-05-01T00:00:00"/>
    <s v="2019-20"/>
    <n v="2019"/>
    <n v="5"/>
    <s v="May"/>
    <x v="15"/>
    <n v="29"/>
    <s v="State"/>
    <n v="1490.5"/>
    <n v="2002.47"/>
    <n v="2223.46"/>
    <n v="692.27"/>
    <n v="5716.43"/>
    <n v="6408.7"/>
    <m/>
  </r>
  <r>
    <d v="2019-05-01T00:00:00"/>
    <s v="2019-20"/>
    <n v="2019"/>
    <n v="5"/>
    <s v="May"/>
    <x v="16"/>
    <n v="32"/>
    <s v="State"/>
    <n v="451.85"/>
    <n v="720.85"/>
    <n v="257.42"/>
    <n v="3.24"/>
    <n v="1430.12"/>
    <n v="1433.36"/>
    <m/>
  </r>
  <r>
    <d v="2019-05-01T00:00:00"/>
    <s v="2019-20"/>
    <n v="2019"/>
    <n v="5"/>
    <s v="May"/>
    <x v="17"/>
    <n v="31"/>
    <s v="Union Territory"/>
    <n v="0.16"/>
    <n v="0.16"/>
    <n v="0.01"/>
    <n v="0"/>
    <n v="0.33"/>
    <n v="0.33"/>
    <m/>
  </r>
  <r>
    <d v="2019-05-01T00:00:00"/>
    <s v="2019-20"/>
    <n v="2019"/>
    <n v="5"/>
    <s v="May"/>
    <x v="18"/>
    <n v="23"/>
    <s v="State"/>
    <n v="485.89"/>
    <n v="699.13"/>
    <n v="643.84"/>
    <n v="422.43"/>
    <n v="1828.86"/>
    <n v="2251.29"/>
    <m/>
  </r>
  <r>
    <d v="2019-05-01T00:00:00"/>
    <s v="2019-20"/>
    <n v="2019"/>
    <n v="5"/>
    <s v="May"/>
    <x v="19"/>
    <n v="27"/>
    <s v="State"/>
    <n v="3946.98"/>
    <n v="4885.8900000000003"/>
    <n v="4341.5600000000004"/>
    <n v="959.94"/>
    <n v="13174.43"/>
    <n v="14134.37"/>
    <m/>
  </r>
  <r>
    <d v="2019-05-01T00:00:00"/>
    <s v="2019-20"/>
    <n v="2019"/>
    <n v="5"/>
    <s v="May"/>
    <x v="20"/>
    <n v="14"/>
    <s v="State"/>
    <n v="10.68"/>
    <n v="16.95"/>
    <n v="1.69"/>
    <n v="0.06"/>
    <n v="29.32"/>
    <n v="29.38"/>
    <m/>
  </r>
  <r>
    <d v="2019-05-01T00:00:00"/>
    <s v="2019-20"/>
    <n v="2019"/>
    <n v="5"/>
    <s v="May"/>
    <x v="21"/>
    <n v="17"/>
    <s v="State"/>
    <n v="18.579999999999998"/>
    <n v="27.39"/>
    <n v="84.55"/>
    <n v="0.43"/>
    <n v="130.52000000000001"/>
    <n v="130.94999999999999"/>
    <m/>
  </r>
  <r>
    <d v="2019-05-01T00:00:00"/>
    <s v="2019-20"/>
    <n v="2019"/>
    <n v="5"/>
    <s v="May"/>
    <x v="22"/>
    <n v="15"/>
    <s v="State"/>
    <n v="6.81"/>
    <n v="11.99"/>
    <n v="3.33"/>
    <n v="0"/>
    <n v="22.13"/>
    <n v="22.13"/>
    <m/>
  </r>
  <r>
    <d v="2019-05-01T00:00:00"/>
    <s v="2019-20"/>
    <n v="2019"/>
    <n v="5"/>
    <s v="May"/>
    <x v="23"/>
    <n v="13"/>
    <s v="State"/>
    <n v="6.85"/>
    <n v="10.34"/>
    <n v="5.17"/>
    <n v="1.27"/>
    <n v="22.36"/>
    <n v="23.63"/>
    <m/>
  </r>
  <r>
    <d v="2019-05-01T00:00:00"/>
    <s v="2019-20"/>
    <n v="2019"/>
    <n v="5"/>
    <s v="May"/>
    <x v="24"/>
    <n v="21"/>
    <s v="State"/>
    <n v="434.77"/>
    <n v="589.29999999999995"/>
    <n v="591.62"/>
    <n v="524.67999999999995"/>
    <n v="1615.69"/>
    <n v="2140.37"/>
    <m/>
  </r>
  <r>
    <d v="2019-05-01T00:00:00"/>
    <s v="2019-20"/>
    <n v="2019"/>
    <n v="5"/>
    <s v="May"/>
    <x v="25"/>
    <n v="34"/>
    <s v="Union Territory"/>
    <n v="17.760000000000002"/>
    <n v="27.81"/>
    <n v="98.45"/>
    <n v="0.18"/>
    <n v="144.02000000000001"/>
    <n v="144.19999999999999"/>
    <m/>
  </r>
  <r>
    <d v="2019-05-01T00:00:00"/>
    <s v="2019-20"/>
    <n v="2019"/>
    <n v="5"/>
    <s v="May"/>
    <x v="26"/>
    <n v="3"/>
    <s v="State"/>
    <n v="308.26"/>
    <n v="499.79"/>
    <n v="516.20000000000005"/>
    <n v="23.6"/>
    <n v="1324.25"/>
    <n v="1347.85"/>
    <m/>
  </r>
  <r>
    <d v="2019-05-01T00:00:00"/>
    <s v="2019-20"/>
    <n v="2019"/>
    <n v="5"/>
    <s v="May"/>
    <x v="27"/>
    <n v="8"/>
    <s v="State"/>
    <n v="712.74"/>
    <n v="988.26"/>
    <n v="913.26"/>
    <n v="133.71"/>
    <n v="2614.2600000000002"/>
    <n v="2747.97"/>
    <m/>
  </r>
  <r>
    <d v="2019-05-01T00:00:00"/>
    <s v="2019-20"/>
    <n v="2019"/>
    <n v="5"/>
    <s v="May"/>
    <x v="28"/>
    <n v="11"/>
    <s v="State"/>
    <n v="13.74"/>
    <n v="20.350000000000001"/>
    <n v="158.94"/>
    <n v="0.05"/>
    <n v="193.03"/>
    <n v="193.08"/>
    <m/>
  </r>
  <r>
    <d v="2019-05-01T00:00:00"/>
    <s v="2019-20"/>
    <n v="2019"/>
    <n v="5"/>
    <s v="May"/>
    <x v="29"/>
    <n v="33"/>
    <s v="State"/>
    <n v="1515.14"/>
    <n v="2149.5100000000002"/>
    <n v="1664.18"/>
    <n v="489.12"/>
    <n v="5328.83"/>
    <n v="5817.95"/>
    <m/>
  </r>
  <r>
    <d v="2019-05-01T00:00:00"/>
    <s v="2019-20"/>
    <n v="2019"/>
    <n v="5"/>
    <s v="May"/>
    <x v="30"/>
    <n v="36"/>
    <s v="State"/>
    <n v="680.19"/>
    <n v="953.56"/>
    <n v="874.75"/>
    <n v="542.80999999999995"/>
    <n v="2508.5"/>
    <n v="3051.31"/>
    <m/>
  </r>
  <r>
    <d v="2019-05-01T00:00:00"/>
    <s v="2019-20"/>
    <n v="2019"/>
    <n v="5"/>
    <s v="May"/>
    <x v="31"/>
    <n v="16"/>
    <s v="State"/>
    <n v="17.13"/>
    <n v="26.09"/>
    <n v="6.89"/>
    <n v="0.17"/>
    <n v="50.11"/>
    <n v="50.28"/>
    <m/>
  </r>
  <r>
    <d v="2019-05-01T00:00:00"/>
    <s v="2019-20"/>
    <n v="2019"/>
    <n v="5"/>
    <s v="May"/>
    <x v="32"/>
    <n v="9"/>
    <s v="State"/>
    <n v="1103.3"/>
    <n v="1709.38"/>
    <n v="1246.24"/>
    <n v="1037.27"/>
    <n v="4058.92"/>
    <n v="5096.1899999999996"/>
    <m/>
  </r>
  <r>
    <d v="2019-05-01T00:00:00"/>
    <s v="2019-20"/>
    <n v="2019"/>
    <n v="5"/>
    <s v="May"/>
    <x v="33"/>
    <n v="5"/>
    <s v="State"/>
    <n v="192.42"/>
    <n v="345.22"/>
    <n v="694.98"/>
    <n v="15.09"/>
    <n v="1232.6199999999999"/>
    <n v="1247.71"/>
    <m/>
  </r>
  <r>
    <d v="2019-05-01T00:00:00"/>
    <s v="2019-20"/>
    <n v="2019"/>
    <n v="5"/>
    <s v="May"/>
    <x v="34"/>
    <n v="19"/>
    <s v="State"/>
    <n v="1065.6199999999999"/>
    <n v="1389.58"/>
    <n v="767.23"/>
    <n v="354.48"/>
    <n v="3222.43"/>
    <n v="3576.91"/>
    <m/>
  </r>
  <r>
    <d v="2019-06-01T00:00:00"/>
    <s v="2019-20"/>
    <n v="2019"/>
    <n v="6"/>
    <s v="Jun"/>
    <x v="0"/>
    <n v="35"/>
    <s v="Union Territory"/>
    <n v="6.74"/>
    <n v="10.15"/>
    <n v="3.8"/>
    <n v="0.14000000000000001"/>
    <n v="20.69"/>
    <n v="20.83"/>
    <m/>
  </r>
  <r>
    <d v="2019-06-01T00:00:00"/>
    <s v="2019-20"/>
    <n v="2019"/>
    <n v="6"/>
    <s v="Jun"/>
    <x v="1"/>
    <n v="28"/>
    <s v="State"/>
    <n v="538.82000000000005"/>
    <n v="760.43"/>
    <n v="898.66"/>
    <n v="33.64"/>
    <n v="2197.91"/>
    <n v="2231.5500000000002"/>
    <m/>
  </r>
  <r>
    <d v="2019-06-01T00:00:00"/>
    <s v="2019-20"/>
    <n v="2019"/>
    <n v="6"/>
    <s v="Jun"/>
    <x v="2"/>
    <n v="12"/>
    <s v="State"/>
    <n v="19.03"/>
    <n v="24.4"/>
    <n v="4.6399999999999997"/>
    <n v="0.01"/>
    <n v="48.07"/>
    <n v="48.08"/>
    <m/>
  </r>
  <r>
    <d v="2019-06-01T00:00:00"/>
    <s v="2019-20"/>
    <n v="2019"/>
    <n v="6"/>
    <s v="Jun"/>
    <x v="3"/>
    <n v="18"/>
    <s v="State"/>
    <n v="212.47"/>
    <n v="309.8"/>
    <n v="228.69"/>
    <n v="46.62"/>
    <n v="750.96"/>
    <n v="797.58"/>
    <m/>
  </r>
  <r>
    <d v="2019-06-01T00:00:00"/>
    <s v="2019-20"/>
    <n v="2019"/>
    <n v="6"/>
    <s v="Jun"/>
    <x v="4"/>
    <n v="10"/>
    <s v="State"/>
    <n v="227.22"/>
    <n v="487.81"/>
    <n v="114.06"/>
    <n v="174.24"/>
    <n v="829.09"/>
    <n v="1003.33"/>
    <m/>
  </r>
  <r>
    <d v="2019-06-01T00:00:00"/>
    <s v="2019-20"/>
    <n v="2019"/>
    <n v="6"/>
    <s v="Jun"/>
    <x v="5"/>
    <n v="4"/>
    <s v="Union Territory"/>
    <n v="30.05"/>
    <n v="43.29"/>
    <n v="84.18"/>
    <n v="0.45"/>
    <n v="157.52000000000001"/>
    <n v="157.97"/>
    <m/>
  </r>
  <r>
    <d v="2019-06-01T00:00:00"/>
    <s v="2019-20"/>
    <n v="2019"/>
    <n v="6"/>
    <s v="Jun"/>
    <x v="6"/>
    <n v="22"/>
    <s v="State"/>
    <n v="394.74"/>
    <n v="497.44"/>
    <n v="654.16999999999996"/>
    <n v="546.30999999999995"/>
    <n v="1546.35"/>
    <n v="2092.66"/>
    <m/>
  </r>
  <r>
    <d v="2019-06-01T00:00:00"/>
    <s v="2019-20"/>
    <n v="2019"/>
    <n v="6"/>
    <s v="Jun"/>
    <x v="7"/>
    <n v="38"/>
    <s v="Union Territory"/>
    <n v="24.68"/>
    <n v="38.76"/>
    <n v="188.07"/>
    <n v="0.13"/>
    <n v="251.51"/>
    <n v="251.64"/>
    <m/>
  </r>
  <r>
    <d v="2019-06-01T00:00:00"/>
    <s v="2019-20"/>
    <n v="2019"/>
    <n v="6"/>
    <s v="Jun"/>
    <x v="8"/>
    <n v="7"/>
    <s v="Union Territory"/>
    <n v="728.97"/>
    <n v="938.35"/>
    <n v="1838.09"/>
    <n v="89.97"/>
    <n v="3505.41"/>
    <n v="3595.38"/>
    <m/>
  </r>
  <r>
    <d v="2019-06-01T00:00:00"/>
    <s v="2019-20"/>
    <n v="2019"/>
    <n v="6"/>
    <s v="Jun"/>
    <x v="9"/>
    <n v="30"/>
    <s v="State"/>
    <n v="80.64"/>
    <n v="120.45"/>
    <n v="133.55000000000001"/>
    <n v="3.57"/>
    <n v="334.64"/>
    <n v="338.21"/>
    <m/>
  </r>
  <r>
    <d v="2019-06-01T00:00:00"/>
    <s v="2019-20"/>
    <n v="2019"/>
    <n v="6"/>
    <s v="Jun"/>
    <x v="10"/>
    <n v="24"/>
    <s v="State"/>
    <n v="1783.61"/>
    <n v="2273.63"/>
    <n v="2020.84"/>
    <n v="346.26"/>
    <n v="6078.08"/>
    <n v="6424.34"/>
    <m/>
  </r>
  <r>
    <d v="2019-06-01T00:00:00"/>
    <s v="2019-20"/>
    <n v="2019"/>
    <n v="6"/>
    <s v="Jun"/>
    <x v="11"/>
    <n v="6"/>
    <s v="State"/>
    <n v="855.06"/>
    <n v="1182.2"/>
    <n v="2525.8200000000002"/>
    <n v="325.75"/>
    <n v="4563.08"/>
    <n v="4888.83"/>
    <m/>
  </r>
  <r>
    <d v="2019-06-01T00:00:00"/>
    <s v="2019-20"/>
    <n v="2019"/>
    <n v="6"/>
    <s v="Jun"/>
    <x v="12"/>
    <n v="2"/>
    <s v="State"/>
    <n v="97.18"/>
    <n v="152.91999999999999"/>
    <n v="445.98"/>
    <n v="1.22"/>
    <n v="696.08"/>
    <n v="697.3"/>
    <m/>
  </r>
  <r>
    <d v="2019-06-01T00:00:00"/>
    <s v="2019-20"/>
    <n v="2019"/>
    <n v="6"/>
    <s v="Jun"/>
    <x v="13"/>
    <n v="1"/>
    <s v="Union Territory"/>
    <n v="85.25"/>
    <n v="148.83000000000001"/>
    <n v="82.84"/>
    <n v="5.47"/>
    <n v="316.92"/>
    <n v="322.39"/>
    <m/>
  </r>
  <r>
    <d v="2019-06-01T00:00:00"/>
    <s v="2019-20"/>
    <n v="2019"/>
    <n v="6"/>
    <s v="Jun"/>
    <x v="14"/>
    <n v="20"/>
    <s v="State"/>
    <n v="279.47000000000003"/>
    <n v="407.09"/>
    <n v="684.69"/>
    <n v="439.49"/>
    <n v="1371.25"/>
    <n v="1810.74"/>
    <m/>
  </r>
  <r>
    <d v="2019-06-01T00:00:00"/>
    <s v="2019-20"/>
    <n v="2019"/>
    <n v="6"/>
    <s v="Jun"/>
    <x v="15"/>
    <n v="29"/>
    <s v="State"/>
    <n v="1514.8"/>
    <n v="2050.0700000000002"/>
    <n v="2236.4699999999998"/>
    <n v="857.89"/>
    <n v="5801.34"/>
    <n v="6659.23"/>
    <m/>
  </r>
  <r>
    <d v="2019-06-01T00:00:00"/>
    <s v="2019-20"/>
    <n v="2019"/>
    <n v="6"/>
    <s v="Jun"/>
    <x v="16"/>
    <n v="32"/>
    <s v="State"/>
    <n v="495.48"/>
    <n v="806.73"/>
    <n v="260.06"/>
    <n v="5.3"/>
    <n v="1562.27"/>
    <n v="1567.57"/>
    <m/>
  </r>
  <r>
    <d v="2019-06-01T00:00:00"/>
    <s v="2019-20"/>
    <n v="2019"/>
    <n v="6"/>
    <s v="Jun"/>
    <x v="17"/>
    <n v="31"/>
    <s v="Union Territory"/>
    <n v="0.32"/>
    <n v="0.33"/>
    <n v="0.04"/>
    <n v="0"/>
    <n v="0.69"/>
    <n v="0.69"/>
    <m/>
  </r>
  <r>
    <d v="2019-06-01T00:00:00"/>
    <s v="2019-20"/>
    <n v="2019"/>
    <n v="6"/>
    <s v="Jun"/>
    <x v="18"/>
    <n v="23"/>
    <s v="State"/>
    <n v="473.94"/>
    <n v="700.56"/>
    <n v="603.48"/>
    <n v="434.47"/>
    <n v="1777.98"/>
    <n v="2212.4499999999998"/>
    <m/>
  </r>
  <r>
    <d v="2019-06-01T00:00:00"/>
    <s v="2019-20"/>
    <n v="2019"/>
    <n v="6"/>
    <s v="Jun"/>
    <x v="19"/>
    <n v="27"/>
    <s v="State"/>
    <n v="4246.18"/>
    <n v="5208.05"/>
    <n v="4702.24"/>
    <n v="986.64"/>
    <n v="14156.47"/>
    <n v="15143.11"/>
    <m/>
  </r>
  <r>
    <d v="2019-06-01T00:00:00"/>
    <s v="2019-20"/>
    <n v="2019"/>
    <n v="6"/>
    <s v="Jun"/>
    <x v="20"/>
    <n v="14"/>
    <s v="State"/>
    <n v="8.34"/>
    <n v="15.36"/>
    <n v="1.64"/>
    <n v="0.11"/>
    <n v="25.34"/>
    <n v="25.45"/>
    <m/>
  </r>
  <r>
    <d v="2019-06-01T00:00:00"/>
    <s v="2019-20"/>
    <n v="2019"/>
    <n v="6"/>
    <s v="Jun"/>
    <x v="21"/>
    <n v="17"/>
    <s v="State"/>
    <n v="18.38"/>
    <n v="29.68"/>
    <n v="75.48"/>
    <n v="0.69"/>
    <n v="123.54"/>
    <n v="124.23"/>
    <m/>
  </r>
  <r>
    <d v="2019-06-01T00:00:00"/>
    <s v="2019-20"/>
    <n v="2019"/>
    <n v="6"/>
    <s v="Jun"/>
    <x v="22"/>
    <n v="15"/>
    <s v="State"/>
    <n v="5.22"/>
    <n v="8.8800000000000008"/>
    <n v="9.84"/>
    <n v="0.03"/>
    <n v="23.94"/>
    <n v="23.97"/>
    <m/>
  </r>
  <r>
    <d v="2019-06-01T00:00:00"/>
    <s v="2019-20"/>
    <n v="2019"/>
    <n v="6"/>
    <s v="Jun"/>
    <x v="23"/>
    <n v="13"/>
    <s v="State"/>
    <n v="4.9000000000000004"/>
    <n v="8.7100000000000009"/>
    <n v="4.99"/>
    <n v="1.26"/>
    <n v="18.600000000000001"/>
    <n v="19.86"/>
    <m/>
  </r>
  <r>
    <d v="2019-06-01T00:00:00"/>
    <s v="2019-20"/>
    <n v="2019"/>
    <n v="6"/>
    <s v="Jun"/>
    <x v="24"/>
    <n v="21"/>
    <s v="State"/>
    <n v="603.39"/>
    <n v="804.49"/>
    <n v="970.69"/>
    <n v="544.9"/>
    <n v="2378.5700000000002"/>
    <n v="2923.47"/>
    <m/>
  </r>
  <r>
    <d v="2019-06-01T00:00:00"/>
    <s v="2019-20"/>
    <n v="2019"/>
    <n v="6"/>
    <s v="Jun"/>
    <x v="25"/>
    <n v="34"/>
    <s v="Union Territory"/>
    <n v="17.55"/>
    <n v="29.16"/>
    <n v="88.45"/>
    <n v="0.1"/>
    <n v="135.16"/>
    <n v="135.26"/>
    <m/>
  </r>
  <r>
    <d v="2019-06-01T00:00:00"/>
    <s v="2019-20"/>
    <n v="2019"/>
    <n v="6"/>
    <s v="Jun"/>
    <x v="26"/>
    <n v="3"/>
    <s v="State"/>
    <n v="262.43"/>
    <n v="481.57"/>
    <n v="480.14"/>
    <n v="23.89"/>
    <n v="1224.1400000000001"/>
    <n v="1248.03"/>
    <m/>
  </r>
  <r>
    <d v="2019-06-01T00:00:00"/>
    <s v="2019-20"/>
    <n v="2019"/>
    <n v="6"/>
    <s v="Jun"/>
    <x v="27"/>
    <n v="8"/>
    <s v="State"/>
    <n v="698.94"/>
    <n v="984.4"/>
    <n v="859.72"/>
    <n v="139.94"/>
    <n v="2543.06"/>
    <n v="2683"/>
    <m/>
  </r>
  <r>
    <d v="2019-06-01T00:00:00"/>
    <s v="2019-20"/>
    <n v="2019"/>
    <n v="6"/>
    <s v="Jun"/>
    <x v="28"/>
    <n v="11"/>
    <s v="State"/>
    <n v="11.02"/>
    <n v="15.85"/>
    <n v="166.32"/>
    <n v="0.11"/>
    <n v="193.19"/>
    <n v="193.3"/>
    <m/>
  </r>
  <r>
    <d v="2019-06-01T00:00:00"/>
    <s v="2019-20"/>
    <n v="2019"/>
    <n v="6"/>
    <s v="Jun"/>
    <x v="29"/>
    <n v="33"/>
    <s v="State"/>
    <n v="1522.35"/>
    <n v="2180.29"/>
    <n v="1648.53"/>
    <n v="529.78"/>
    <n v="5351.17"/>
    <n v="5880.95"/>
    <m/>
  </r>
  <r>
    <d v="2019-06-01T00:00:00"/>
    <s v="2019-20"/>
    <n v="2019"/>
    <n v="6"/>
    <s v="Jun"/>
    <x v="30"/>
    <n v="36"/>
    <s v="State"/>
    <n v="710.83"/>
    <n v="980.45"/>
    <n v="875.75"/>
    <n v="598.58000000000004"/>
    <n v="2567.0300000000002"/>
    <n v="3165.61"/>
    <m/>
  </r>
  <r>
    <d v="2019-06-01T00:00:00"/>
    <s v="2019-20"/>
    <n v="2019"/>
    <n v="6"/>
    <s v="Jun"/>
    <x v="31"/>
    <n v="16"/>
    <s v="State"/>
    <n v="17.52"/>
    <n v="33.64"/>
    <n v="6.64"/>
    <n v="0.13"/>
    <n v="57.8"/>
    <n v="57.93"/>
    <m/>
  </r>
  <r>
    <d v="2019-06-01T00:00:00"/>
    <s v="2019-20"/>
    <n v="2019"/>
    <n v="6"/>
    <s v="Jun"/>
    <x v="32"/>
    <n v="9"/>
    <s v="State"/>
    <n v="1163.48"/>
    <n v="1861.6"/>
    <n v="1270.01"/>
    <n v="1071.33"/>
    <n v="4295.09"/>
    <n v="5366.42"/>
    <m/>
  </r>
  <r>
    <d v="2019-06-01T00:00:00"/>
    <s v="2019-20"/>
    <n v="2019"/>
    <n v="6"/>
    <s v="Jun"/>
    <x v="33"/>
    <n v="5"/>
    <s v="State"/>
    <n v="191.21"/>
    <n v="350.15"/>
    <n v="669.5"/>
    <n v="20.75"/>
    <n v="1210.8599999999999"/>
    <n v="1231.6099999999999"/>
    <m/>
  </r>
  <r>
    <d v="2019-06-01T00:00:00"/>
    <s v="2019-20"/>
    <n v="2019"/>
    <n v="6"/>
    <s v="Jun"/>
    <x v="34"/>
    <n v="19"/>
    <s v="State"/>
    <n v="1021.66"/>
    <n v="1371.96"/>
    <n v="767.27"/>
    <n v="352.65"/>
    <n v="3160.89"/>
    <n v="3513.54"/>
    <m/>
  </r>
  <r>
    <d v="2019-07-01T00:00:00"/>
    <s v="2019-20"/>
    <n v="2019"/>
    <n v="7"/>
    <s v="Jul"/>
    <x v="0"/>
    <n v="35"/>
    <s v="Union Territory"/>
    <n v="7.94"/>
    <n v="11.91"/>
    <n v="2.42"/>
    <n v="0.13"/>
    <n v="22.27"/>
    <n v="22.4"/>
    <m/>
  </r>
  <r>
    <d v="2019-07-01T00:00:00"/>
    <s v="2019-20"/>
    <n v="2019"/>
    <n v="7"/>
    <s v="Jul"/>
    <x v="1"/>
    <n v="28"/>
    <s v="State"/>
    <n v="514.29"/>
    <n v="746.63"/>
    <n v="847.83"/>
    <n v="29.65"/>
    <n v="2108.75"/>
    <n v="2138.4"/>
    <m/>
  </r>
  <r>
    <d v="2019-07-01T00:00:00"/>
    <s v="2019-20"/>
    <n v="2019"/>
    <n v="7"/>
    <s v="Jul"/>
    <x v="2"/>
    <n v="12"/>
    <s v="State"/>
    <n v="18.34"/>
    <n v="25.68"/>
    <n v="4.43"/>
    <n v="0.26"/>
    <n v="48.45"/>
    <n v="48.71"/>
    <m/>
  </r>
  <r>
    <d v="2019-07-01T00:00:00"/>
    <s v="2019-20"/>
    <n v="2019"/>
    <n v="7"/>
    <s v="Jul"/>
    <x v="3"/>
    <n v="18"/>
    <s v="State"/>
    <n v="227.27"/>
    <n v="321.70999999999998"/>
    <n v="207.08"/>
    <n v="38.590000000000003"/>
    <n v="756.06"/>
    <n v="794.65"/>
    <m/>
  </r>
  <r>
    <d v="2019-07-01T00:00:00"/>
    <s v="2019-20"/>
    <n v="2019"/>
    <n v="7"/>
    <s v="Jul"/>
    <x v="4"/>
    <n v="10"/>
    <s v="State"/>
    <n v="260.33"/>
    <n v="529.73"/>
    <n v="146.36000000000001"/>
    <n v="224.02"/>
    <n v="936.42"/>
    <n v="1160.44"/>
    <m/>
  </r>
  <r>
    <d v="2019-07-01T00:00:00"/>
    <s v="2019-20"/>
    <n v="2019"/>
    <n v="7"/>
    <s v="Jul"/>
    <x v="5"/>
    <n v="4"/>
    <s v="Union Territory"/>
    <n v="31.09"/>
    <n v="49.17"/>
    <n v="74.53"/>
    <n v="1.17"/>
    <n v="154.79"/>
    <n v="155.96"/>
    <m/>
  </r>
  <r>
    <d v="2019-07-01T00:00:00"/>
    <s v="2019-20"/>
    <n v="2019"/>
    <n v="7"/>
    <s v="Jul"/>
    <x v="6"/>
    <n v="22"/>
    <s v="State"/>
    <n v="379.32"/>
    <n v="482.19"/>
    <n v="641.28"/>
    <n v="499.58"/>
    <n v="1502.79"/>
    <n v="2002.37"/>
    <m/>
  </r>
  <r>
    <d v="2019-07-01T00:00:00"/>
    <s v="2019-20"/>
    <n v="2019"/>
    <n v="7"/>
    <s v="Jul"/>
    <x v="7"/>
    <n v="38"/>
    <s v="Union Territory"/>
    <n v="25.11"/>
    <n v="35.840000000000003"/>
    <n v="178.6"/>
    <n v="0.11"/>
    <n v="239.55"/>
    <n v="239.66"/>
    <m/>
  </r>
  <r>
    <d v="2019-07-01T00:00:00"/>
    <s v="2019-20"/>
    <n v="2019"/>
    <n v="7"/>
    <s v="Jul"/>
    <x v="8"/>
    <n v="7"/>
    <s v="Union Territory"/>
    <n v="717.24"/>
    <n v="948.19"/>
    <n v="1651.55"/>
    <n v="89.25"/>
    <n v="3316.98"/>
    <n v="3406.23"/>
    <m/>
  </r>
  <r>
    <d v="2019-07-01T00:00:00"/>
    <s v="2019-20"/>
    <n v="2019"/>
    <n v="7"/>
    <s v="Jul"/>
    <x v="9"/>
    <n v="30"/>
    <s v="State"/>
    <n v="76.87"/>
    <n v="119.44"/>
    <n v="162.32"/>
    <n v="2.63"/>
    <n v="358.63"/>
    <n v="361.26"/>
    <m/>
  </r>
  <r>
    <d v="2019-07-01T00:00:00"/>
    <s v="2019-20"/>
    <n v="2019"/>
    <n v="7"/>
    <s v="Jul"/>
    <x v="10"/>
    <n v="24"/>
    <s v="State"/>
    <n v="1691.37"/>
    <n v="2214.21"/>
    <n v="2143.84"/>
    <n v="361.95"/>
    <n v="6049.42"/>
    <n v="6411.37"/>
    <m/>
  </r>
  <r>
    <d v="2019-07-01T00:00:00"/>
    <s v="2019-20"/>
    <n v="2019"/>
    <n v="7"/>
    <s v="Jul"/>
    <x v="11"/>
    <n v="6"/>
    <s v="State"/>
    <n v="719.55"/>
    <n v="1070.46"/>
    <n v="2535.34"/>
    <n v="291.39"/>
    <n v="4325.3500000000004"/>
    <n v="4616.74"/>
    <m/>
  </r>
  <r>
    <d v="2019-07-01T00:00:00"/>
    <s v="2019-20"/>
    <n v="2019"/>
    <n v="7"/>
    <s v="Jul"/>
    <x v="12"/>
    <n v="2"/>
    <s v="State"/>
    <n v="103.16"/>
    <n v="154.75"/>
    <n v="414.01"/>
    <n v="5.29"/>
    <n v="671.92"/>
    <n v="677.21"/>
    <m/>
  </r>
  <r>
    <d v="2019-07-01T00:00:00"/>
    <s v="2019-20"/>
    <n v="2019"/>
    <n v="7"/>
    <s v="Jul"/>
    <x v="13"/>
    <n v="1"/>
    <s v="Union Territory"/>
    <n v="90.81"/>
    <n v="164.29"/>
    <n v="102.02"/>
    <n v="5.52"/>
    <n v="357.12"/>
    <n v="362.64"/>
    <m/>
  </r>
  <r>
    <d v="2019-07-01T00:00:00"/>
    <s v="2019-20"/>
    <n v="2019"/>
    <n v="7"/>
    <s v="Jul"/>
    <x v="14"/>
    <n v="20"/>
    <s v="State"/>
    <n v="306.29000000000002"/>
    <n v="431.11"/>
    <n v="693.92"/>
    <n v="424.17"/>
    <n v="1431.32"/>
    <n v="1855.49"/>
    <m/>
  </r>
  <r>
    <d v="2019-07-01T00:00:00"/>
    <s v="2019-20"/>
    <n v="2019"/>
    <n v="7"/>
    <s v="Jul"/>
    <x v="15"/>
    <n v="29"/>
    <s v="State"/>
    <n v="1609.44"/>
    <n v="2152"/>
    <n v="2354.19"/>
    <n v="972.87"/>
    <n v="6115.63"/>
    <n v="7088.5"/>
    <m/>
  </r>
  <r>
    <d v="2019-07-01T00:00:00"/>
    <s v="2019-20"/>
    <n v="2019"/>
    <n v="7"/>
    <s v="Jul"/>
    <x v="16"/>
    <n v="32"/>
    <s v="State"/>
    <n v="474.14"/>
    <n v="757.52"/>
    <n v="265.63"/>
    <n v="15.08"/>
    <n v="1497.29"/>
    <n v="1512.37"/>
    <m/>
  </r>
  <r>
    <d v="2019-07-01T00:00:00"/>
    <s v="2019-20"/>
    <n v="2019"/>
    <n v="7"/>
    <s v="Jul"/>
    <x v="17"/>
    <n v="31"/>
    <s v="Union Territory"/>
    <n v="0.91"/>
    <n v="1.19"/>
    <n v="0.02"/>
    <n v="0"/>
    <n v="2.12"/>
    <n v="2.12"/>
    <m/>
  </r>
  <r>
    <d v="2019-07-01T00:00:00"/>
    <s v="2019-20"/>
    <n v="2019"/>
    <n v="7"/>
    <s v="Jul"/>
    <x v="18"/>
    <n v="23"/>
    <s v="State"/>
    <n v="517.41"/>
    <n v="741.58"/>
    <n v="573.41"/>
    <n v="449.28"/>
    <n v="1832.4"/>
    <n v="2281.6799999999998"/>
    <m/>
  </r>
  <r>
    <d v="2019-07-01T00:00:00"/>
    <s v="2019-20"/>
    <n v="2019"/>
    <n v="7"/>
    <s v="Jul"/>
    <x v="19"/>
    <n v="27"/>
    <s v="State"/>
    <n v="3816.41"/>
    <n v="4802.5"/>
    <n v="5458.42"/>
    <n v="1024.49"/>
    <n v="14077.33"/>
    <n v="15101.82"/>
    <m/>
  </r>
  <r>
    <d v="2019-07-01T00:00:00"/>
    <s v="2019-20"/>
    <n v="2019"/>
    <n v="7"/>
    <s v="Jul"/>
    <x v="20"/>
    <n v="14"/>
    <s v="State"/>
    <n v="12.24"/>
    <n v="19.61"/>
    <n v="1.55"/>
    <n v="0.18"/>
    <n v="33.4"/>
    <n v="33.58"/>
    <m/>
  </r>
  <r>
    <d v="2019-07-01T00:00:00"/>
    <s v="2019-20"/>
    <n v="2019"/>
    <n v="7"/>
    <s v="Jul"/>
    <x v="21"/>
    <n v="17"/>
    <s v="State"/>
    <n v="17.21"/>
    <n v="26.5"/>
    <n v="60.3"/>
    <n v="0.37"/>
    <n v="104.01"/>
    <n v="104.38"/>
    <m/>
  </r>
  <r>
    <d v="2019-07-01T00:00:00"/>
    <s v="2019-20"/>
    <n v="2019"/>
    <n v="7"/>
    <s v="Jul"/>
    <x v="22"/>
    <n v="15"/>
    <s v="State"/>
    <n v="3.73"/>
    <n v="7.2"/>
    <n v="8.0500000000000007"/>
    <n v="0.05"/>
    <n v="18.98"/>
    <n v="19.03"/>
    <m/>
  </r>
  <r>
    <d v="2019-07-01T00:00:00"/>
    <s v="2019-20"/>
    <n v="2019"/>
    <n v="7"/>
    <s v="Jul"/>
    <x v="23"/>
    <n v="13"/>
    <s v="State"/>
    <n v="7.01"/>
    <n v="9.48"/>
    <n v="5.66"/>
    <n v="0.72"/>
    <n v="22.15"/>
    <n v="22.87"/>
    <m/>
  </r>
  <r>
    <d v="2019-07-01T00:00:00"/>
    <s v="2019-20"/>
    <n v="2019"/>
    <n v="7"/>
    <s v="Jul"/>
    <x v="24"/>
    <n v="21"/>
    <s v="State"/>
    <n v="518.11"/>
    <n v="702.44"/>
    <n v="742.21"/>
    <n v="531.61"/>
    <n v="1962.76"/>
    <n v="2494.37"/>
    <m/>
  </r>
  <r>
    <d v="2019-07-01T00:00:00"/>
    <s v="2019-20"/>
    <n v="2019"/>
    <n v="7"/>
    <s v="Jul"/>
    <x v="25"/>
    <n v="34"/>
    <s v="Union Territory"/>
    <n v="19.36"/>
    <n v="30.18"/>
    <n v="94.75"/>
    <n v="0.24"/>
    <n v="144.29"/>
    <n v="144.53"/>
    <m/>
  </r>
  <r>
    <d v="2019-07-01T00:00:00"/>
    <s v="2019-20"/>
    <n v="2019"/>
    <n v="7"/>
    <s v="Jul"/>
    <x v="26"/>
    <n v="3"/>
    <s v="State"/>
    <n v="293.58999999999997"/>
    <n v="498.6"/>
    <n v="456.23"/>
    <n v="22.97"/>
    <n v="1248.42"/>
    <n v="1271.3900000000001"/>
    <m/>
  </r>
  <r>
    <d v="2019-07-01T00:00:00"/>
    <s v="2019-20"/>
    <n v="2019"/>
    <n v="7"/>
    <s v="Jul"/>
    <x v="27"/>
    <n v="8"/>
    <s v="State"/>
    <n v="733.64"/>
    <n v="997.01"/>
    <n v="842.17"/>
    <n v="125.75"/>
    <n v="2572.8200000000002"/>
    <n v="2698.57"/>
    <m/>
  </r>
  <r>
    <d v="2019-07-01T00:00:00"/>
    <s v="2019-20"/>
    <n v="2019"/>
    <n v="7"/>
    <s v="Jul"/>
    <x v="28"/>
    <n v="11"/>
    <s v="State"/>
    <n v="14.57"/>
    <n v="21.08"/>
    <n v="164.86"/>
    <n v="0.18"/>
    <n v="200.51"/>
    <n v="200.69"/>
    <m/>
  </r>
  <r>
    <d v="2019-07-01T00:00:00"/>
    <s v="2019-20"/>
    <n v="2019"/>
    <n v="7"/>
    <s v="Jul"/>
    <x v="29"/>
    <n v="33"/>
    <s v="State"/>
    <n v="1552.98"/>
    <n v="2270.62"/>
    <n v="1746.29"/>
    <n v="514.27"/>
    <n v="5569.89"/>
    <n v="6084.16"/>
    <m/>
  </r>
  <r>
    <d v="2019-07-01T00:00:00"/>
    <s v="2019-20"/>
    <n v="2019"/>
    <n v="7"/>
    <s v="Jul"/>
    <x v="30"/>
    <n v="36"/>
    <s v="State"/>
    <n v="696.92"/>
    <n v="1003.27"/>
    <n v="884.5"/>
    <n v="578.4"/>
    <n v="2584.69"/>
    <n v="3163.09"/>
    <m/>
  </r>
  <r>
    <d v="2019-07-01T00:00:00"/>
    <s v="2019-20"/>
    <n v="2019"/>
    <n v="7"/>
    <s v="Jul"/>
    <x v="31"/>
    <n v="16"/>
    <s v="State"/>
    <n v="17.07"/>
    <n v="25.66"/>
    <n v="5.82"/>
    <n v="0.11"/>
    <n v="48.55"/>
    <n v="48.66"/>
    <m/>
  </r>
  <r>
    <d v="2019-07-01T00:00:00"/>
    <s v="2019-20"/>
    <n v="2019"/>
    <n v="7"/>
    <s v="Jul"/>
    <x v="32"/>
    <n v="9"/>
    <s v="State"/>
    <n v="1208.79"/>
    <n v="1899.73"/>
    <n v="1184.68"/>
    <n v="1128.75"/>
    <n v="4293.2"/>
    <n v="5421.95"/>
    <m/>
  </r>
  <r>
    <d v="2019-07-01T00:00:00"/>
    <s v="2019-20"/>
    <n v="2019"/>
    <n v="7"/>
    <s v="Jul"/>
    <x v="33"/>
    <n v="5"/>
    <s v="State"/>
    <n v="194.08"/>
    <n v="339.75"/>
    <n v="736.23"/>
    <n v="18.84"/>
    <n v="1270.06"/>
    <n v="1288.9000000000001"/>
    <m/>
  </r>
  <r>
    <d v="2019-07-01T00:00:00"/>
    <s v="2019-20"/>
    <n v="2019"/>
    <n v="7"/>
    <s v="Jul"/>
    <x v="34"/>
    <n v="19"/>
    <s v="State"/>
    <n v="1021.81"/>
    <n v="1371.31"/>
    <n v="796.16"/>
    <n v="396.41"/>
    <n v="3189.28"/>
    <n v="3585.69"/>
    <m/>
  </r>
  <r>
    <d v="2019-08-01T00:00:00"/>
    <s v="2019-20"/>
    <n v="2019"/>
    <n v="8"/>
    <s v="Aug"/>
    <x v="0"/>
    <n v="35"/>
    <s v="Union Territory"/>
    <n v="9.9700000000000006"/>
    <n v="17.11"/>
    <n v="3.26"/>
    <n v="0.14000000000000001"/>
    <n v="30.34"/>
    <n v="30.48"/>
    <m/>
  </r>
  <r>
    <d v="2019-08-01T00:00:00"/>
    <s v="2019-20"/>
    <n v="2019"/>
    <n v="8"/>
    <s v="Aug"/>
    <x v="1"/>
    <n v="28"/>
    <s v="State"/>
    <n v="499.97"/>
    <n v="700.28"/>
    <n v="892.84"/>
    <n v="22.04"/>
    <n v="2093.09"/>
    <n v="2115.13"/>
    <m/>
  </r>
  <r>
    <d v="2019-08-01T00:00:00"/>
    <s v="2019-20"/>
    <n v="2019"/>
    <n v="8"/>
    <s v="Aug"/>
    <x v="2"/>
    <n v="12"/>
    <s v="State"/>
    <n v="16.45"/>
    <n v="20.53"/>
    <n v="7.76"/>
    <n v="0.02"/>
    <n v="44.74"/>
    <n v="44.76"/>
    <m/>
  </r>
  <r>
    <d v="2019-08-01T00:00:00"/>
    <s v="2019-20"/>
    <n v="2019"/>
    <n v="8"/>
    <s v="Aug"/>
    <x v="3"/>
    <n v="18"/>
    <s v="State"/>
    <n v="216.08"/>
    <n v="290.45"/>
    <n v="229.63"/>
    <n v="32.049999999999997"/>
    <n v="736.16"/>
    <n v="768.21"/>
    <m/>
  </r>
  <r>
    <d v="2019-08-01T00:00:00"/>
    <s v="2019-20"/>
    <n v="2019"/>
    <n v="8"/>
    <s v="Aug"/>
    <x v="4"/>
    <n v="10"/>
    <s v="State"/>
    <n v="255.93"/>
    <n v="453.33"/>
    <n v="115.14"/>
    <n v="156.94999999999999"/>
    <n v="824.4"/>
    <n v="981.35"/>
    <m/>
  </r>
  <r>
    <d v="2019-08-01T00:00:00"/>
    <s v="2019-20"/>
    <n v="2019"/>
    <n v="8"/>
    <s v="Aug"/>
    <x v="5"/>
    <n v="4"/>
    <s v="Union Territory"/>
    <n v="32.9"/>
    <n v="44.49"/>
    <n v="82.29"/>
    <n v="0.4"/>
    <n v="159.68"/>
    <n v="160.08000000000001"/>
    <m/>
  </r>
  <r>
    <d v="2019-08-01T00:00:00"/>
    <s v="2019-20"/>
    <n v="2019"/>
    <n v="8"/>
    <s v="Aug"/>
    <x v="6"/>
    <n v="22"/>
    <s v="State"/>
    <n v="344.14"/>
    <n v="430.56"/>
    <n v="604.33000000000004"/>
    <n v="493.71"/>
    <n v="1379.03"/>
    <n v="1872.74"/>
    <m/>
  </r>
  <r>
    <d v="2019-08-01T00:00:00"/>
    <s v="2019-20"/>
    <n v="2019"/>
    <n v="8"/>
    <s v="Aug"/>
    <x v="7"/>
    <n v="38"/>
    <s v="Union Territory"/>
    <n v="26.51"/>
    <n v="38.25"/>
    <n v="197.25"/>
    <n v="0.13"/>
    <n v="262.01"/>
    <n v="262.14"/>
    <m/>
  </r>
  <r>
    <d v="2019-08-01T00:00:00"/>
    <s v="2019-20"/>
    <n v="2019"/>
    <n v="8"/>
    <s v="Aug"/>
    <x v="8"/>
    <n v="7"/>
    <s v="Union Territory"/>
    <n v="731.94"/>
    <n v="943.45"/>
    <n v="1736.99"/>
    <n v="104.81"/>
    <n v="3412.38"/>
    <n v="3517.19"/>
    <m/>
  </r>
  <r>
    <d v="2019-08-01T00:00:00"/>
    <s v="2019-20"/>
    <n v="2019"/>
    <n v="8"/>
    <s v="Aug"/>
    <x v="9"/>
    <n v="30"/>
    <s v="State"/>
    <n v="74.47"/>
    <n v="106.23"/>
    <n v="142.58000000000001"/>
    <n v="1.25"/>
    <n v="323.27999999999997"/>
    <n v="324.52999999999997"/>
    <m/>
  </r>
  <r>
    <d v="2019-08-01T00:00:00"/>
    <s v="2019-20"/>
    <n v="2019"/>
    <n v="8"/>
    <s v="Aug"/>
    <x v="10"/>
    <n v="24"/>
    <s v="State"/>
    <n v="1668.29"/>
    <n v="2100.58"/>
    <n v="2072.5500000000002"/>
    <n v="343.14"/>
    <n v="5841.42"/>
    <n v="6184.56"/>
    <m/>
  </r>
  <r>
    <d v="2019-08-01T00:00:00"/>
    <s v="2019-20"/>
    <n v="2019"/>
    <n v="8"/>
    <s v="Aug"/>
    <x v="11"/>
    <n v="6"/>
    <s v="State"/>
    <n v="785.37"/>
    <n v="1138.24"/>
    <n v="2269.8200000000002"/>
    <n v="280.51"/>
    <n v="4193.43"/>
    <n v="4473.9399999999996"/>
    <m/>
  </r>
  <r>
    <d v="2019-08-01T00:00:00"/>
    <s v="2019-20"/>
    <n v="2019"/>
    <n v="8"/>
    <s v="Aug"/>
    <x v="12"/>
    <n v="2"/>
    <s v="State"/>
    <n v="97.09"/>
    <n v="145.62"/>
    <n v="431.75"/>
    <n v="1.47"/>
    <n v="674.46"/>
    <n v="675.93"/>
    <m/>
  </r>
  <r>
    <d v="2019-08-01T00:00:00"/>
    <s v="2019-20"/>
    <n v="2019"/>
    <n v="8"/>
    <s v="Aug"/>
    <x v="13"/>
    <n v="1"/>
    <s v="Union Territory"/>
    <n v="65.89"/>
    <n v="111.46"/>
    <n v="119.84"/>
    <n v="4.83"/>
    <n v="297.19"/>
    <n v="302.02"/>
    <m/>
  </r>
  <r>
    <d v="2019-08-01T00:00:00"/>
    <s v="2019-20"/>
    <n v="2019"/>
    <n v="8"/>
    <s v="Aug"/>
    <x v="14"/>
    <n v="20"/>
    <s v="State"/>
    <n v="320.7"/>
    <n v="435.54"/>
    <n v="608.37"/>
    <n v="405.67"/>
    <n v="1364.61"/>
    <n v="1770.28"/>
    <m/>
  </r>
  <r>
    <d v="2019-08-01T00:00:00"/>
    <s v="2019-20"/>
    <n v="2019"/>
    <n v="8"/>
    <s v="Aug"/>
    <x v="15"/>
    <n v="29"/>
    <s v="State"/>
    <n v="1526.77"/>
    <n v="2096.5300000000002"/>
    <n v="1921.32"/>
    <n v="656.19"/>
    <n v="5544.62"/>
    <n v="6200.81"/>
    <m/>
  </r>
  <r>
    <d v="2019-08-01T00:00:00"/>
    <s v="2019-20"/>
    <n v="2019"/>
    <n v="8"/>
    <s v="Aug"/>
    <x v="16"/>
    <n v="32"/>
    <s v="State"/>
    <n v="496.8"/>
    <n v="764.03"/>
    <n v="308.10000000000002"/>
    <n v="12.96"/>
    <n v="1568.93"/>
    <n v="1581.89"/>
    <m/>
  </r>
  <r>
    <d v="2019-08-01T00:00:00"/>
    <s v="2019-20"/>
    <n v="2019"/>
    <n v="8"/>
    <s v="Aug"/>
    <x v="17"/>
    <n v="31"/>
    <s v="Union Territory"/>
    <n v="0.37"/>
    <n v="1.04"/>
    <n v="0.03"/>
    <n v="0"/>
    <n v="1.44"/>
    <n v="1.44"/>
    <m/>
  </r>
  <r>
    <d v="2019-08-01T00:00:00"/>
    <s v="2019-20"/>
    <n v="2019"/>
    <n v="8"/>
    <s v="Aug"/>
    <x v="18"/>
    <n v="23"/>
    <s v="State"/>
    <n v="507.87"/>
    <n v="690.58"/>
    <n v="609.21"/>
    <n v="447.2"/>
    <n v="1807.66"/>
    <n v="2254.86"/>
    <m/>
  </r>
  <r>
    <d v="2019-08-01T00:00:00"/>
    <s v="2019-20"/>
    <n v="2019"/>
    <n v="8"/>
    <s v="Aug"/>
    <x v="19"/>
    <n v="27"/>
    <s v="State"/>
    <n v="3716.21"/>
    <n v="4690.58"/>
    <n v="4181.4399999999996"/>
    <n v="819.09"/>
    <n v="12588.23"/>
    <n v="13407.32"/>
    <m/>
  </r>
  <r>
    <d v="2019-08-01T00:00:00"/>
    <s v="2019-20"/>
    <n v="2019"/>
    <n v="8"/>
    <s v="Aug"/>
    <x v="20"/>
    <n v="14"/>
    <s v="State"/>
    <n v="13.15"/>
    <n v="20.92"/>
    <n v="2.36"/>
    <n v="0.12"/>
    <n v="36.43"/>
    <n v="36.549999999999997"/>
    <m/>
  </r>
  <r>
    <d v="2019-08-01T00:00:00"/>
    <s v="2019-20"/>
    <n v="2019"/>
    <n v="8"/>
    <s v="Aug"/>
    <x v="21"/>
    <n v="17"/>
    <s v="State"/>
    <n v="19.71"/>
    <n v="26.67"/>
    <n v="70.2"/>
    <n v="0.32"/>
    <n v="116.58"/>
    <n v="116.9"/>
    <m/>
  </r>
  <r>
    <d v="2019-08-01T00:00:00"/>
    <s v="2019-20"/>
    <n v="2019"/>
    <n v="8"/>
    <s v="Aug"/>
    <x v="22"/>
    <n v="15"/>
    <s v="State"/>
    <n v="6.18"/>
    <n v="12.96"/>
    <n v="8.61"/>
    <n v="0.06"/>
    <n v="27.75"/>
    <n v="27.81"/>
    <m/>
  </r>
  <r>
    <d v="2019-08-01T00:00:00"/>
    <s v="2019-20"/>
    <n v="2019"/>
    <n v="8"/>
    <s v="Aug"/>
    <x v="23"/>
    <n v="13"/>
    <s v="State"/>
    <n v="9.3699999999999992"/>
    <n v="11.84"/>
    <n v="4.63"/>
    <n v="1.01"/>
    <n v="25.84"/>
    <n v="26.85"/>
    <m/>
  </r>
  <r>
    <d v="2019-08-01T00:00:00"/>
    <s v="2019-20"/>
    <n v="2019"/>
    <n v="8"/>
    <s v="Aug"/>
    <x v="24"/>
    <n v="21"/>
    <s v="State"/>
    <n v="534.67999999999995"/>
    <n v="698.47"/>
    <n v="815.17"/>
    <n v="448.91"/>
    <n v="2048.3200000000002"/>
    <n v="2497.23"/>
    <m/>
  </r>
  <r>
    <d v="2019-08-01T00:00:00"/>
    <s v="2019-20"/>
    <n v="2019"/>
    <n v="8"/>
    <s v="Aug"/>
    <x v="25"/>
    <n v="34"/>
    <s v="Union Territory"/>
    <n v="19.66"/>
    <n v="31.7"/>
    <n v="108.05"/>
    <n v="1.1100000000000001"/>
    <n v="159.41"/>
    <n v="160.52000000000001"/>
    <m/>
  </r>
  <r>
    <d v="2019-08-01T00:00:00"/>
    <s v="2019-20"/>
    <n v="2019"/>
    <n v="8"/>
    <s v="Aug"/>
    <x v="26"/>
    <n v="3"/>
    <s v="State"/>
    <n v="294.92"/>
    <n v="494.53"/>
    <n v="450.65"/>
    <n v="15.26"/>
    <n v="1240.0999999999999"/>
    <n v="1255.3599999999999"/>
    <m/>
  </r>
  <r>
    <d v="2019-08-01T00:00:00"/>
    <s v="2019-20"/>
    <n v="2019"/>
    <n v="8"/>
    <s v="Aug"/>
    <x v="27"/>
    <n v="8"/>
    <s v="State"/>
    <n v="717.18"/>
    <n v="954.28"/>
    <n v="756.57"/>
    <n v="122.08"/>
    <n v="2428.0300000000002"/>
    <n v="2550.11"/>
    <m/>
  </r>
  <r>
    <d v="2019-08-01T00:00:00"/>
    <s v="2019-20"/>
    <n v="2019"/>
    <n v="8"/>
    <s v="Aug"/>
    <x v="28"/>
    <n v="11"/>
    <s v="State"/>
    <n v="11.11"/>
    <n v="14.41"/>
    <n v="137.88"/>
    <n v="0.01"/>
    <n v="163.4"/>
    <n v="163.41"/>
    <m/>
  </r>
  <r>
    <d v="2019-08-01T00:00:00"/>
    <s v="2019-20"/>
    <n v="2019"/>
    <n v="8"/>
    <s v="Aug"/>
    <x v="29"/>
    <n v="33"/>
    <s v="State"/>
    <n v="1600.37"/>
    <n v="2318.38"/>
    <n v="1688.08"/>
    <n v="366.51"/>
    <n v="5606.83"/>
    <n v="5973.34"/>
    <m/>
  </r>
  <r>
    <d v="2019-08-01T00:00:00"/>
    <s v="2019-20"/>
    <n v="2019"/>
    <n v="8"/>
    <s v="Aug"/>
    <x v="30"/>
    <n v="36"/>
    <s v="State"/>
    <n v="734.68"/>
    <n v="993.63"/>
    <n v="853.87"/>
    <n v="476.47"/>
    <n v="2582.1799999999998"/>
    <n v="3058.65"/>
    <m/>
  </r>
  <r>
    <d v="2019-08-01T00:00:00"/>
    <s v="2019-20"/>
    <n v="2019"/>
    <n v="8"/>
    <s v="Aug"/>
    <x v="31"/>
    <n v="16"/>
    <s v="State"/>
    <n v="21.57"/>
    <n v="30.57"/>
    <n v="5.77"/>
    <n v="0.24"/>
    <n v="57.91"/>
    <n v="58.15"/>
    <m/>
  </r>
  <r>
    <d v="2019-08-01T00:00:00"/>
    <s v="2019-20"/>
    <n v="2019"/>
    <n v="8"/>
    <s v="Aug"/>
    <x v="32"/>
    <n v="9"/>
    <s v="State"/>
    <n v="1131.8399999999999"/>
    <n v="1724.6"/>
    <n v="1206.3399999999999"/>
    <n v="912.67"/>
    <n v="4062.78"/>
    <n v="4975.45"/>
    <m/>
  </r>
  <r>
    <d v="2019-08-01T00:00:00"/>
    <s v="2019-20"/>
    <n v="2019"/>
    <n v="8"/>
    <s v="Aug"/>
    <x v="33"/>
    <n v="5"/>
    <s v="State"/>
    <n v="187.71"/>
    <n v="316.23"/>
    <n v="423.05"/>
    <n v="14.1"/>
    <n v="926.99"/>
    <n v="941.09"/>
    <m/>
  </r>
  <r>
    <d v="2019-08-01T00:00:00"/>
    <s v="2019-20"/>
    <n v="2019"/>
    <n v="8"/>
    <s v="Aug"/>
    <x v="34"/>
    <n v="19"/>
    <s v="State"/>
    <n v="1025.01"/>
    <n v="1356.46"/>
    <n v="831.64"/>
    <n v="290.12"/>
    <n v="3213.11"/>
    <n v="3503.23"/>
    <m/>
  </r>
  <r>
    <d v="2019-09-01T00:00:00"/>
    <s v="2019-20"/>
    <n v="2019"/>
    <n v="9"/>
    <s v="Sep"/>
    <x v="0"/>
    <n v="35"/>
    <s v="Union Territory"/>
    <n v="6.58"/>
    <n v="10.02"/>
    <n v="2.15"/>
    <n v="0"/>
    <n v="18.75"/>
    <n v="18.75"/>
    <m/>
  </r>
  <r>
    <d v="2019-09-01T00:00:00"/>
    <s v="2019-20"/>
    <n v="2019"/>
    <n v="9"/>
    <s v="Sep"/>
    <x v="1"/>
    <n v="28"/>
    <s v="State"/>
    <n v="473.74"/>
    <n v="660.46"/>
    <n v="746.16"/>
    <n v="104.61"/>
    <n v="1880.36"/>
    <n v="1984.97"/>
    <m/>
  </r>
  <r>
    <d v="2019-09-01T00:00:00"/>
    <s v="2019-20"/>
    <n v="2019"/>
    <n v="9"/>
    <s v="Sep"/>
    <x v="2"/>
    <n v="12"/>
    <s v="State"/>
    <n v="17.57"/>
    <n v="23.08"/>
    <n v="3.44"/>
    <n v="0.22"/>
    <n v="44.09"/>
    <n v="44.31"/>
    <m/>
  </r>
  <r>
    <d v="2019-09-01T00:00:00"/>
    <s v="2019-20"/>
    <n v="2019"/>
    <n v="9"/>
    <s v="Sep"/>
    <x v="3"/>
    <n v="18"/>
    <s v="State"/>
    <n v="242.51"/>
    <n v="324.17"/>
    <n v="245.09"/>
    <n v="36.68"/>
    <n v="811.77"/>
    <n v="848.45"/>
    <m/>
  </r>
  <r>
    <d v="2019-09-01T00:00:00"/>
    <s v="2019-20"/>
    <n v="2019"/>
    <n v="9"/>
    <s v="Sep"/>
    <x v="4"/>
    <n v="10"/>
    <s v="State"/>
    <n v="246.12"/>
    <n v="447.66"/>
    <n v="107.12"/>
    <n v="184.8"/>
    <n v="800.9"/>
    <n v="985.7"/>
    <m/>
  </r>
  <r>
    <d v="2019-09-01T00:00:00"/>
    <s v="2019-20"/>
    <n v="2019"/>
    <n v="9"/>
    <s v="Sep"/>
    <x v="5"/>
    <n v="4"/>
    <s v="Union Territory"/>
    <n v="28.68"/>
    <n v="41.26"/>
    <n v="86.47"/>
    <n v="0.1"/>
    <n v="156.41"/>
    <n v="156.51"/>
    <m/>
  </r>
  <r>
    <d v="2019-09-01T00:00:00"/>
    <s v="2019-20"/>
    <n v="2019"/>
    <n v="9"/>
    <s v="Sep"/>
    <x v="6"/>
    <n v="22"/>
    <s v="State"/>
    <n v="295.31"/>
    <n v="375.2"/>
    <n v="438.94"/>
    <n v="380.14"/>
    <n v="1109.45"/>
    <n v="1489.59"/>
    <m/>
  </r>
  <r>
    <d v="2019-09-01T00:00:00"/>
    <s v="2019-20"/>
    <n v="2019"/>
    <n v="9"/>
    <s v="Sep"/>
    <x v="7"/>
    <n v="38"/>
    <s v="Union Territory"/>
    <n v="24.95"/>
    <n v="33.83"/>
    <n v="155.26"/>
    <n v="0.04"/>
    <n v="214.04"/>
    <n v="214.08"/>
    <m/>
  </r>
  <r>
    <d v="2019-09-01T00:00:00"/>
    <s v="2019-20"/>
    <n v="2019"/>
    <n v="9"/>
    <s v="Sep"/>
    <x v="8"/>
    <n v="7"/>
    <s v="Union Territory"/>
    <n v="707.03"/>
    <n v="924.2"/>
    <n v="1667.67"/>
    <n v="86.97"/>
    <n v="3298.9"/>
    <n v="3385.87"/>
    <m/>
  </r>
  <r>
    <d v="2019-09-01T00:00:00"/>
    <s v="2019-20"/>
    <n v="2019"/>
    <n v="9"/>
    <s v="Sep"/>
    <x v="9"/>
    <n v="30"/>
    <s v="State"/>
    <n v="71.63"/>
    <n v="109.5"/>
    <n v="127.58"/>
    <n v="2.76"/>
    <n v="308.70999999999998"/>
    <n v="311.47000000000003"/>
    <m/>
  </r>
  <r>
    <d v="2019-09-01T00:00:00"/>
    <s v="2019-20"/>
    <n v="2019"/>
    <n v="9"/>
    <s v="Sep"/>
    <x v="10"/>
    <n v="24"/>
    <s v="State"/>
    <n v="1543.19"/>
    <n v="1932.12"/>
    <n v="1901.53"/>
    <n v="363.69"/>
    <n v="5376.84"/>
    <n v="5740.53"/>
    <m/>
  </r>
  <r>
    <d v="2019-09-01T00:00:00"/>
    <s v="2019-20"/>
    <n v="2019"/>
    <n v="9"/>
    <s v="Sep"/>
    <x v="11"/>
    <n v="6"/>
    <s v="State"/>
    <n v="720.31"/>
    <n v="1053.43"/>
    <n v="2053.9299999999998"/>
    <n v="281.99"/>
    <n v="3827.67"/>
    <n v="4109.66"/>
    <m/>
  </r>
  <r>
    <d v="2019-09-01T00:00:00"/>
    <s v="2019-20"/>
    <n v="2019"/>
    <n v="9"/>
    <s v="Sep"/>
    <x v="12"/>
    <n v="2"/>
    <s v="State"/>
    <n v="89.32"/>
    <n v="135.04"/>
    <n v="383.62"/>
    <n v="0.91"/>
    <n v="607.98"/>
    <n v="608.89"/>
    <m/>
  </r>
  <r>
    <d v="2019-09-01T00:00:00"/>
    <s v="2019-20"/>
    <n v="2019"/>
    <n v="9"/>
    <s v="Sep"/>
    <x v="13"/>
    <n v="1"/>
    <s v="Union Territory"/>
    <n v="62.12"/>
    <n v="99.43"/>
    <n v="117.47"/>
    <n v="2.7"/>
    <n v="279.02"/>
    <n v="281.72000000000003"/>
    <m/>
  </r>
  <r>
    <d v="2019-09-01T00:00:00"/>
    <s v="2019-20"/>
    <n v="2019"/>
    <n v="9"/>
    <s v="Sep"/>
    <x v="14"/>
    <n v="20"/>
    <s v="State"/>
    <n v="279.61"/>
    <n v="374.93"/>
    <n v="462.73"/>
    <n v="391.67"/>
    <n v="1117.27"/>
    <n v="1508.94"/>
    <m/>
  </r>
  <r>
    <d v="2019-09-01T00:00:00"/>
    <s v="2019-20"/>
    <n v="2019"/>
    <n v="9"/>
    <s v="Sep"/>
    <x v="15"/>
    <n v="29"/>
    <s v="State"/>
    <n v="1522.24"/>
    <n v="2061.7600000000002"/>
    <n v="1985.98"/>
    <n v="779.88"/>
    <n v="5569.98"/>
    <n v="6349.86"/>
    <m/>
  </r>
  <r>
    <d v="2019-09-01T00:00:00"/>
    <s v="2019-20"/>
    <n v="2019"/>
    <n v="9"/>
    <s v="Sep"/>
    <x v="16"/>
    <n v="32"/>
    <s v="State"/>
    <n v="441.28"/>
    <n v="687.19"/>
    <n v="258.97000000000003"/>
    <n v="5.72"/>
    <n v="1387.44"/>
    <n v="1393.16"/>
    <m/>
  </r>
  <r>
    <d v="2019-09-01T00:00:00"/>
    <s v="2019-20"/>
    <n v="2019"/>
    <n v="9"/>
    <s v="Sep"/>
    <x v="17"/>
    <n v="31"/>
    <s v="Union Territory"/>
    <n v="0.74"/>
    <n v="0.84"/>
    <n v="0.09"/>
    <n v="0"/>
    <n v="1.67"/>
    <n v="1.67"/>
    <m/>
  </r>
  <r>
    <d v="2019-09-01T00:00:00"/>
    <s v="2019-20"/>
    <n v="2019"/>
    <n v="9"/>
    <s v="Sep"/>
    <x v="18"/>
    <n v="23"/>
    <s v="State"/>
    <n v="445.86"/>
    <n v="613.71"/>
    <n v="585.57000000000005"/>
    <n v="441.96"/>
    <n v="1645.14"/>
    <n v="2087.1"/>
    <m/>
  </r>
  <r>
    <d v="2019-09-01T00:00:00"/>
    <s v="2019-20"/>
    <n v="2019"/>
    <n v="9"/>
    <s v="Sep"/>
    <x v="19"/>
    <n v="27"/>
    <s v="State"/>
    <n v="3609.68"/>
    <n v="4405.43"/>
    <n v="4647.0600000000004"/>
    <n v="916.78"/>
    <n v="12662.17"/>
    <n v="13578.95"/>
    <m/>
  </r>
  <r>
    <d v="2019-09-01T00:00:00"/>
    <s v="2019-20"/>
    <n v="2019"/>
    <n v="9"/>
    <s v="Sep"/>
    <x v="20"/>
    <n v="14"/>
    <s v="State"/>
    <n v="15.11"/>
    <n v="23.34"/>
    <n v="2.9"/>
    <n v="0.15"/>
    <n v="41.35"/>
    <n v="41.5"/>
    <m/>
  </r>
  <r>
    <d v="2019-09-01T00:00:00"/>
    <s v="2019-20"/>
    <n v="2019"/>
    <n v="9"/>
    <s v="Sep"/>
    <x v="21"/>
    <n v="17"/>
    <s v="State"/>
    <n v="15.07"/>
    <n v="20.82"/>
    <n v="68.23"/>
    <n v="1.77"/>
    <n v="104.12"/>
    <n v="105.89"/>
    <m/>
  </r>
  <r>
    <d v="2019-09-01T00:00:00"/>
    <s v="2019-20"/>
    <n v="2019"/>
    <n v="9"/>
    <s v="Sep"/>
    <x v="22"/>
    <n v="15"/>
    <s v="State"/>
    <n v="6.32"/>
    <n v="10.039999999999999"/>
    <n v="12.8"/>
    <n v="0.1"/>
    <n v="29.16"/>
    <n v="29.26"/>
    <m/>
  </r>
  <r>
    <d v="2019-09-01T00:00:00"/>
    <s v="2019-20"/>
    <n v="2019"/>
    <n v="9"/>
    <s v="Sep"/>
    <x v="23"/>
    <n v="13"/>
    <s v="State"/>
    <n v="6.42"/>
    <n v="9.2799999999999994"/>
    <n v="4.51"/>
    <n v="0.42"/>
    <n v="20.21"/>
    <n v="20.63"/>
    <m/>
  </r>
  <r>
    <d v="2019-09-01T00:00:00"/>
    <s v="2019-20"/>
    <n v="2019"/>
    <n v="9"/>
    <s v="Sep"/>
    <x v="24"/>
    <n v="21"/>
    <s v="State"/>
    <n v="473.85"/>
    <n v="610.19000000000005"/>
    <n v="577.1"/>
    <n v="353.9"/>
    <n v="1661.14"/>
    <n v="2015.04"/>
    <m/>
  </r>
  <r>
    <d v="2019-09-01T00:00:00"/>
    <s v="2019-20"/>
    <n v="2019"/>
    <n v="9"/>
    <s v="Sep"/>
    <x v="25"/>
    <n v="34"/>
    <s v="Union Territory"/>
    <n v="18.510000000000002"/>
    <n v="30.95"/>
    <n v="99.6"/>
    <n v="0.36"/>
    <n v="149.06"/>
    <n v="149.41999999999999"/>
    <m/>
  </r>
  <r>
    <d v="2019-09-01T00:00:00"/>
    <s v="2019-20"/>
    <n v="2019"/>
    <n v="9"/>
    <s v="Sep"/>
    <x v="26"/>
    <n v="3"/>
    <s v="State"/>
    <n v="275.27999999999997"/>
    <n v="473.05"/>
    <n v="370.67"/>
    <n v="14.36"/>
    <n v="1119"/>
    <n v="1133.3599999999999"/>
    <m/>
  </r>
  <r>
    <d v="2019-09-01T00:00:00"/>
    <s v="2019-20"/>
    <n v="2019"/>
    <n v="9"/>
    <s v="Sep"/>
    <x v="27"/>
    <n v="8"/>
    <s v="State"/>
    <n v="621.79999999999995"/>
    <n v="839.73"/>
    <n v="660.62"/>
    <n v="131.16"/>
    <n v="2122.15"/>
    <n v="2253.31"/>
    <m/>
  </r>
  <r>
    <d v="2019-09-01T00:00:00"/>
    <s v="2019-20"/>
    <n v="2019"/>
    <n v="9"/>
    <s v="Sep"/>
    <x v="28"/>
    <n v="11"/>
    <s v="State"/>
    <n v="11.26"/>
    <n v="16.23"/>
    <n v="181.41"/>
    <n v="0.1"/>
    <n v="208.9"/>
    <n v="209"/>
    <m/>
  </r>
  <r>
    <d v="2019-09-01T00:00:00"/>
    <s v="2019-20"/>
    <n v="2019"/>
    <n v="9"/>
    <s v="Sep"/>
    <x v="29"/>
    <n v="33"/>
    <s v="State"/>
    <n v="1475.53"/>
    <n v="2135.15"/>
    <n v="1541.56"/>
    <n v="463.37"/>
    <n v="5152.24"/>
    <n v="5615.61"/>
    <m/>
  </r>
  <r>
    <d v="2019-09-01T00:00:00"/>
    <s v="2019-20"/>
    <n v="2019"/>
    <n v="9"/>
    <s v="Sep"/>
    <x v="30"/>
    <n v="36"/>
    <s v="State"/>
    <n v="655.52"/>
    <n v="916.21"/>
    <n v="781.15"/>
    <n v="501.2"/>
    <n v="2352.88"/>
    <n v="2854.08"/>
    <m/>
  </r>
  <r>
    <d v="2019-09-01T00:00:00"/>
    <s v="2019-20"/>
    <n v="2019"/>
    <n v="9"/>
    <s v="Sep"/>
    <x v="31"/>
    <n v="16"/>
    <s v="State"/>
    <n v="18.37"/>
    <n v="26.58"/>
    <n v="6.52"/>
    <n v="0.23"/>
    <n v="51.47"/>
    <n v="51.7"/>
    <m/>
  </r>
  <r>
    <d v="2019-09-01T00:00:00"/>
    <s v="2019-20"/>
    <n v="2019"/>
    <n v="9"/>
    <s v="Sep"/>
    <x v="32"/>
    <n v="9"/>
    <s v="State"/>
    <n v="1056.04"/>
    <n v="1616.07"/>
    <n v="1253.9100000000001"/>
    <n v="1147.4100000000001"/>
    <n v="3926.02"/>
    <n v="5073.43"/>
    <m/>
  </r>
  <r>
    <d v="2019-09-01T00:00:00"/>
    <s v="2019-20"/>
    <n v="2019"/>
    <n v="9"/>
    <s v="Sep"/>
    <x v="33"/>
    <n v="5"/>
    <s v="State"/>
    <n v="185.89"/>
    <n v="286.29000000000002"/>
    <n v="533.98"/>
    <n v="10.48"/>
    <n v="1006.16"/>
    <n v="1016.64"/>
    <m/>
  </r>
  <r>
    <d v="2019-09-01T00:00:00"/>
    <s v="2019-20"/>
    <n v="2019"/>
    <n v="9"/>
    <s v="Sep"/>
    <x v="34"/>
    <n v="19"/>
    <s v="State"/>
    <n v="961.51"/>
    <n v="1263.3699999999999"/>
    <n v="745.38"/>
    <n v="285.23"/>
    <n v="2970.26"/>
    <n v="3255.49"/>
    <m/>
  </r>
  <r>
    <d v="2019-10-01T00:00:00"/>
    <s v="2019-20"/>
    <n v="2019"/>
    <n v="10"/>
    <s v="Oct"/>
    <x v="0"/>
    <n v="35"/>
    <s v="Union Territory"/>
    <n v="12.73"/>
    <n v="16.09"/>
    <n v="2.91"/>
    <n v="0.01"/>
    <n v="31.73"/>
    <n v="31.74"/>
    <m/>
  </r>
  <r>
    <d v="2019-10-01T00:00:00"/>
    <s v="2019-20"/>
    <n v="2019"/>
    <n v="10"/>
    <s v="Oct"/>
    <x v="1"/>
    <n v="28"/>
    <s v="State"/>
    <n v="470.07"/>
    <n v="656.57"/>
    <n v="716.4"/>
    <n v="131.85"/>
    <n v="1843.04"/>
    <n v="1974.89"/>
    <m/>
  </r>
  <r>
    <d v="2019-10-01T00:00:00"/>
    <s v="2019-20"/>
    <n v="2019"/>
    <n v="10"/>
    <s v="Oct"/>
    <x v="2"/>
    <n v="12"/>
    <s v="State"/>
    <n v="15.7"/>
    <n v="20.74"/>
    <n v="4.2"/>
    <n v="0.34"/>
    <n v="40.64"/>
    <n v="40.98"/>
    <m/>
  </r>
  <r>
    <d v="2019-10-01T00:00:00"/>
    <s v="2019-20"/>
    <n v="2019"/>
    <n v="10"/>
    <s v="Oct"/>
    <x v="3"/>
    <n v="18"/>
    <s v="State"/>
    <n v="262.51"/>
    <n v="357.34"/>
    <n v="221.86"/>
    <n v="46.42"/>
    <n v="841.71"/>
    <n v="888.13"/>
    <m/>
  </r>
  <r>
    <d v="2019-10-01T00:00:00"/>
    <s v="2019-20"/>
    <n v="2019"/>
    <n v="10"/>
    <s v="Oct"/>
    <x v="4"/>
    <n v="10"/>
    <s v="State"/>
    <n v="248.99"/>
    <n v="402.7"/>
    <n v="107.15"/>
    <n v="181.22"/>
    <n v="758.84"/>
    <n v="940.06"/>
    <m/>
  </r>
  <r>
    <d v="2019-10-01T00:00:00"/>
    <s v="2019-20"/>
    <n v="2019"/>
    <n v="10"/>
    <s v="Oct"/>
    <x v="5"/>
    <n v="4"/>
    <s v="Union Territory"/>
    <n v="27.89"/>
    <n v="40.42"/>
    <n v="88.35"/>
    <n v="0.36"/>
    <n v="156.66"/>
    <n v="157.02000000000001"/>
    <m/>
  </r>
  <r>
    <d v="2019-10-01T00:00:00"/>
    <s v="2019-20"/>
    <n v="2019"/>
    <n v="10"/>
    <s v="Oct"/>
    <x v="6"/>
    <n v="22"/>
    <s v="State"/>
    <n v="312.64"/>
    <n v="395.21"/>
    <n v="496.85"/>
    <n v="364.94"/>
    <n v="1204.7"/>
    <n v="1569.64"/>
    <m/>
  </r>
  <r>
    <d v="2019-10-01T00:00:00"/>
    <s v="2019-20"/>
    <n v="2019"/>
    <n v="10"/>
    <s v="Oct"/>
    <x v="7"/>
    <n v="38"/>
    <s v="Union Territory"/>
    <n v="23.88"/>
    <n v="32.1"/>
    <n v="156.88"/>
    <n v="0.1"/>
    <n v="212.86"/>
    <n v="212.96"/>
    <m/>
  </r>
  <r>
    <d v="2019-10-01T00:00:00"/>
    <s v="2019-20"/>
    <n v="2019"/>
    <n v="10"/>
    <s v="Oct"/>
    <x v="8"/>
    <n v="7"/>
    <s v="Union Territory"/>
    <n v="717.56"/>
    <n v="959.76"/>
    <n v="1720.77"/>
    <n v="86.07"/>
    <n v="3398.09"/>
    <n v="3484.16"/>
    <m/>
  </r>
  <r>
    <d v="2019-10-01T00:00:00"/>
    <s v="2019-20"/>
    <n v="2019"/>
    <n v="10"/>
    <s v="Oct"/>
    <x v="9"/>
    <n v="30"/>
    <s v="State"/>
    <n v="76.16"/>
    <n v="107.51"/>
    <n v="126.48"/>
    <n v="1"/>
    <n v="310.14999999999998"/>
    <n v="311.14999999999998"/>
    <m/>
  </r>
  <r>
    <d v="2019-10-01T00:00:00"/>
    <s v="2019-20"/>
    <n v="2019"/>
    <n v="10"/>
    <s v="Oct"/>
    <x v="10"/>
    <n v="24"/>
    <s v="State"/>
    <n v="1634.86"/>
    <n v="2016.4"/>
    <n v="1850.61"/>
    <n v="385.66"/>
    <n v="5501.87"/>
    <n v="5887.53"/>
    <m/>
  </r>
  <r>
    <d v="2019-10-01T00:00:00"/>
    <s v="2019-20"/>
    <n v="2019"/>
    <n v="10"/>
    <s v="Oct"/>
    <x v="11"/>
    <n v="6"/>
    <s v="State"/>
    <n v="752.47"/>
    <n v="1088.3800000000001"/>
    <n v="2437.39"/>
    <n v="299.81"/>
    <n v="4278.24"/>
    <n v="4578.05"/>
    <m/>
  </r>
  <r>
    <d v="2019-10-01T00:00:00"/>
    <s v="2019-20"/>
    <n v="2019"/>
    <n v="10"/>
    <s v="Oct"/>
    <x v="12"/>
    <n v="2"/>
    <s v="State"/>
    <n v="96.95"/>
    <n v="143.43"/>
    <n v="427.68"/>
    <n v="1.04"/>
    <n v="668.06"/>
    <n v="669.1"/>
    <m/>
  </r>
  <r>
    <d v="2019-10-01T00:00:00"/>
    <s v="2019-20"/>
    <n v="2019"/>
    <n v="10"/>
    <s v="Oct"/>
    <x v="13"/>
    <n v="1"/>
    <s v="Union Territory"/>
    <n v="77.09"/>
    <n v="122.63"/>
    <n v="109.58"/>
    <n v="3.22"/>
    <n v="309.3"/>
    <n v="312.52"/>
    <m/>
  </r>
  <r>
    <d v="2019-10-01T00:00:00"/>
    <s v="2019-20"/>
    <n v="2019"/>
    <n v="10"/>
    <s v="Oct"/>
    <x v="14"/>
    <n v="20"/>
    <s v="State"/>
    <n v="289.19"/>
    <n v="400.17"/>
    <n v="412.68"/>
    <n v="334.69"/>
    <n v="1102.04"/>
    <n v="1436.73"/>
    <m/>
  </r>
  <r>
    <d v="2019-10-01T00:00:00"/>
    <s v="2019-20"/>
    <n v="2019"/>
    <n v="10"/>
    <s v="Oct"/>
    <x v="15"/>
    <n v="29"/>
    <s v="State"/>
    <n v="1613.99"/>
    <n v="2142.73"/>
    <n v="2089.67"/>
    <n v="828.63"/>
    <n v="5846.39"/>
    <n v="6675.02"/>
    <m/>
  </r>
  <r>
    <d v="2019-10-01T00:00:00"/>
    <s v="2019-20"/>
    <n v="2019"/>
    <n v="10"/>
    <s v="Oct"/>
    <x v="16"/>
    <n v="32"/>
    <s v="State"/>
    <n v="490.3"/>
    <n v="765.85"/>
    <n v="281.07"/>
    <n v="11.97"/>
    <n v="1537.22"/>
    <n v="1549.19"/>
    <m/>
  </r>
  <r>
    <d v="2019-10-01T00:00:00"/>
    <s v="2019-20"/>
    <n v="2019"/>
    <n v="10"/>
    <s v="Oct"/>
    <x v="17"/>
    <n v="31"/>
    <s v="Union Territory"/>
    <n v="1.05"/>
    <n v="1.38"/>
    <n v="0.04"/>
    <n v="0"/>
    <n v="2.4700000000000002"/>
    <n v="2.4700000000000002"/>
    <m/>
  </r>
  <r>
    <d v="2019-10-01T00:00:00"/>
    <s v="2019-20"/>
    <n v="2019"/>
    <n v="10"/>
    <s v="Oct"/>
    <x v="18"/>
    <n v="23"/>
    <s v="State"/>
    <n v="464.13"/>
    <n v="639.02"/>
    <n v="559.53"/>
    <n v="389.93"/>
    <n v="1662.68"/>
    <n v="2052.61"/>
    <m/>
  </r>
  <r>
    <d v="2019-10-01T00:00:00"/>
    <s v="2019-20"/>
    <n v="2019"/>
    <n v="10"/>
    <s v="Oct"/>
    <x v="19"/>
    <n v="27"/>
    <s v="State"/>
    <n v="3947.74"/>
    <n v="4818.42"/>
    <n v="5484.49"/>
    <n v="858.82"/>
    <n v="14250.65"/>
    <n v="15109.47"/>
    <m/>
  </r>
  <r>
    <d v="2019-10-01T00:00:00"/>
    <s v="2019-20"/>
    <n v="2019"/>
    <n v="10"/>
    <s v="Oct"/>
    <x v="20"/>
    <n v="14"/>
    <s v="State"/>
    <n v="16.25"/>
    <n v="24.59"/>
    <n v="2.13"/>
    <n v="0.1"/>
    <n v="42.97"/>
    <n v="43.07"/>
    <m/>
  </r>
  <r>
    <d v="2019-10-01T00:00:00"/>
    <s v="2019-20"/>
    <n v="2019"/>
    <n v="10"/>
    <s v="Oct"/>
    <x v="21"/>
    <n v="17"/>
    <s v="State"/>
    <n v="18.38"/>
    <n v="27.13"/>
    <n v="67.37"/>
    <n v="0.01"/>
    <n v="112.88"/>
    <n v="112.89"/>
    <m/>
  </r>
  <r>
    <d v="2019-10-01T00:00:00"/>
    <s v="2019-20"/>
    <n v="2019"/>
    <n v="10"/>
    <s v="Oct"/>
    <x v="22"/>
    <n v="15"/>
    <s v="State"/>
    <n v="5.24"/>
    <n v="9.93"/>
    <n v="3.04"/>
    <n v="0.17"/>
    <n v="18.21"/>
    <n v="18.38"/>
    <m/>
  </r>
  <r>
    <d v="2019-10-01T00:00:00"/>
    <s v="2019-20"/>
    <n v="2019"/>
    <n v="10"/>
    <s v="Oct"/>
    <x v="23"/>
    <n v="13"/>
    <s v="State"/>
    <n v="7.9"/>
    <n v="10.4"/>
    <n v="6.11"/>
    <n v="0.09"/>
    <n v="24.41"/>
    <n v="24.5"/>
    <m/>
  </r>
  <r>
    <d v="2019-10-01T00:00:00"/>
    <s v="2019-20"/>
    <n v="2019"/>
    <n v="10"/>
    <s v="Oct"/>
    <x v="24"/>
    <n v="21"/>
    <s v="State"/>
    <n v="486.86"/>
    <n v="627.73"/>
    <n v="559.47"/>
    <n v="319.77999999999997"/>
    <n v="1674.06"/>
    <n v="1993.84"/>
    <m/>
  </r>
  <r>
    <d v="2019-10-01T00:00:00"/>
    <s v="2019-20"/>
    <n v="2019"/>
    <n v="10"/>
    <s v="Oct"/>
    <x v="25"/>
    <n v="34"/>
    <s v="Union Territory"/>
    <n v="19.57"/>
    <n v="30.73"/>
    <n v="94.56"/>
    <n v="0.87"/>
    <n v="144.86000000000001"/>
    <n v="145.72999999999999"/>
    <m/>
  </r>
  <r>
    <d v="2019-10-01T00:00:00"/>
    <s v="2019-20"/>
    <n v="2019"/>
    <n v="10"/>
    <s v="Oct"/>
    <x v="26"/>
    <n v="3"/>
    <s v="State"/>
    <n v="281.52"/>
    <n v="480.1"/>
    <n v="412.49"/>
    <n v="15.24"/>
    <n v="1174.1099999999999"/>
    <n v="1189.3499999999999"/>
    <m/>
  </r>
  <r>
    <d v="2019-10-01T00:00:00"/>
    <s v="2019-20"/>
    <n v="2019"/>
    <n v="10"/>
    <s v="Oct"/>
    <x v="27"/>
    <n v="8"/>
    <s v="State"/>
    <n v="654.87"/>
    <n v="909.57"/>
    <n v="750.12"/>
    <n v="110.47"/>
    <n v="2314.56"/>
    <n v="2425.0300000000002"/>
    <m/>
  </r>
  <r>
    <d v="2019-10-01T00:00:00"/>
    <s v="2019-20"/>
    <n v="2019"/>
    <n v="10"/>
    <s v="Oct"/>
    <x v="28"/>
    <n v="11"/>
    <s v="State"/>
    <n v="9.74"/>
    <n v="13.14"/>
    <n v="163.18"/>
    <n v="0.06"/>
    <n v="186.06"/>
    <n v="186.12"/>
    <m/>
  </r>
  <r>
    <d v="2019-10-01T00:00:00"/>
    <s v="2019-20"/>
    <n v="2019"/>
    <n v="10"/>
    <s v="Oct"/>
    <x v="29"/>
    <n v="33"/>
    <s v="State"/>
    <n v="1526.61"/>
    <n v="2128.5500000000002"/>
    <n v="1876.37"/>
    <n v="577.1"/>
    <n v="5531.53"/>
    <n v="6108.63"/>
    <m/>
  </r>
  <r>
    <d v="2019-10-01T00:00:00"/>
    <s v="2019-20"/>
    <n v="2019"/>
    <n v="10"/>
    <s v="Oct"/>
    <x v="30"/>
    <n v="36"/>
    <s v="State"/>
    <n v="765.32"/>
    <n v="1010.33"/>
    <n v="980.65"/>
    <n v="474.13"/>
    <n v="2756.3"/>
    <n v="3230.43"/>
    <m/>
  </r>
  <r>
    <d v="2019-10-01T00:00:00"/>
    <s v="2019-20"/>
    <n v="2019"/>
    <n v="10"/>
    <s v="Oct"/>
    <x v="31"/>
    <n v="16"/>
    <s v="State"/>
    <n v="20.41"/>
    <n v="29.09"/>
    <n v="4.87"/>
    <n v="0.05"/>
    <n v="54.37"/>
    <n v="54.42"/>
    <m/>
  </r>
  <r>
    <d v="2019-10-01T00:00:00"/>
    <s v="2019-20"/>
    <n v="2019"/>
    <n v="10"/>
    <s v="Oct"/>
    <x v="32"/>
    <n v="9"/>
    <s v="State"/>
    <n v="1080.6099999999999"/>
    <n v="1655.63"/>
    <n v="1309.48"/>
    <n v="1056.8599999999999"/>
    <n v="4045.72"/>
    <n v="5102.58"/>
    <m/>
  </r>
  <r>
    <d v="2019-10-01T00:00:00"/>
    <s v="2019-20"/>
    <n v="2019"/>
    <n v="10"/>
    <s v="Oct"/>
    <x v="33"/>
    <n v="5"/>
    <s v="State"/>
    <n v="204.31"/>
    <n v="316.07"/>
    <n v="620.91999999999996"/>
    <n v="12.03"/>
    <n v="1141.3"/>
    <n v="1153.33"/>
    <m/>
  </r>
  <r>
    <d v="2019-10-01T00:00:00"/>
    <s v="2019-20"/>
    <n v="2019"/>
    <n v="10"/>
    <s v="Oct"/>
    <x v="34"/>
    <n v="19"/>
    <s v="State"/>
    <n v="940.17"/>
    <n v="1264.25"/>
    <n v="718.87"/>
    <n v="339.75"/>
    <n v="2923.29"/>
    <n v="3263.04"/>
    <m/>
  </r>
  <r>
    <d v="2019-11-01T00:00:00"/>
    <s v="2019-20"/>
    <n v="2019"/>
    <n v="11"/>
    <s v="Nov"/>
    <x v="0"/>
    <n v="35"/>
    <s v="Union Territory"/>
    <n v="8.36"/>
    <n v="13.52"/>
    <n v="2.99"/>
    <n v="0.04"/>
    <n v="24.87"/>
    <n v="24.91"/>
    <m/>
  </r>
  <r>
    <d v="2019-11-01T00:00:00"/>
    <s v="2019-20"/>
    <n v="2019"/>
    <n v="11"/>
    <s v="Nov"/>
    <x v="1"/>
    <n v="28"/>
    <s v="State"/>
    <n v="496.73"/>
    <n v="767.3"/>
    <n v="746.75"/>
    <n v="218.82"/>
    <n v="2010.78"/>
    <n v="2229.6"/>
    <m/>
  </r>
  <r>
    <d v="2019-11-01T00:00:00"/>
    <s v="2019-20"/>
    <n v="2019"/>
    <n v="11"/>
    <s v="Nov"/>
    <x v="2"/>
    <n v="12"/>
    <s v="State"/>
    <n v="13.09"/>
    <n v="17.07"/>
    <n v="5.28"/>
    <n v="0.17"/>
    <n v="35.44"/>
    <n v="35.61"/>
    <m/>
  </r>
  <r>
    <d v="2019-11-01T00:00:00"/>
    <s v="2019-20"/>
    <n v="2019"/>
    <n v="11"/>
    <s v="Nov"/>
    <x v="3"/>
    <n v="18"/>
    <s v="State"/>
    <n v="268.95999999999998"/>
    <n v="375.17"/>
    <n v="272.68"/>
    <n v="40.76"/>
    <n v="916.81"/>
    <n v="957.57"/>
    <m/>
  </r>
  <r>
    <d v="2019-11-01T00:00:00"/>
    <s v="2019-20"/>
    <n v="2019"/>
    <n v="11"/>
    <s v="Nov"/>
    <x v="4"/>
    <n v="10"/>
    <s v="State"/>
    <n v="278.04000000000002"/>
    <n v="509.6"/>
    <n v="136.63999999999999"/>
    <n v="182.29"/>
    <n v="924.28"/>
    <n v="1106.57"/>
    <m/>
  </r>
  <r>
    <d v="2019-11-01T00:00:00"/>
    <s v="2019-20"/>
    <n v="2019"/>
    <n v="11"/>
    <s v="Nov"/>
    <x v="5"/>
    <n v="4"/>
    <s v="Union Territory"/>
    <n v="32.92"/>
    <n v="50.6"/>
    <n v="80.44"/>
    <n v="1.21"/>
    <n v="163.96"/>
    <n v="165.17"/>
    <m/>
  </r>
  <r>
    <d v="2019-11-01T00:00:00"/>
    <s v="2019-20"/>
    <n v="2019"/>
    <n v="11"/>
    <s v="Nov"/>
    <x v="6"/>
    <n v="22"/>
    <s v="State"/>
    <n v="356.7"/>
    <n v="484.53"/>
    <n v="871.38"/>
    <n v="463.5"/>
    <n v="1712.61"/>
    <n v="2176.11"/>
    <m/>
  </r>
  <r>
    <d v="2019-11-01T00:00:00"/>
    <s v="2019-20"/>
    <n v="2019"/>
    <n v="11"/>
    <s v="Nov"/>
    <x v="7"/>
    <n v="38"/>
    <s v="Union Territory"/>
    <n v="28.11"/>
    <n v="39.909999999999997"/>
    <n v="177.32"/>
    <n v="7.0000000000000007E-2"/>
    <n v="245.34"/>
    <n v="245.41"/>
    <m/>
  </r>
  <r>
    <d v="2019-11-01T00:00:00"/>
    <s v="2019-20"/>
    <n v="2019"/>
    <n v="11"/>
    <s v="Nov"/>
    <x v="8"/>
    <n v="7"/>
    <s v="Union Territory"/>
    <n v="872.56"/>
    <n v="1145.27"/>
    <n v="1888.71"/>
    <n v="88.72"/>
    <n v="3906.54"/>
    <n v="3995.26"/>
    <m/>
  </r>
  <r>
    <d v="2019-11-01T00:00:00"/>
    <s v="2019-20"/>
    <n v="2019"/>
    <n v="11"/>
    <s v="Nov"/>
    <x v="9"/>
    <n v="30"/>
    <s v="State"/>
    <n v="85.37"/>
    <n v="122.41"/>
    <n v="132.1"/>
    <n v="1.64"/>
    <n v="339.88"/>
    <n v="341.52"/>
    <m/>
  </r>
  <r>
    <d v="2019-11-01T00:00:00"/>
    <s v="2019-20"/>
    <n v="2019"/>
    <n v="11"/>
    <s v="Nov"/>
    <x v="10"/>
    <n v="24"/>
    <s v="State"/>
    <n v="1800.38"/>
    <n v="2318.23"/>
    <n v="2271.0300000000002"/>
    <n v="415.29"/>
    <n v="6389.64"/>
    <n v="6804.93"/>
    <m/>
  </r>
  <r>
    <d v="2019-11-01T00:00:00"/>
    <s v="2019-20"/>
    <n v="2019"/>
    <n v="11"/>
    <s v="Nov"/>
    <x v="11"/>
    <n v="6"/>
    <s v="State"/>
    <n v="876.98"/>
    <n v="1262.3800000000001"/>
    <n v="3442.08"/>
    <n v="323.02"/>
    <n v="5581.44"/>
    <n v="5904.46"/>
    <m/>
  </r>
  <r>
    <d v="2019-11-01T00:00:00"/>
    <s v="2019-20"/>
    <n v="2019"/>
    <n v="11"/>
    <s v="Nov"/>
    <x v="12"/>
    <n v="2"/>
    <s v="State"/>
    <n v="109.88"/>
    <n v="173.09"/>
    <n v="416.58"/>
    <n v="1.52"/>
    <n v="699.55"/>
    <n v="701.07"/>
    <m/>
  </r>
  <r>
    <d v="2019-11-01T00:00:00"/>
    <s v="2019-20"/>
    <n v="2019"/>
    <n v="11"/>
    <s v="Nov"/>
    <x v="13"/>
    <n v="1"/>
    <s v="Union Territory"/>
    <n v="105.86"/>
    <n v="166.03"/>
    <n v="89.01"/>
    <n v="2.54"/>
    <n v="360.9"/>
    <n v="363.44"/>
    <m/>
  </r>
  <r>
    <d v="2019-11-01T00:00:00"/>
    <s v="2019-20"/>
    <n v="2019"/>
    <n v="11"/>
    <s v="Nov"/>
    <x v="14"/>
    <n v="20"/>
    <s v="State"/>
    <n v="327.69"/>
    <n v="468.65"/>
    <n v="560.12"/>
    <n v="363.33"/>
    <n v="1356.46"/>
    <n v="1719.79"/>
    <m/>
  </r>
  <r>
    <d v="2019-11-01T00:00:00"/>
    <s v="2019-20"/>
    <n v="2019"/>
    <n v="11"/>
    <s v="Nov"/>
    <x v="15"/>
    <n v="29"/>
    <s v="State"/>
    <n v="1612.74"/>
    <n v="2262.25"/>
    <n v="2387.6"/>
    <n v="709.75"/>
    <n v="6262.59"/>
    <n v="6972.34"/>
    <m/>
  </r>
  <r>
    <d v="2019-11-01T00:00:00"/>
    <s v="2019-20"/>
    <n v="2019"/>
    <n v="11"/>
    <s v="Nov"/>
    <x v="16"/>
    <n v="32"/>
    <s v="State"/>
    <n v="567.32000000000005"/>
    <n v="817.62"/>
    <n v="299.20999999999998"/>
    <n v="7.26"/>
    <n v="1684.15"/>
    <n v="1691.41"/>
    <m/>
  </r>
  <r>
    <d v="2019-11-01T00:00:00"/>
    <s v="2019-20"/>
    <n v="2019"/>
    <n v="11"/>
    <s v="Nov"/>
    <x v="17"/>
    <n v="31"/>
    <s v="Union Territory"/>
    <n v="0.81"/>
    <n v="1.05"/>
    <n v="0.08"/>
    <n v="0"/>
    <n v="1.94"/>
    <n v="1.94"/>
    <m/>
  </r>
  <r>
    <d v="2019-11-01T00:00:00"/>
    <s v="2019-20"/>
    <n v="2019"/>
    <n v="11"/>
    <s v="Nov"/>
    <x v="18"/>
    <n v="23"/>
    <s v="State"/>
    <n v="568.91999999999996"/>
    <n v="777.07"/>
    <n v="640.91999999999996"/>
    <n v="465.63"/>
    <n v="1986.91"/>
    <n v="2452.54"/>
    <m/>
  </r>
  <r>
    <d v="2019-11-01T00:00:00"/>
    <s v="2019-20"/>
    <n v="2019"/>
    <n v="11"/>
    <s v="Nov"/>
    <x v="19"/>
    <n v="27"/>
    <s v="State"/>
    <n v="4446.55"/>
    <n v="5507.82"/>
    <n v="5122.9399999999996"/>
    <n v="890.54"/>
    <n v="15077.31"/>
    <n v="15967.85"/>
    <m/>
  </r>
  <r>
    <d v="2019-11-01T00:00:00"/>
    <s v="2019-20"/>
    <n v="2019"/>
    <n v="11"/>
    <s v="Nov"/>
    <x v="20"/>
    <n v="14"/>
    <s v="State"/>
    <n v="11.92"/>
    <n v="20.309999999999999"/>
    <n v="2.85"/>
    <n v="0.2"/>
    <n v="35.08"/>
    <n v="35.28"/>
    <m/>
  </r>
  <r>
    <d v="2019-11-01T00:00:00"/>
    <s v="2019-20"/>
    <n v="2019"/>
    <n v="11"/>
    <s v="Nov"/>
    <x v="21"/>
    <n v="17"/>
    <s v="State"/>
    <n v="17.93"/>
    <n v="25.5"/>
    <n v="73.7"/>
    <n v="0.27"/>
    <n v="117.13"/>
    <n v="117.4"/>
    <m/>
  </r>
  <r>
    <d v="2019-11-01T00:00:00"/>
    <s v="2019-20"/>
    <n v="2019"/>
    <n v="11"/>
    <s v="Nov"/>
    <x v="22"/>
    <n v="15"/>
    <s v="State"/>
    <n v="5.44"/>
    <n v="8.7100000000000009"/>
    <n v="2.5499999999999998"/>
    <n v="0.14000000000000001"/>
    <n v="16.7"/>
    <n v="16.84"/>
    <m/>
  </r>
  <r>
    <d v="2019-11-01T00:00:00"/>
    <s v="2019-20"/>
    <n v="2019"/>
    <n v="11"/>
    <s v="Nov"/>
    <x v="23"/>
    <n v="13"/>
    <s v="State"/>
    <n v="7.46"/>
    <n v="10.76"/>
    <n v="3.86"/>
    <n v="0.48"/>
    <n v="22.08"/>
    <n v="22.56"/>
    <m/>
  </r>
  <r>
    <d v="2019-11-01T00:00:00"/>
    <s v="2019-20"/>
    <n v="2019"/>
    <n v="11"/>
    <s v="Nov"/>
    <x v="24"/>
    <n v="21"/>
    <s v="State"/>
    <n v="514.52"/>
    <n v="700.96"/>
    <n v="786.53"/>
    <n v="345.02"/>
    <n v="2002.01"/>
    <n v="2347.0300000000002"/>
    <m/>
  </r>
  <r>
    <d v="2019-11-01T00:00:00"/>
    <s v="2019-20"/>
    <n v="2019"/>
    <n v="11"/>
    <s v="Nov"/>
    <x v="25"/>
    <n v="34"/>
    <s v="Union Territory"/>
    <n v="21.54"/>
    <n v="35.5"/>
    <n v="99.98"/>
    <n v="0.15"/>
    <n v="157.02000000000001"/>
    <n v="157.16999999999999"/>
    <m/>
  </r>
  <r>
    <d v="2019-11-01T00:00:00"/>
    <s v="2019-20"/>
    <n v="2019"/>
    <n v="11"/>
    <s v="Nov"/>
    <x v="26"/>
    <n v="3"/>
    <s v="State"/>
    <n v="329.79"/>
    <n v="581.36"/>
    <n v="448.84"/>
    <n v="15.1"/>
    <n v="1359.99"/>
    <n v="1375.09"/>
    <m/>
  </r>
  <r>
    <d v="2019-11-01T00:00:00"/>
    <s v="2019-20"/>
    <n v="2019"/>
    <n v="11"/>
    <s v="Nov"/>
    <x v="27"/>
    <n v="8"/>
    <s v="State"/>
    <n v="848.59"/>
    <n v="1196.75"/>
    <n v="895.24"/>
    <n v="130.88"/>
    <n v="2940.58"/>
    <n v="3071.46"/>
    <m/>
  </r>
  <r>
    <d v="2019-11-01T00:00:00"/>
    <s v="2019-20"/>
    <n v="2019"/>
    <n v="11"/>
    <s v="Nov"/>
    <x v="28"/>
    <n v="11"/>
    <s v="State"/>
    <n v="10.44"/>
    <n v="16.739999999999998"/>
    <n v="129.76"/>
    <n v="0.23"/>
    <n v="156.94"/>
    <n v="157.16999999999999"/>
    <m/>
  </r>
  <r>
    <d v="2019-11-01T00:00:00"/>
    <s v="2019-20"/>
    <n v="2019"/>
    <n v="11"/>
    <s v="Nov"/>
    <x v="29"/>
    <n v="33"/>
    <s v="State"/>
    <n v="1703.86"/>
    <n v="2368.0500000000002"/>
    <n v="1961.07"/>
    <n v="416.29"/>
    <n v="6032.98"/>
    <n v="6449.27"/>
    <m/>
  </r>
  <r>
    <d v="2019-11-01T00:00:00"/>
    <s v="2019-20"/>
    <n v="2019"/>
    <n v="11"/>
    <s v="Nov"/>
    <x v="30"/>
    <n v="36"/>
    <s v="State"/>
    <n v="774.95"/>
    <n v="1173.02"/>
    <n v="905.84"/>
    <n v="495.59"/>
    <n v="2853.81"/>
    <n v="3349.4"/>
    <m/>
  </r>
  <r>
    <d v="2019-11-01T00:00:00"/>
    <s v="2019-20"/>
    <n v="2019"/>
    <n v="11"/>
    <s v="Nov"/>
    <x v="31"/>
    <n v="16"/>
    <s v="State"/>
    <n v="17.64"/>
    <n v="26.58"/>
    <n v="6.87"/>
    <n v="0.27"/>
    <n v="51.09"/>
    <n v="51.36"/>
    <m/>
  </r>
  <r>
    <d v="2019-11-01T00:00:00"/>
    <s v="2019-20"/>
    <n v="2019"/>
    <n v="11"/>
    <s v="Nov"/>
    <x v="32"/>
    <n v="9"/>
    <s v="State"/>
    <n v="1228.6400000000001"/>
    <n v="2003.13"/>
    <n v="1421.59"/>
    <n v="1024.31"/>
    <n v="4653.3599999999997"/>
    <n v="5677.67"/>
    <m/>
  </r>
  <r>
    <d v="2019-11-01T00:00:00"/>
    <s v="2019-20"/>
    <n v="2019"/>
    <n v="11"/>
    <s v="Nov"/>
    <x v="33"/>
    <n v="5"/>
    <s v="State"/>
    <n v="228.97"/>
    <n v="356.18"/>
    <n v="680.44"/>
    <n v="14.61"/>
    <n v="1265.5899999999999"/>
    <n v="1280.2"/>
    <m/>
  </r>
  <r>
    <d v="2019-11-01T00:00:00"/>
    <s v="2019-20"/>
    <n v="2019"/>
    <n v="11"/>
    <s v="Nov"/>
    <x v="34"/>
    <n v="19"/>
    <s v="State"/>
    <n v="1005.41"/>
    <n v="1332.06"/>
    <n v="883.73"/>
    <n v="238.74"/>
    <n v="3221.2"/>
    <n v="3459.94"/>
    <m/>
  </r>
  <r>
    <d v="2019-12-01T00:00:00"/>
    <s v="2019-20"/>
    <n v="2019"/>
    <n v="12"/>
    <s v="Dec"/>
    <x v="0"/>
    <n v="35"/>
    <s v="Union Territory"/>
    <n v="10.26"/>
    <n v="17.05"/>
    <n v="2.2799999999999998"/>
    <n v="0.19"/>
    <n v="29.59"/>
    <n v="29.78"/>
    <m/>
  </r>
  <r>
    <d v="2019-12-01T00:00:00"/>
    <s v="2019-20"/>
    <n v="2019"/>
    <n v="12"/>
    <s v="Dec"/>
    <x v="1"/>
    <n v="28"/>
    <s v="State"/>
    <n v="540.13"/>
    <n v="768.81"/>
    <n v="719.76"/>
    <n v="236.23"/>
    <n v="2028.7"/>
    <n v="2264.9299999999998"/>
    <m/>
  </r>
  <r>
    <d v="2019-12-01T00:00:00"/>
    <s v="2019-20"/>
    <n v="2019"/>
    <n v="12"/>
    <s v="Dec"/>
    <x v="2"/>
    <n v="12"/>
    <s v="State"/>
    <n v="22.71"/>
    <n v="29.53"/>
    <n v="5.78"/>
    <n v="0.2"/>
    <n v="58.02"/>
    <n v="58.22"/>
    <m/>
  </r>
  <r>
    <d v="2019-12-01T00:00:00"/>
    <s v="2019-20"/>
    <n v="2019"/>
    <n v="12"/>
    <s v="Dec"/>
    <x v="3"/>
    <n v="18"/>
    <s v="State"/>
    <n v="296.42"/>
    <n v="386.54"/>
    <n v="267.32"/>
    <n v="40.4"/>
    <n v="950.28"/>
    <n v="990.68"/>
    <m/>
  </r>
  <r>
    <d v="2019-12-01T00:00:00"/>
    <s v="2019-20"/>
    <n v="2019"/>
    <n v="12"/>
    <s v="Dec"/>
    <x v="4"/>
    <n v="10"/>
    <s v="State"/>
    <n v="266.06"/>
    <n v="476.79"/>
    <n v="121.28"/>
    <n v="151.5"/>
    <n v="864.13"/>
    <n v="1015.63"/>
    <m/>
  </r>
  <r>
    <d v="2019-12-01T00:00:00"/>
    <s v="2019-20"/>
    <n v="2019"/>
    <n v="12"/>
    <s v="Dec"/>
    <x v="5"/>
    <n v="4"/>
    <s v="Union Territory"/>
    <n v="33.74"/>
    <n v="47.19"/>
    <n v="86.51"/>
    <n v="0.52"/>
    <n v="167.44"/>
    <n v="167.96"/>
    <m/>
  </r>
  <r>
    <d v="2019-12-01T00:00:00"/>
    <s v="2019-20"/>
    <n v="2019"/>
    <n v="12"/>
    <s v="Dec"/>
    <x v="6"/>
    <n v="22"/>
    <s v="State"/>
    <n v="385.57"/>
    <n v="472"/>
    <n v="784.3"/>
    <n v="494.25"/>
    <n v="1641.87"/>
    <n v="2136.12"/>
    <m/>
  </r>
  <r>
    <d v="2019-12-01T00:00:00"/>
    <s v="2019-20"/>
    <n v="2019"/>
    <n v="12"/>
    <s v="Dec"/>
    <x v="7"/>
    <n v="38"/>
    <s v="Union Territory"/>
    <n v="26.98"/>
    <n v="36.78"/>
    <n v="184.32"/>
    <n v="0.06"/>
    <n v="248.08"/>
    <n v="248.14"/>
    <m/>
  </r>
  <r>
    <d v="2019-12-01T00:00:00"/>
    <s v="2019-20"/>
    <n v="2019"/>
    <n v="12"/>
    <s v="Dec"/>
    <x v="8"/>
    <n v="7"/>
    <s v="Union Territory"/>
    <n v="800.07"/>
    <n v="1030.19"/>
    <n v="1780.31"/>
    <n v="86.95"/>
    <n v="3610.57"/>
    <n v="3697.52"/>
    <m/>
  </r>
  <r>
    <d v="2019-12-01T00:00:00"/>
    <s v="2019-20"/>
    <n v="2019"/>
    <n v="12"/>
    <s v="Dec"/>
    <x v="9"/>
    <n v="30"/>
    <s v="State"/>
    <n v="93.77"/>
    <n v="134.74"/>
    <n v="132.66"/>
    <n v="2.2000000000000002"/>
    <n v="361.17"/>
    <n v="363.37"/>
    <m/>
  </r>
  <r>
    <d v="2019-12-01T00:00:00"/>
    <s v="2019-20"/>
    <n v="2019"/>
    <n v="12"/>
    <s v="Dec"/>
    <x v="10"/>
    <n v="24"/>
    <s v="State"/>
    <n v="1831.51"/>
    <n v="2335.85"/>
    <n v="2047.13"/>
    <n v="406.96"/>
    <n v="6214.49"/>
    <n v="6621.45"/>
    <m/>
  </r>
  <r>
    <d v="2019-12-01T00:00:00"/>
    <s v="2019-20"/>
    <n v="2019"/>
    <n v="12"/>
    <s v="Dec"/>
    <x v="11"/>
    <n v="6"/>
    <s v="State"/>
    <n v="814.05"/>
    <n v="1205.8699999999999"/>
    <n v="3045.72"/>
    <n v="299.26"/>
    <n v="5065.6400000000003"/>
    <n v="5364.9"/>
    <m/>
  </r>
  <r>
    <d v="2019-12-01T00:00:00"/>
    <s v="2019-20"/>
    <n v="2019"/>
    <n v="12"/>
    <s v="Dec"/>
    <x v="12"/>
    <n v="2"/>
    <s v="State"/>
    <n v="109.53"/>
    <n v="168.12"/>
    <n v="420.5"/>
    <n v="0.81"/>
    <n v="698.15"/>
    <n v="698.96"/>
    <m/>
  </r>
  <r>
    <d v="2019-12-01T00:00:00"/>
    <s v="2019-20"/>
    <n v="2019"/>
    <n v="12"/>
    <s v="Dec"/>
    <x v="13"/>
    <n v="1"/>
    <s v="Union Territory"/>
    <n v="109.24"/>
    <n v="198.77"/>
    <n v="99.5"/>
    <n v="1.64"/>
    <n v="407.51"/>
    <n v="409.15"/>
    <m/>
  </r>
  <r>
    <d v="2019-12-01T00:00:00"/>
    <s v="2019-20"/>
    <n v="2019"/>
    <n v="12"/>
    <s v="Dec"/>
    <x v="14"/>
    <n v="20"/>
    <s v="State"/>
    <n v="342.41"/>
    <n v="470.34"/>
    <n v="684.36"/>
    <n v="445.74"/>
    <n v="1497.11"/>
    <n v="1942.85"/>
    <m/>
  </r>
  <r>
    <d v="2019-12-01T00:00:00"/>
    <s v="2019-20"/>
    <n v="2019"/>
    <n v="12"/>
    <s v="Dec"/>
    <x v="15"/>
    <n v="29"/>
    <s v="State"/>
    <n v="1688.89"/>
    <n v="2220.84"/>
    <n v="2239.29"/>
    <n v="736.77"/>
    <n v="6149.02"/>
    <n v="6885.79"/>
    <m/>
  </r>
  <r>
    <d v="2019-12-01T00:00:00"/>
    <s v="2019-20"/>
    <n v="2019"/>
    <n v="12"/>
    <s v="Dec"/>
    <x v="16"/>
    <n v="32"/>
    <s v="State"/>
    <n v="527.04999999999995"/>
    <n v="801.83"/>
    <n v="311.54000000000002"/>
    <n v="10.27"/>
    <n v="1640.42"/>
    <n v="1650.69"/>
    <m/>
  </r>
  <r>
    <d v="2019-12-01T00:00:00"/>
    <s v="2019-20"/>
    <n v="2019"/>
    <n v="12"/>
    <s v="Dec"/>
    <x v="17"/>
    <n v="31"/>
    <s v="Union Territory"/>
    <n v="0.35"/>
    <n v="0.4"/>
    <n v="0.03"/>
    <n v="0"/>
    <n v="0.78"/>
    <n v="0.78"/>
    <m/>
  </r>
  <r>
    <d v="2019-12-01T00:00:00"/>
    <s v="2019-20"/>
    <n v="2019"/>
    <n v="12"/>
    <s v="Dec"/>
    <x v="18"/>
    <n v="23"/>
    <s v="State"/>
    <n v="552.41"/>
    <n v="742.4"/>
    <n v="629.95000000000005"/>
    <n v="509.44"/>
    <n v="1924.76"/>
    <n v="2434.1999999999998"/>
    <m/>
  </r>
  <r>
    <d v="2019-12-01T00:00:00"/>
    <s v="2019-20"/>
    <n v="2019"/>
    <n v="12"/>
    <s v="Dec"/>
    <x v="19"/>
    <n v="27"/>
    <s v="State"/>
    <n v="4768.78"/>
    <n v="5738.44"/>
    <n v="5106.8500000000004"/>
    <n v="915.44"/>
    <n v="15614.07"/>
    <n v="16529.509999999998"/>
    <m/>
  </r>
  <r>
    <d v="2019-12-01T00:00:00"/>
    <s v="2019-20"/>
    <n v="2019"/>
    <n v="12"/>
    <s v="Dec"/>
    <x v="20"/>
    <n v="14"/>
    <s v="State"/>
    <n v="16.27"/>
    <n v="25.85"/>
    <n v="2.2799999999999998"/>
    <n v="0.01"/>
    <n v="44.4"/>
    <n v="44.41"/>
    <m/>
  </r>
  <r>
    <d v="2019-12-01T00:00:00"/>
    <s v="2019-20"/>
    <n v="2019"/>
    <n v="12"/>
    <s v="Dec"/>
    <x v="21"/>
    <n v="17"/>
    <s v="State"/>
    <n v="18.190000000000001"/>
    <n v="27.04"/>
    <n v="77.67"/>
    <n v="0.08"/>
    <n v="122.9"/>
    <n v="122.98"/>
    <m/>
  </r>
  <r>
    <d v="2019-12-01T00:00:00"/>
    <s v="2019-20"/>
    <n v="2019"/>
    <n v="12"/>
    <s v="Dec"/>
    <x v="22"/>
    <n v="15"/>
    <s v="State"/>
    <n v="6.53"/>
    <n v="11.22"/>
    <n v="3.12"/>
    <n v="0.05"/>
    <n v="20.87"/>
    <n v="20.92"/>
    <m/>
  </r>
  <r>
    <d v="2019-12-01T00:00:00"/>
    <s v="2019-20"/>
    <n v="2019"/>
    <n v="12"/>
    <s v="Dec"/>
    <x v="23"/>
    <n v="13"/>
    <s v="State"/>
    <n v="9.92"/>
    <n v="15.49"/>
    <n v="4.33"/>
    <n v="1.41"/>
    <n v="29.74"/>
    <n v="31.15"/>
    <m/>
  </r>
  <r>
    <d v="2019-12-01T00:00:00"/>
    <s v="2019-20"/>
    <n v="2019"/>
    <n v="12"/>
    <s v="Dec"/>
    <x v="24"/>
    <n v="21"/>
    <s v="State"/>
    <n v="529.78"/>
    <n v="726.29"/>
    <n v="696.04"/>
    <n v="431.18"/>
    <n v="1952.11"/>
    <n v="2383.29"/>
    <m/>
  </r>
  <r>
    <d v="2019-12-01T00:00:00"/>
    <s v="2019-20"/>
    <n v="2019"/>
    <n v="12"/>
    <s v="Dec"/>
    <x v="25"/>
    <n v="34"/>
    <s v="Union Territory"/>
    <n v="22.56"/>
    <n v="34.19"/>
    <n v="108.58"/>
    <n v="0.12"/>
    <n v="165.33"/>
    <n v="165.45"/>
    <m/>
  </r>
  <r>
    <d v="2019-12-01T00:00:00"/>
    <s v="2019-20"/>
    <n v="2019"/>
    <n v="12"/>
    <s v="Dec"/>
    <x v="26"/>
    <n v="3"/>
    <s v="State"/>
    <n v="309.73"/>
    <n v="512.24"/>
    <n v="455.18"/>
    <n v="13.08"/>
    <n v="1277.1500000000001"/>
    <n v="1290.23"/>
    <m/>
  </r>
  <r>
    <d v="2019-12-01T00:00:00"/>
    <s v="2019-20"/>
    <n v="2019"/>
    <n v="12"/>
    <s v="Dec"/>
    <x v="27"/>
    <n v="8"/>
    <s v="State"/>
    <n v="768"/>
    <n v="1049.6400000000001"/>
    <n v="781.85"/>
    <n v="113.8"/>
    <n v="2599.4899999999998"/>
    <n v="2713.29"/>
    <m/>
  </r>
  <r>
    <d v="2019-12-01T00:00:00"/>
    <s v="2019-20"/>
    <n v="2019"/>
    <n v="12"/>
    <s v="Dec"/>
    <x v="28"/>
    <n v="11"/>
    <s v="State"/>
    <n v="10.7"/>
    <n v="15.37"/>
    <n v="187.72"/>
    <n v="0.12"/>
    <n v="213.79"/>
    <n v="213.91"/>
    <m/>
  </r>
  <r>
    <d v="2019-12-01T00:00:00"/>
    <s v="2019-20"/>
    <n v="2019"/>
    <n v="12"/>
    <s v="Dec"/>
    <x v="29"/>
    <n v="33"/>
    <s v="State"/>
    <n v="1632.19"/>
    <n v="2302.4"/>
    <n v="1928.96"/>
    <n v="558.27"/>
    <n v="5863.55"/>
    <n v="6421.82"/>
    <m/>
  </r>
  <r>
    <d v="2019-12-01T00:00:00"/>
    <s v="2019-20"/>
    <n v="2019"/>
    <n v="12"/>
    <s v="Dec"/>
    <x v="30"/>
    <n v="36"/>
    <s v="State"/>
    <n v="844.09"/>
    <n v="1135.82"/>
    <n v="877.37"/>
    <n v="563.19000000000005"/>
    <n v="2857.28"/>
    <n v="3420.47"/>
    <m/>
  </r>
  <r>
    <d v="2019-12-01T00:00:00"/>
    <s v="2019-20"/>
    <n v="2019"/>
    <n v="12"/>
    <s v="Dec"/>
    <x v="31"/>
    <n v="16"/>
    <s v="State"/>
    <n v="21.56"/>
    <n v="31.55"/>
    <n v="5.98"/>
    <n v="0.15"/>
    <n v="59.09"/>
    <n v="59.24"/>
    <m/>
  </r>
  <r>
    <d v="2019-12-01T00:00:00"/>
    <s v="2019-20"/>
    <n v="2019"/>
    <n v="12"/>
    <s v="Dec"/>
    <x v="32"/>
    <n v="9"/>
    <s v="State"/>
    <n v="1223.6400000000001"/>
    <n v="1809.33"/>
    <n v="1319.96"/>
    <n v="1136.55"/>
    <n v="4352.93"/>
    <n v="5489.48"/>
    <m/>
  </r>
  <r>
    <d v="2019-12-01T00:00:00"/>
    <s v="2019-20"/>
    <n v="2019"/>
    <n v="12"/>
    <s v="Dec"/>
    <x v="33"/>
    <n v="5"/>
    <s v="State"/>
    <n v="230.01"/>
    <n v="330.15"/>
    <n v="638.86"/>
    <n v="14.09"/>
    <n v="1199.02"/>
    <n v="1213.1099999999999"/>
    <m/>
  </r>
  <r>
    <d v="2019-12-01T00:00:00"/>
    <s v="2019-20"/>
    <n v="2019"/>
    <n v="12"/>
    <s v="Dec"/>
    <x v="34"/>
    <n v="19"/>
    <s v="State"/>
    <n v="1091.77"/>
    <n v="1473.38"/>
    <n v="869.74"/>
    <n v="313.35000000000002"/>
    <n v="3434.89"/>
    <n v="3748.24"/>
    <m/>
  </r>
  <r>
    <d v="2020-01-01T00:00:00"/>
    <s v="2019-20"/>
    <n v="2020"/>
    <n v="1"/>
    <s v="Jan"/>
    <x v="0"/>
    <n v="35"/>
    <s v="Union Territory"/>
    <n v="10.5"/>
    <n v="16.05"/>
    <n v="3.34"/>
    <n v="0.11"/>
    <n v="29.89"/>
    <n v="30"/>
    <m/>
  </r>
  <r>
    <d v="2020-01-01T00:00:00"/>
    <s v="2019-20"/>
    <n v="2020"/>
    <n v="1"/>
    <s v="Jan"/>
    <x v="1"/>
    <n v="28"/>
    <s v="State"/>
    <n v="609.78"/>
    <n v="860.74"/>
    <n v="776.19"/>
    <n v="108.83"/>
    <n v="2246.71"/>
    <n v="2355.54"/>
    <m/>
  </r>
  <r>
    <d v="2020-01-01T00:00:00"/>
    <s v="2019-20"/>
    <n v="2020"/>
    <n v="1"/>
    <s v="Jan"/>
    <x v="2"/>
    <n v="12"/>
    <s v="State"/>
    <n v="18.350000000000001"/>
    <n v="24.5"/>
    <n v="9.1"/>
    <n v="0.2"/>
    <n v="51.95"/>
    <n v="52.15"/>
    <m/>
  </r>
  <r>
    <d v="2020-01-01T00:00:00"/>
    <s v="2019-20"/>
    <n v="2020"/>
    <n v="1"/>
    <s v="Jan"/>
    <x v="3"/>
    <n v="18"/>
    <s v="State"/>
    <n v="252.49"/>
    <n v="343.31"/>
    <n v="197.58"/>
    <n v="27.09"/>
    <n v="793.38"/>
    <n v="820.47"/>
    <m/>
  </r>
  <r>
    <d v="2020-01-01T00:00:00"/>
    <s v="2019-20"/>
    <n v="2020"/>
    <n v="1"/>
    <s v="Jan"/>
    <x v="4"/>
    <n v="10"/>
    <s v="State"/>
    <n v="306.43"/>
    <n v="505.55"/>
    <n v="140.41999999999999"/>
    <n v="169.73"/>
    <n v="952.4"/>
    <n v="1122.1300000000001"/>
    <m/>
  </r>
  <r>
    <d v="2020-01-01T00:00:00"/>
    <s v="2019-20"/>
    <n v="2020"/>
    <n v="1"/>
    <s v="Jan"/>
    <x v="5"/>
    <n v="4"/>
    <s v="Union Territory"/>
    <n v="40"/>
    <n v="59.25"/>
    <n v="91.82"/>
    <n v="3.56"/>
    <n v="191.07"/>
    <n v="194.63"/>
    <m/>
  </r>
  <r>
    <d v="2020-01-01T00:00:00"/>
    <s v="2019-20"/>
    <n v="2020"/>
    <n v="1"/>
    <s v="Jan"/>
    <x v="6"/>
    <n v="22"/>
    <s v="State"/>
    <n v="400.26"/>
    <n v="495.05"/>
    <n v="672.36"/>
    <n v="587.58000000000004"/>
    <n v="1567.67"/>
    <n v="2155.25"/>
    <m/>
  </r>
  <r>
    <d v="2020-01-01T00:00:00"/>
    <s v="2019-20"/>
    <n v="2020"/>
    <n v="1"/>
    <s v="Jan"/>
    <x v="7"/>
    <n v="38"/>
    <s v="Union Territory"/>
    <n v="29.4"/>
    <n v="43.19"/>
    <n v="208.7"/>
    <n v="0.15"/>
    <n v="281.29000000000002"/>
    <n v="281.44"/>
    <m/>
  </r>
  <r>
    <d v="2020-01-01T00:00:00"/>
    <s v="2019-20"/>
    <n v="2020"/>
    <n v="1"/>
    <s v="Jan"/>
    <x v="8"/>
    <n v="7"/>
    <s v="Union Territory"/>
    <n v="832.83"/>
    <n v="1110.76"/>
    <n v="1919.53"/>
    <n v="103.55"/>
    <n v="3863.12"/>
    <n v="3966.67"/>
    <m/>
  </r>
  <r>
    <d v="2020-01-01T00:00:00"/>
    <s v="2019-20"/>
    <n v="2020"/>
    <n v="1"/>
    <s v="Jan"/>
    <x v="9"/>
    <n v="30"/>
    <s v="State"/>
    <n v="111.53"/>
    <n v="163.16999999999999"/>
    <n v="157.51"/>
    <n v="4.84"/>
    <n v="432.21"/>
    <n v="437.05"/>
    <m/>
  </r>
  <r>
    <d v="2020-01-01T00:00:00"/>
    <s v="2019-20"/>
    <n v="2020"/>
    <n v="1"/>
    <s v="Jan"/>
    <x v="10"/>
    <n v="24"/>
    <s v="State"/>
    <n v="2012.05"/>
    <n v="2476.08"/>
    <n v="2408.58"/>
    <n v="433.02"/>
    <n v="6896.71"/>
    <n v="7329.73"/>
    <m/>
  </r>
  <r>
    <d v="2020-01-01T00:00:00"/>
    <s v="2019-20"/>
    <n v="2020"/>
    <n v="1"/>
    <s v="Jan"/>
    <x v="11"/>
    <n v="6"/>
    <s v="State"/>
    <n v="892.27"/>
    <n v="1329.74"/>
    <n v="2963.13"/>
    <n v="301.67"/>
    <n v="5185.1400000000003"/>
    <n v="5486.81"/>
    <m/>
  </r>
  <r>
    <d v="2020-01-01T00:00:00"/>
    <s v="2019-20"/>
    <n v="2020"/>
    <n v="1"/>
    <s v="Jan"/>
    <x v="12"/>
    <n v="2"/>
    <s v="State"/>
    <n v="114.36"/>
    <n v="165.74"/>
    <n v="392.26"/>
    <n v="2.41"/>
    <n v="672.36"/>
    <n v="674.77"/>
    <m/>
  </r>
  <r>
    <d v="2020-01-01T00:00:00"/>
    <s v="2019-20"/>
    <n v="2020"/>
    <n v="1"/>
    <s v="Jan"/>
    <x v="13"/>
    <n v="1"/>
    <s v="Union Territory"/>
    <n v="103.92"/>
    <n v="176.53"/>
    <n v="87.96"/>
    <n v="2.3199999999999998"/>
    <n v="368.41"/>
    <n v="370.73"/>
    <m/>
  </r>
  <r>
    <d v="2020-01-01T00:00:00"/>
    <s v="2019-20"/>
    <n v="2020"/>
    <n v="1"/>
    <s v="Jan"/>
    <x v="14"/>
    <n v="20"/>
    <s v="State"/>
    <n v="344.13"/>
    <n v="472.23"/>
    <n v="730.18"/>
    <n v="480.78"/>
    <n v="1546.54"/>
    <n v="2027.32"/>
    <m/>
  </r>
  <r>
    <d v="2020-01-01T00:00:00"/>
    <s v="2019-20"/>
    <n v="2020"/>
    <n v="1"/>
    <s v="Jan"/>
    <x v="15"/>
    <n v="29"/>
    <s v="State"/>
    <n v="1787.49"/>
    <n v="2388.7600000000002"/>
    <n v="2673.76"/>
    <n v="755.18"/>
    <n v="6850.01"/>
    <n v="7605.19"/>
    <m/>
  </r>
  <r>
    <d v="2020-01-01T00:00:00"/>
    <s v="2019-20"/>
    <n v="2020"/>
    <n v="1"/>
    <s v="Jan"/>
    <x v="16"/>
    <n v="32"/>
    <s v="State"/>
    <n v="576.61"/>
    <n v="931.32"/>
    <n v="327.44"/>
    <n v="23.51"/>
    <n v="1835.37"/>
    <n v="1858.88"/>
    <m/>
  </r>
  <r>
    <d v="2020-01-01T00:00:00"/>
    <s v="2019-20"/>
    <n v="2020"/>
    <n v="1"/>
    <s v="Jan"/>
    <x v="17"/>
    <n v="31"/>
    <s v="Union Territory"/>
    <n v="1.1000000000000001"/>
    <n v="1.54"/>
    <n v="0.06"/>
    <n v="0"/>
    <n v="2.7"/>
    <n v="2.7"/>
    <m/>
  </r>
  <r>
    <d v="2020-01-01T00:00:00"/>
    <s v="2019-20"/>
    <n v="2020"/>
    <n v="1"/>
    <s v="Jan"/>
    <x v="18"/>
    <n v="23"/>
    <s v="State"/>
    <n v="611.55999999999995"/>
    <n v="828.18"/>
    <n v="707.23"/>
    <n v="526.64"/>
    <n v="2146.9699999999998"/>
    <n v="2673.61"/>
    <m/>
  </r>
  <r>
    <d v="2020-01-01T00:00:00"/>
    <s v="2019-20"/>
    <n v="2020"/>
    <n v="1"/>
    <s v="Jan"/>
    <x v="19"/>
    <n v="27"/>
    <s v="State"/>
    <n v="4797.0200000000004"/>
    <n v="5787.61"/>
    <n v="6423.32"/>
    <n v="1077.1500000000001"/>
    <n v="17007.95"/>
    <n v="18085.099999999999"/>
    <m/>
  </r>
  <r>
    <d v="2020-01-01T00:00:00"/>
    <s v="2019-20"/>
    <n v="2020"/>
    <n v="1"/>
    <s v="Jan"/>
    <x v="20"/>
    <n v="14"/>
    <s v="State"/>
    <n v="11.74"/>
    <n v="20.79"/>
    <n v="2.17"/>
    <n v="0.34"/>
    <n v="34.700000000000003"/>
    <n v="35.04"/>
    <m/>
  </r>
  <r>
    <d v="2020-01-01T00:00:00"/>
    <s v="2019-20"/>
    <n v="2020"/>
    <n v="1"/>
    <s v="Jan"/>
    <x v="21"/>
    <n v="17"/>
    <s v="State"/>
    <n v="18.850000000000001"/>
    <n v="29.33"/>
    <n v="79.92"/>
    <n v="0.26"/>
    <n v="128.1"/>
    <n v="128.36000000000001"/>
    <m/>
  </r>
  <r>
    <d v="2020-01-01T00:00:00"/>
    <s v="2019-20"/>
    <n v="2020"/>
    <n v="1"/>
    <s v="Jan"/>
    <x v="22"/>
    <n v="15"/>
    <s v="State"/>
    <n v="7.4"/>
    <n v="10.67"/>
    <n v="6.26"/>
    <n v="0.04"/>
    <n v="24.33"/>
    <n v="24.37"/>
    <m/>
  </r>
  <r>
    <d v="2020-01-01T00:00:00"/>
    <s v="2019-20"/>
    <n v="2020"/>
    <n v="1"/>
    <s v="Jan"/>
    <x v="23"/>
    <n v="13"/>
    <s v="State"/>
    <n v="9.8000000000000007"/>
    <n v="15.98"/>
    <n v="5.92"/>
    <n v="0.4"/>
    <n v="31.7"/>
    <n v="32.1"/>
    <m/>
  </r>
  <r>
    <d v="2020-01-01T00:00:00"/>
    <s v="2019-20"/>
    <n v="2020"/>
    <n v="1"/>
    <s v="Jan"/>
    <x v="24"/>
    <n v="21"/>
    <s v="State"/>
    <n v="563.85"/>
    <n v="744.33"/>
    <n v="674.18"/>
    <n v="521.61"/>
    <n v="1982.36"/>
    <n v="2503.9699999999998"/>
    <m/>
  </r>
  <r>
    <d v="2020-01-01T00:00:00"/>
    <s v="2019-20"/>
    <n v="2020"/>
    <n v="1"/>
    <s v="Jan"/>
    <x v="25"/>
    <n v="34"/>
    <s v="Union Territory"/>
    <n v="24.77"/>
    <n v="39.76"/>
    <n v="121.33"/>
    <n v="1.7"/>
    <n v="185.86"/>
    <n v="187.56"/>
    <m/>
  </r>
  <r>
    <d v="2020-01-01T00:00:00"/>
    <s v="2019-20"/>
    <n v="2020"/>
    <n v="1"/>
    <s v="Jan"/>
    <x v="26"/>
    <n v="3"/>
    <s v="State"/>
    <n v="343.21"/>
    <n v="569.36"/>
    <n v="409.72"/>
    <n v="18.02"/>
    <n v="1322.29"/>
    <n v="1340.31"/>
    <m/>
  </r>
  <r>
    <d v="2020-01-01T00:00:00"/>
    <s v="2019-20"/>
    <n v="2020"/>
    <n v="1"/>
    <s v="Jan"/>
    <x v="27"/>
    <n v="8"/>
    <s v="State"/>
    <n v="843.7"/>
    <n v="1149.97"/>
    <n v="923.23"/>
    <n v="113.15"/>
    <n v="2916.9"/>
    <n v="3030.05"/>
    <m/>
  </r>
  <r>
    <d v="2020-01-01T00:00:00"/>
    <s v="2019-20"/>
    <n v="2020"/>
    <n v="1"/>
    <s v="Jan"/>
    <x v="28"/>
    <n v="11"/>
    <s v="State"/>
    <n v="14.01"/>
    <n v="19.399999999999999"/>
    <n v="160.22"/>
    <n v="0.53"/>
    <n v="193.63"/>
    <n v="194.16"/>
    <m/>
  </r>
  <r>
    <d v="2020-01-01T00:00:00"/>
    <s v="2019-20"/>
    <n v="2020"/>
    <n v="1"/>
    <s v="Jan"/>
    <x v="29"/>
    <n v="33"/>
    <s v="State"/>
    <n v="1694.05"/>
    <n v="2318.12"/>
    <n v="2103.9299999999998"/>
    <n v="586.77"/>
    <n v="6116.1"/>
    <n v="6702.87"/>
    <m/>
  </r>
  <r>
    <d v="2020-01-01T00:00:00"/>
    <s v="2019-20"/>
    <n v="2020"/>
    <n v="1"/>
    <s v="Jan"/>
    <x v="30"/>
    <n v="36"/>
    <s v="State"/>
    <n v="930.73"/>
    <n v="1317.66"/>
    <n v="974.94"/>
    <n v="563.64"/>
    <n v="3223.33"/>
    <n v="3786.97"/>
    <m/>
  </r>
  <r>
    <d v="2020-01-01T00:00:00"/>
    <s v="2019-20"/>
    <n v="2020"/>
    <n v="1"/>
    <s v="Jan"/>
    <x v="31"/>
    <n v="16"/>
    <s v="State"/>
    <n v="19.96"/>
    <n v="30.54"/>
    <n v="5.81"/>
    <n v="0.09"/>
    <n v="56.31"/>
    <n v="56.4"/>
    <m/>
  </r>
  <r>
    <d v="2020-01-01T00:00:00"/>
    <s v="2019-20"/>
    <n v="2020"/>
    <n v="1"/>
    <s v="Jan"/>
    <x v="32"/>
    <n v="9"/>
    <s v="State"/>
    <n v="1253.55"/>
    <n v="1939.59"/>
    <n v="1443.6"/>
    <n v="1061.74"/>
    <n v="4636.74"/>
    <n v="5698.48"/>
    <m/>
  </r>
  <r>
    <d v="2020-01-01T00:00:00"/>
    <s v="2019-20"/>
    <n v="2020"/>
    <n v="1"/>
    <s v="Jan"/>
    <x v="33"/>
    <n v="5"/>
    <s v="State"/>
    <n v="234.39"/>
    <n v="326.37"/>
    <n v="677.86"/>
    <n v="18.03"/>
    <n v="1238.6199999999999"/>
    <n v="1256.6500000000001"/>
    <m/>
  </r>
  <r>
    <d v="2020-01-01T00:00:00"/>
    <s v="2019-20"/>
    <n v="2020"/>
    <n v="1"/>
    <s v="Jan"/>
    <x v="34"/>
    <n v="19"/>
    <s v="State"/>
    <n v="1113.53"/>
    <n v="1501.6"/>
    <n v="812.89"/>
    <n v="318.83999999999997"/>
    <n v="3428.02"/>
    <n v="3746.86"/>
    <m/>
  </r>
  <r>
    <d v="2020-02-01T00:00:00"/>
    <s v="2019-20"/>
    <n v="2020"/>
    <n v="2"/>
    <s v="Feb"/>
    <x v="0"/>
    <n v="35"/>
    <s v="Union Territory"/>
    <n v="13.62"/>
    <n v="18.88"/>
    <n v="3.45"/>
    <n v="0.06"/>
    <n v="35.950000000000003"/>
    <n v="36.01"/>
    <m/>
  </r>
  <r>
    <d v="2020-02-01T00:00:00"/>
    <s v="2019-20"/>
    <n v="2020"/>
    <n v="2"/>
    <s v="Feb"/>
    <x v="1"/>
    <n v="28"/>
    <s v="State"/>
    <n v="623.51"/>
    <n v="854.02"/>
    <n v="801.81"/>
    <n v="283.99"/>
    <n v="2279.34"/>
    <n v="2563.33"/>
    <m/>
  </r>
  <r>
    <d v="2020-02-01T00:00:00"/>
    <s v="2019-20"/>
    <n v="2020"/>
    <n v="2"/>
    <s v="Feb"/>
    <x v="2"/>
    <n v="12"/>
    <s v="State"/>
    <n v="18.63"/>
    <n v="24.75"/>
    <n v="4.5599999999999996"/>
    <n v="0.42"/>
    <n v="47.94"/>
    <n v="48.36"/>
    <m/>
  </r>
  <r>
    <d v="2020-02-01T00:00:00"/>
    <s v="2019-20"/>
    <n v="2020"/>
    <n v="2"/>
    <s v="Feb"/>
    <x v="3"/>
    <n v="18"/>
    <s v="State"/>
    <n v="280.49"/>
    <n v="381.43"/>
    <n v="213.22"/>
    <n v="48.73"/>
    <n v="875.14"/>
    <n v="923.87"/>
    <m/>
  </r>
  <r>
    <d v="2020-02-01T00:00:00"/>
    <s v="2019-20"/>
    <n v="2020"/>
    <n v="2"/>
    <s v="Feb"/>
    <x v="4"/>
    <n v="10"/>
    <s v="State"/>
    <n v="309.20999999999998"/>
    <n v="498.48"/>
    <n v="134.29"/>
    <n v="178.52"/>
    <n v="941.98"/>
    <n v="1120.5"/>
    <m/>
  </r>
  <r>
    <d v="2020-02-01T00:00:00"/>
    <s v="2019-20"/>
    <n v="2020"/>
    <n v="2"/>
    <s v="Feb"/>
    <x v="5"/>
    <n v="4"/>
    <s v="Union Territory"/>
    <n v="36.32"/>
    <n v="49.4"/>
    <n v="85.2"/>
    <n v="1.45"/>
    <n v="170.92"/>
    <n v="172.37"/>
    <m/>
  </r>
  <r>
    <d v="2020-02-01T00:00:00"/>
    <s v="2019-20"/>
    <n v="2020"/>
    <n v="2"/>
    <s v="Feb"/>
    <x v="6"/>
    <n v="22"/>
    <s v="State"/>
    <n v="402.09"/>
    <n v="497.24"/>
    <n v="775.67"/>
    <n v="599.41"/>
    <n v="1675"/>
    <n v="2274.41"/>
    <m/>
  </r>
  <r>
    <d v="2020-02-01T00:00:00"/>
    <s v="2019-20"/>
    <n v="2020"/>
    <n v="2"/>
    <s v="Feb"/>
    <x v="7"/>
    <n v="38"/>
    <s v="Union Territory"/>
    <n v="27.39"/>
    <n v="39.07"/>
    <n v="173.35"/>
    <n v="0.08"/>
    <n v="239.81"/>
    <n v="239.89"/>
    <m/>
  </r>
  <r>
    <d v="2020-02-01T00:00:00"/>
    <s v="2019-20"/>
    <n v="2020"/>
    <n v="2"/>
    <s v="Feb"/>
    <x v="8"/>
    <n v="7"/>
    <s v="Union Territory"/>
    <n v="782.09"/>
    <n v="993.45"/>
    <n v="1965.09"/>
    <n v="94.12"/>
    <n v="3740.63"/>
    <n v="3834.75"/>
    <m/>
  </r>
  <r>
    <d v="2020-02-01T00:00:00"/>
    <s v="2019-20"/>
    <n v="2020"/>
    <n v="2"/>
    <s v="Feb"/>
    <x v="9"/>
    <n v="30"/>
    <s v="State"/>
    <n v="107.93"/>
    <n v="148.28"/>
    <n v="151.18"/>
    <n v="3.22"/>
    <n v="407.39"/>
    <n v="410.61"/>
    <m/>
  </r>
  <r>
    <d v="2020-02-01T00:00:00"/>
    <s v="2019-20"/>
    <n v="2020"/>
    <n v="2"/>
    <s v="Feb"/>
    <x v="10"/>
    <n v="24"/>
    <s v="State"/>
    <n v="1983.73"/>
    <n v="2534.41"/>
    <n v="2208.14"/>
    <n v="489.26"/>
    <n v="6726.28"/>
    <n v="7215.54"/>
    <m/>
  </r>
  <r>
    <d v="2020-02-01T00:00:00"/>
    <s v="2019-20"/>
    <n v="2020"/>
    <n v="2"/>
    <s v="Feb"/>
    <x v="11"/>
    <n v="6"/>
    <s v="State"/>
    <n v="883.07"/>
    <n v="1269.3599999999999"/>
    <n v="2868.45"/>
    <n v="245.55"/>
    <n v="5020.88"/>
    <n v="5266.43"/>
    <m/>
  </r>
  <r>
    <d v="2020-02-01T00:00:00"/>
    <s v="2019-20"/>
    <n v="2020"/>
    <n v="2"/>
    <s v="Feb"/>
    <x v="12"/>
    <n v="2"/>
    <s v="State"/>
    <n v="102.18"/>
    <n v="140.37"/>
    <n v="376.8"/>
    <n v="1.34"/>
    <n v="619.35"/>
    <n v="620.69000000000005"/>
    <m/>
  </r>
  <r>
    <d v="2020-02-01T00:00:00"/>
    <s v="2019-20"/>
    <n v="2020"/>
    <n v="2"/>
    <s v="Feb"/>
    <x v="13"/>
    <n v="1"/>
    <s v="Union Territory"/>
    <n v="93.82"/>
    <n v="144.4"/>
    <n v="76.08"/>
    <n v="1.87"/>
    <n v="314.3"/>
    <n v="316.17"/>
    <m/>
  </r>
  <r>
    <d v="2020-02-01T00:00:00"/>
    <s v="2019-20"/>
    <n v="2020"/>
    <n v="2"/>
    <s v="Feb"/>
    <x v="14"/>
    <n v="20"/>
    <s v="State"/>
    <n v="367.84"/>
    <n v="476.85"/>
    <n v="755.25"/>
    <n v="470.93"/>
    <n v="1599.94"/>
    <n v="2070.87"/>
    <m/>
  </r>
  <r>
    <d v="2020-02-01T00:00:00"/>
    <s v="2019-20"/>
    <n v="2020"/>
    <n v="2"/>
    <s v="Feb"/>
    <x v="15"/>
    <n v="29"/>
    <s v="State"/>
    <n v="1826.93"/>
    <n v="2380.61"/>
    <n v="2516.9499999999998"/>
    <n v="689.34"/>
    <n v="6724.49"/>
    <n v="7413.83"/>
    <m/>
  </r>
  <r>
    <d v="2020-02-01T00:00:00"/>
    <s v="2019-20"/>
    <n v="2020"/>
    <n v="2"/>
    <s v="Feb"/>
    <x v="16"/>
    <n v="32"/>
    <s v="State"/>
    <n v="574.63"/>
    <n v="845.43"/>
    <n v="320.52999999999997"/>
    <n v="13.53"/>
    <n v="1740.59"/>
    <n v="1754.12"/>
    <m/>
  </r>
  <r>
    <d v="2020-02-01T00:00:00"/>
    <s v="2019-20"/>
    <n v="2020"/>
    <n v="2"/>
    <s v="Feb"/>
    <x v="35"/>
    <n v="37"/>
    <s v="Union Territory"/>
    <n v="0.71"/>
    <n v="0.71"/>
    <n v="0.09"/>
    <n v="2.96"/>
    <n v="1.51"/>
    <n v="4.47"/>
    <m/>
  </r>
  <r>
    <d v="2020-02-01T00:00:00"/>
    <s v="2019-20"/>
    <n v="2020"/>
    <n v="2"/>
    <s v="Feb"/>
    <x v="17"/>
    <n v="31"/>
    <s v="Union Territory"/>
    <n v="0.99"/>
    <n v="1.1100000000000001"/>
    <n v="0.04"/>
    <n v="0"/>
    <n v="2.14"/>
    <n v="2.14"/>
    <m/>
  </r>
  <r>
    <d v="2020-02-01T00:00:00"/>
    <s v="2019-20"/>
    <n v="2020"/>
    <n v="2"/>
    <s v="Feb"/>
    <x v="18"/>
    <n v="23"/>
    <s v="State"/>
    <n v="620.12"/>
    <n v="820.25"/>
    <n v="667.92"/>
    <n v="512.74"/>
    <n v="2108.29"/>
    <n v="2621.0300000000002"/>
    <m/>
  </r>
  <r>
    <d v="2020-02-01T00:00:00"/>
    <s v="2019-20"/>
    <n v="2020"/>
    <n v="2"/>
    <s v="Feb"/>
    <x v="19"/>
    <n v="27"/>
    <s v="State"/>
    <n v="4437.5600000000004"/>
    <n v="5443.23"/>
    <n v="4853.54"/>
    <n v="1000.33"/>
    <n v="14734.33"/>
    <n v="15734.66"/>
    <m/>
  </r>
  <r>
    <d v="2020-02-01T00:00:00"/>
    <s v="2019-20"/>
    <n v="2020"/>
    <n v="2"/>
    <s v="Feb"/>
    <x v="20"/>
    <n v="14"/>
    <s v="State"/>
    <n v="13.97"/>
    <n v="20.440000000000001"/>
    <n v="2.79"/>
    <n v="0.16"/>
    <n v="37.200000000000003"/>
    <n v="37.36"/>
    <m/>
  </r>
  <r>
    <d v="2020-02-01T00:00:00"/>
    <s v="2019-20"/>
    <n v="2020"/>
    <n v="2"/>
    <s v="Feb"/>
    <x v="21"/>
    <n v="17"/>
    <s v="State"/>
    <n v="19.98"/>
    <n v="29.18"/>
    <n v="107.18"/>
    <n v="0.23"/>
    <n v="156.34"/>
    <n v="156.57"/>
    <m/>
  </r>
  <r>
    <d v="2020-02-01T00:00:00"/>
    <s v="2019-20"/>
    <n v="2020"/>
    <n v="2"/>
    <s v="Feb"/>
    <x v="22"/>
    <n v="15"/>
    <s v="State"/>
    <n v="7.42"/>
    <n v="12.99"/>
    <n v="4.3"/>
    <n v="0.13"/>
    <n v="24.71"/>
    <n v="24.84"/>
    <m/>
  </r>
  <r>
    <d v="2020-02-01T00:00:00"/>
    <s v="2019-20"/>
    <n v="2020"/>
    <n v="2"/>
    <s v="Feb"/>
    <x v="23"/>
    <n v="13"/>
    <s v="State"/>
    <n v="8.26"/>
    <n v="11.31"/>
    <n v="4.3600000000000003"/>
    <n v="1"/>
    <n v="23.93"/>
    <n v="24.93"/>
    <m/>
  </r>
  <r>
    <d v="2020-02-01T00:00:00"/>
    <s v="2019-20"/>
    <n v="2020"/>
    <n v="2"/>
    <s v="Feb"/>
    <x v="24"/>
    <n v="21"/>
    <s v="State"/>
    <n v="618.78"/>
    <n v="804.85"/>
    <n v="792.59"/>
    <n v="573.94000000000005"/>
    <n v="2216.2199999999998"/>
    <n v="2790.16"/>
    <m/>
  </r>
  <r>
    <d v="2020-02-01T00:00:00"/>
    <s v="2019-20"/>
    <n v="2020"/>
    <n v="2"/>
    <s v="Feb"/>
    <x v="25"/>
    <n v="34"/>
    <s v="Union Territory"/>
    <n v="22.56"/>
    <n v="34.369999999999997"/>
    <n v="100.99"/>
    <n v="0.94"/>
    <n v="157.91999999999999"/>
    <n v="158.86000000000001"/>
    <m/>
  </r>
  <r>
    <d v="2020-02-01T00:00:00"/>
    <s v="2019-20"/>
    <n v="2020"/>
    <n v="2"/>
    <s v="Feb"/>
    <x v="26"/>
    <n v="3"/>
    <s v="State"/>
    <n v="308.58"/>
    <n v="503.82"/>
    <n v="403.5"/>
    <n v="13.04"/>
    <n v="1215.9000000000001"/>
    <n v="1228.94"/>
    <m/>
  </r>
  <r>
    <d v="2020-02-01T00:00:00"/>
    <s v="2019-20"/>
    <n v="2020"/>
    <n v="2"/>
    <s v="Feb"/>
    <x v="27"/>
    <n v="8"/>
    <s v="State"/>
    <n v="801.02"/>
    <n v="1046.69"/>
    <n v="968.05"/>
    <n v="116.33"/>
    <n v="2815.76"/>
    <n v="2932.09"/>
    <m/>
  </r>
  <r>
    <d v="2020-02-01T00:00:00"/>
    <s v="2019-20"/>
    <n v="2020"/>
    <n v="2"/>
    <s v="Feb"/>
    <x v="28"/>
    <n v="11"/>
    <s v="State"/>
    <n v="9.76"/>
    <n v="15.98"/>
    <n v="156.85"/>
    <n v="0.06"/>
    <n v="182.59"/>
    <n v="182.65"/>
    <m/>
  </r>
  <r>
    <d v="2020-02-01T00:00:00"/>
    <s v="2019-20"/>
    <n v="2020"/>
    <n v="2"/>
    <s v="Feb"/>
    <x v="29"/>
    <n v="33"/>
    <s v="State"/>
    <n v="1702.54"/>
    <n v="2332.04"/>
    <n v="1988.5"/>
    <n v="403.41"/>
    <n v="6023.08"/>
    <n v="6426.49"/>
    <m/>
  </r>
  <r>
    <d v="2020-02-01T00:00:00"/>
    <s v="2019-20"/>
    <n v="2020"/>
    <n v="2"/>
    <s v="Feb"/>
    <x v="30"/>
    <n v="36"/>
    <s v="State"/>
    <n v="932.54"/>
    <n v="1208.5999999999999"/>
    <n v="933.38"/>
    <n v="592.61"/>
    <n v="3074.52"/>
    <n v="3667.13"/>
    <m/>
  </r>
  <r>
    <d v="2020-02-01T00:00:00"/>
    <s v="2019-20"/>
    <n v="2020"/>
    <n v="2"/>
    <s v="Feb"/>
    <x v="31"/>
    <n v="16"/>
    <s v="State"/>
    <n v="22.55"/>
    <n v="33.57"/>
    <n v="6.92"/>
    <n v="0.22"/>
    <n v="63.04"/>
    <n v="63.26"/>
    <m/>
  </r>
  <r>
    <d v="2020-02-01T00:00:00"/>
    <s v="2019-20"/>
    <n v="2020"/>
    <n v="2"/>
    <s v="Feb"/>
    <x v="32"/>
    <n v="9"/>
    <s v="State"/>
    <n v="1229.3"/>
    <n v="1869.38"/>
    <n v="1478.92"/>
    <n v="1198.31"/>
    <n v="4577.6000000000004"/>
    <n v="5775.91"/>
    <m/>
  </r>
  <r>
    <d v="2020-02-01T00:00:00"/>
    <s v="2019-20"/>
    <n v="2020"/>
    <n v="2"/>
    <s v="Feb"/>
    <x v="33"/>
    <n v="5"/>
    <s v="State"/>
    <n v="229.59"/>
    <n v="310.31"/>
    <n v="723.23"/>
    <n v="17.8"/>
    <n v="1263.1300000000001"/>
    <n v="1280.93"/>
    <m/>
  </r>
  <r>
    <d v="2020-02-01T00:00:00"/>
    <s v="2019-20"/>
    <n v="2020"/>
    <n v="2"/>
    <s v="Feb"/>
    <x v="34"/>
    <n v="19"/>
    <s v="State"/>
    <n v="1140.54"/>
    <n v="1539.89"/>
    <n v="910.58"/>
    <n v="350.53"/>
    <n v="3591.01"/>
    <n v="3941.54"/>
    <m/>
  </r>
  <r>
    <d v="2020-03-01T00:00:00"/>
    <s v="2019-20"/>
    <n v="2020"/>
    <n v="3"/>
    <s v="Mar"/>
    <x v="0"/>
    <n v="35"/>
    <s v="Union Territory"/>
    <n v="15.87"/>
    <n v="19.61"/>
    <n v="3.04"/>
    <n v="0.06"/>
    <n v="38.520000000000003"/>
    <n v="38.58"/>
    <m/>
  </r>
  <r>
    <d v="2020-03-01T00:00:00"/>
    <s v="2019-20"/>
    <n v="2020"/>
    <n v="3"/>
    <s v="Mar"/>
    <x v="1"/>
    <n v="28"/>
    <s v="State"/>
    <n v="561.24"/>
    <n v="789.01"/>
    <n v="896.06"/>
    <n v="301.83"/>
    <n v="2246.31"/>
    <n v="2548.14"/>
    <m/>
  </r>
  <r>
    <d v="2020-03-01T00:00:00"/>
    <s v="2019-20"/>
    <n v="2020"/>
    <n v="3"/>
    <s v="Mar"/>
    <x v="2"/>
    <n v="12"/>
    <s v="State"/>
    <n v="27.5"/>
    <n v="33.229999999999997"/>
    <n v="5.96"/>
    <n v="0.01"/>
    <n v="66.69"/>
    <n v="66.7"/>
    <m/>
  </r>
  <r>
    <d v="2020-03-01T00:00:00"/>
    <s v="2019-20"/>
    <n v="2020"/>
    <n v="3"/>
    <s v="Mar"/>
    <x v="3"/>
    <n v="18"/>
    <s v="State"/>
    <n v="288.87"/>
    <n v="389.2"/>
    <n v="213.26"/>
    <n v="40.39"/>
    <n v="891.33"/>
    <n v="931.72"/>
    <m/>
  </r>
  <r>
    <d v="2020-03-01T00:00:00"/>
    <s v="2019-20"/>
    <n v="2020"/>
    <n v="3"/>
    <s v="Mar"/>
    <x v="4"/>
    <n v="10"/>
    <s v="State"/>
    <n v="305.76"/>
    <n v="496.81"/>
    <n v="118.13"/>
    <n v="135.25"/>
    <n v="920.7"/>
    <n v="1055.95"/>
    <m/>
  </r>
  <r>
    <d v="2020-03-01T00:00:00"/>
    <s v="2019-20"/>
    <n v="2020"/>
    <n v="3"/>
    <s v="Mar"/>
    <x v="5"/>
    <n v="4"/>
    <s v="Union Territory"/>
    <n v="30.03"/>
    <n v="41.32"/>
    <n v="79.41"/>
    <n v="2.5"/>
    <n v="150.76"/>
    <n v="153.26"/>
    <m/>
  </r>
  <r>
    <d v="2020-03-01T00:00:00"/>
    <s v="2019-20"/>
    <n v="2020"/>
    <n v="3"/>
    <s v="Mar"/>
    <x v="6"/>
    <n v="22"/>
    <s v="State"/>
    <n v="418.63"/>
    <n v="500.24"/>
    <n v="595.26"/>
    <n v="579.03"/>
    <n v="1514.13"/>
    <n v="2093.16"/>
    <m/>
  </r>
  <r>
    <d v="2020-03-01T00:00:00"/>
    <s v="2019-20"/>
    <n v="2020"/>
    <n v="3"/>
    <s v="Mar"/>
    <x v="7"/>
    <n v="38"/>
    <s v="Union Territory"/>
    <n v="29.41"/>
    <n v="40.26"/>
    <n v="193.93"/>
    <n v="0.2"/>
    <n v="263.60000000000002"/>
    <n v="263.8"/>
    <m/>
  </r>
  <r>
    <d v="2020-03-01T00:00:00"/>
    <s v="2019-20"/>
    <n v="2020"/>
    <n v="3"/>
    <s v="Mar"/>
    <x v="8"/>
    <n v="7"/>
    <s v="Union Territory"/>
    <n v="680.88"/>
    <n v="881.72"/>
    <n v="1617.06"/>
    <n v="93.33"/>
    <n v="3179.66"/>
    <n v="3272.99"/>
    <m/>
  </r>
  <r>
    <d v="2020-03-01T00:00:00"/>
    <s v="2019-20"/>
    <n v="2020"/>
    <n v="3"/>
    <s v="Mar"/>
    <x v="9"/>
    <n v="30"/>
    <s v="State"/>
    <n v="77.180000000000007"/>
    <n v="111.96"/>
    <n v="125.14"/>
    <n v="2.2000000000000002"/>
    <n v="314.27999999999997"/>
    <n v="316.48"/>
    <m/>
  </r>
  <r>
    <d v="2020-03-01T00:00:00"/>
    <s v="2019-20"/>
    <n v="2020"/>
    <n v="3"/>
    <s v="Mar"/>
    <x v="10"/>
    <n v="24"/>
    <s v="State"/>
    <n v="1886.25"/>
    <n v="2359.5500000000002"/>
    <n v="2218.04"/>
    <n v="356.62"/>
    <n v="6463.84"/>
    <n v="6820.46"/>
    <m/>
  </r>
  <r>
    <d v="2020-03-01T00:00:00"/>
    <s v="2019-20"/>
    <n v="2020"/>
    <n v="3"/>
    <s v="Mar"/>
    <x v="11"/>
    <n v="6"/>
    <s v="State"/>
    <n v="736.47"/>
    <n v="1074.1400000000001"/>
    <n v="2678.42"/>
    <n v="385.26"/>
    <n v="4489.03"/>
    <n v="4874.29"/>
    <m/>
  </r>
  <r>
    <d v="2020-03-01T00:00:00"/>
    <s v="2019-20"/>
    <n v="2020"/>
    <n v="3"/>
    <s v="Mar"/>
    <x v="12"/>
    <n v="2"/>
    <s v="State"/>
    <n v="91.2"/>
    <n v="135.87"/>
    <n v="367.61"/>
    <n v="1.21"/>
    <n v="594.67999999999995"/>
    <n v="595.89"/>
    <m/>
  </r>
  <r>
    <d v="2020-03-01T00:00:00"/>
    <s v="2019-20"/>
    <n v="2020"/>
    <n v="3"/>
    <s v="Mar"/>
    <x v="13"/>
    <n v="1"/>
    <s v="Union Territory"/>
    <n v="69.89"/>
    <n v="126"/>
    <n v="77.12"/>
    <n v="3.16"/>
    <n v="273.01"/>
    <n v="276.17"/>
    <m/>
  </r>
  <r>
    <d v="2020-03-01T00:00:00"/>
    <s v="2019-20"/>
    <n v="2020"/>
    <n v="3"/>
    <s v="Mar"/>
    <x v="14"/>
    <n v="20"/>
    <s v="State"/>
    <n v="388.64"/>
    <n v="499.95"/>
    <n v="666.91"/>
    <n v="493.93"/>
    <n v="1555.5"/>
    <n v="2049.4299999999998"/>
    <m/>
  </r>
  <r>
    <d v="2020-03-01T00:00:00"/>
    <s v="2019-20"/>
    <n v="2020"/>
    <n v="3"/>
    <s v="Mar"/>
    <x v="15"/>
    <n v="29"/>
    <s v="State"/>
    <n v="1716.85"/>
    <n v="2230.64"/>
    <n v="2386.8000000000002"/>
    <n v="810.01"/>
    <n v="6334.29"/>
    <n v="7144.3"/>
    <m/>
  </r>
  <r>
    <d v="2020-03-01T00:00:00"/>
    <s v="2019-20"/>
    <n v="2020"/>
    <n v="3"/>
    <s v="Mar"/>
    <x v="16"/>
    <n v="32"/>
    <s v="State"/>
    <n v="476.03"/>
    <n v="714.6"/>
    <n v="277.68"/>
    <n v="6.95"/>
    <n v="1468.31"/>
    <n v="1475.26"/>
    <m/>
  </r>
  <r>
    <d v="2020-03-01T00:00:00"/>
    <s v="2019-20"/>
    <n v="2020"/>
    <n v="3"/>
    <s v="Mar"/>
    <x v="35"/>
    <n v="37"/>
    <s v="Union Territory"/>
    <n v="0.22"/>
    <n v="0.22"/>
    <n v="0.15"/>
    <n v="0.25"/>
    <n v="0.59"/>
    <n v="0.84"/>
    <m/>
  </r>
  <r>
    <d v="2020-03-01T00:00:00"/>
    <s v="2019-20"/>
    <n v="2020"/>
    <n v="3"/>
    <s v="Mar"/>
    <x v="17"/>
    <n v="31"/>
    <s v="Union Territory"/>
    <n v="0.13"/>
    <n v="1.18"/>
    <n v="0.03"/>
    <n v="0"/>
    <n v="1.34"/>
    <n v="1.34"/>
    <m/>
  </r>
  <r>
    <d v="2020-03-01T00:00:00"/>
    <s v="2019-20"/>
    <n v="2020"/>
    <n v="3"/>
    <s v="Mar"/>
    <x v="18"/>
    <n v="23"/>
    <s v="State"/>
    <n v="541.53"/>
    <n v="746.66"/>
    <n v="645.04"/>
    <n v="474.16"/>
    <n v="1933.23"/>
    <n v="2407.39"/>
    <m/>
  </r>
  <r>
    <d v="2020-03-01T00:00:00"/>
    <s v="2019-20"/>
    <n v="2020"/>
    <n v="3"/>
    <s v="Mar"/>
    <x v="19"/>
    <n v="27"/>
    <s v="State"/>
    <n v="4232.3999999999996"/>
    <n v="5126.62"/>
    <n v="4755.47"/>
    <n v="887.61"/>
    <n v="14114.49"/>
    <n v="15002.1"/>
    <m/>
  </r>
  <r>
    <d v="2020-03-01T00:00:00"/>
    <s v="2019-20"/>
    <n v="2020"/>
    <n v="3"/>
    <s v="Mar"/>
    <x v="20"/>
    <n v="14"/>
    <s v="State"/>
    <n v="13.67"/>
    <n v="20.350000000000001"/>
    <n v="1.73"/>
    <n v="0.14000000000000001"/>
    <n v="35.75"/>
    <n v="35.89"/>
    <m/>
  </r>
  <r>
    <d v="2020-03-01T00:00:00"/>
    <s v="2019-20"/>
    <n v="2020"/>
    <n v="3"/>
    <s v="Mar"/>
    <x v="21"/>
    <n v="17"/>
    <s v="State"/>
    <n v="18.440000000000001"/>
    <n v="23.82"/>
    <n v="90.4"/>
    <n v="7.0000000000000007E-2"/>
    <n v="132.66"/>
    <n v="132.72999999999999"/>
    <m/>
  </r>
  <r>
    <d v="2020-03-01T00:00:00"/>
    <s v="2019-20"/>
    <n v="2020"/>
    <n v="3"/>
    <s v="Mar"/>
    <x v="22"/>
    <n v="15"/>
    <s v="State"/>
    <n v="11.65"/>
    <n v="17"/>
    <n v="4.51"/>
    <n v="0.02"/>
    <n v="33.159999999999997"/>
    <n v="33.18"/>
    <m/>
  </r>
  <r>
    <d v="2020-03-01T00:00:00"/>
    <s v="2019-20"/>
    <n v="2020"/>
    <n v="3"/>
    <s v="Mar"/>
    <x v="23"/>
    <n v="13"/>
    <s v="State"/>
    <n v="14.1"/>
    <n v="18.32"/>
    <n v="5.9"/>
    <n v="0.44"/>
    <n v="38.32"/>
    <n v="38.76"/>
    <m/>
  </r>
  <r>
    <d v="2020-03-01T00:00:00"/>
    <s v="2019-20"/>
    <n v="2020"/>
    <n v="3"/>
    <s v="Mar"/>
    <x v="24"/>
    <n v="21"/>
    <s v="State"/>
    <n v="583.79"/>
    <n v="776.28"/>
    <n v="731.77"/>
    <n v="541.04"/>
    <n v="2091.84"/>
    <n v="2632.88"/>
    <m/>
  </r>
  <r>
    <d v="2020-03-01T00:00:00"/>
    <s v="2019-20"/>
    <n v="2020"/>
    <n v="3"/>
    <s v="Mar"/>
    <x v="25"/>
    <n v="34"/>
    <s v="Union Territory"/>
    <n v="20.53"/>
    <n v="30.34"/>
    <n v="98.08"/>
    <n v="0.37"/>
    <n v="148.94999999999999"/>
    <n v="149.32"/>
    <m/>
  </r>
  <r>
    <d v="2020-03-01T00:00:00"/>
    <s v="2019-20"/>
    <n v="2020"/>
    <n v="3"/>
    <s v="Mar"/>
    <x v="26"/>
    <n v="3"/>
    <s v="State"/>
    <n v="301.44"/>
    <n v="484.36"/>
    <n v="374.6"/>
    <n v="20.41"/>
    <n v="1160.4000000000001"/>
    <n v="1180.81"/>
    <m/>
  </r>
  <r>
    <d v="2020-03-01T00:00:00"/>
    <s v="2019-20"/>
    <n v="2020"/>
    <n v="3"/>
    <s v="Mar"/>
    <x v="27"/>
    <n v="8"/>
    <s v="State"/>
    <n v="729.83"/>
    <n v="1007.84"/>
    <n v="978.25"/>
    <n v="104.51"/>
    <n v="2715.92"/>
    <n v="2820.43"/>
    <m/>
  </r>
  <r>
    <d v="2020-03-01T00:00:00"/>
    <s v="2019-20"/>
    <n v="2020"/>
    <n v="3"/>
    <s v="Mar"/>
    <x v="28"/>
    <n v="11"/>
    <s v="State"/>
    <n v="12.23"/>
    <n v="16.149999999999999"/>
    <n v="160.88"/>
    <n v="7.0000000000000007E-2"/>
    <n v="189.26"/>
    <n v="189.33"/>
    <m/>
  </r>
  <r>
    <d v="2020-03-01T00:00:00"/>
    <s v="2019-20"/>
    <n v="2020"/>
    <n v="3"/>
    <s v="Mar"/>
    <x v="29"/>
    <n v="33"/>
    <s v="State"/>
    <n v="1580.73"/>
    <n v="2223.19"/>
    <n v="1939.88"/>
    <n v="434.02"/>
    <n v="5743.8"/>
    <n v="6177.82"/>
    <m/>
  </r>
  <r>
    <d v="2020-03-01T00:00:00"/>
    <s v="2019-20"/>
    <n v="2020"/>
    <n v="3"/>
    <s v="Mar"/>
    <x v="30"/>
    <n v="36"/>
    <s v="State"/>
    <n v="846.3"/>
    <n v="1139.9000000000001"/>
    <n v="996.38"/>
    <n v="579.99"/>
    <n v="2982.58"/>
    <n v="3562.57"/>
    <m/>
  </r>
  <r>
    <d v="2020-03-01T00:00:00"/>
    <s v="2019-20"/>
    <n v="2020"/>
    <n v="3"/>
    <s v="Mar"/>
    <x v="31"/>
    <n v="16"/>
    <s v="State"/>
    <n v="23.46"/>
    <n v="36.67"/>
    <n v="6.74"/>
    <n v="0.25"/>
    <n v="66.87"/>
    <n v="67.12"/>
    <m/>
  </r>
  <r>
    <d v="2020-03-01T00:00:00"/>
    <s v="2019-20"/>
    <n v="2020"/>
    <n v="3"/>
    <s v="Mar"/>
    <x v="32"/>
    <n v="9"/>
    <s v="State"/>
    <n v="1182.98"/>
    <n v="1794.76"/>
    <n v="1432.72"/>
    <n v="883.26"/>
    <n v="4410.46"/>
    <n v="5293.72"/>
    <m/>
  </r>
  <r>
    <d v="2020-03-01T00:00:00"/>
    <s v="2019-20"/>
    <n v="2020"/>
    <n v="3"/>
    <s v="Mar"/>
    <x v="33"/>
    <n v="5"/>
    <s v="State"/>
    <n v="221.45"/>
    <n v="277.36"/>
    <n v="686.08"/>
    <n v="9.84"/>
    <n v="1184.8900000000001"/>
    <n v="1194.73"/>
    <m/>
  </r>
  <r>
    <d v="2020-03-01T00:00:00"/>
    <s v="2019-20"/>
    <n v="2020"/>
    <n v="3"/>
    <s v="Mar"/>
    <x v="34"/>
    <n v="19"/>
    <s v="State"/>
    <n v="1035.42"/>
    <n v="1401.37"/>
    <n v="829.19"/>
    <n v="316.27"/>
    <n v="3265.98"/>
    <n v="3582.25"/>
    <m/>
  </r>
  <r>
    <d v="2020-04-01T00:00:00"/>
    <s v="2020-21"/>
    <n v="2020"/>
    <n v="4"/>
    <s v="Apr"/>
    <x v="0"/>
    <n v="35"/>
    <s v="Union Territory"/>
    <n v="4.0199999999999996"/>
    <n v="4.5599999999999996"/>
    <n v="2.59"/>
    <n v="0.01"/>
    <n v="11.17"/>
    <n v="11.18"/>
    <m/>
  </r>
  <r>
    <d v="2020-04-01T00:00:00"/>
    <s v="2020-21"/>
    <n v="2020"/>
    <n v="4"/>
    <s v="Apr"/>
    <x v="1"/>
    <n v="28"/>
    <s v="State"/>
    <n v="181.93"/>
    <n v="211.97"/>
    <n v="145.57"/>
    <n v="9.3000000000000007"/>
    <n v="539.47"/>
    <n v="548.77"/>
    <m/>
  </r>
  <r>
    <d v="2020-04-01T00:00:00"/>
    <s v="2020-21"/>
    <n v="2020"/>
    <n v="4"/>
    <s v="Apr"/>
    <x v="2"/>
    <n v="12"/>
    <s v="State"/>
    <n v="18.399999999999999"/>
    <n v="21.3"/>
    <n v="2.4700000000000002"/>
    <n v="0.5"/>
    <n v="42.17"/>
    <n v="42.67"/>
    <m/>
  </r>
  <r>
    <d v="2020-04-01T00:00:00"/>
    <s v="2020-21"/>
    <n v="2020"/>
    <n v="4"/>
    <s v="Apr"/>
    <x v="3"/>
    <n v="18"/>
    <s v="State"/>
    <n v="80.2"/>
    <n v="100.64"/>
    <n v="78.540000000000006"/>
    <n v="5.0999999999999996"/>
    <n v="259.38"/>
    <n v="264.48"/>
    <m/>
  </r>
  <r>
    <d v="2020-04-01T00:00:00"/>
    <s v="2020-21"/>
    <n v="2020"/>
    <n v="4"/>
    <s v="Apr"/>
    <x v="4"/>
    <n v="10"/>
    <s v="State"/>
    <n v="112.93"/>
    <n v="137.57"/>
    <n v="32.049999999999997"/>
    <n v="0.03"/>
    <n v="282.55"/>
    <n v="282.58"/>
    <m/>
  </r>
  <r>
    <d v="2020-04-01T00:00:00"/>
    <s v="2020-21"/>
    <n v="2020"/>
    <n v="4"/>
    <s v="Apr"/>
    <x v="5"/>
    <n v="4"/>
    <s v="Union Territory"/>
    <n v="8.35"/>
    <n v="9.34"/>
    <n v="22.64"/>
    <n v="0.01"/>
    <n v="40.33"/>
    <n v="40.340000000000003"/>
    <m/>
  </r>
  <r>
    <d v="2020-04-01T00:00:00"/>
    <s v="2020-21"/>
    <n v="2020"/>
    <n v="4"/>
    <s v="Apr"/>
    <x v="6"/>
    <n v="22"/>
    <s v="State"/>
    <n v="82.62"/>
    <n v="93.38"/>
    <n v="171.36"/>
    <n v="3.49"/>
    <n v="347.36"/>
    <n v="350.85"/>
    <m/>
  </r>
  <r>
    <d v="2020-04-01T00:00:00"/>
    <s v="2020-21"/>
    <n v="2020"/>
    <n v="4"/>
    <s v="Apr"/>
    <x v="7"/>
    <n v="38"/>
    <s v="Union Territory"/>
    <n v="5.52"/>
    <n v="5.94"/>
    <n v="27.27"/>
    <n v="0.02"/>
    <n v="38.729999999999997"/>
    <n v="38.75"/>
    <m/>
  </r>
  <r>
    <d v="2020-04-01T00:00:00"/>
    <s v="2020-21"/>
    <n v="2020"/>
    <n v="4"/>
    <s v="Apr"/>
    <x v="8"/>
    <n v="7"/>
    <s v="Union Territory"/>
    <n v="216.38"/>
    <n v="240.7"/>
    <n v="526.28"/>
    <n v="6.55"/>
    <n v="983.36"/>
    <n v="989.91"/>
    <m/>
  </r>
  <r>
    <d v="2020-04-01T00:00:00"/>
    <s v="2020-21"/>
    <n v="2020"/>
    <n v="4"/>
    <s v="Apr"/>
    <x v="9"/>
    <n v="30"/>
    <s v="State"/>
    <n v="19.079999999999998"/>
    <n v="24.33"/>
    <n v="23.82"/>
    <n v="0.01"/>
    <n v="67.23"/>
    <n v="67.239999999999995"/>
    <m/>
  </r>
  <r>
    <d v="2020-04-01T00:00:00"/>
    <s v="2020-21"/>
    <n v="2020"/>
    <n v="4"/>
    <s v="Apr"/>
    <x v="10"/>
    <n v="24"/>
    <s v="State"/>
    <n v="411.21"/>
    <n v="464.24"/>
    <n v="325.7"/>
    <n v="94.95"/>
    <n v="1201.1500000000001"/>
    <n v="1296.0999999999999"/>
    <m/>
  </r>
  <r>
    <d v="2020-04-01T00:00:00"/>
    <s v="2020-21"/>
    <n v="2020"/>
    <n v="4"/>
    <s v="Apr"/>
    <x v="11"/>
    <n v="6"/>
    <s v="State"/>
    <n v="211.73"/>
    <n v="253.81"/>
    <n v="1088.94"/>
    <n v="152.16999999999999"/>
    <n v="1554.48"/>
    <n v="1706.65"/>
    <m/>
  </r>
  <r>
    <d v="2020-04-01T00:00:00"/>
    <s v="2020-21"/>
    <n v="2020"/>
    <n v="4"/>
    <s v="Apr"/>
    <x v="12"/>
    <n v="2"/>
    <s v="State"/>
    <n v="26.47"/>
    <n v="31.59"/>
    <n v="68.84"/>
    <n v="0.01"/>
    <n v="126.9"/>
    <n v="126.91"/>
    <m/>
  </r>
  <r>
    <d v="2020-04-01T00:00:00"/>
    <s v="2020-21"/>
    <n v="2020"/>
    <n v="4"/>
    <s v="Apr"/>
    <x v="13"/>
    <n v="1"/>
    <s v="Union Territory"/>
    <n v="31.54"/>
    <n v="37.119999999999997"/>
    <n v="22.4"/>
    <n v="7.0000000000000007E-2"/>
    <n v="91.06"/>
    <n v="91.13"/>
    <m/>
  </r>
  <r>
    <d v="2020-04-01T00:00:00"/>
    <s v="2020-21"/>
    <n v="2020"/>
    <n v="4"/>
    <s v="Apr"/>
    <x v="14"/>
    <n v="20"/>
    <s v="State"/>
    <n v="74.64"/>
    <n v="89.09"/>
    <n v="44.95"/>
    <n v="35.04"/>
    <n v="208.68"/>
    <n v="243.72"/>
    <m/>
  </r>
  <r>
    <d v="2020-04-01T00:00:00"/>
    <s v="2020-21"/>
    <n v="2020"/>
    <n v="4"/>
    <s v="Apr"/>
    <x v="15"/>
    <n v="29"/>
    <s v="State"/>
    <n v="484.21"/>
    <n v="576.9"/>
    <n v="930.72"/>
    <n v="36.71"/>
    <n v="1991.83"/>
    <n v="2028.54"/>
    <m/>
  </r>
  <r>
    <d v="2020-04-01T00:00:00"/>
    <s v="2020-21"/>
    <n v="2020"/>
    <n v="4"/>
    <s v="Apr"/>
    <x v="16"/>
    <n v="32"/>
    <s v="State"/>
    <n v="93.56"/>
    <n v="127.46"/>
    <n v="57.98"/>
    <n v="1.18"/>
    <n v="279"/>
    <n v="280.18"/>
    <m/>
  </r>
  <r>
    <d v="2020-04-01T00:00:00"/>
    <s v="2020-21"/>
    <n v="2020"/>
    <n v="4"/>
    <s v="Apr"/>
    <x v="35"/>
    <n v="37"/>
    <s v="Union Territory"/>
    <n v="1.24"/>
    <n v="1.29"/>
    <n v="0.52"/>
    <n v="0.78"/>
    <n v="3.05"/>
    <n v="3.83"/>
    <m/>
  </r>
  <r>
    <d v="2020-04-01T00:00:00"/>
    <s v="2020-21"/>
    <n v="2020"/>
    <n v="4"/>
    <s v="Apr"/>
    <x v="17"/>
    <n v="31"/>
    <s v="Union Territory"/>
    <n v="0.21"/>
    <n v="0.21"/>
    <n v="7.0000000000000007E-2"/>
    <n v="0"/>
    <n v="0.49"/>
    <n v="0.49"/>
    <m/>
  </r>
  <r>
    <d v="2020-04-01T00:00:00"/>
    <s v="2020-21"/>
    <n v="2020"/>
    <n v="4"/>
    <s v="Apr"/>
    <x v="18"/>
    <n v="23"/>
    <s v="State"/>
    <n v="149.04"/>
    <n v="176.19"/>
    <n v="104.08"/>
    <n v="33.619999999999997"/>
    <n v="429.31"/>
    <n v="462.93"/>
    <m/>
  </r>
  <r>
    <d v="2020-04-01T00:00:00"/>
    <s v="2020-21"/>
    <n v="2020"/>
    <n v="4"/>
    <s v="Apr"/>
    <x v="19"/>
    <n v="27"/>
    <s v="State"/>
    <n v="1059.94"/>
    <n v="1231.44"/>
    <n v="2256.87"/>
    <n v="38.479999999999997"/>
    <n v="4548.25"/>
    <n v="4586.7299999999996"/>
    <m/>
  </r>
  <r>
    <d v="2020-04-01T00:00:00"/>
    <s v="2020-21"/>
    <n v="2020"/>
    <n v="4"/>
    <s v="Apr"/>
    <x v="20"/>
    <n v="14"/>
    <s v="State"/>
    <n v="8.59"/>
    <n v="11.47"/>
    <n v="1.44"/>
    <n v="0"/>
    <n v="21.5"/>
    <n v="21.5"/>
    <m/>
  </r>
  <r>
    <d v="2020-04-01T00:00:00"/>
    <s v="2020-21"/>
    <n v="2020"/>
    <n v="4"/>
    <s v="Apr"/>
    <x v="21"/>
    <n v="17"/>
    <s v="State"/>
    <n v="8.1999999999999993"/>
    <n v="9.09"/>
    <n v="3.4"/>
    <n v="0.01"/>
    <n v="20.69"/>
    <n v="20.7"/>
    <m/>
  </r>
  <r>
    <d v="2020-04-01T00:00:00"/>
    <s v="2020-21"/>
    <n v="2020"/>
    <n v="4"/>
    <s v="Apr"/>
    <x v="22"/>
    <n v="15"/>
    <s v="State"/>
    <n v="3.35"/>
    <n v="4.16"/>
    <n v="1.73"/>
    <n v="0"/>
    <n v="9.24"/>
    <n v="9.24"/>
    <m/>
  </r>
  <r>
    <d v="2020-04-01T00:00:00"/>
    <s v="2020-21"/>
    <n v="2020"/>
    <n v="4"/>
    <s v="Apr"/>
    <x v="23"/>
    <n v="13"/>
    <s v="State"/>
    <n v="6.29"/>
    <n v="7.47"/>
    <n v="0.59"/>
    <n v="0.02"/>
    <n v="14.35"/>
    <n v="14.37"/>
    <m/>
  </r>
  <r>
    <d v="2020-04-01T00:00:00"/>
    <s v="2020-21"/>
    <n v="2020"/>
    <n v="4"/>
    <s v="Apr"/>
    <x v="24"/>
    <n v="21"/>
    <s v="State"/>
    <n v="310.12"/>
    <n v="360.36"/>
    <n v="101.36"/>
    <n v="2.4500000000000002"/>
    <n v="771.84"/>
    <n v="774.29"/>
    <m/>
  </r>
  <r>
    <d v="2020-04-01T00:00:00"/>
    <s v="2020-21"/>
    <n v="2020"/>
    <n v="4"/>
    <s v="Apr"/>
    <x v="25"/>
    <n v="34"/>
    <s v="Union Territory"/>
    <n v="4.25"/>
    <n v="5.33"/>
    <n v="21.94"/>
    <n v="0.01"/>
    <n v="31.52"/>
    <n v="31.53"/>
    <m/>
  </r>
  <r>
    <d v="2020-04-01T00:00:00"/>
    <s v="2020-21"/>
    <n v="2020"/>
    <n v="4"/>
    <s v="Apr"/>
    <x v="26"/>
    <n v="3"/>
    <s v="State"/>
    <n v="85.14"/>
    <n v="101.94"/>
    <n v="86.29"/>
    <n v="0.19"/>
    <n v="273.37"/>
    <n v="273.56"/>
    <m/>
  </r>
  <r>
    <d v="2020-04-01T00:00:00"/>
    <s v="2020-21"/>
    <n v="2020"/>
    <n v="4"/>
    <s v="Apr"/>
    <x v="27"/>
    <n v="8"/>
    <s v="State"/>
    <n v="177.78"/>
    <n v="183.86"/>
    <n v="92.62"/>
    <n v="42.59"/>
    <n v="454.26"/>
    <n v="496.85"/>
    <m/>
  </r>
  <r>
    <d v="2020-04-01T00:00:00"/>
    <s v="2020-21"/>
    <n v="2020"/>
    <n v="4"/>
    <s v="Apr"/>
    <x v="28"/>
    <n v="11"/>
    <s v="State"/>
    <n v="4.53"/>
    <n v="5.53"/>
    <n v="70.98"/>
    <n v="0"/>
    <n v="81.040000000000006"/>
    <n v="81.040000000000006"/>
    <m/>
  </r>
  <r>
    <d v="2020-04-01T00:00:00"/>
    <s v="2020-21"/>
    <n v="2020"/>
    <n v="4"/>
    <s v="Apr"/>
    <x v="29"/>
    <n v="33"/>
    <s v="State"/>
    <n v="371.71"/>
    <n v="451.05"/>
    <n v="594.51"/>
    <n v="2.78"/>
    <n v="1417.27"/>
    <n v="1420.05"/>
    <m/>
  </r>
  <r>
    <d v="2020-04-01T00:00:00"/>
    <s v="2020-21"/>
    <n v="2020"/>
    <n v="4"/>
    <s v="Apr"/>
    <x v="30"/>
    <n v="36"/>
    <s v="State"/>
    <n v="214.09"/>
    <n v="252.67"/>
    <n v="318.55"/>
    <n v="142.83000000000001"/>
    <n v="785.31"/>
    <n v="928.14"/>
    <m/>
  </r>
  <r>
    <d v="2020-04-01T00:00:00"/>
    <s v="2020-21"/>
    <n v="2020"/>
    <n v="4"/>
    <s v="Apr"/>
    <x v="31"/>
    <n v="16"/>
    <s v="State"/>
    <n v="7.99"/>
    <n v="9.7100000000000009"/>
    <n v="1.95"/>
    <n v="0.01"/>
    <n v="19.649999999999999"/>
    <n v="19.66"/>
    <m/>
  </r>
  <r>
    <d v="2020-04-01T00:00:00"/>
    <s v="2020-21"/>
    <n v="2020"/>
    <n v="4"/>
    <s v="Apr"/>
    <x v="32"/>
    <n v="9"/>
    <s v="State"/>
    <n v="312.66000000000003"/>
    <n v="376.17"/>
    <n v="284.2"/>
    <n v="17.04"/>
    <n v="973.03"/>
    <n v="990.07"/>
    <m/>
  </r>
  <r>
    <d v="2020-04-01T00:00:00"/>
    <s v="2020-21"/>
    <n v="2020"/>
    <n v="4"/>
    <s v="Apr"/>
    <x v="33"/>
    <n v="5"/>
    <s v="State"/>
    <n v="49.79"/>
    <n v="61.95"/>
    <n v="141.63"/>
    <n v="3.26"/>
    <n v="253.37"/>
    <n v="256.63"/>
    <m/>
  </r>
  <r>
    <d v="2020-04-01T00:00:00"/>
    <s v="2020-21"/>
    <n v="2020"/>
    <n v="4"/>
    <s v="Apr"/>
    <x v="34"/>
    <n v="19"/>
    <s v="State"/>
    <n v="220.64"/>
    <n v="260.61"/>
    <n v="149.1"/>
    <n v="3.11"/>
    <n v="630.35"/>
    <n v="633.46"/>
    <m/>
  </r>
  <r>
    <d v="2020-05-01T00:00:00"/>
    <s v="2020-21"/>
    <n v="2020"/>
    <n v="5"/>
    <s v="May"/>
    <x v="0"/>
    <n v="35"/>
    <s v="Union Territory"/>
    <n v="2.86"/>
    <n v="3.91"/>
    <n v="1.05"/>
    <n v="0.01"/>
    <n v="7.82"/>
    <n v="7.83"/>
    <m/>
  </r>
  <r>
    <d v="2020-05-01T00:00:00"/>
    <s v="2020-21"/>
    <n v="2020"/>
    <n v="5"/>
    <s v="May"/>
    <x v="1"/>
    <n v="28"/>
    <s v="State"/>
    <n v="294.75"/>
    <n v="379.5"/>
    <n v="373.5"/>
    <n v="180.25"/>
    <n v="1047.75"/>
    <n v="1228"/>
    <m/>
  </r>
  <r>
    <d v="2020-05-01T00:00:00"/>
    <s v="2020-21"/>
    <n v="2020"/>
    <n v="5"/>
    <s v="May"/>
    <x v="2"/>
    <n v="12"/>
    <s v="State"/>
    <n v="16.059999999999999"/>
    <n v="19.86"/>
    <n v="2.73"/>
    <n v="0.05"/>
    <n v="38.65"/>
    <n v="38.700000000000003"/>
    <m/>
  </r>
  <r>
    <d v="2020-05-01T00:00:00"/>
    <s v="2020-21"/>
    <n v="2020"/>
    <n v="5"/>
    <s v="May"/>
    <x v="3"/>
    <n v="18"/>
    <s v="State"/>
    <n v="166.97"/>
    <n v="190.7"/>
    <n v="105.87"/>
    <n v="44.46"/>
    <n v="463.54"/>
    <n v="508"/>
    <m/>
  </r>
  <r>
    <d v="2020-05-01T00:00:00"/>
    <s v="2020-21"/>
    <n v="2020"/>
    <n v="5"/>
    <s v="May"/>
    <x v="4"/>
    <n v="10"/>
    <s v="State"/>
    <n v="167.53"/>
    <n v="248.01"/>
    <n v="68.95"/>
    <n v="123.61"/>
    <n v="484.49"/>
    <n v="608.1"/>
    <m/>
  </r>
  <r>
    <d v="2020-05-01T00:00:00"/>
    <s v="2020-21"/>
    <n v="2020"/>
    <n v="5"/>
    <s v="May"/>
    <x v="5"/>
    <n v="4"/>
    <s v="Union Territory"/>
    <n v="16.16"/>
    <n v="22.06"/>
    <n v="63.58"/>
    <n v="1.64"/>
    <n v="101.8"/>
    <n v="103.44"/>
    <m/>
  </r>
  <r>
    <d v="2020-05-01T00:00:00"/>
    <s v="2020-21"/>
    <n v="2020"/>
    <n v="5"/>
    <s v="May"/>
    <x v="6"/>
    <n v="22"/>
    <s v="State"/>
    <n v="278.02"/>
    <n v="314.73"/>
    <n v="665.48"/>
    <n v="564.67999999999995"/>
    <n v="1258.23"/>
    <n v="1822.91"/>
    <m/>
  </r>
  <r>
    <d v="2020-05-01T00:00:00"/>
    <s v="2020-21"/>
    <n v="2020"/>
    <n v="5"/>
    <s v="May"/>
    <x v="7"/>
    <n v="38"/>
    <s v="Union Territory"/>
    <n v="13.11"/>
    <n v="16.690000000000001"/>
    <n v="68.36"/>
    <n v="0.04"/>
    <n v="98.16"/>
    <n v="98.2"/>
    <m/>
  </r>
  <r>
    <d v="2020-05-01T00:00:00"/>
    <s v="2020-21"/>
    <n v="2020"/>
    <n v="5"/>
    <s v="May"/>
    <x v="8"/>
    <n v="7"/>
    <s v="Union Territory"/>
    <n v="415.34"/>
    <n v="494.26"/>
    <n v="1191.83"/>
    <n v="57.35"/>
    <n v="2101.4299999999998"/>
    <n v="2158.7800000000002"/>
    <m/>
  </r>
  <r>
    <d v="2020-05-01T00:00:00"/>
    <s v="2020-21"/>
    <n v="2020"/>
    <n v="5"/>
    <s v="May"/>
    <x v="9"/>
    <n v="30"/>
    <s v="State"/>
    <n v="39.25"/>
    <n v="52.64"/>
    <n v="58.11"/>
    <n v="0.85"/>
    <n v="150"/>
    <n v="150.85"/>
    <m/>
  </r>
  <r>
    <d v="2020-05-01T00:00:00"/>
    <s v="2020-21"/>
    <n v="2020"/>
    <n v="5"/>
    <s v="May"/>
    <x v="10"/>
    <n v="24"/>
    <s v="State"/>
    <n v="855.01"/>
    <n v="1022.56"/>
    <n v="1015.66"/>
    <n v="184.5"/>
    <n v="2893.23"/>
    <n v="3077.73"/>
    <m/>
  </r>
  <r>
    <d v="2020-05-01T00:00:00"/>
    <s v="2020-21"/>
    <n v="2020"/>
    <n v="5"/>
    <s v="May"/>
    <x v="11"/>
    <n v="6"/>
    <s v="State"/>
    <n v="424.52"/>
    <n v="546.11"/>
    <n v="1556.35"/>
    <n v="81.59"/>
    <n v="2526.98"/>
    <n v="2608.5700000000002"/>
    <m/>
  </r>
  <r>
    <d v="2020-05-01T00:00:00"/>
    <s v="2020-21"/>
    <n v="2020"/>
    <n v="5"/>
    <s v="May"/>
    <x v="12"/>
    <n v="2"/>
    <s v="State"/>
    <n v="53.06"/>
    <n v="72.239999999999995"/>
    <n v="146.38999999999999"/>
    <n v="0.35"/>
    <n v="271.69"/>
    <n v="272.04000000000002"/>
    <m/>
  </r>
  <r>
    <d v="2020-05-01T00:00:00"/>
    <s v="2020-21"/>
    <n v="2020"/>
    <n v="5"/>
    <s v="May"/>
    <x v="13"/>
    <n v="1"/>
    <s v="Union Territory"/>
    <n v="40.130000000000003"/>
    <n v="62.74"/>
    <n v="24.51"/>
    <n v="1.74"/>
    <n v="127.38"/>
    <n v="129.12"/>
    <m/>
  </r>
  <r>
    <d v="2020-05-01T00:00:00"/>
    <s v="2020-21"/>
    <n v="2020"/>
    <n v="5"/>
    <s v="May"/>
    <x v="14"/>
    <n v="20"/>
    <s v="State"/>
    <n v="202.92"/>
    <n v="241.15"/>
    <n v="359.03"/>
    <n v="438.84"/>
    <n v="803.1"/>
    <n v="1241.94"/>
    <m/>
  </r>
  <r>
    <d v="2020-05-01T00:00:00"/>
    <s v="2020-21"/>
    <n v="2020"/>
    <n v="5"/>
    <s v="May"/>
    <x v="15"/>
    <n v="29"/>
    <s v="State"/>
    <n v="1058.82"/>
    <n v="1296.28"/>
    <n v="1532.32"/>
    <n v="621.32000000000005"/>
    <n v="3887.42"/>
    <n v="4508.74"/>
    <m/>
  </r>
  <r>
    <d v="2020-05-01T00:00:00"/>
    <s v="2020-21"/>
    <n v="2020"/>
    <n v="5"/>
    <s v="May"/>
    <x v="16"/>
    <n v="32"/>
    <s v="State"/>
    <n v="277.8"/>
    <n v="365.75"/>
    <n v="216.68"/>
    <n v="1.97"/>
    <n v="860.23"/>
    <n v="862.2"/>
    <m/>
  </r>
  <r>
    <d v="2020-05-01T00:00:00"/>
    <s v="2020-21"/>
    <n v="2020"/>
    <n v="5"/>
    <s v="May"/>
    <x v="35"/>
    <n v="37"/>
    <s v="Union Territory"/>
    <n v="4.7699999999999996"/>
    <n v="5.35"/>
    <n v="1.64"/>
    <n v="0.4"/>
    <n v="11.76"/>
    <n v="12.16"/>
    <m/>
  </r>
  <r>
    <d v="2020-05-01T00:00:00"/>
    <s v="2020-21"/>
    <n v="2020"/>
    <n v="5"/>
    <s v="May"/>
    <x v="17"/>
    <n v="31"/>
    <s v="Union Territory"/>
    <n v="1.21"/>
    <n v="1.24"/>
    <n v="0.03"/>
    <n v="0"/>
    <n v="2.48"/>
    <n v="2.48"/>
    <m/>
  </r>
  <r>
    <d v="2020-05-01T00:00:00"/>
    <s v="2020-21"/>
    <n v="2020"/>
    <n v="5"/>
    <s v="May"/>
    <x v="18"/>
    <n v="23"/>
    <s v="State"/>
    <n v="301.48"/>
    <n v="368.55"/>
    <n v="298.52"/>
    <n v="370.57"/>
    <n v="968.55"/>
    <n v="1339.12"/>
    <m/>
  </r>
  <r>
    <d v="2020-05-01T00:00:00"/>
    <s v="2020-21"/>
    <n v="2020"/>
    <n v="5"/>
    <s v="May"/>
    <x v="19"/>
    <n v="27"/>
    <s v="State"/>
    <n v="2060.79"/>
    <n v="2483.04"/>
    <n v="3374.13"/>
    <n v="552.92999999999995"/>
    <n v="7917.96"/>
    <n v="8470.89"/>
    <m/>
  </r>
  <r>
    <d v="2020-05-01T00:00:00"/>
    <s v="2020-21"/>
    <n v="2020"/>
    <n v="5"/>
    <s v="May"/>
    <x v="20"/>
    <n v="14"/>
    <s v="State"/>
    <n v="7.93"/>
    <n v="9.59"/>
    <n v="1"/>
    <n v="0"/>
    <n v="18.52"/>
    <n v="18.52"/>
    <m/>
  </r>
  <r>
    <d v="2020-05-01T00:00:00"/>
    <s v="2020-21"/>
    <n v="2020"/>
    <n v="5"/>
    <s v="May"/>
    <x v="21"/>
    <n v="17"/>
    <s v="State"/>
    <n v="13.98"/>
    <n v="16.7"/>
    <n v="62.43"/>
    <n v="0.21"/>
    <n v="93.11"/>
    <n v="93.32"/>
    <m/>
  </r>
  <r>
    <d v="2020-05-01T00:00:00"/>
    <s v="2020-21"/>
    <n v="2020"/>
    <n v="5"/>
    <s v="May"/>
    <x v="22"/>
    <n v="15"/>
    <s v="State"/>
    <n v="3.74"/>
    <n v="5.47"/>
    <n v="1.43"/>
    <n v="0"/>
    <n v="10.64"/>
    <n v="10.64"/>
    <m/>
  </r>
  <r>
    <d v="2020-05-01T00:00:00"/>
    <s v="2020-21"/>
    <n v="2020"/>
    <n v="5"/>
    <s v="May"/>
    <x v="23"/>
    <n v="13"/>
    <s v="State"/>
    <n v="12.06"/>
    <n v="18.38"/>
    <n v="1.45"/>
    <n v="0.85"/>
    <n v="31.89"/>
    <n v="32.74"/>
    <m/>
  </r>
  <r>
    <d v="2020-05-01T00:00:00"/>
    <s v="2020-21"/>
    <n v="2020"/>
    <n v="5"/>
    <s v="May"/>
    <x v="24"/>
    <n v="21"/>
    <s v="State"/>
    <n v="349.83"/>
    <n v="440.67"/>
    <n v="381.15"/>
    <n v="552.61"/>
    <n v="1171.6500000000001"/>
    <n v="1724.26"/>
    <m/>
  </r>
  <r>
    <d v="2020-05-01T00:00:00"/>
    <s v="2020-21"/>
    <n v="2020"/>
    <n v="5"/>
    <s v="May"/>
    <x v="25"/>
    <n v="34"/>
    <s v="Union Territory"/>
    <n v="14.74"/>
    <n v="17.2"/>
    <n v="67.03"/>
    <n v="0.02"/>
    <n v="98.97"/>
    <n v="98.99"/>
    <m/>
  </r>
  <r>
    <d v="2020-05-01T00:00:00"/>
    <s v="2020-21"/>
    <n v="2020"/>
    <n v="5"/>
    <s v="May"/>
    <x v="26"/>
    <n v="3"/>
    <s v="State"/>
    <n v="171.36"/>
    <n v="240.67"/>
    <n v="236.13"/>
    <n v="8.7899999999999991"/>
    <n v="648.16"/>
    <n v="656.95"/>
    <m/>
  </r>
  <r>
    <d v="2020-05-01T00:00:00"/>
    <s v="2020-21"/>
    <n v="2020"/>
    <n v="5"/>
    <s v="May"/>
    <x v="27"/>
    <n v="8"/>
    <s v="State"/>
    <n v="379.21"/>
    <n v="463.22"/>
    <n v="525.83000000000004"/>
    <n v="47.75"/>
    <n v="1368.26"/>
    <n v="1416.01"/>
    <m/>
  </r>
  <r>
    <d v="2020-05-01T00:00:00"/>
    <s v="2020-21"/>
    <n v="2020"/>
    <n v="5"/>
    <s v="May"/>
    <x v="28"/>
    <n v="11"/>
    <s v="State"/>
    <n v="8.91"/>
    <n v="10.96"/>
    <n v="74.319999999999993"/>
    <n v="0.31"/>
    <n v="94.19"/>
    <n v="94.5"/>
    <m/>
  </r>
  <r>
    <d v="2020-05-01T00:00:00"/>
    <s v="2020-21"/>
    <n v="2020"/>
    <n v="5"/>
    <s v="May"/>
    <x v="29"/>
    <n v="33"/>
    <s v="State"/>
    <n v="793.88"/>
    <n v="1064.6500000000001"/>
    <n v="1217.97"/>
    <n v="446.28"/>
    <n v="3076.5"/>
    <n v="3522.78"/>
    <m/>
  </r>
  <r>
    <d v="2020-05-01T00:00:00"/>
    <s v="2020-21"/>
    <n v="2020"/>
    <n v="5"/>
    <s v="May"/>
    <x v="30"/>
    <n v="36"/>
    <s v="State"/>
    <n v="432.73"/>
    <n v="543.23"/>
    <n v="685.39"/>
    <n v="227.07"/>
    <n v="1661.35"/>
    <n v="1888.42"/>
    <m/>
  </r>
  <r>
    <d v="2020-05-01T00:00:00"/>
    <s v="2020-21"/>
    <n v="2020"/>
    <n v="5"/>
    <s v="May"/>
    <x v="31"/>
    <n v="16"/>
    <s v="State"/>
    <n v="36.4"/>
    <n v="42.11"/>
    <n v="16.34"/>
    <n v="0.19"/>
    <n v="94.85"/>
    <n v="95.04"/>
    <m/>
  </r>
  <r>
    <d v="2020-05-01T00:00:00"/>
    <s v="2020-21"/>
    <n v="2020"/>
    <n v="5"/>
    <s v="May"/>
    <x v="32"/>
    <n v="9"/>
    <s v="State"/>
    <n v="710.21"/>
    <n v="945.92"/>
    <n v="758.01"/>
    <n v="768.52"/>
    <n v="2414.14"/>
    <n v="3182.66"/>
    <m/>
  </r>
  <r>
    <d v="2020-05-01T00:00:00"/>
    <s v="2020-21"/>
    <n v="2020"/>
    <n v="5"/>
    <s v="May"/>
    <x v="33"/>
    <n v="5"/>
    <s v="State"/>
    <n v="144.84"/>
    <n v="170"/>
    <n v="299.19"/>
    <n v="0.56000000000000005"/>
    <n v="614.03"/>
    <n v="614.59"/>
    <m/>
  </r>
  <r>
    <d v="2020-05-01T00:00:00"/>
    <s v="2020-21"/>
    <n v="2020"/>
    <n v="5"/>
    <s v="May"/>
    <x v="34"/>
    <n v="19"/>
    <s v="State"/>
    <n v="549.45000000000005"/>
    <n v="702.23"/>
    <n v="405.94"/>
    <n v="298.82"/>
    <n v="1657.62"/>
    <n v="1956.44"/>
    <m/>
  </r>
  <r>
    <d v="2020-06-01T00:00:00"/>
    <s v="2020-21"/>
    <n v="2020"/>
    <n v="6"/>
    <s v="Jun"/>
    <x v="0"/>
    <n v="35"/>
    <s v="Union Territory"/>
    <n v="23.65"/>
    <n v="26.73"/>
    <n v="3.74"/>
    <n v="7.0000000000000007E-2"/>
    <n v="54.12"/>
    <n v="54.19"/>
    <m/>
  </r>
  <r>
    <d v="2020-06-01T00:00:00"/>
    <s v="2020-21"/>
    <n v="2020"/>
    <n v="6"/>
    <s v="Jun"/>
    <x v="1"/>
    <n v="28"/>
    <s v="State"/>
    <n v="627.42999999999995"/>
    <n v="846.94"/>
    <n v="805.05"/>
    <n v="87.66"/>
    <n v="2279.42"/>
    <n v="2367.08"/>
    <m/>
  </r>
  <r>
    <d v="2020-06-01T00:00:00"/>
    <s v="2020-21"/>
    <n v="2020"/>
    <n v="6"/>
    <s v="Jun"/>
    <x v="2"/>
    <n v="12"/>
    <s v="State"/>
    <n v="19.420000000000002"/>
    <n v="25.43"/>
    <n v="4.07"/>
    <n v="0.47"/>
    <n v="48.92"/>
    <n v="49.39"/>
    <m/>
  </r>
  <r>
    <d v="2020-06-01T00:00:00"/>
    <s v="2020-21"/>
    <n v="2020"/>
    <n v="6"/>
    <s v="Jun"/>
    <x v="3"/>
    <n v="18"/>
    <s v="State"/>
    <n v="279.85000000000002"/>
    <n v="359.88"/>
    <n v="298.87"/>
    <n v="27.87"/>
    <n v="938.6"/>
    <n v="966.47"/>
    <m/>
  </r>
  <r>
    <d v="2020-06-01T00:00:00"/>
    <s v="2020-21"/>
    <n v="2020"/>
    <n v="6"/>
    <s v="Jun"/>
    <x v="4"/>
    <n v="10"/>
    <s v="State"/>
    <n v="341.6"/>
    <n v="569.77"/>
    <n v="119.18"/>
    <n v="131.83000000000001"/>
    <n v="1030.55"/>
    <n v="1162.3800000000001"/>
    <m/>
  </r>
  <r>
    <d v="2020-06-01T00:00:00"/>
    <s v="2020-21"/>
    <n v="2020"/>
    <n v="6"/>
    <s v="Jun"/>
    <x v="5"/>
    <n v="4"/>
    <s v="Union Territory"/>
    <n v="26.85"/>
    <n v="35.200000000000003"/>
    <n v="94.76"/>
    <n v="1.88"/>
    <n v="156.81"/>
    <n v="158.69"/>
    <m/>
  </r>
  <r>
    <d v="2020-06-01T00:00:00"/>
    <s v="2020-21"/>
    <n v="2020"/>
    <n v="6"/>
    <s v="Jun"/>
    <x v="6"/>
    <n v="22"/>
    <s v="State"/>
    <n v="472.28"/>
    <n v="546.34"/>
    <n v="744.26"/>
    <n v="785.71"/>
    <n v="1762.88"/>
    <n v="2548.59"/>
    <m/>
  </r>
  <r>
    <d v="2020-06-01T00:00:00"/>
    <s v="2020-21"/>
    <n v="2020"/>
    <n v="6"/>
    <s v="Jun"/>
    <x v="7"/>
    <n v="38"/>
    <s v="Union Territory"/>
    <n v="20.6"/>
    <n v="27.52"/>
    <n v="144.08000000000001"/>
    <n v="0.11"/>
    <n v="192.2"/>
    <n v="192.31"/>
    <m/>
  </r>
  <r>
    <d v="2020-06-01T00:00:00"/>
    <s v="2020-21"/>
    <n v="2020"/>
    <n v="6"/>
    <s v="Jun"/>
    <x v="8"/>
    <n v="7"/>
    <s v="Union Territory"/>
    <n v="651.99"/>
    <n v="762.25"/>
    <n v="1790.27"/>
    <n v="44.72"/>
    <n v="3204.51"/>
    <n v="3249.23"/>
    <m/>
  </r>
  <r>
    <d v="2020-06-01T00:00:00"/>
    <s v="2020-21"/>
    <n v="2020"/>
    <n v="6"/>
    <s v="Jun"/>
    <x v="9"/>
    <n v="30"/>
    <s v="State"/>
    <n v="75.83"/>
    <n v="102.63"/>
    <n v="141.36000000000001"/>
    <n v="4.13"/>
    <n v="319.82"/>
    <n v="323.95"/>
    <m/>
  </r>
  <r>
    <d v="2020-06-01T00:00:00"/>
    <s v="2020-21"/>
    <n v="2020"/>
    <n v="6"/>
    <s v="Jun"/>
    <x v="10"/>
    <n v="24"/>
    <s v="State"/>
    <n v="1747.47"/>
    <n v="2068.35"/>
    <n v="1973.11"/>
    <n v="235.71"/>
    <n v="5788.93"/>
    <n v="6024.64"/>
    <m/>
  </r>
  <r>
    <d v="2020-06-01T00:00:00"/>
    <s v="2020-21"/>
    <n v="2020"/>
    <n v="6"/>
    <s v="Jun"/>
    <x v="11"/>
    <n v="6"/>
    <s v="State"/>
    <n v="712.4"/>
    <n v="878.41"/>
    <n v="1998.32"/>
    <n v="108.01"/>
    <n v="3589.13"/>
    <n v="3697.14"/>
    <m/>
  </r>
  <r>
    <d v="2020-06-01T00:00:00"/>
    <s v="2020-21"/>
    <n v="2020"/>
    <n v="6"/>
    <s v="Jun"/>
    <x v="12"/>
    <n v="2"/>
    <s v="State"/>
    <n v="106.72"/>
    <n v="152.68"/>
    <n v="357.99"/>
    <n v="1.1100000000000001"/>
    <n v="617.39"/>
    <n v="618.5"/>
    <m/>
  </r>
  <r>
    <d v="2020-06-01T00:00:00"/>
    <s v="2020-21"/>
    <n v="2020"/>
    <n v="6"/>
    <s v="Jun"/>
    <x v="13"/>
    <n v="1"/>
    <s v="Union Territory"/>
    <n v="81.16"/>
    <n v="136.31"/>
    <n v="82.44"/>
    <n v="24.85"/>
    <n v="299.91000000000003"/>
    <n v="324.76"/>
    <m/>
  </r>
  <r>
    <d v="2020-06-01T00:00:00"/>
    <s v="2020-21"/>
    <n v="2020"/>
    <n v="6"/>
    <s v="Jun"/>
    <x v="14"/>
    <n v="20"/>
    <s v="State"/>
    <n v="328.95"/>
    <n v="398.96"/>
    <n v="371.62"/>
    <n v="543.75"/>
    <n v="1099.53"/>
    <n v="1643.28"/>
    <m/>
  </r>
  <r>
    <d v="2020-06-01T00:00:00"/>
    <s v="2020-21"/>
    <n v="2020"/>
    <n v="6"/>
    <s v="Jun"/>
    <x v="15"/>
    <n v="29"/>
    <s v="State"/>
    <n v="1795.6"/>
    <n v="2221.71"/>
    <n v="2033.28"/>
    <n v="659.18"/>
    <n v="6050.59"/>
    <n v="6709.77"/>
    <m/>
  </r>
  <r>
    <d v="2020-06-01T00:00:00"/>
    <s v="2020-21"/>
    <n v="2020"/>
    <n v="6"/>
    <s v="Jun"/>
    <x v="16"/>
    <n v="32"/>
    <s v="State"/>
    <n v="506.93"/>
    <n v="746.15"/>
    <n v="246.57"/>
    <n v="30.29"/>
    <n v="1499.65"/>
    <n v="1529.94"/>
    <m/>
  </r>
  <r>
    <d v="2020-06-01T00:00:00"/>
    <s v="2020-21"/>
    <n v="2020"/>
    <n v="6"/>
    <s v="Jun"/>
    <x v="35"/>
    <n v="37"/>
    <s v="Union Territory"/>
    <n v="2.67"/>
    <n v="3.29"/>
    <n v="0.71"/>
    <n v="0.79"/>
    <n v="6.67"/>
    <n v="7.46"/>
    <m/>
  </r>
  <r>
    <d v="2020-06-01T00:00:00"/>
    <s v="2020-21"/>
    <n v="2020"/>
    <n v="6"/>
    <s v="Jun"/>
    <x v="17"/>
    <n v="31"/>
    <s v="Union Territory"/>
    <n v="0.36"/>
    <n v="0.63"/>
    <n v="0.03"/>
    <n v="0"/>
    <n v="1.02"/>
    <n v="1.02"/>
    <m/>
  </r>
  <r>
    <d v="2020-06-01T00:00:00"/>
    <s v="2020-21"/>
    <n v="2020"/>
    <n v="6"/>
    <s v="Jun"/>
    <x v="18"/>
    <n v="23"/>
    <s v="State"/>
    <n v="596.53"/>
    <n v="762.02"/>
    <n v="617.27"/>
    <n v="765.81"/>
    <n v="1975.82"/>
    <n v="2741.63"/>
    <m/>
  </r>
  <r>
    <d v="2020-06-01T00:00:00"/>
    <s v="2020-21"/>
    <n v="2020"/>
    <n v="6"/>
    <s v="Jun"/>
    <x v="19"/>
    <n v="27"/>
    <s v="State"/>
    <n v="4269.6400000000003"/>
    <n v="4924.05"/>
    <n v="5250.02"/>
    <n v="543.19000000000005"/>
    <n v="14443.71"/>
    <n v="14986.9"/>
    <m/>
  </r>
  <r>
    <d v="2020-06-01T00:00:00"/>
    <s v="2020-21"/>
    <n v="2020"/>
    <n v="6"/>
    <s v="Jun"/>
    <x v="20"/>
    <n v="14"/>
    <s v="State"/>
    <n v="10.45"/>
    <n v="16.13"/>
    <n v="2.2200000000000002"/>
    <n v="0.08"/>
    <n v="28.8"/>
    <n v="28.88"/>
    <m/>
  </r>
  <r>
    <d v="2020-06-01T00:00:00"/>
    <s v="2020-21"/>
    <n v="2020"/>
    <n v="6"/>
    <s v="Jun"/>
    <x v="21"/>
    <n v="17"/>
    <s v="State"/>
    <n v="15.57"/>
    <n v="20.84"/>
    <n v="79.23"/>
    <n v="0.31"/>
    <n v="115.64"/>
    <n v="115.95"/>
    <m/>
  </r>
  <r>
    <d v="2020-06-01T00:00:00"/>
    <s v="2020-21"/>
    <n v="2020"/>
    <n v="6"/>
    <s v="Jun"/>
    <x v="22"/>
    <n v="15"/>
    <s v="State"/>
    <n v="7.42"/>
    <n v="11.85"/>
    <n v="4.82"/>
    <n v="0.11"/>
    <n v="24.09"/>
    <n v="24.2"/>
    <m/>
  </r>
  <r>
    <d v="2020-06-01T00:00:00"/>
    <s v="2020-21"/>
    <n v="2020"/>
    <n v="6"/>
    <s v="Jun"/>
    <x v="23"/>
    <n v="13"/>
    <s v="State"/>
    <n v="11.12"/>
    <n v="16.920000000000002"/>
    <n v="4.0999999999999996"/>
    <n v="0.27"/>
    <n v="32.14"/>
    <n v="32.409999999999997"/>
    <m/>
  </r>
  <r>
    <d v="2020-06-01T00:00:00"/>
    <s v="2020-21"/>
    <n v="2020"/>
    <n v="6"/>
    <s v="Jun"/>
    <x v="24"/>
    <n v="21"/>
    <s v="State"/>
    <n v="574.01"/>
    <n v="759.17"/>
    <n v="452.09"/>
    <n v="908.48"/>
    <n v="1785.27"/>
    <n v="2693.75"/>
    <m/>
  </r>
  <r>
    <d v="2020-06-01T00:00:00"/>
    <s v="2020-21"/>
    <n v="2020"/>
    <n v="6"/>
    <s v="Jun"/>
    <x v="25"/>
    <n v="34"/>
    <s v="Union Territory"/>
    <n v="18.100000000000001"/>
    <n v="28.51"/>
    <n v="93.72"/>
    <n v="0.25"/>
    <n v="140.33000000000001"/>
    <n v="140.58000000000001"/>
    <m/>
  </r>
  <r>
    <d v="2020-06-01T00:00:00"/>
    <s v="2020-21"/>
    <n v="2020"/>
    <n v="6"/>
    <s v="Jun"/>
    <x v="26"/>
    <n v="3"/>
    <s v="State"/>
    <n v="358.69"/>
    <n v="508.07"/>
    <n v="429.31"/>
    <n v="27.32"/>
    <n v="1296.07"/>
    <n v="1323.39"/>
    <m/>
  </r>
  <r>
    <d v="2020-06-01T00:00:00"/>
    <s v="2020-21"/>
    <n v="2020"/>
    <n v="6"/>
    <s v="Jun"/>
    <x v="27"/>
    <n v="8"/>
    <s v="State"/>
    <n v="798.07"/>
    <n v="1037.01"/>
    <n v="826.39"/>
    <n v="112.64"/>
    <n v="2661.47"/>
    <n v="2774.11"/>
    <m/>
  </r>
  <r>
    <d v="2020-06-01T00:00:00"/>
    <s v="2020-21"/>
    <n v="2020"/>
    <n v="6"/>
    <s v="Jun"/>
    <x v="28"/>
    <n v="11"/>
    <s v="State"/>
    <n v="11.98"/>
    <n v="17.37"/>
    <n v="316.19"/>
    <n v="0.01"/>
    <n v="345.54"/>
    <n v="345.55"/>
    <m/>
  </r>
  <r>
    <d v="2020-06-01T00:00:00"/>
    <s v="2020-21"/>
    <n v="2020"/>
    <n v="6"/>
    <s v="Jun"/>
    <x v="29"/>
    <n v="33"/>
    <s v="State"/>
    <n v="1347.16"/>
    <n v="1723.18"/>
    <n v="1607.53"/>
    <n v="297.64"/>
    <n v="4677.87"/>
    <n v="4975.51"/>
    <m/>
  </r>
  <r>
    <d v="2020-06-01T00:00:00"/>
    <s v="2020-21"/>
    <n v="2020"/>
    <n v="6"/>
    <s v="Jun"/>
    <x v="30"/>
    <n v="36"/>
    <s v="State"/>
    <n v="813.51"/>
    <n v="1073.58"/>
    <n v="899.09"/>
    <n v="489.99"/>
    <n v="2786.18"/>
    <n v="3276.17"/>
    <m/>
  </r>
  <r>
    <d v="2020-06-01T00:00:00"/>
    <s v="2020-21"/>
    <n v="2020"/>
    <n v="6"/>
    <s v="Jun"/>
    <x v="31"/>
    <n v="16"/>
    <s v="State"/>
    <n v="22.52"/>
    <n v="35.85"/>
    <n v="5.47"/>
    <n v="0.7"/>
    <n v="63.84"/>
    <n v="64.540000000000006"/>
    <m/>
  </r>
  <r>
    <d v="2020-06-01T00:00:00"/>
    <s v="2020-21"/>
    <n v="2020"/>
    <n v="6"/>
    <s v="Jun"/>
    <x v="32"/>
    <n v="9"/>
    <s v="State"/>
    <n v="1251.9000000000001"/>
    <n v="1775.87"/>
    <n v="1277.69"/>
    <n v="888.12"/>
    <n v="4305.46"/>
    <n v="5193.58"/>
    <m/>
  </r>
  <r>
    <d v="2020-06-01T00:00:00"/>
    <s v="2020-21"/>
    <n v="2020"/>
    <n v="6"/>
    <s v="Jun"/>
    <x v="33"/>
    <n v="5"/>
    <s v="State"/>
    <n v="184.09"/>
    <n v="238.62"/>
    <n v="469.81"/>
    <n v="2.42"/>
    <n v="892.52"/>
    <n v="894.94"/>
    <m/>
  </r>
  <r>
    <d v="2020-06-01T00:00:00"/>
    <s v="2020-21"/>
    <n v="2020"/>
    <n v="6"/>
    <s v="Jun"/>
    <x v="34"/>
    <n v="19"/>
    <s v="State"/>
    <n v="858.86"/>
    <n v="1102.1500000000001"/>
    <n v="834.58"/>
    <n v="332.79"/>
    <n v="2795.59"/>
    <n v="3128.38"/>
    <m/>
  </r>
  <r>
    <d v="2020-07-01T00:00:00"/>
    <s v="2020-21"/>
    <n v="2020"/>
    <n v="7"/>
    <s v="Jul"/>
    <x v="0"/>
    <n v="35"/>
    <s v="Union Territory"/>
    <n v="6.42"/>
    <n v="8.82"/>
    <n v="2.27"/>
    <n v="0.02"/>
    <n v="17.510000000000002"/>
    <n v="17.53"/>
    <m/>
  </r>
  <r>
    <d v="2020-07-01T00:00:00"/>
    <s v="2020-21"/>
    <n v="2020"/>
    <n v="7"/>
    <s v="Jul"/>
    <x v="1"/>
    <n v="28"/>
    <s v="State"/>
    <n v="546.47"/>
    <n v="755.24"/>
    <n v="701.47"/>
    <n v="135.03"/>
    <n v="2003.18"/>
    <n v="2138.21"/>
    <m/>
  </r>
  <r>
    <d v="2020-07-01T00:00:00"/>
    <s v="2020-21"/>
    <n v="2020"/>
    <n v="7"/>
    <s v="Jul"/>
    <x v="2"/>
    <n v="12"/>
    <s v="State"/>
    <n v="12.32"/>
    <n v="17.12"/>
    <n v="3.36"/>
    <n v="7.0000000000000007E-2"/>
    <n v="32.799999999999997"/>
    <n v="32.869999999999997"/>
    <m/>
  </r>
  <r>
    <d v="2020-07-01T00:00:00"/>
    <s v="2020-21"/>
    <n v="2020"/>
    <n v="7"/>
    <s v="Jul"/>
    <x v="3"/>
    <n v="18"/>
    <s v="State"/>
    <n v="200.86"/>
    <n v="270.63"/>
    <n v="231.3"/>
    <n v="20.03"/>
    <n v="702.79"/>
    <n v="722.82"/>
    <m/>
  </r>
  <r>
    <d v="2020-07-01T00:00:00"/>
    <s v="2020-21"/>
    <n v="2020"/>
    <n v="7"/>
    <s v="Jul"/>
    <x v="4"/>
    <n v="10"/>
    <s v="State"/>
    <n v="297"/>
    <n v="467.13"/>
    <n v="107.17"/>
    <n v="189.51"/>
    <n v="871.3"/>
    <n v="1060.81"/>
    <m/>
  </r>
  <r>
    <d v="2020-07-01T00:00:00"/>
    <s v="2020-21"/>
    <n v="2020"/>
    <n v="7"/>
    <s v="Jul"/>
    <x v="5"/>
    <n v="4"/>
    <s v="Union Territory"/>
    <n v="25.66"/>
    <n v="36.67"/>
    <n v="73.989999999999995"/>
    <n v="1.01"/>
    <n v="136.32"/>
    <n v="137.33000000000001"/>
    <m/>
  </r>
  <r>
    <d v="2020-07-01T00:00:00"/>
    <s v="2020-21"/>
    <n v="2020"/>
    <n v="7"/>
    <s v="Jul"/>
    <x v="6"/>
    <n v="22"/>
    <s v="State"/>
    <n v="375.37"/>
    <n v="456.29"/>
    <n v="561.92999999999995"/>
    <n v="438.73"/>
    <n v="1393.59"/>
    <n v="1832.32"/>
    <m/>
  </r>
  <r>
    <d v="2020-07-01T00:00:00"/>
    <s v="2020-21"/>
    <n v="2020"/>
    <n v="7"/>
    <s v="Jul"/>
    <x v="7"/>
    <n v="38"/>
    <s v="Union Territory"/>
    <n v="20.92"/>
    <n v="29.1"/>
    <n v="156.69999999999999"/>
    <n v="0.23"/>
    <n v="206.72"/>
    <n v="206.95"/>
    <m/>
  </r>
  <r>
    <d v="2020-07-01T00:00:00"/>
    <s v="2020-21"/>
    <n v="2020"/>
    <n v="7"/>
    <s v="Jul"/>
    <x v="8"/>
    <n v="7"/>
    <s v="Union Territory"/>
    <n v="521.96"/>
    <n v="653.16999999999996"/>
    <n v="1375.09"/>
    <n v="78.56"/>
    <n v="2550.2199999999998"/>
    <n v="2628.78"/>
    <m/>
  </r>
  <r>
    <d v="2020-07-01T00:00:00"/>
    <s v="2020-21"/>
    <n v="2020"/>
    <n v="7"/>
    <s v="Jul"/>
    <x v="9"/>
    <n v="30"/>
    <s v="State"/>
    <n v="60.14"/>
    <n v="80.709999999999994"/>
    <n v="114.89"/>
    <n v="1.04"/>
    <n v="255.74"/>
    <n v="256.77999999999997"/>
    <m/>
  </r>
  <r>
    <d v="2020-07-01T00:00:00"/>
    <s v="2020-21"/>
    <n v="2020"/>
    <n v="7"/>
    <s v="Jul"/>
    <x v="10"/>
    <n v="24"/>
    <s v="State"/>
    <n v="1560.85"/>
    <n v="1888.71"/>
    <n v="1689.87"/>
    <n v="481.27"/>
    <n v="5139.43"/>
    <n v="5620.7"/>
    <m/>
  </r>
  <r>
    <d v="2020-07-01T00:00:00"/>
    <s v="2020-21"/>
    <n v="2020"/>
    <n v="7"/>
    <s v="Jul"/>
    <x v="11"/>
    <n v="6"/>
    <s v="State"/>
    <n v="610.65"/>
    <n v="804.29"/>
    <n v="1854.43"/>
    <n v="213.67"/>
    <n v="3269.37"/>
    <n v="3483.04"/>
    <m/>
  </r>
  <r>
    <d v="2020-07-01T00:00:00"/>
    <s v="2020-21"/>
    <n v="2020"/>
    <n v="7"/>
    <s v="Jul"/>
    <x v="12"/>
    <n v="2"/>
    <s v="State"/>
    <n v="101.82"/>
    <n v="147.44999999999999"/>
    <n v="354.21"/>
    <n v="1.59"/>
    <n v="603.48"/>
    <n v="605.07000000000005"/>
    <m/>
  </r>
  <r>
    <d v="2020-07-01T00:00:00"/>
    <s v="2020-21"/>
    <n v="2020"/>
    <n v="7"/>
    <s v="Jul"/>
    <x v="13"/>
    <n v="1"/>
    <s v="Union Territory"/>
    <n v="75.31"/>
    <n v="130.38"/>
    <n v="85.74"/>
    <n v="6.41"/>
    <n v="291.43"/>
    <n v="297.83999999999997"/>
    <m/>
  </r>
  <r>
    <d v="2020-07-01T00:00:00"/>
    <s v="2020-21"/>
    <n v="2020"/>
    <n v="7"/>
    <s v="Jul"/>
    <x v="14"/>
    <n v="20"/>
    <s v="State"/>
    <n v="274.12"/>
    <n v="361.54"/>
    <n v="360.85"/>
    <n v="343.07"/>
    <n v="996.51"/>
    <n v="1339.58"/>
    <m/>
  </r>
  <r>
    <d v="2020-07-01T00:00:00"/>
    <s v="2020-21"/>
    <n v="2020"/>
    <n v="7"/>
    <s v="Jul"/>
    <x v="15"/>
    <n v="29"/>
    <s v="State"/>
    <n v="1412.94"/>
    <n v="1841.27"/>
    <n v="2055.7800000000002"/>
    <n v="703.8"/>
    <n v="5309.99"/>
    <n v="6013.79"/>
    <m/>
  </r>
  <r>
    <d v="2020-07-01T00:00:00"/>
    <s v="2020-21"/>
    <n v="2020"/>
    <n v="7"/>
    <s v="Jul"/>
    <x v="16"/>
    <n v="32"/>
    <s v="State"/>
    <n v="417.07"/>
    <n v="662.03"/>
    <n v="234.77"/>
    <n v="4.41"/>
    <n v="1313.87"/>
    <n v="1318.28"/>
    <m/>
  </r>
  <r>
    <d v="2020-07-01T00:00:00"/>
    <s v="2020-21"/>
    <n v="2020"/>
    <n v="7"/>
    <s v="Jul"/>
    <x v="35"/>
    <n v="37"/>
    <s v="Union Territory"/>
    <n v="2.61"/>
    <n v="3.04"/>
    <n v="0.96"/>
    <n v="0.03"/>
    <n v="6.61"/>
    <n v="6.64"/>
    <m/>
  </r>
  <r>
    <d v="2020-07-01T00:00:00"/>
    <s v="2020-21"/>
    <n v="2020"/>
    <n v="7"/>
    <s v="Jul"/>
    <x v="17"/>
    <n v="31"/>
    <s v="Union Territory"/>
    <n v="0.78"/>
    <n v="0.86"/>
    <n v="0.02"/>
    <n v="0"/>
    <n v="1.66"/>
    <n v="1.66"/>
    <m/>
  </r>
  <r>
    <d v="2020-07-01T00:00:00"/>
    <s v="2020-21"/>
    <n v="2020"/>
    <n v="7"/>
    <s v="Jul"/>
    <x v="18"/>
    <n v="23"/>
    <s v="State"/>
    <n v="523.76"/>
    <n v="713.93"/>
    <n v="584.35"/>
    <n v="466.81"/>
    <n v="1822.04"/>
    <n v="2288.85"/>
    <m/>
  </r>
  <r>
    <d v="2020-07-01T00:00:00"/>
    <s v="2020-21"/>
    <n v="2020"/>
    <n v="7"/>
    <s v="Jul"/>
    <x v="19"/>
    <n v="27"/>
    <s v="State"/>
    <n v="3235.22"/>
    <n v="3831.92"/>
    <n v="4811.57"/>
    <n v="628.82000000000005"/>
    <n v="11878.71"/>
    <n v="12507.53"/>
    <m/>
  </r>
  <r>
    <d v="2020-07-01T00:00:00"/>
    <s v="2020-21"/>
    <n v="2020"/>
    <n v="7"/>
    <s v="Jul"/>
    <x v="20"/>
    <n v="14"/>
    <s v="State"/>
    <n v="9.3000000000000007"/>
    <n v="14.84"/>
    <n v="1.1599999999999999"/>
    <n v="0.02"/>
    <n v="25.3"/>
    <n v="25.32"/>
    <m/>
  </r>
  <r>
    <d v="2020-07-01T00:00:00"/>
    <s v="2020-21"/>
    <n v="2020"/>
    <n v="7"/>
    <s v="Jul"/>
    <x v="21"/>
    <n v="17"/>
    <s v="State"/>
    <n v="18.25"/>
    <n v="23.54"/>
    <n v="78.63"/>
    <n v="0.01"/>
    <n v="120.42"/>
    <n v="120.43"/>
    <m/>
  </r>
  <r>
    <d v="2020-07-01T00:00:00"/>
    <s v="2020-21"/>
    <n v="2020"/>
    <n v="7"/>
    <s v="Jul"/>
    <x v="22"/>
    <n v="15"/>
    <s v="State"/>
    <n v="5.34"/>
    <n v="9.0299999999999994"/>
    <n v="1.64"/>
    <n v="0"/>
    <n v="16.010000000000002"/>
    <n v="16.010000000000002"/>
    <m/>
  </r>
  <r>
    <d v="2020-07-01T00:00:00"/>
    <s v="2020-21"/>
    <n v="2020"/>
    <n v="7"/>
    <s v="Jul"/>
    <x v="23"/>
    <n v="13"/>
    <s v="State"/>
    <n v="9.34"/>
    <n v="11.98"/>
    <n v="3.6"/>
    <n v="0.41"/>
    <n v="24.92"/>
    <n v="25.33"/>
    <m/>
  </r>
  <r>
    <d v="2020-07-01T00:00:00"/>
    <s v="2020-21"/>
    <n v="2020"/>
    <n v="7"/>
    <s v="Jul"/>
    <x v="24"/>
    <n v="21"/>
    <s v="State"/>
    <n v="641.76"/>
    <n v="794.02"/>
    <n v="444.01"/>
    <n v="468.62"/>
    <n v="1879.79"/>
    <n v="2348.41"/>
    <m/>
  </r>
  <r>
    <d v="2020-07-01T00:00:00"/>
    <s v="2020-21"/>
    <n v="2020"/>
    <n v="7"/>
    <s v="Jul"/>
    <x v="25"/>
    <n v="34"/>
    <s v="Union Territory"/>
    <n v="17.55"/>
    <n v="26.91"/>
    <n v="91.45"/>
    <n v="0.42"/>
    <n v="135.91"/>
    <n v="136.33000000000001"/>
    <m/>
  </r>
  <r>
    <d v="2020-07-01T00:00:00"/>
    <s v="2020-21"/>
    <n v="2020"/>
    <n v="7"/>
    <s v="Jul"/>
    <x v="26"/>
    <n v="3"/>
    <s v="State"/>
    <n v="308.75"/>
    <n v="489.57"/>
    <n v="364.63"/>
    <n v="24.8"/>
    <n v="1162.95"/>
    <n v="1187.75"/>
    <m/>
  </r>
  <r>
    <d v="2020-07-01T00:00:00"/>
    <s v="2020-21"/>
    <n v="2020"/>
    <n v="7"/>
    <s v="Jul"/>
    <x v="27"/>
    <n v="8"/>
    <s v="State"/>
    <n v="754.19"/>
    <n v="1032.2"/>
    <n v="856.31"/>
    <n v="153.97999999999999"/>
    <n v="2642.7"/>
    <n v="2796.68"/>
    <m/>
  </r>
  <r>
    <d v="2020-07-01T00:00:00"/>
    <s v="2020-21"/>
    <n v="2020"/>
    <n v="7"/>
    <s v="Jul"/>
    <x v="28"/>
    <n v="11"/>
    <s v="State"/>
    <n v="13.99"/>
    <n v="17"/>
    <n v="155.41999999999999"/>
    <n v="0.02"/>
    <n v="186.41"/>
    <n v="186.43"/>
    <m/>
  </r>
  <r>
    <d v="2020-07-01T00:00:00"/>
    <s v="2020-21"/>
    <n v="2020"/>
    <n v="7"/>
    <s v="Jul"/>
    <x v="29"/>
    <n v="33"/>
    <s v="State"/>
    <n v="1262.3"/>
    <n v="1687.56"/>
    <n v="1379.63"/>
    <n v="305.27"/>
    <n v="4329.49"/>
    <n v="4634.76"/>
    <m/>
  </r>
  <r>
    <d v="2020-07-01T00:00:00"/>
    <s v="2020-21"/>
    <n v="2020"/>
    <n v="7"/>
    <s v="Jul"/>
    <x v="30"/>
    <n v="36"/>
    <s v="State"/>
    <n v="633.30999999999995"/>
    <n v="923.49"/>
    <n v="882.42"/>
    <n v="436.79"/>
    <n v="2439.2199999999998"/>
    <n v="2876.01"/>
    <m/>
  </r>
  <r>
    <d v="2020-07-01T00:00:00"/>
    <s v="2020-21"/>
    <n v="2020"/>
    <n v="7"/>
    <s v="Jul"/>
    <x v="31"/>
    <n v="16"/>
    <s v="State"/>
    <n v="18.77"/>
    <n v="25.23"/>
    <n v="3.94"/>
    <n v="0.05"/>
    <n v="47.94"/>
    <n v="47.99"/>
    <m/>
  </r>
  <r>
    <d v="2020-07-01T00:00:00"/>
    <s v="2020-21"/>
    <n v="2020"/>
    <n v="7"/>
    <s v="Jul"/>
    <x v="32"/>
    <n v="9"/>
    <s v="State"/>
    <n v="1115.5"/>
    <n v="1785.56"/>
    <n v="1131.2"/>
    <n v="1066.67"/>
    <n v="4032.26"/>
    <n v="5098.93"/>
    <m/>
  </r>
  <r>
    <d v="2020-07-01T00:00:00"/>
    <s v="2020-21"/>
    <n v="2020"/>
    <n v="7"/>
    <s v="Jul"/>
    <x v="33"/>
    <n v="5"/>
    <s v="State"/>
    <n v="190.62"/>
    <n v="247.03"/>
    <n v="543.15"/>
    <n v="7.01"/>
    <n v="980.8"/>
    <n v="987.81"/>
    <m/>
  </r>
  <r>
    <d v="2020-07-01T00:00:00"/>
    <s v="2020-21"/>
    <n v="2020"/>
    <n v="7"/>
    <s v="Jul"/>
    <x v="34"/>
    <n v="19"/>
    <s v="State"/>
    <n v="850.43"/>
    <n v="1151.54"/>
    <n v="727.54"/>
    <n v="280.04000000000002"/>
    <n v="2729.51"/>
    <n v="3009.55"/>
    <m/>
  </r>
  <r>
    <d v="2020-08-01T00:00:00"/>
    <s v="2020-21"/>
    <n v="2020"/>
    <n v="8"/>
    <s v="Aug"/>
    <x v="0"/>
    <n v="35"/>
    <s v="Union Territory"/>
    <n v="4.4400000000000004"/>
    <n v="6.96"/>
    <n v="1.1599999999999999"/>
    <n v="0.02"/>
    <n v="12.56"/>
    <n v="12.58"/>
    <m/>
  </r>
  <r>
    <d v="2020-08-01T00:00:00"/>
    <s v="2020-21"/>
    <n v="2020"/>
    <n v="8"/>
    <s v="Aug"/>
    <x v="1"/>
    <n v="28"/>
    <s v="State"/>
    <n v="501.87"/>
    <n v="675.12"/>
    <n v="636.28"/>
    <n v="141.75"/>
    <n v="1813.27"/>
    <n v="1955.02"/>
    <m/>
  </r>
  <r>
    <d v="2020-08-01T00:00:00"/>
    <s v="2020-21"/>
    <n v="2020"/>
    <n v="8"/>
    <s v="Aug"/>
    <x v="2"/>
    <n v="12"/>
    <s v="State"/>
    <n v="13.15"/>
    <n v="17.329999999999998"/>
    <n v="4.54"/>
    <n v="0.02"/>
    <n v="35.020000000000003"/>
    <n v="35.04"/>
    <m/>
  </r>
  <r>
    <d v="2020-08-01T00:00:00"/>
    <s v="2020-21"/>
    <n v="2020"/>
    <n v="8"/>
    <s v="Aug"/>
    <x v="3"/>
    <n v="18"/>
    <s v="State"/>
    <n v="201.16"/>
    <n v="270.35000000000002"/>
    <n v="232.11"/>
    <n v="5.35"/>
    <n v="703.62"/>
    <n v="708.97"/>
    <m/>
  </r>
  <r>
    <d v="2020-08-01T00:00:00"/>
    <s v="2020-21"/>
    <n v="2020"/>
    <n v="8"/>
    <s v="Aug"/>
    <x v="4"/>
    <n v="10"/>
    <s v="State"/>
    <n v="249"/>
    <n v="437"/>
    <n v="121.21"/>
    <n v="159.63"/>
    <n v="807.21"/>
    <n v="966.84"/>
    <m/>
  </r>
  <r>
    <d v="2020-08-01T00:00:00"/>
    <s v="2020-21"/>
    <n v="2020"/>
    <n v="8"/>
    <s v="Aug"/>
    <x v="5"/>
    <n v="4"/>
    <s v="Union Territory"/>
    <n v="26.34"/>
    <n v="36.61"/>
    <n v="74.88"/>
    <n v="0.69"/>
    <n v="137.83000000000001"/>
    <n v="138.52000000000001"/>
    <m/>
  </r>
  <r>
    <d v="2020-08-01T00:00:00"/>
    <s v="2020-21"/>
    <n v="2020"/>
    <n v="8"/>
    <s v="Aug"/>
    <x v="6"/>
    <n v="22"/>
    <s v="State"/>
    <n v="378.44"/>
    <n v="443.94"/>
    <n v="697.35"/>
    <n v="474.7"/>
    <n v="1519.73"/>
    <n v="1994.43"/>
    <m/>
  </r>
  <r>
    <d v="2020-08-01T00:00:00"/>
    <s v="2020-21"/>
    <n v="2020"/>
    <n v="8"/>
    <s v="Aug"/>
    <x v="7"/>
    <n v="38"/>
    <s v="Union Territory"/>
    <n v="21.73"/>
    <n v="27.74"/>
    <n v="166.27"/>
    <n v="0.03"/>
    <n v="215.74"/>
    <n v="215.77"/>
    <m/>
  </r>
  <r>
    <d v="2020-08-01T00:00:00"/>
    <s v="2020-21"/>
    <n v="2020"/>
    <n v="8"/>
    <s v="Aug"/>
    <x v="8"/>
    <n v="7"/>
    <s v="Union Territory"/>
    <n v="565.26"/>
    <n v="697.42"/>
    <n v="1535.15"/>
    <n v="82.5"/>
    <n v="2797.83"/>
    <n v="2880.33"/>
    <m/>
  </r>
  <r>
    <d v="2020-08-01T00:00:00"/>
    <s v="2020-21"/>
    <n v="2020"/>
    <n v="8"/>
    <s v="Aug"/>
    <x v="9"/>
    <n v="30"/>
    <s v="State"/>
    <n v="41.92"/>
    <n v="60.52"/>
    <n v="110.19"/>
    <n v="0.61"/>
    <n v="212.63"/>
    <n v="213.24"/>
    <m/>
  </r>
  <r>
    <d v="2020-08-01T00:00:00"/>
    <s v="2020-21"/>
    <n v="2020"/>
    <n v="8"/>
    <s v="Aug"/>
    <x v="10"/>
    <n v="24"/>
    <s v="State"/>
    <n v="1591.56"/>
    <n v="1902.64"/>
    <n v="2079.7600000000002"/>
    <n v="455.73"/>
    <n v="5573.96"/>
    <n v="6029.69"/>
    <m/>
  </r>
  <r>
    <d v="2020-08-01T00:00:00"/>
    <s v="2020-21"/>
    <n v="2020"/>
    <n v="8"/>
    <s v="Aug"/>
    <x v="11"/>
    <n v="6"/>
    <s v="State"/>
    <n v="678.45"/>
    <n v="942.07"/>
    <n v="2379.38"/>
    <n v="373.29"/>
    <n v="3999.9"/>
    <n v="4373.1899999999996"/>
    <m/>
  </r>
  <r>
    <d v="2020-08-01T00:00:00"/>
    <s v="2020-21"/>
    <n v="2020"/>
    <n v="8"/>
    <s v="Aug"/>
    <x v="12"/>
    <n v="2"/>
    <s v="State"/>
    <n v="99.84"/>
    <n v="140.79"/>
    <n v="354.85"/>
    <n v="1.19"/>
    <n v="595.48"/>
    <n v="596.66999999999996"/>
    <m/>
  </r>
  <r>
    <d v="2020-08-01T00:00:00"/>
    <s v="2020-21"/>
    <n v="2020"/>
    <n v="8"/>
    <s v="Aug"/>
    <x v="13"/>
    <n v="1"/>
    <s v="Union Territory"/>
    <n v="69.61"/>
    <n v="121.56"/>
    <n v="130.32"/>
    <n v="4.34"/>
    <n v="321.49"/>
    <n v="325.83"/>
    <m/>
  </r>
  <r>
    <d v="2020-08-01T00:00:00"/>
    <s v="2020-21"/>
    <n v="2020"/>
    <n v="8"/>
    <s v="Aug"/>
    <x v="14"/>
    <n v="20"/>
    <s v="State"/>
    <n v="278.98"/>
    <n v="360.14"/>
    <n v="514.76"/>
    <n v="344.16"/>
    <n v="1153.8800000000001"/>
    <n v="1498.04"/>
    <m/>
  </r>
  <r>
    <d v="2020-08-01T00:00:00"/>
    <s v="2020-21"/>
    <n v="2020"/>
    <n v="8"/>
    <s v="Aug"/>
    <x v="15"/>
    <n v="29"/>
    <s v="State"/>
    <n v="1440.66"/>
    <n v="1848.19"/>
    <n v="1717.39"/>
    <n v="495.75"/>
    <n v="5006.24"/>
    <n v="5501.99"/>
    <m/>
  </r>
  <r>
    <d v="2020-08-01T00:00:00"/>
    <s v="2020-21"/>
    <n v="2020"/>
    <n v="8"/>
    <s v="Aug"/>
    <x v="16"/>
    <n v="32"/>
    <s v="State"/>
    <n v="407.98"/>
    <n v="598.63"/>
    <n v="219.71"/>
    <n v="2.93"/>
    <n v="1226.32"/>
    <n v="1229.25"/>
    <m/>
  </r>
  <r>
    <d v="2020-08-01T00:00:00"/>
    <s v="2020-21"/>
    <n v="2020"/>
    <n v="8"/>
    <s v="Aug"/>
    <x v="35"/>
    <n v="37"/>
    <s v="Union Territory"/>
    <n v="1.53"/>
    <n v="1.99"/>
    <n v="0.82"/>
    <n v="0.24"/>
    <n v="4.34"/>
    <n v="4.58"/>
    <m/>
  </r>
  <r>
    <d v="2020-08-01T00:00:00"/>
    <s v="2020-21"/>
    <n v="2020"/>
    <n v="8"/>
    <s v="Aug"/>
    <x v="17"/>
    <n v="31"/>
    <s v="Union Territory"/>
    <n v="0.16"/>
    <n v="0.17"/>
    <n v="7.0000000000000007E-2"/>
    <n v="0"/>
    <n v="0.4"/>
    <n v="0.4"/>
    <m/>
  </r>
  <r>
    <d v="2020-08-01T00:00:00"/>
    <s v="2020-21"/>
    <n v="2020"/>
    <n v="8"/>
    <s v="Aug"/>
    <x v="18"/>
    <n v="23"/>
    <s v="State"/>
    <n v="520.69000000000005"/>
    <n v="698.85"/>
    <n v="560.57000000000005"/>
    <n v="428.73"/>
    <n v="1780.11"/>
    <n v="2208.84"/>
    <m/>
  </r>
  <r>
    <d v="2020-08-01T00:00:00"/>
    <s v="2020-21"/>
    <n v="2020"/>
    <n v="8"/>
    <s v="Aug"/>
    <x v="19"/>
    <n v="27"/>
    <s v="State"/>
    <n v="2993"/>
    <n v="3690.06"/>
    <n v="4197.79"/>
    <n v="720.92"/>
    <n v="10880.85"/>
    <n v="11601.77"/>
    <m/>
  </r>
  <r>
    <d v="2020-08-01T00:00:00"/>
    <s v="2020-21"/>
    <n v="2020"/>
    <n v="8"/>
    <s v="Aug"/>
    <x v="20"/>
    <n v="14"/>
    <s v="State"/>
    <n v="9.75"/>
    <n v="14.21"/>
    <n v="2.14"/>
    <n v="0"/>
    <n v="26.1"/>
    <n v="26.1"/>
    <m/>
  </r>
  <r>
    <d v="2020-08-01T00:00:00"/>
    <s v="2020-21"/>
    <n v="2020"/>
    <n v="8"/>
    <s v="Aug"/>
    <x v="21"/>
    <n v="17"/>
    <s v="State"/>
    <n v="16.46"/>
    <n v="21.38"/>
    <n v="70.209999999999994"/>
    <n v="0.13"/>
    <n v="108.05"/>
    <n v="108.18"/>
    <m/>
  </r>
  <r>
    <d v="2020-08-01T00:00:00"/>
    <s v="2020-21"/>
    <n v="2020"/>
    <n v="8"/>
    <s v="Aug"/>
    <x v="22"/>
    <n v="15"/>
    <s v="State"/>
    <n v="3.94"/>
    <n v="6.74"/>
    <n v="1.44"/>
    <n v="0.02"/>
    <n v="12.12"/>
    <n v="12.14"/>
    <m/>
  </r>
  <r>
    <d v="2020-08-01T00:00:00"/>
    <s v="2020-21"/>
    <n v="2020"/>
    <n v="8"/>
    <s v="Aug"/>
    <x v="23"/>
    <n v="13"/>
    <s v="State"/>
    <n v="12.14"/>
    <n v="15.66"/>
    <n v="3.24"/>
    <n v="0.32"/>
    <n v="31.04"/>
    <n v="31.36"/>
    <m/>
  </r>
  <r>
    <d v="2020-08-01T00:00:00"/>
    <s v="2020-21"/>
    <n v="2020"/>
    <n v="8"/>
    <s v="Aug"/>
    <x v="24"/>
    <n v="21"/>
    <s v="State"/>
    <n v="538.91"/>
    <n v="686.15"/>
    <n v="630.14"/>
    <n v="493.08"/>
    <n v="1855.2"/>
    <n v="2348.2800000000002"/>
    <m/>
  </r>
  <r>
    <d v="2020-08-01T00:00:00"/>
    <s v="2020-21"/>
    <n v="2020"/>
    <n v="8"/>
    <s v="Aug"/>
    <x v="25"/>
    <n v="34"/>
    <s v="Union Territory"/>
    <n v="15.9"/>
    <n v="24.73"/>
    <n v="95.98"/>
    <n v="0.18"/>
    <n v="136.61000000000001"/>
    <n v="136.79"/>
    <m/>
  </r>
  <r>
    <d v="2020-08-01T00:00:00"/>
    <s v="2020-21"/>
    <n v="2020"/>
    <n v="8"/>
    <s v="Aug"/>
    <x v="26"/>
    <n v="3"/>
    <s v="State"/>
    <n v="277.24"/>
    <n v="457.08"/>
    <n v="385.9"/>
    <n v="18.28"/>
    <n v="1120.22"/>
    <n v="1138.5"/>
    <m/>
  </r>
  <r>
    <d v="2020-08-01T00:00:00"/>
    <s v="2020-21"/>
    <n v="2020"/>
    <n v="8"/>
    <s v="Aug"/>
    <x v="27"/>
    <n v="8"/>
    <s v="State"/>
    <n v="693.36"/>
    <n v="951.07"/>
    <n v="836.95"/>
    <n v="100.6"/>
    <n v="2481.38"/>
    <n v="2581.98"/>
    <m/>
  </r>
  <r>
    <d v="2020-08-01T00:00:00"/>
    <s v="2020-21"/>
    <n v="2020"/>
    <n v="8"/>
    <s v="Aug"/>
    <x v="28"/>
    <n v="11"/>
    <s v="State"/>
    <n v="11"/>
    <n v="12.96"/>
    <n v="123.23"/>
    <n v="0.01"/>
    <n v="147.19"/>
    <n v="147.19999999999999"/>
    <m/>
  </r>
  <r>
    <d v="2020-08-01T00:00:00"/>
    <s v="2020-21"/>
    <n v="2020"/>
    <n v="8"/>
    <s v="Aug"/>
    <x v="29"/>
    <n v="33"/>
    <s v="State"/>
    <n v="1381.18"/>
    <n v="1868.69"/>
    <n v="1534.78"/>
    <n v="458.82"/>
    <n v="4784.6499999999996"/>
    <n v="5243.47"/>
    <m/>
  </r>
  <r>
    <d v="2020-08-01T00:00:00"/>
    <s v="2020-21"/>
    <n v="2020"/>
    <n v="8"/>
    <s v="Aug"/>
    <x v="30"/>
    <n v="36"/>
    <s v="State"/>
    <n v="660.91"/>
    <n v="904.44"/>
    <n v="792.54"/>
    <n v="435.01"/>
    <n v="2357.89"/>
    <n v="2792.9"/>
    <m/>
  </r>
  <r>
    <d v="2020-08-01T00:00:00"/>
    <s v="2020-21"/>
    <n v="2020"/>
    <n v="8"/>
    <s v="Aug"/>
    <x v="31"/>
    <n v="16"/>
    <s v="State"/>
    <n v="15.8"/>
    <n v="22.07"/>
    <n v="5.16"/>
    <n v="0.11"/>
    <n v="43.03"/>
    <n v="43.14"/>
    <m/>
  </r>
  <r>
    <d v="2020-08-01T00:00:00"/>
    <s v="2020-21"/>
    <n v="2020"/>
    <n v="8"/>
    <s v="Aug"/>
    <x v="32"/>
    <n v="9"/>
    <s v="State"/>
    <n v="1076.44"/>
    <n v="1659.68"/>
    <n v="1265.02"/>
    <n v="1096.4100000000001"/>
    <n v="4001.14"/>
    <n v="5097.55"/>
    <m/>
  </r>
  <r>
    <d v="2020-08-01T00:00:00"/>
    <s v="2020-21"/>
    <n v="2020"/>
    <n v="8"/>
    <s v="Aug"/>
    <x v="33"/>
    <n v="5"/>
    <s v="State"/>
    <n v="184.6"/>
    <n v="249.44"/>
    <n v="564.19000000000005"/>
    <n v="7.52"/>
    <n v="998.23"/>
    <n v="1005.75"/>
    <m/>
  </r>
  <r>
    <d v="2020-08-01T00:00:00"/>
    <s v="2020-21"/>
    <n v="2020"/>
    <n v="8"/>
    <s v="Aug"/>
    <x v="34"/>
    <n v="19"/>
    <s v="State"/>
    <n v="896.77"/>
    <n v="1162.76"/>
    <n v="754.09"/>
    <n v="239.32"/>
    <n v="2813.62"/>
    <n v="3052.94"/>
    <m/>
  </r>
  <r>
    <d v="2020-09-01T00:00:00"/>
    <s v="2020-21"/>
    <n v="2020"/>
    <n v="9"/>
    <s v="Sep"/>
    <x v="0"/>
    <n v="35"/>
    <s v="Union Territory"/>
    <n v="6.86"/>
    <n v="9.27"/>
    <n v="2.91"/>
    <n v="0.02"/>
    <n v="19.04"/>
    <n v="19.059999999999999"/>
    <m/>
  </r>
  <r>
    <d v="2020-09-01T00:00:00"/>
    <s v="2020-21"/>
    <n v="2020"/>
    <n v="9"/>
    <s v="Sep"/>
    <x v="1"/>
    <n v="28"/>
    <s v="State"/>
    <n v="533.13"/>
    <n v="724.76"/>
    <n v="700.35"/>
    <n v="182.41"/>
    <n v="1958.24"/>
    <n v="2140.65"/>
    <m/>
  </r>
  <r>
    <d v="2020-09-01T00:00:00"/>
    <s v="2020-21"/>
    <n v="2020"/>
    <n v="9"/>
    <s v="Sep"/>
    <x v="2"/>
    <n v="12"/>
    <s v="State"/>
    <n v="12.68"/>
    <n v="17.47"/>
    <n v="5.26"/>
    <n v="0.01"/>
    <n v="35.409999999999997"/>
    <n v="35.42"/>
    <m/>
  </r>
  <r>
    <d v="2020-09-01T00:00:00"/>
    <s v="2020-21"/>
    <n v="2020"/>
    <n v="9"/>
    <s v="Sep"/>
    <x v="3"/>
    <n v="18"/>
    <s v="State"/>
    <n v="275.37"/>
    <n v="362.1"/>
    <n v="257.69"/>
    <n v="17.260000000000002"/>
    <n v="895.16"/>
    <n v="912.42"/>
    <m/>
  </r>
  <r>
    <d v="2020-09-01T00:00:00"/>
    <s v="2020-21"/>
    <n v="2020"/>
    <n v="9"/>
    <s v="Sep"/>
    <x v="4"/>
    <n v="10"/>
    <s v="State"/>
    <n v="263.48"/>
    <n v="458.23"/>
    <n v="114.14"/>
    <n v="159.91"/>
    <n v="835.85"/>
    <n v="995.76"/>
    <m/>
  </r>
  <r>
    <d v="2020-09-01T00:00:00"/>
    <s v="2020-21"/>
    <n v="2020"/>
    <n v="9"/>
    <s v="Sep"/>
    <x v="5"/>
    <n v="4"/>
    <s v="Union Territory"/>
    <n v="25.99"/>
    <n v="33.18"/>
    <n v="81.77"/>
    <n v="0.54"/>
    <n v="140.94"/>
    <n v="141.47999999999999"/>
    <m/>
  </r>
  <r>
    <d v="2020-09-01T00:00:00"/>
    <s v="2020-21"/>
    <n v="2020"/>
    <n v="9"/>
    <s v="Sep"/>
    <x v="6"/>
    <n v="22"/>
    <s v="State"/>
    <n v="341.1"/>
    <n v="413.23"/>
    <n v="640.09"/>
    <n v="447.05"/>
    <n v="1394.42"/>
    <n v="1841.47"/>
    <m/>
  </r>
  <r>
    <d v="2020-09-01T00:00:00"/>
    <s v="2020-21"/>
    <n v="2020"/>
    <n v="9"/>
    <s v="Sep"/>
    <x v="7"/>
    <n v="38"/>
    <s v="Union Territory"/>
    <n v="26.7"/>
    <n v="34.44"/>
    <n v="178.53"/>
    <n v="0.22"/>
    <n v="239.67"/>
    <n v="239.89"/>
    <m/>
  </r>
  <r>
    <d v="2020-09-01T00:00:00"/>
    <s v="2020-21"/>
    <n v="2020"/>
    <n v="9"/>
    <s v="Sep"/>
    <x v="8"/>
    <n v="7"/>
    <s v="Union Territory"/>
    <n v="615.34"/>
    <n v="760.64"/>
    <n v="1703.69"/>
    <n v="65.83"/>
    <n v="3079.67"/>
    <n v="3145.5"/>
    <m/>
  </r>
  <r>
    <d v="2020-09-01T00:00:00"/>
    <s v="2020-21"/>
    <n v="2020"/>
    <n v="9"/>
    <s v="Sep"/>
    <x v="9"/>
    <n v="30"/>
    <s v="State"/>
    <n v="55.66"/>
    <n v="75.349999999999994"/>
    <n v="107.92"/>
    <n v="1.34"/>
    <n v="238.93"/>
    <n v="240.27"/>
    <m/>
  </r>
  <r>
    <d v="2020-09-01T00:00:00"/>
    <s v="2020-21"/>
    <n v="2020"/>
    <n v="9"/>
    <s v="Sep"/>
    <x v="10"/>
    <n v="24"/>
    <s v="State"/>
    <n v="1646.57"/>
    <n v="2003.99"/>
    <n v="2048.0300000000002"/>
    <n v="391.68"/>
    <n v="5698.59"/>
    <n v="6090.27"/>
    <m/>
  </r>
  <r>
    <d v="2020-09-01T00:00:00"/>
    <s v="2020-21"/>
    <n v="2020"/>
    <n v="9"/>
    <s v="Sep"/>
    <x v="11"/>
    <n v="6"/>
    <s v="State"/>
    <n v="740.4"/>
    <n v="1048.1300000000001"/>
    <n v="2562.79"/>
    <n v="360.59"/>
    <n v="4351.32"/>
    <n v="4711.91"/>
    <m/>
  </r>
  <r>
    <d v="2020-09-01T00:00:00"/>
    <s v="2020-21"/>
    <n v="2020"/>
    <n v="9"/>
    <s v="Sep"/>
    <x v="12"/>
    <n v="2"/>
    <s v="State"/>
    <n v="104.81"/>
    <n v="151.80000000000001"/>
    <n v="396.03"/>
    <n v="0.72"/>
    <n v="652.64"/>
    <n v="653.36"/>
    <m/>
  </r>
  <r>
    <d v="2020-09-01T00:00:00"/>
    <s v="2020-21"/>
    <n v="2020"/>
    <n v="9"/>
    <s v="Sep"/>
    <x v="13"/>
    <n v="1"/>
    <s v="Union Territory"/>
    <n v="82.69"/>
    <n v="143.84"/>
    <n v="135.30000000000001"/>
    <n v="5.73"/>
    <n v="361.83"/>
    <n v="367.56"/>
    <m/>
  </r>
  <r>
    <d v="2020-09-01T00:00:00"/>
    <s v="2020-21"/>
    <n v="2020"/>
    <n v="9"/>
    <s v="Sep"/>
    <x v="14"/>
    <n v="20"/>
    <s v="State"/>
    <n v="286.36"/>
    <n v="366.89"/>
    <n v="624.66999999999996"/>
    <n v="377.64"/>
    <n v="1277.92"/>
    <n v="1655.56"/>
    <m/>
  </r>
  <r>
    <d v="2020-09-01T00:00:00"/>
    <s v="2020-21"/>
    <n v="2020"/>
    <n v="9"/>
    <s v="Sep"/>
    <x v="15"/>
    <n v="29"/>
    <s v="State"/>
    <n v="1548.22"/>
    <n v="1989.73"/>
    <n v="1974.56"/>
    <n v="537.91999999999996"/>
    <n v="5512.51"/>
    <n v="6050.43"/>
    <m/>
  </r>
  <r>
    <d v="2020-09-01T00:00:00"/>
    <s v="2020-21"/>
    <n v="2020"/>
    <n v="9"/>
    <s v="Sep"/>
    <x v="16"/>
    <n v="32"/>
    <s v="State"/>
    <n v="520.45000000000005"/>
    <n v="778.08"/>
    <n v="249.44"/>
    <n v="4.0999999999999996"/>
    <n v="1547.97"/>
    <n v="1552.07"/>
    <m/>
  </r>
  <r>
    <d v="2020-09-01T00:00:00"/>
    <s v="2020-21"/>
    <n v="2020"/>
    <n v="9"/>
    <s v="Sep"/>
    <x v="35"/>
    <n v="37"/>
    <s v="Union Territory"/>
    <n v="3.14"/>
    <n v="4.29"/>
    <n v="1.99"/>
    <n v="0.03"/>
    <n v="9.42"/>
    <n v="9.4499999999999993"/>
    <m/>
  </r>
  <r>
    <d v="2020-09-01T00:00:00"/>
    <s v="2020-21"/>
    <n v="2020"/>
    <n v="9"/>
    <s v="Sep"/>
    <x v="17"/>
    <n v="31"/>
    <s v="Union Territory"/>
    <n v="0.19"/>
    <n v="0.42"/>
    <n v="0.1"/>
    <n v="0"/>
    <n v="0.71"/>
    <n v="0.71"/>
    <m/>
  </r>
  <r>
    <d v="2020-09-01T00:00:00"/>
    <s v="2020-21"/>
    <n v="2020"/>
    <n v="9"/>
    <s v="Sep"/>
    <x v="18"/>
    <n v="23"/>
    <s v="State"/>
    <n v="484.64"/>
    <n v="639.25"/>
    <n v="598.19000000000005"/>
    <n v="454.36"/>
    <n v="1722.08"/>
    <n v="2176.44"/>
    <m/>
  </r>
  <r>
    <d v="2020-09-01T00:00:00"/>
    <s v="2020-21"/>
    <n v="2020"/>
    <n v="9"/>
    <s v="Sep"/>
    <x v="19"/>
    <n v="27"/>
    <s v="State"/>
    <n v="3786.63"/>
    <n v="4463.92"/>
    <n v="4699.53"/>
    <n v="596.05999999999995"/>
    <n v="12950.08"/>
    <n v="13546.14"/>
    <m/>
  </r>
  <r>
    <d v="2020-09-01T00:00:00"/>
    <s v="2020-21"/>
    <n v="2020"/>
    <n v="9"/>
    <s v="Sep"/>
    <x v="20"/>
    <n v="14"/>
    <s v="State"/>
    <n v="13"/>
    <n v="17.97"/>
    <n v="2.21"/>
    <n v="0.35"/>
    <n v="33.18"/>
    <n v="33.53"/>
    <m/>
  </r>
  <r>
    <d v="2020-09-01T00:00:00"/>
    <s v="2020-21"/>
    <n v="2020"/>
    <n v="9"/>
    <s v="Sep"/>
    <x v="21"/>
    <n v="17"/>
    <s v="State"/>
    <n v="15.47"/>
    <n v="20.49"/>
    <n v="63.65"/>
    <n v="0.04"/>
    <n v="99.61"/>
    <n v="99.65"/>
    <m/>
  </r>
  <r>
    <d v="2020-09-01T00:00:00"/>
    <s v="2020-21"/>
    <n v="2020"/>
    <n v="9"/>
    <s v="Sep"/>
    <x v="22"/>
    <n v="15"/>
    <s v="State"/>
    <n v="5.51"/>
    <n v="8.23"/>
    <n v="3.07"/>
    <n v="0.08"/>
    <n v="16.809999999999999"/>
    <n v="16.89"/>
    <m/>
  </r>
  <r>
    <d v="2020-09-01T00:00:00"/>
    <s v="2020-21"/>
    <n v="2020"/>
    <n v="9"/>
    <s v="Sep"/>
    <x v="23"/>
    <n v="13"/>
    <s v="State"/>
    <n v="11.43"/>
    <n v="13.82"/>
    <n v="4.01"/>
    <n v="0.19"/>
    <n v="29.26"/>
    <n v="29.45"/>
    <m/>
  </r>
  <r>
    <d v="2020-09-01T00:00:00"/>
    <s v="2020-21"/>
    <n v="2020"/>
    <n v="9"/>
    <s v="Sep"/>
    <x v="24"/>
    <n v="21"/>
    <s v="State"/>
    <n v="497.18"/>
    <n v="631.08000000000004"/>
    <n v="763.24"/>
    <n v="492.49"/>
    <n v="1891.5"/>
    <n v="2383.9899999999998"/>
    <m/>
  </r>
  <r>
    <d v="2020-09-01T00:00:00"/>
    <s v="2020-21"/>
    <n v="2020"/>
    <n v="9"/>
    <s v="Sep"/>
    <x v="25"/>
    <n v="34"/>
    <s v="Union Territory"/>
    <n v="20.81"/>
    <n v="33.92"/>
    <n v="93.49"/>
    <n v="7.0000000000000007E-2"/>
    <n v="148.22"/>
    <n v="148.29"/>
    <m/>
  </r>
  <r>
    <d v="2020-09-01T00:00:00"/>
    <s v="2020-21"/>
    <n v="2020"/>
    <n v="9"/>
    <s v="Sep"/>
    <x v="26"/>
    <n v="3"/>
    <s v="State"/>
    <n v="287.83"/>
    <n v="483.73"/>
    <n v="408.81"/>
    <n v="14.12"/>
    <n v="1180.3699999999999"/>
    <n v="1194.49"/>
    <m/>
  </r>
  <r>
    <d v="2020-09-01T00:00:00"/>
    <s v="2020-21"/>
    <n v="2020"/>
    <n v="9"/>
    <s v="Sep"/>
    <x v="27"/>
    <n v="8"/>
    <s v="State"/>
    <n v="702.76"/>
    <n v="934.71"/>
    <n v="900.08"/>
    <n v="109.26"/>
    <n v="2537.5500000000002"/>
    <n v="2646.81"/>
    <m/>
  </r>
  <r>
    <d v="2020-09-01T00:00:00"/>
    <s v="2020-21"/>
    <n v="2020"/>
    <n v="9"/>
    <s v="Sep"/>
    <x v="28"/>
    <n v="11"/>
    <s v="State"/>
    <n v="10.83"/>
    <n v="14.53"/>
    <n v="81.02"/>
    <n v="0.01"/>
    <n v="106.38"/>
    <n v="106.39"/>
    <m/>
  </r>
  <r>
    <d v="2020-09-01T00:00:00"/>
    <s v="2020-21"/>
    <n v="2020"/>
    <n v="9"/>
    <s v="Sep"/>
    <x v="29"/>
    <n v="33"/>
    <s v="State"/>
    <n v="1709.96"/>
    <n v="2230.39"/>
    <n v="2004.02"/>
    <n v="509.65"/>
    <n v="5944.37"/>
    <n v="6454.02"/>
    <m/>
  </r>
  <r>
    <d v="2020-09-01T00:00:00"/>
    <s v="2020-21"/>
    <n v="2020"/>
    <n v="9"/>
    <s v="Sep"/>
    <x v="30"/>
    <n v="36"/>
    <s v="State"/>
    <n v="678.14"/>
    <n v="919.81"/>
    <n v="801.48"/>
    <n v="397.06"/>
    <n v="2399.4299999999998"/>
    <n v="2796.49"/>
    <m/>
  </r>
  <r>
    <d v="2020-09-01T00:00:00"/>
    <s v="2020-21"/>
    <n v="2020"/>
    <n v="9"/>
    <s v="Sep"/>
    <x v="31"/>
    <n v="16"/>
    <s v="State"/>
    <n v="18.559999999999999"/>
    <n v="26.33"/>
    <n v="5.37"/>
    <n v="0.12"/>
    <n v="50.26"/>
    <n v="50.38"/>
    <m/>
  </r>
  <r>
    <d v="2020-09-01T00:00:00"/>
    <s v="2020-21"/>
    <n v="2020"/>
    <n v="9"/>
    <s v="Sep"/>
    <x v="32"/>
    <n v="9"/>
    <s v="State"/>
    <n v="1143.83"/>
    <n v="1700.43"/>
    <n v="1284.27"/>
    <n v="946.32"/>
    <n v="4128.53"/>
    <n v="5074.8500000000004"/>
    <m/>
  </r>
  <r>
    <d v="2020-09-01T00:00:00"/>
    <s v="2020-21"/>
    <n v="2020"/>
    <n v="9"/>
    <s v="Sep"/>
    <x v="33"/>
    <n v="5"/>
    <s v="State"/>
    <n v="205.63"/>
    <n v="276.95"/>
    <n v="572.42999999999995"/>
    <n v="9.73"/>
    <n v="1055.01"/>
    <n v="1064.74"/>
    <m/>
  </r>
  <r>
    <d v="2020-09-01T00:00:00"/>
    <s v="2020-21"/>
    <n v="2020"/>
    <n v="9"/>
    <s v="Sep"/>
    <x v="34"/>
    <n v="19"/>
    <s v="State"/>
    <n v="1046"/>
    <n v="1325.71"/>
    <n v="768.96"/>
    <n v="252.6"/>
    <n v="3140.67"/>
    <n v="3393.27"/>
    <m/>
  </r>
  <r>
    <d v="2020-10-01T00:00:00"/>
    <s v="2020-21"/>
    <n v="2020"/>
    <n v="10"/>
    <s v="Oct"/>
    <x v="0"/>
    <n v="35"/>
    <s v="Union Territory"/>
    <n v="6.16"/>
    <n v="10.28"/>
    <n v="1.96"/>
    <n v="0.14000000000000001"/>
    <n v="18.399999999999999"/>
    <n v="18.54"/>
    <m/>
  </r>
  <r>
    <d v="2020-10-01T00:00:00"/>
    <s v="2020-21"/>
    <n v="2020"/>
    <n v="10"/>
    <s v="Oct"/>
    <x v="1"/>
    <n v="28"/>
    <s v="State"/>
    <n v="573.54"/>
    <n v="805.42"/>
    <n v="832.63"/>
    <n v="268.77999999999997"/>
    <n v="2211.59"/>
    <n v="2480.37"/>
    <m/>
  </r>
  <r>
    <d v="2020-10-01T00:00:00"/>
    <s v="2020-21"/>
    <n v="2020"/>
    <n v="10"/>
    <s v="Oct"/>
    <x v="2"/>
    <n v="12"/>
    <s v="State"/>
    <n v="39.35"/>
    <n v="50.35"/>
    <n v="7.42"/>
    <n v="0.46"/>
    <n v="97.12"/>
    <n v="97.58"/>
    <m/>
  </r>
  <r>
    <d v="2020-10-01T00:00:00"/>
    <s v="2020-21"/>
    <n v="2020"/>
    <n v="10"/>
    <s v="Oct"/>
    <x v="3"/>
    <n v="18"/>
    <s v="State"/>
    <n v="302.64"/>
    <n v="410.39"/>
    <n v="290.72000000000003"/>
    <n v="12.9"/>
    <n v="1003.75"/>
    <n v="1016.65"/>
    <m/>
  </r>
  <r>
    <d v="2020-10-01T00:00:00"/>
    <s v="2020-21"/>
    <n v="2020"/>
    <n v="10"/>
    <s v="Oct"/>
    <x v="4"/>
    <n v="10"/>
    <s v="State"/>
    <n v="277.08"/>
    <n v="478.33"/>
    <n v="119.12"/>
    <n v="135.93"/>
    <n v="874.53"/>
    <n v="1010.46"/>
    <m/>
  </r>
  <r>
    <d v="2020-10-01T00:00:00"/>
    <s v="2020-21"/>
    <n v="2020"/>
    <n v="10"/>
    <s v="Oct"/>
    <x v="5"/>
    <n v="4"/>
    <s v="Union Territory"/>
    <n v="26.27"/>
    <n v="34.380000000000003"/>
    <n v="90.63"/>
    <n v="0.7"/>
    <n v="151.28"/>
    <n v="151.97999999999999"/>
    <m/>
  </r>
  <r>
    <d v="2020-10-01T00:00:00"/>
    <s v="2020-21"/>
    <n v="2020"/>
    <n v="10"/>
    <s v="Oct"/>
    <x v="6"/>
    <n v="22"/>
    <s v="State"/>
    <n v="383.31"/>
    <n v="450.12"/>
    <n v="698.7"/>
    <n v="441.84"/>
    <n v="1532.13"/>
    <n v="1973.97"/>
    <m/>
  </r>
  <r>
    <d v="2020-10-01T00:00:00"/>
    <s v="2020-21"/>
    <n v="2020"/>
    <n v="10"/>
    <s v="Oct"/>
    <x v="7"/>
    <n v="38"/>
    <s v="Union Territory"/>
    <n v="31.5"/>
    <n v="38.54"/>
    <n v="220.09"/>
    <n v="0.23"/>
    <n v="290.13"/>
    <n v="290.36"/>
    <m/>
  </r>
  <r>
    <d v="2020-10-01T00:00:00"/>
    <s v="2020-21"/>
    <n v="2020"/>
    <n v="10"/>
    <s v="Oct"/>
    <x v="8"/>
    <n v="7"/>
    <s v="Union Territory"/>
    <n v="637.64"/>
    <n v="813.35"/>
    <n v="1682.96"/>
    <n v="76.8"/>
    <n v="3133.95"/>
    <n v="3210.75"/>
    <m/>
  </r>
  <r>
    <d v="2020-10-01T00:00:00"/>
    <s v="2020-21"/>
    <n v="2020"/>
    <n v="10"/>
    <s v="Oct"/>
    <x v="9"/>
    <n v="30"/>
    <s v="State"/>
    <n v="59.7"/>
    <n v="84.46"/>
    <n v="164.53"/>
    <n v="0.97"/>
    <n v="308.69"/>
    <n v="309.66000000000003"/>
    <m/>
  </r>
  <r>
    <d v="2020-10-01T00:00:00"/>
    <s v="2020-21"/>
    <n v="2020"/>
    <n v="10"/>
    <s v="Oct"/>
    <x v="10"/>
    <n v="24"/>
    <s v="State"/>
    <n v="1752.86"/>
    <n v="2230.71"/>
    <n v="2403.16"/>
    <n v="399.8"/>
    <n v="6386.73"/>
    <n v="6786.53"/>
    <m/>
  </r>
  <r>
    <d v="2020-10-01T00:00:00"/>
    <s v="2020-21"/>
    <n v="2020"/>
    <n v="10"/>
    <s v="Oct"/>
    <x v="11"/>
    <n v="6"/>
    <s v="State"/>
    <n v="866.43"/>
    <n v="1195.94"/>
    <n v="2974.29"/>
    <n v="396.6"/>
    <n v="5036.66"/>
    <n v="5433.26"/>
    <m/>
  </r>
  <r>
    <d v="2020-10-01T00:00:00"/>
    <s v="2020-21"/>
    <n v="2020"/>
    <n v="10"/>
    <s v="Oct"/>
    <x v="12"/>
    <n v="2"/>
    <s v="State"/>
    <n v="113.59"/>
    <n v="163.03"/>
    <n v="413.51"/>
    <n v="0.85"/>
    <n v="690.13"/>
    <n v="690.98"/>
    <m/>
  </r>
  <r>
    <d v="2020-10-01T00:00:00"/>
    <s v="2020-21"/>
    <n v="2020"/>
    <n v="10"/>
    <s v="Oct"/>
    <x v="13"/>
    <n v="1"/>
    <s v="Union Territory"/>
    <n v="98.23"/>
    <n v="163.62"/>
    <n v="111.29"/>
    <n v="4"/>
    <n v="373.14"/>
    <n v="377.14"/>
    <m/>
  </r>
  <r>
    <d v="2020-10-01T00:00:00"/>
    <s v="2020-21"/>
    <n v="2020"/>
    <n v="10"/>
    <s v="Oct"/>
    <x v="14"/>
    <n v="20"/>
    <s v="State"/>
    <n v="312.70999999999998"/>
    <n v="415.86"/>
    <n v="646.37"/>
    <n v="396.23"/>
    <n v="1374.94"/>
    <n v="1771.17"/>
    <m/>
  </r>
  <r>
    <d v="2020-10-01T00:00:00"/>
    <s v="2020-21"/>
    <n v="2020"/>
    <n v="10"/>
    <s v="Oct"/>
    <x v="15"/>
    <n v="29"/>
    <s v="State"/>
    <n v="1597.37"/>
    <n v="2087.02"/>
    <n v="2549.5300000000002"/>
    <n v="764.16"/>
    <n v="6233.92"/>
    <n v="6998.08"/>
    <m/>
  </r>
  <r>
    <d v="2020-10-01T00:00:00"/>
    <s v="2020-21"/>
    <n v="2020"/>
    <n v="10"/>
    <s v="Oct"/>
    <x v="16"/>
    <n v="32"/>
    <s v="State"/>
    <n v="541.87"/>
    <n v="798.87"/>
    <n v="319.97000000000003"/>
    <n v="3.82"/>
    <n v="1660.71"/>
    <n v="1664.53"/>
    <m/>
  </r>
  <r>
    <d v="2020-10-01T00:00:00"/>
    <s v="2020-21"/>
    <n v="2020"/>
    <n v="10"/>
    <s v="Oct"/>
    <x v="35"/>
    <n v="37"/>
    <s v="Union Territory"/>
    <n v="5.64"/>
    <n v="6.91"/>
    <n v="1.96"/>
    <n v="0"/>
    <n v="14.51"/>
    <n v="14.51"/>
    <m/>
  </r>
  <r>
    <d v="2020-10-01T00:00:00"/>
    <s v="2020-21"/>
    <n v="2020"/>
    <n v="10"/>
    <s v="Oct"/>
    <x v="17"/>
    <n v="31"/>
    <s v="Union Territory"/>
    <n v="0.36"/>
    <n v="0.66"/>
    <n v="0.1"/>
    <n v="0"/>
    <n v="1.1200000000000001"/>
    <n v="1.1200000000000001"/>
    <m/>
  </r>
  <r>
    <d v="2020-10-01T00:00:00"/>
    <s v="2020-21"/>
    <n v="2020"/>
    <n v="10"/>
    <s v="Oct"/>
    <x v="18"/>
    <n v="23"/>
    <s v="State"/>
    <n v="547"/>
    <n v="754.35"/>
    <n v="642.05999999999995"/>
    <n v="459.89"/>
    <n v="1943.41"/>
    <n v="2403.3000000000002"/>
    <m/>
  </r>
  <r>
    <d v="2020-10-01T00:00:00"/>
    <s v="2020-21"/>
    <n v="2020"/>
    <n v="10"/>
    <s v="Oct"/>
    <x v="19"/>
    <n v="27"/>
    <s v="State"/>
    <n v="4188.9399999999996"/>
    <n v="4975.66"/>
    <n v="5808.3"/>
    <n v="825.98"/>
    <n v="14972.9"/>
    <n v="15798.88"/>
    <m/>
  </r>
  <r>
    <d v="2020-10-01T00:00:00"/>
    <s v="2020-21"/>
    <n v="2020"/>
    <n v="10"/>
    <s v="Oct"/>
    <x v="20"/>
    <n v="14"/>
    <s v="State"/>
    <n v="15.98"/>
    <n v="25.18"/>
    <n v="1.92"/>
    <n v="0.1"/>
    <n v="43.08"/>
    <n v="43.18"/>
    <m/>
  </r>
  <r>
    <d v="2020-10-01T00:00:00"/>
    <s v="2020-21"/>
    <n v="2020"/>
    <n v="10"/>
    <s v="Oct"/>
    <x v="21"/>
    <n v="17"/>
    <s v="State"/>
    <n v="21.22"/>
    <n v="28.61"/>
    <n v="67.180000000000007"/>
    <n v="0.38"/>
    <n v="117.01"/>
    <n v="117.39"/>
    <m/>
  </r>
  <r>
    <d v="2020-10-01T00:00:00"/>
    <s v="2020-21"/>
    <n v="2020"/>
    <n v="10"/>
    <s v="Oct"/>
    <x v="22"/>
    <n v="15"/>
    <s v="State"/>
    <n v="10.56"/>
    <n v="17.7"/>
    <n v="3.19"/>
    <n v="0.2"/>
    <n v="31.45"/>
    <n v="31.65"/>
    <m/>
  </r>
  <r>
    <d v="2020-10-01T00:00:00"/>
    <s v="2020-21"/>
    <n v="2020"/>
    <n v="10"/>
    <s v="Oct"/>
    <x v="23"/>
    <n v="13"/>
    <s v="State"/>
    <n v="10.58"/>
    <n v="13.16"/>
    <n v="5.58"/>
    <n v="0.18"/>
    <n v="29.32"/>
    <n v="29.5"/>
    <m/>
  </r>
  <r>
    <d v="2020-10-01T00:00:00"/>
    <s v="2020-21"/>
    <n v="2020"/>
    <n v="10"/>
    <s v="Oct"/>
    <x v="24"/>
    <n v="21"/>
    <s v="State"/>
    <n v="523.72"/>
    <n v="660.09"/>
    <n v="731.65"/>
    <n v="503.81"/>
    <n v="1915.46"/>
    <n v="2419.27"/>
    <m/>
  </r>
  <r>
    <d v="2020-10-01T00:00:00"/>
    <s v="2020-21"/>
    <n v="2020"/>
    <n v="10"/>
    <s v="Oct"/>
    <x v="25"/>
    <n v="34"/>
    <s v="Union Territory"/>
    <n v="20.12"/>
    <n v="30.96"/>
    <n v="109.66"/>
    <n v="0.21"/>
    <n v="160.74"/>
    <n v="160.94999999999999"/>
    <m/>
  </r>
  <r>
    <d v="2020-10-01T00:00:00"/>
    <s v="2020-21"/>
    <n v="2020"/>
    <n v="10"/>
    <s v="Oct"/>
    <x v="26"/>
    <n v="3"/>
    <s v="State"/>
    <n v="331.48"/>
    <n v="538"/>
    <n v="492.67"/>
    <n v="14.07"/>
    <n v="1362.15"/>
    <n v="1376.22"/>
    <m/>
  </r>
  <r>
    <d v="2020-10-01T00:00:00"/>
    <s v="2020-21"/>
    <n v="2020"/>
    <n v="10"/>
    <s v="Oct"/>
    <x v="27"/>
    <n v="8"/>
    <s v="State"/>
    <n v="739.3"/>
    <n v="1018.58"/>
    <n v="1072.1400000000001"/>
    <n v="135.5"/>
    <n v="2830.02"/>
    <n v="2965.52"/>
    <m/>
  </r>
  <r>
    <d v="2020-10-01T00:00:00"/>
    <s v="2020-21"/>
    <n v="2020"/>
    <n v="10"/>
    <s v="Oct"/>
    <x v="28"/>
    <n v="11"/>
    <s v="State"/>
    <n v="13.06"/>
    <n v="17.91"/>
    <n v="145.88999999999999"/>
    <n v="0.01"/>
    <n v="176.86"/>
    <n v="176.87"/>
    <m/>
  </r>
  <r>
    <d v="2020-10-01T00:00:00"/>
    <s v="2020-21"/>
    <n v="2020"/>
    <n v="10"/>
    <s v="Oct"/>
    <x v="29"/>
    <n v="33"/>
    <s v="State"/>
    <n v="1745.08"/>
    <n v="2402.5500000000002"/>
    <n v="2284.79"/>
    <n v="468.45"/>
    <n v="6432.42"/>
    <n v="6900.87"/>
    <m/>
  </r>
  <r>
    <d v="2020-10-01T00:00:00"/>
    <s v="2020-21"/>
    <n v="2020"/>
    <n v="10"/>
    <s v="Oct"/>
    <x v="30"/>
    <n v="36"/>
    <s v="State"/>
    <n v="835.94"/>
    <n v="1122.5"/>
    <n v="1001.24"/>
    <n v="423.76"/>
    <n v="2959.68"/>
    <n v="3383.44"/>
    <m/>
  </r>
  <r>
    <d v="2020-10-01T00:00:00"/>
    <s v="2020-21"/>
    <n v="2020"/>
    <n v="10"/>
    <s v="Oct"/>
    <x v="31"/>
    <n v="16"/>
    <s v="State"/>
    <n v="22.09"/>
    <n v="29.44"/>
    <n v="5.6"/>
    <n v="0.06"/>
    <n v="57.13"/>
    <n v="57.19"/>
    <m/>
  </r>
  <r>
    <d v="2020-10-01T00:00:00"/>
    <s v="2020-21"/>
    <n v="2020"/>
    <n v="10"/>
    <s v="Oct"/>
    <x v="32"/>
    <n v="9"/>
    <s v="State"/>
    <n v="1207.8699999999999"/>
    <n v="1768.77"/>
    <n v="1467"/>
    <n v="1027.8"/>
    <n v="4443.6400000000003"/>
    <n v="5471.44"/>
    <m/>
  </r>
  <r>
    <d v="2020-10-01T00:00:00"/>
    <s v="2020-21"/>
    <n v="2020"/>
    <n v="10"/>
    <s v="Oct"/>
    <x v="33"/>
    <n v="5"/>
    <s v="State"/>
    <n v="228.93"/>
    <n v="335.97"/>
    <n v="696.33"/>
    <n v="11.01"/>
    <n v="1261.23"/>
    <n v="1272.24"/>
    <m/>
  </r>
  <r>
    <d v="2020-10-01T00:00:00"/>
    <s v="2020-21"/>
    <n v="2020"/>
    <n v="10"/>
    <s v="Oct"/>
    <x v="34"/>
    <n v="19"/>
    <s v="State"/>
    <n v="1100.1500000000001"/>
    <n v="1427.98"/>
    <n v="906.28"/>
    <n v="303.26"/>
    <n v="3434.41"/>
    <n v="3737.67"/>
    <m/>
  </r>
  <r>
    <d v="2020-11-01T00:00:00"/>
    <s v="2020-21"/>
    <n v="2020"/>
    <n v="11"/>
    <s v="Nov"/>
    <x v="0"/>
    <n v="35"/>
    <s v="Union Territory"/>
    <n v="9.48"/>
    <n v="11.67"/>
    <n v="1.92"/>
    <n v="0.04"/>
    <n v="23.07"/>
    <n v="23.11"/>
    <m/>
  </r>
  <r>
    <d v="2020-11-01T00:00:00"/>
    <s v="2020-21"/>
    <n v="2020"/>
    <n v="11"/>
    <s v="Nov"/>
    <x v="1"/>
    <n v="28"/>
    <s v="State"/>
    <n v="605.38"/>
    <n v="823.12"/>
    <n v="828.67"/>
    <n v="249.42"/>
    <n v="2257.17"/>
    <n v="2506.59"/>
    <m/>
  </r>
  <r>
    <d v="2020-11-01T00:00:00"/>
    <s v="2020-21"/>
    <n v="2020"/>
    <n v="11"/>
    <s v="Nov"/>
    <x v="2"/>
    <n v="12"/>
    <s v="State"/>
    <n v="25.02"/>
    <n v="28.82"/>
    <n v="6.14"/>
    <n v="0.01"/>
    <n v="59.98"/>
    <n v="59.99"/>
    <m/>
  </r>
  <r>
    <d v="2020-11-01T00:00:00"/>
    <s v="2020-21"/>
    <n v="2020"/>
    <n v="11"/>
    <s v="Nov"/>
    <x v="3"/>
    <n v="18"/>
    <s v="State"/>
    <n v="275.86"/>
    <n v="355.91"/>
    <n v="280.18"/>
    <n v="33.979999999999997"/>
    <n v="911.95"/>
    <n v="945.93"/>
    <m/>
  </r>
  <r>
    <d v="2020-11-01T00:00:00"/>
    <s v="2020-21"/>
    <n v="2020"/>
    <n v="11"/>
    <s v="Nov"/>
    <x v="4"/>
    <n v="10"/>
    <s v="State"/>
    <n v="252.57"/>
    <n v="463.04"/>
    <n v="122.69"/>
    <n v="131.57"/>
    <n v="838.3"/>
    <n v="969.87"/>
    <m/>
  </r>
  <r>
    <d v="2020-11-01T00:00:00"/>
    <s v="2020-21"/>
    <n v="2020"/>
    <n v="11"/>
    <s v="Nov"/>
    <x v="5"/>
    <n v="4"/>
    <s v="Union Territory"/>
    <n v="27.12"/>
    <n v="35.26"/>
    <n v="78.34"/>
    <n v="0.64"/>
    <n v="140.72"/>
    <n v="141.36000000000001"/>
    <m/>
  </r>
  <r>
    <d v="2020-11-01T00:00:00"/>
    <s v="2020-21"/>
    <n v="2020"/>
    <n v="11"/>
    <s v="Nov"/>
    <x v="6"/>
    <n v="22"/>
    <s v="State"/>
    <n v="398.49"/>
    <n v="469.54"/>
    <n v="799.3"/>
    <n v="513.75"/>
    <n v="1667.33"/>
    <n v="2181.08"/>
    <m/>
  </r>
  <r>
    <d v="2020-11-01T00:00:00"/>
    <s v="2020-21"/>
    <n v="2020"/>
    <n v="11"/>
    <s v="Nov"/>
    <x v="7"/>
    <n v="38"/>
    <s v="Union Territory"/>
    <n v="30.36"/>
    <n v="42.93"/>
    <n v="224.94"/>
    <n v="0.04"/>
    <n v="298.23"/>
    <n v="298.27"/>
    <m/>
  </r>
  <r>
    <d v="2020-11-01T00:00:00"/>
    <s v="2020-21"/>
    <n v="2020"/>
    <n v="11"/>
    <s v="Nov"/>
    <x v="8"/>
    <n v="7"/>
    <s v="Union Territory"/>
    <n v="653.51"/>
    <n v="832.92"/>
    <n v="1838.82"/>
    <n v="87.88"/>
    <n v="3325.25"/>
    <n v="3413.13"/>
    <m/>
  </r>
  <r>
    <d v="2020-11-01T00:00:00"/>
    <s v="2020-21"/>
    <n v="2020"/>
    <n v="11"/>
    <s v="Nov"/>
    <x v="9"/>
    <n v="30"/>
    <s v="State"/>
    <n v="58.66"/>
    <n v="85.28"/>
    <n v="154.38"/>
    <n v="1.8"/>
    <n v="298.32"/>
    <n v="300.12"/>
    <m/>
  </r>
  <r>
    <d v="2020-11-01T00:00:00"/>
    <s v="2020-21"/>
    <n v="2020"/>
    <n v="11"/>
    <s v="Nov"/>
    <x v="10"/>
    <n v="24"/>
    <s v="State"/>
    <n v="1950.51"/>
    <n v="2448.0700000000002"/>
    <n v="2692.95"/>
    <n v="474.84"/>
    <n v="7091.53"/>
    <n v="7566.37"/>
    <m/>
  </r>
  <r>
    <d v="2020-11-01T00:00:00"/>
    <s v="2020-21"/>
    <n v="2020"/>
    <n v="11"/>
    <s v="Nov"/>
    <x v="11"/>
    <n v="6"/>
    <s v="State"/>
    <n v="894.96"/>
    <n v="1264.21"/>
    <n v="3321.52"/>
    <n v="447.56"/>
    <n v="5480.69"/>
    <n v="5928.25"/>
    <m/>
  </r>
  <r>
    <d v="2020-11-01T00:00:00"/>
    <s v="2020-21"/>
    <n v="2020"/>
    <n v="11"/>
    <s v="Nov"/>
    <x v="12"/>
    <n v="2"/>
    <s v="State"/>
    <n v="113.18"/>
    <n v="161.59"/>
    <n v="482.7"/>
    <n v="0.89"/>
    <n v="757.47"/>
    <n v="758.36"/>
    <m/>
  </r>
  <r>
    <d v="2020-11-01T00:00:00"/>
    <s v="2020-21"/>
    <n v="2020"/>
    <n v="11"/>
    <s v="Nov"/>
    <x v="13"/>
    <n v="1"/>
    <s v="Union Territory"/>
    <n v="91.07"/>
    <n v="147.5"/>
    <n v="118.25"/>
    <n v="2.96"/>
    <n v="356.82"/>
    <n v="359.78"/>
    <m/>
  </r>
  <r>
    <d v="2020-11-01T00:00:00"/>
    <s v="2020-21"/>
    <n v="2020"/>
    <n v="11"/>
    <s v="Nov"/>
    <x v="14"/>
    <n v="20"/>
    <s v="State"/>
    <n v="317.02"/>
    <n v="422.37"/>
    <n v="753.16"/>
    <n v="414.66"/>
    <n v="1492.55"/>
    <n v="1907.21"/>
    <m/>
  </r>
  <r>
    <d v="2020-11-01T00:00:00"/>
    <s v="2020-21"/>
    <n v="2020"/>
    <n v="11"/>
    <s v="Nov"/>
    <x v="15"/>
    <n v="29"/>
    <s v="State"/>
    <n v="1656.86"/>
    <n v="2146.59"/>
    <n v="2440.06"/>
    <n v="671.74"/>
    <n v="6243.51"/>
    <n v="6915.25"/>
    <m/>
  </r>
  <r>
    <d v="2020-11-01T00:00:00"/>
    <s v="2020-21"/>
    <n v="2020"/>
    <n v="11"/>
    <s v="Nov"/>
    <x v="16"/>
    <n v="32"/>
    <s v="State"/>
    <n v="512.26"/>
    <n v="745.81"/>
    <n v="307.51"/>
    <n v="2.65"/>
    <n v="1565.58"/>
    <n v="1568.23"/>
    <m/>
  </r>
  <r>
    <d v="2020-11-01T00:00:00"/>
    <s v="2020-21"/>
    <n v="2020"/>
    <n v="11"/>
    <s v="Nov"/>
    <x v="35"/>
    <n v="37"/>
    <s v="Union Territory"/>
    <n v="2.86"/>
    <n v="4.47"/>
    <n v="1.86"/>
    <n v="0"/>
    <n v="9.19"/>
    <n v="9.19"/>
    <m/>
  </r>
  <r>
    <d v="2020-11-01T00:00:00"/>
    <s v="2020-21"/>
    <n v="2020"/>
    <n v="11"/>
    <s v="Nov"/>
    <x v="17"/>
    <n v="31"/>
    <s v="Union Territory"/>
    <n v="0.16"/>
    <n v="0.28999999999999998"/>
    <n v="0.03"/>
    <n v="0"/>
    <n v="0.48"/>
    <n v="0.48"/>
    <m/>
  </r>
  <r>
    <d v="2020-11-01T00:00:00"/>
    <s v="2020-21"/>
    <n v="2020"/>
    <n v="11"/>
    <s v="Nov"/>
    <x v="18"/>
    <n v="23"/>
    <s v="State"/>
    <n v="569.72"/>
    <n v="744.96"/>
    <n v="696.93"/>
    <n v="481.45"/>
    <n v="2011.61"/>
    <n v="2493.06"/>
    <m/>
  </r>
  <r>
    <d v="2020-11-01T00:00:00"/>
    <s v="2020-21"/>
    <n v="2020"/>
    <n v="11"/>
    <s v="Nov"/>
    <x v="19"/>
    <n v="27"/>
    <s v="State"/>
    <n v="3992.81"/>
    <n v="4875.3599999999997"/>
    <n v="5144.67"/>
    <n v="988.01"/>
    <n v="14012.84"/>
    <n v="15000.85"/>
    <m/>
  </r>
  <r>
    <d v="2020-11-01T00:00:00"/>
    <s v="2020-21"/>
    <n v="2020"/>
    <n v="11"/>
    <s v="Nov"/>
    <x v="20"/>
    <n v="14"/>
    <s v="State"/>
    <n v="11.67"/>
    <n v="17.600000000000001"/>
    <n v="2.67"/>
    <n v="0.03"/>
    <n v="31.94"/>
    <n v="31.97"/>
    <m/>
  </r>
  <r>
    <d v="2020-11-01T00:00:00"/>
    <s v="2020-21"/>
    <n v="2020"/>
    <n v="11"/>
    <s v="Nov"/>
    <x v="21"/>
    <n v="17"/>
    <s v="State"/>
    <n v="20.27"/>
    <n v="25.61"/>
    <n v="73.739999999999995"/>
    <n v="0.41"/>
    <n v="119.62"/>
    <n v="120.03"/>
    <m/>
  </r>
  <r>
    <d v="2020-11-01T00:00:00"/>
    <s v="2020-21"/>
    <n v="2020"/>
    <n v="11"/>
    <s v="Nov"/>
    <x v="22"/>
    <n v="15"/>
    <s v="State"/>
    <n v="5.68"/>
    <n v="8.7200000000000006"/>
    <n v="2.35"/>
    <n v="0.01"/>
    <n v="16.75"/>
    <n v="16.760000000000002"/>
    <m/>
  </r>
  <r>
    <d v="2020-11-01T00:00:00"/>
    <s v="2020-21"/>
    <n v="2020"/>
    <n v="11"/>
    <s v="Nov"/>
    <x v="23"/>
    <n v="13"/>
    <s v="State"/>
    <n v="10.53"/>
    <n v="12.4"/>
    <n v="4.87"/>
    <n v="1.81"/>
    <n v="27.8"/>
    <n v="29.61"/>
    <m/>
  </r>
  <r>
    <d v="2020-11-01T00:00:00"/>
    <s v="2020-21"/>
    <n v="2020"/>
    <n v="11"/>
    <s v="Nov"/>
    <x v="24"/>
    <n v="21"/>
    <s v="State"/>
    <n v="533.57000000000005"/>
    <n v="681.96"/>
    <n v="787.63"/>
    <n v="524.85"/>
    <n v="2003.16"/>
    <n v="2528.0100000000002"/>
    <m/>
  </r>
  <r>
    <d v="2020-11-01T00:00:00"/>
    <s v="2020-21"/>
    <n v="2020"/>
    <n v="11"/>
    <s v="Nov"/>
    <x v="25"/>
    <n v="34"/>
    <s v="Union Territory"/>
    <n v="19.18"/>
    <n v="29.6"/>
    <n v="109.27"/>
    <n v="0.17"/>
    <n v="158.05000000000001"/>
    <n v="158.22"/>
    <m/>
  </r>
  <r>
    <d v="2020-11-01T00:00:00"/>
    <s v="2020-21"/>
    <n v="2020"/>
    <n v="11"/>
    <s v="Nov"/>
    <x v="26"/>
    <n v="3"/>
    <s v="State"/>
    <n v="322.95999999999998"/>
    <n v="548.85"/>
    <n v="511.68"/>
    <n v="12.79"/>
    <n v="1383.49"/>
    <n v="1396.28"/>
    <m/>
  </r>
  <r>
    <d v="2020-11-01T00:00:00"/>
    <s v="2020-21"/>
    <n v="2020"/>
    <n v="11"/>
    <s v="Nov"/>
    <x v="27"/>
    <n v="8"/>
    <s v="State"/>
    <n v="781.21"/>
    <n v="1061.6199999999999"/>
    <n v="1121.6199999999999"/>
    <n v="165.94"/>
    <n v="2964.45"/>
    <n v="3130.39"/>
    <m/>
  </r>
  <r>
    <d v="2020-11-01T00:00:00"/>
    <s v="2020-21"/>
    <n v="2020"/>
    <n v="11"/>
    <s v="Nov"/>
    <x v="28"/>
    <n v="11"/>
    <s v="State"/>
    <n v="15.72"/>
    <n v="25.02"/>
    <n v="182.62"/>
    <n v="0.01"/>
    <n v="223.36"/>
    <n v="223.37"/>
    <m/>
  </r>
  <r>
    <d v="2020-11-01T00:00:00"/>
    <s v="2020-21"/>
    <n v="2020"/>
    <n v="11"/>
    <s v="Nov"/>
    <x v="29"/>
    <n v="33"/>
    <s v="State"/>
    <n v="1735.11"/>
    <n v="2397.58"/>
    <n v="2383.83"/>
    <n v="567.54999999999995"/>
    <n v="6516.52"/>
    <n v="7084.07"/>
    <m/>
  </r>
  <r>
    <d v="2020-11-01T00:00:00"/>
    <s v="2020-21"/>
    <n v="2020"/>
    <n v="11"/>
    <s v="Nov"/>
    <x v="30"/>
    <n v="36"/>
    <s v="State"/>
    <n v="766.82"/>
    <n v="1077.3900000000001"/>
    <n v="914.83"/>
    <n v="415.48"/>
    <n v="2759.04"/>
    <n v="3174.52"/>
    <m/>
  </r>
  <r>
    <d v="2020-11-01T00:00:00"/>
    <s v="2020-21"/>
    <n v="2020"/>
    <n v="11"/>
    <s v="Nov"/>
    <x v="31"/>
    <n v="16"/>
    <s v="State"/>
    <n v="20.69"/>
    <n v="29.97"/>
    <n v="7.21"/>
    <n v="0.23"/>
    <n v="57.87"/>
    <n v="58.1"/>
    <m/>
  </r>
  <r>
    <d v="2020-11-01T00:00:00"/>
    <s v="2020-21"/>
    <n v="2020"/>
    <n v="11"/>
    <s v="Nov"/>
    <x v="32"/>
    <n v="9"/>
    <s v="State"/>
    <n v="1171.76"/>
    <n v="1768.28"/>
    <n v="1636.13"/>
    <n v="951.79"/>
    <n v="4576.17"/>
    <n v="5527.96"/>
    <m/>
  </r>
  <r>
    <d v="2020-11-01T00:00:00"/>
    <s v="2020-21"/>
    <n v="2020"/>
    <n v="11"/>
    <s v="Nov"/>
    <x v="33"/>
    <n v="5"/>
    <s v="State"/>
    <n v="204.48"/>
    <n v="323.76"/>
    <n v="748.02"/>
    <n v="9.24"/>
    <n v="1276.26"/>
    <n v="1285.5"/>
    <m/>
  </r>
  <r>
    <d v="2020-11-01T00:00:00"/>
    <s v="2020-21"/>
    <n v="2020"/>
    <n v="11"/>
    <s v="Nov"/>
    <x v="34"/>
    <n v="19"/>
    <s v="State"/>
    <n v="1127.51"/>
    <n v="1416.23"/>
    <n v="925.16"/>
    <n v="278.07"/>
    <n v="3468.9"/>
    <n v="3746.97"/>
    <m/>
  </r>
  <r>
    <d v="2020-12-01T00:00:00"/>
    <s v="2020-21"/>
    <n v="2020"/>
    <n v="12"/>
    <s v="Dec"/>
    <x v="0"/>
    <n v="35"/>
    <s v="Union Territory"/>
    <n v="6.98"/>
    <n v="10.61"/>
    <n v="4.29"/>
    <n v="0.02"/>
    <n v="21.88"/>
    <n v="21.9"/>
    <m/>
  </r>
  <r>
    <d v="2020-12-01T00:00:00"/>
    <s v="2020-21"/>
    <n v="2020"/>
    <n v="12"/>
    <s v="Dec"/>
    <x v="1"/>
    <n v="28"/>
    <s v="State"/>
    <n v="607.07000000000005"/>
    <n v="817.35"/>
    <n v="925.12"/>
    <n v="231.36"/>
    <n v="2349.54"/>
    <n v="2580.9"/>
    <m/>
  </r>
  <r>
    <d v="2020-12-01T00:00:00"/>
    <s v="2020-21"/>
    <n v="2020"/>
    <n v="12"/>
    <s v="Dec"/>
    <x v="2"/>
    <n v="12"/>
    <s v="State"/>
    <n v="16.68"/>
    <n v="23.67"/>
    <n v="5.17"/>
    <n v="0.04"/>
    <n v="45.52"/>
    <n v="45.56"/>
    <m/>
  </r>
  <r>
    <d v="2020-12-01T00:00:00"/>
    <s v="2020-21"/>
    <n v="2020"/>
    <n v="12"/>
    <s v="Dec"/>
    <x v="3"/>
    <n v="18"/>
    <s v="State"/>
    <n v="286.89999999999998"/>
    <n v="393.95"/>
    <n v="271.43"/>
    <n v="31.54"/>
    <n v="952.28"/>
    <n v="983.82"/>
    <m/>
  </r>
  <r>
    <d v="2020-12-01T00:00:00"/>
    <s v="2020-21"/>
    <n v="2020"/>
    <n v="12"/>
    <s v="Dec"/>
    <x v="4"/>
    <n v="10"/>
    <s v="State"/>
    <n v="280.57"/>
    <n v="484.72"/>
    <n v="129.86000000000001"/>
    <n v="172.28"/>
    <n v="895.15"/>
    <n v="1067.43"/>
    <m/>
  </r>
  <r>
    <d v="2020-12-01T00:00:00"/>
    <s v="2020-21"/>
    <n v="2020"/>
    <n v="12"/>
    <s v="Dec"/>
    <x v="5"/>
    <n v="4"/>
    <s v="Union Territory"/>
    <n v="29.46"/>
    <n v="40.69"/>
    <n v="87.61"/>
    <n v="0.57999999999999996"/>
    <n v="157.76"/>
    <n v="158.34"/>
    <m/>
  </r>
  <r>
    <d v="2020-12-01T00:00:00"/>
    <s v="2020-21"/>
    <n v="2020"/>
    <n v="12"/>
    <s v="Dec"/>
    <x v="6"/>
    <n v="22"/>
    <s v="State"/>
    <n v="466.66"/>
    <n v="551.63"/>
    <n v="795.42"/>
    <n v="535.69000000000005"/>
    <n v="1813.71"/>
    <n v="2349.4"/>
    <m/>
  </r>
  <r>
    <d v="2020-12-01T00:00:00"/>
    <s v="2020-21"/>
    <n v="2020"/>
    <n v="12"/>
    <s v="Dec"/>
    <x v="7"/>
    <n v="38"/>
    <s v="Union Territory"/>
    <n v="36.229999999999997"/>
    <n v="46.84"/>
    <n v="179.58"/>
    <n v="0.09"/>
    <n v="262.64999999999998"/>
    <n v="262.74"/>
    <m/>
  </r>
  <r>
    <d v="2020-12-01T00:00:00"/>
    <s v="2020-21"/>
    <n v="2020"/>
    <n v="12"/>
    <s v="Dec"/>
    <x v="8"/>
    <n v="7"/>
    <s v="Union Territory"/>
    <n v="701.05"/>
    <n v="876.45"/>
    <n v="1784.95"/>
    <n v="88.83"/>
    <n v="3362.45"/>
    <n v="3451.28"/>
    <m/>
  </r>
  <r>
    <d v="2020-12-01T00:00:00"/>
    <s v="2020-21"/>
    <n v="2020"/>
    <n v="12"/>
    <s v="Dec"/>
    <x v="9"/>
    <n v="30"/>
    <s v="State"/>
    <n v="80.28"/>
    <n v="114.33"/>
    <n v="145.04"/>
    <n v="2.0499999999999998"/>
    <n v="339.65"/>
    <n v="341.7"/>
    <m/>
  </r>
  <r>
    <d v="2020-12-01T00:00:00"/>
    <s v="2020-21"/>
    <n v="2020"/>
    <n v="12"/>
    <s v="Dec"/>
    <x v="10"/>
    <n v="24"/>
    <s v="State"/>
    <n v="1997.66"/>
    <n v="2464.5700000000002"/>
    <n v="2491.79"/>
    <n v="514.78"/>
    <n v="6954.02"/>
    <n v="7468.8"/>
    <m/>
  </r>
  <r>
    <d v="2020-12-01T00:00:00"/>
    <s v="2020-21"/>
    <n v="2020"/>
    <n v="12"/>
    <s v="Dec"/>
    <x v="11"/>
    <n v="6"/>
    <s v="State"/>
    <n v="938.85"/>
    <n v="1280.9000000000001"/>
    <n v="3101.55"/>
    <n v="425.7"/>
    <n v="5321.3"/>
    <n v="5747"/>
    <m/>
  </r>
  <r>
    <d v="2020-12-01T00:00:00"/>
    <s v="2020-21"/>
    <n v="2020"/>
    <n v="12"/>
    <s v="Dec"/>
    <x v="12"/>
    <n v="2"/>
    <s v="State"/>
    <n v="114.45"/>
    <n v="165.7"/>
    <n v="389.03"/>
    <n v="0.6"/>
    <n v="669.18"/>
    <n v="669.78"/>
    <m/>
  </r>
  <r>
    <d v="2020-12-01T00:00:00"/>
    <s v="2020-21"/>
    <n v="2020"/>
    <n v="12"/>
    <s v="Dec"/>
    <x v="13"/>
    <n v="1"/>
    <s v="Union Territory"/>
    <n v="79.38"/>
    <n v="132.41"/>
    <n v="104.73"/>
    <n v="1.93"/>
    <n v="316.52"/>
    <n v="318.45"/>
    <m/>
  </r>
  <r>
    <d v="2020-12-01T00:00:00"/>
    <s v="2020-21"/>
    <n v="2020"/>
    <n v="12"/>
    <s v="Dec"/>
    <x v="14"/>
    <n v="20"/>
    <s v="State"/>
    <n v="350.66"/>
    <n v="493"/>
    <n v="871.09"/>
    <n v="435.43"/>
    <n v="1714.75"/>
    <n v="2150.1799999999998"/>
    <m/>
  </r>
  <r>
    <d v="2020-12-01T00:00:00"/>
    <s v="2020-21"/>
    <n v="2020"/>
    <n v="12"/>
    <s v="Dec"/>
    <x v="15"/>
    <n v="29"/>
    <s v="State"/>
    <n v="1752.76"/>
    <n v="2274.89"/>
    <n v="2785.21"/>
    <n v="646.42999999999995"/>
    <n v="6812.86"/>
    <n v="7459.29"/>
    <m/>
  </r>
  <r>
    <d v="2020-12-01T00:00:00"/>
    <s v="2020-21"/>
    <n v="2020"/>
    <n v="12"/>
    <s v="Dec"/>
    <x v="16"/>
    <n v="32"/>
    <s v="State"/>
    <n v="585.04"/>
    <n v="847.83"/>
    <n v="339.72"/>
    <n v="3.8"/>
    <n v="1772.59"/>
    <n v="1776.39"/>
    <m/>
  </r>
  <r>
    <d v="2020-12-01T00:00:00"/>
    <s v="2020-21"/>
    <n v="2020"/>
    <n v="12"/>
    <s v="Dec"/>
    <x v="35"/>
    <n v="37"/>
    <s v="Union Territory"/>
    <n v="2.59"/>
    <n v="3.98"/>
    <n v="1.72"/>
    <n v="0.02"/>
    <n v="8.2899999999999991"/>
    <n v="8.31"/>
    <m/>
  </r>
  <r>
    <d v="2020-12-01T00:00:00"/>
    <s v="2020-21"/>
    <n v="2020"/>
    <n v="12"/>
    <s v="Dec"/>
    <x v="17"/>
    <n v="31"/>
    <s v="Union Territory"/>
    <n v="0.19"/>
    <n v="0.25"/>
    <n v="0.09"/>
    <n v="0"/>
    <n v="0.53"/>
    <n v="0.53"/>
    <m/>
  </r>
  <r>
    <d v="2020-12-01T00:00:00"/>
    <s v="2020-21"/>
    <n v="2020"/>
    <n v="12"/>
    <s v="Dec"/>
    <x v="18"/>
    <n v="23"/>
    <s v="State"/>
    <n v="628.48"/>
    <n v="823.38"/>
    <n v="651.59"/>
    <n v="511.15"/>
    <n v="2103.4499999999998"/>
    <n v="2614.6"/>
    <m/>
  </r>
  <r>
    <d v="2020-12-01T00:00:00"/>
    <s v="2020-21"/>
    <n v="2020"/>
    <n v="12"/>
    <s v="Dec"/>
    <x v="19"/>
    <n v="27"/>
    <s v="State"/>
    <n v="5098.3900000000003"/>
    <n v="5916.56"/>
    <n v="5760.9"/>
    <n v="923.06"/>
    <n v="16775.849999999999"/>
    <n v="17698.91"/>
    <m/>
  </r>
  <r>
    <d v="2020-12-01T00:00:00"/>
    <s v="2020-21"/>
    <n v="2020"/>
    <n v="12"/>
    <s v="Dec"/>
    <x v="20"/>
    <n v="14"/>
    <s v="State"/>
    <n v="15.09"/>
    <n v="20.29"/>
    <n v="5.18"/>
    <n v="0.13"/>
    <n v="40.56"/>
    <n v="40.69"/>
    <m/>
  </r>
  <r>
    <d v="2020-12-01T00:00:00"/>
    <s v="2020-21"/>
    <n v="2020"/>
    <n v="12"/>
    <s v="Dec"/>
    <x v="21"/>
    <n v="17"/>
    <s v="State"/>
    <n v="19.309999999999999"/>
    <n v="27.79"/>
    <n v="58.45"/>
    <n v="0.33"/>
    <n v="105.55"/>
    <n v="105.88"/>
    <m/>
  </r>
  <r>
    <d v="2020-12-01T00:00:00"/>
    <s v="2020-21"/>
    <n v="2020"/>
    <n v="12"/>
    <s v="Dec"/>
    <x v="22"/>
    <n v="15"/>
    <s v="State"/>
    <n v="7.61"/>
    <n v="11.55"/>
    <n v="6.22"/>
    <n v="0.01"/>
    <n v="25.38"/>
    <n v="25.39"/>
    <m/>
  </r>
  <r>
    <d v="2020-12-01T00:00:00"/>
    <s v="2020-21"/>
    <n v="2020"/>
    <n v="12"/>
    <s v="Dec"/>
    <x v="23"/>
    <n v="13"/>
    <s v="State"/>
    <n v="15.62"/>
    <n v="17.739999999999998"/>
    <n v="4.5199999999999996"/>
    <n v="0.34"/>
    <n v="37.880000000000003"/>
    <n v="38.22"/>
    <m/>
  </r>
  <r>
    <d v="2020-12-01T00:00:00"/>
    <s v="2020-21"/>
    <n v="2020"/>
    <n v="12"/>
    <s v="Dec"/>
    <x v="24"/>
    <n v="21"/>
    <s v="State"/>
    <n v="589.41"/>
    <n v="765.26"/>
    <n v="965.75"/>
    <n v="539.78"/>
    <n v="2320.42"/>
    <n v="2860.2"/>
    <m/>
  </r>
  <r>
    <d v="2020-12-01T00:00:00"/>
    <s v="2020-21"/>
    <n v="2020"/>
    <n v="12"/>
    <s v="Dec"/>
    <x v="25"/>
    <n v="34"/>
    <s v="Union Territory"/>
    <n v="19.46"/>
    <n v="30.18"/>
    <n v="109.13"/>
    <n v="0.23"/>
    <n v="158.77000000000001"/>
    <n v="159"/>
    <m/>
  </r>
  <r>
    <d v="2020-12-01T00:00:00"/>
    <s v="2020-21"/>
    <n v="2020"/>
    <n v="12"/>
    <s v="Dec"/>
    <x v="26"/>
    <n v="3"/>
    <s v="State"/>
    <n v="341.87"/>
    <n v="531.67999999999995"/>
    <n v="469.66"/>
    <n v="9.5500000000000007"/>
    <n v="1343.21"/>
    <n v="1352.76"/>
    <m/>
  </r>
  <r>
    <d v="2020-12-01T00:00:00"/>
    <s v="2020-21"/>
    <n v="2020"/>
    <n v="12"/>
    <s v="Dec"/>
    <x v="27"/>
    <n v="8"/>
    <s v="State"/>
    <n v="790.71"/>
    <n v="1095.77"/>
    <n v="1078.97"/>
    <n v="170"/>
    <n v="2965.45"/>
    <n v="3135.45"/>
    <m/>
  </r>
  <r>
    <d v="2020-12-01T00:00:00"/>
    <s v="2020-21"/>
    <n v="2020"/>
    <n v="12"/>
    <s v="Dec"/>
    <x v="28"/>
    <n v="11"/>
    <s v="State"/>
    <n v="13.06"/>
    <n v="18.78"/>
    <n v="193.18"/>
    <n v="0.11"/>
    <n v="225.02"/>
    <n v="225.13"/>
    <m/>
  </r>
  <r>
    <d v="2020-12-01T00:00:00"/>
    <s v="2020-21"/>
    <n v="2020"/>
    <n v="12"/>
    <s v="Dec"/>
    <x v="29"/>
    <n v="33"/>
    <s v="State"/>
    <n v="1814.91"/>
    <n v="2427.4299999999998"/>
    <n v="2148.9699999999998"/>
    <n v="513.6"/>
    <n v="6391.31"/>
    <n v="6904.91"/>
    <m/>
  </r>
  <r>
    <d v="2020-12-01T00:00:00"/>
    <s v="2020-21"/>
    <n v="2020"/>
    <n v="12"/>
    <s v="Dec"/>
    <x v="30"/>
    <n v="36"/>
    <s v="State"/>
    <n v="869.85"/>
    <n v="1154.53"/>
    <n v="1032.49"/>
    <n v="486.5"/>
    <n v="3056.87"/>
    <n v="3543.37"/>
    <m/>
  </r>
  <r>
    <d v="2020-12-01T00:00:00"/>
    <s v="2020-21"/>
    <n v="2020"/>
    <n v="12"/>
    <s v="Dec"/>
    <x v="31"/>
    <n v="16"/>
    <s v="State"/>
    <n v="27.68"/>
    <n v="39.97"/>
    <n v="6.48"/>
    <n v="0.15"/>
    <n v="74.13"/>
    <n v="74.28"/>
    <m/>
  </r>
  <r>
    <d v="2020-12-01T00:00:00"/>
    <s v="2020-21"/>
    <n v="2020"/>
    <n v="12"/>
    <s v="Dec"/>
    <x v="32"/>
    <n v="9"/>
    <s v="State"/>
    <n v="1342.98"/>
    <n v="1997.9"/>
    <n v="1537.24"/>
    <n v="1058.8"/>
    <n v="4878.12"/>
    <n v="5936.92"/>
    <m/>
  </r>
  <r>
    <d v="2020-12-01T00:00:00"/>
    <s v="2020-21"/>
    <n v="2020"/>
    <n v="12"/>
    <s v="Dec"/>
    <x v="33"/>
    <n v="5"/>
    <s v="State"/>
    <n v="209.08"/>
    <n v="337.54"/>
    <n v="690.11"/>
    <n v="9.07"/>
    <n v="1236.73"/>
    <n v="1245.8"/>
    <m/>
  </r>
  <r>
    <d v="2020-12-01T00:00:00"/>
    <s v="2020-21"/>
    <n v="2020"/>
    <n v="12"/>
    <s v="Dec"/>
    <x v="34"/>
    <n v="19"/>
    <s v="State"/>
    <n v="1221.6600000000001"/>
    <n v="1555.14"/>
    <n v="1043.05"/>
    <n v="294.5"/>
    <n v="3819.85"/>
    <n v="4114.3500000000004"/>
    <m/>
  </r>
  <r>
    <d v="2021-01-01T00:00:00"/>
    <s v="2020-21"/>
    <n v="2021"/>
    <n v="1"/>
    <s v="Jan"/>
    <x v="0"/>
    <n v="35"/>
    <s v="Union Territory"/>
    <n v="7.67"/>
    <n v="10.94"/>
    <n v="1.88"/>
    <n v="0.03"/>
    <n v="20.49"/>
    <n v="20.52"/>
    <m/>
  </r>
  <r>
    <d v="2021-01-01T00:00:00"/>
    <s v="2020-21"/>
    <n v="2021"/>
    <n v="1"/>
    <s v="Jan"/>
    <x v="1"/>
    <n v="28"/>
    <s v="State"/>
    <n v="673.6"/>
    <n v="922.79"/>
    <n v="1102.74"/>
    <n v="180.77"/>
    <n v="2699.13"/>
    <n v="2879.9"/>
    <m/>
  </r>
  <r>
    <d v="2021-01-01T00:00:00"/>
    <s v="2020-21"/>
    <n v="2021"/>
    <n v="1"/>
    <s v="Jan"/>
    <x v="2"/>
    <n v="12"/>
    <s v="State"/>
    <n v="23.48"/>
    <n v="29.35"/>
    <n v="7.1"/>
    <n v="7.0000000000000007E-2"/>
    <n v="59.93"/>
    <n v="60"/>
    <m/>
  </r>
  <r>
    <d v="2021-01-01T00:00:00"/>
    <s v="2020-21"/>
    <n v="2021"/>
    <n v="1"/>
    <s v="Jan"/>
    <x v="3"/>
    <n v="18"/>
    <s v="State"/>
    <n v="309.06"/>
    <n v="406.6"/>
    <n v="290.97000000000003"/>
    <n v="43.6"/>
    <n v="1006.63"/>
    <n v="1050.23"/>
    <m/>
  </r>
  <r>
    <d v="2021-01-01T00:00:00"/>
    <s v="2020-21"/>
    <n v="2021"/>
    <n v="1"/>
    <s v="Jan"/>
    <x v="4"/>
    <n v="10"/>
    <s v="State"/>
    <n v="316.82"/>
    <n v="576.72"/>
    <n v="128.4"/>
    <n v="168.14"/>
    <n v="1021.94"/>
    <n v="1190.08"/>
    <m/>
  </r>
  <r>
    <d v="2021-01-01T00:00:00"/>
    <s v="2020-21"/>
    <n v="2021"/>
    <n v="1"/>
    <s v="Jan"/>
    <x v="5"/>
    <n v="4"/>
    <s v="Union Territory"/>
    <n v="29.08"/>
    <n v="47.61"/>
    <n v="85.97"/>
    <n v="2.75"/>
    <n v="162.66"/>
    <n v="165.41"/>
    <m/>
  </r>
  <r>
    <d v="2021-01-01T00:00:00"/>
    <s v="2020-21"/>
    <n v="2021"/>
    <n v="1"/>
    <s v="Jan"/>
    <x v="6"/>
    <n v="22"/>
    <s v="State"/>
    <n v="475.6"/>
    <n v="558.04"/>
    <n v="923.28"/>
    <n v="570.17999999999995"/>
    <n v="1956.92"/>
    <n v="2527.1"/>
    <m/>
  </r>
  <r>
    <d v="2021-01-01T00:00:00"/>
    <s v="2020-21"/>
    <n v="2021"/>
    <n v="1"/>
    <s v="Jan"/>
    <x v="7"/>
    <n v="38"/>
    <s v="Union Territory"/>
    <n v="34.29"/>
    <n v="44.03"/>
    <n v="203.43"/>
    <n v="0.34"/>
    <n v="281.75"/>
    <n v="282.08999999999997"/>
    <m/>
  </r>
  <r>
    <d v="2021-01-01T00:00:00"/>
    <s v="2020-21"/>
    <n v="2021"/>
    <n v="1"/>
    <s v="Jan"/>
    <x v="8"/>
    <n v="7"/>
    <s v="Union Territory"/>
    <n v="713.35"/>
    <n v="922.79"/>
    <n v="2039.99"/>
    <n v="111.07"/>
    <n v="3676.13"/>
    <n v="3787.2"/>
    <m/>
  </r>
  <r>
    <d v="2021-01-01T00:00:00"/>
    <s v="2020-21"/>
    <n v="2021"/>
    <n v="1"/>
    <s v="Jan"/>
    <x v="9"/>
    <n v="30"/>
    <s v="State"/>
    <n v="95.64"/>
    <n v="135.22999999999999"/>
    <n v="144.55000000000001"/>
    <n v="2.34"/>
    <n v="375.42"/>
    <n v="377.76"/>
    <m/>
  </r>
  <r>
    <d v="2021-01-01T00:00:00"/>
    <s v="2020-21"/>
    <n v="2021"/>
    <n v="1"/>
    <s v="Jan"/>
    <x v="10"/>
    <n v="24"/>
    <s v="State"/>
    <n v="2175.58"/>
    <n v="2664.01"/>
    <n v="2612.96"/>
    <n v="514.35"/>
    <n v="7452.55"/>
    <n v="7966.9"/>
    <m/>
  </r>
  <r>
    <d v="2021-01-01T00:00:00"/>
    <s v="2020-21"/>
    <n v="2021"/>
    <n v="1"/>
    <s v="Jan"/>
    <x v="11"/>
    <n v="6"/>
    <s v="State"/>
    <n v="926.71"/>
    <n v="1286.9100000000001"/>
    <n v="3258.17"/>
    <n v="430.19"/>
    <n v="5471.79"/>
    <n v="5901.98"/>
    <m/>
  </r>
  <r>
    <d v="2021-01-01T00:00:00"/>
    <s v="2020-21"/>
    <n v="2021"/>
    <n v="1"/>
    <s v="Jan"/>
    <x v="12"/>
    <n v="2"/>
    <s v="State"/>
    <n v="117.58"/>
    <n v="173.84"/>
    <n v="420.2"/>
    <n v="1.66"/>
    <n v="711.62"/>
    <n v="713.28"/>
    <m/>
  </r>
  <r>
    <d v="2021-01-01T00:00:00"/>
    <s v="2020-21"/>
    <n v="2021"/>
    <n v="1"/>
    <s v="Jan"/>
    <x v="13"/>
    <n v="1"/>
    <s v="Union Territory"/>
    <n v="105.16"/>
    <n v="173.06"/>
    <n v="93.79"/>
    <n v="2.39"/>
    <n v="372.01"/>
    <n v="374.4"/>
    <m/>
  </r>
  <r>
    <d v="2021-01-01T00:00:00"/>
    <s v="2020-21"/>
    <n v="2021"/>
    <n v="1"/>
    <s v="Jan"/>
    <x v="14"/>
    <n v="20"/>
    <s v="State"/>
    <n v="383.54"/>
    <n v="522.58000000000004"/>
    <n v="975.91"/>
    <n v="412.2"/>
    <n v="1882.03"/>
    <n v="2294.23"/>
    <m/>
  </r>
  <r>
    <d v="2021-01-01T00:00:00"/>
    <s v="2020-21"/>
    <n v="2021"/>
    <n v="1"/>
    <s v="Jan"/>
    <x v="15"/>
    <n v="29"/>
    <s v="State"/>
    <n v="1813.82"/>
    <n v="2346.21"/>
    <n v="3101.01"/>
    <n v="716.34"/>
    <n v="7261.04"/>
    <n v="7977.38"/>
    <m/>
  </r>
  <r>
    <d v="2021-01-01T00:00:00"/>
    <s v="2020-21"/>
    <n v="2021"/>
    <n v="1"/>
    <s v="Jan"/>
    <x v="16"/>
    <n v="32"/>
    <s v="State"/>
    <n v="628.46"/>
    <n v="946.46"/>
    <n v="345.32"/>
    <n v="13.38"/>
    <n v="1920.24"/>
    <n v="1933.62"/>
    <m/>
  </r>
  <r>
    <d v="2021-01-01T00:00:00"/>
    <s v="2020-21"/>
    <n v="2021"/>
    <n v="1"/>
    <s v="Jan"/>
    <x v="35"/>
    <n v="37"/>
    <s v="Union Territory"/>
    <n v="4.9400000000000004"/>
    <n v="8.0299999999999994"/>
    <n v="1.99"/>
    <n v="0.13"/>
    <n v="14.96"/>
    <n v="15.09"/>
    <m/>
  </r>
  <r>
    <d v="2021-01-01T00:00:00"/>
    <s v="2020-21"/>
    <n v="2021"/>
    <n v="1"/>
    <s v="Jan"/>
    <x v="17"/>
    <n v="31"/>
    <s v="Union Territory"/>
    <n v="1.22"/>
    <n v="1.32"/>
    <n v="0.02"/>
    <n v="0"/>
    <n v="2.56"/>
    <n v="2.56"/>
    <m/>
  </r>
  <r>
    <d v="2021-01-01T00:00:00"/>
    <s v="2020-21"/>
    <n v="2021"/>
    <n v="1"/>
    <s v="Jan"/>
    <x v="18"/>
    <n v="23"/>
    <s v="State"/>
    <n v="660.78"/>
    <n v="863.64"/>
    <n v="719.97"/>
    <n v="511.92"/>
    <n v="2244.39"/>
    <n v="2756.31"/>
    <m/>
  </r>
  <r>
    <d v="2021-01-01T00:00:00"/>
    <s v="2020-21"/>
    <n v="2021"/>
    <n v="1"/>
    <s v="Jan"/>
    <x v="19"/>
    <n v="27"/>
    <s v="State"/>
    <n v="4858.3500000000004"/>
    <n v="5856.33"/>
    <n v="6320.26"/>
    <n v="932.49"/>
    <n v="17034.939999999999"/>
    <n v="17967.43"/>
    <m/>
  </r>
  <r>
    <d v="2021-01-01T00:00:00"/>
    <s v="2020-21"/>
    <n v="2021"/>
    <n v="1"/>
    <s v="Jan"/>
    <x v="20"/>
    <n v="14"/>
    <s v="State"/>
    <n v="13.83"/>
    <n v="22.51"/>
    <n v="2.8"/>
    <n v="0.53"/>
    <n v="39.14"/>
    <n v="39.67"/>
    <m/>
  </r>
  <r>
    <d v="2021-01-01T00:00:00"/>
    <s v="2020-21"/>
    <n v="2021"/>
    <n v="1"/>
    <s v="Jan"/>
    <x v="21"/>
    <n v="17"/>
    <s v="State"/>
    <n v="24.91"/>
    <n v="36.61"/>
    <n v="75.38"/>
    <n v="0.12"/>
    <n v="136.9"/>
    <n v="137.02000000000001"/>
    <m/>
  </r>
  <r>
    <d v="2021-01-01T00:00:00"/>
    <s v="2020-21"/>
    <n v="2021"/>
    <n v="1"/>
    <s v="Jan"/>
    <x v="22"/>
    <n v="15"/>
    <s v="State"/>
    <n v="9.69"/>
    <n v="14.62"/>
    <n v="13.27"/>
    <n v="0.03"/>
    <n v="37.58"/>
    <n v="37.61"/>
    <m/>
  </r>
  <r>
    <d v="2021-01-01T00:00:00"/>
    <s v="2020-21"/>
    <n v="2021"/>
    <n v="1"/>
    <s v="Jan"/>
    <x v="23"/>
    <n v="13"/>
    <s v="State"/>
    <n v="17.16"/>
    <n v="22.17"/>
    <n v="5.74"/>
    <n v="0.28000000000000003"/>
    <n v="45.07"/>
    <n v="45.35"/>
    <m/>
  </r>
  <r>
    <d v="2021-01-01T00:00:00"/>
    <s v="2020-21"/>
    <n v="2021"/>
    <n v="1"/>
    <s v="Jan"/>
    <x v="24"/>
    <n v="21"/>
    <s v="State"/>
    <n v="609.92999999999995"/>
    <n v="777.71"/>
    <n v="1158.77"/>
    <n v="591.04"/>
    <n v="2546.41"/>
    <n v="3137.45"/>
    <m/>
  </r>
  <r>
    <d v="2021-01-01T00:00:00"/>
    <s v="2020-21"/>
    <n v="2021"/>
    <n v="1"/>
    <s v="Jan"/>
    <x v="25"/>
    <n v="34"/>
    <s v="Union Territory"/>
    <n v="19.920000000000002"/>
    <n v="34.28"/>
    <n v="100.46"/>
    <n v="1.78"/>
    <n v="154.66"/>
    <n v="156.44"/>
    <m/>
  </r>
  <r>
    <d v="2021-01-01T00:00:00"/>
    <s v="2020-21"/>
    <n v="2021"/>
    <n v="1"/>
    <s v="Jan"/>
    <x v="26"/>
    <n v="3"/>
    <s v="State"/>
    <n v="324.76"/>
    <n v="566.74"/>
    <n v="444.35"/>
    <n v="16.11"/>
    <n v="1335.85"/>
    <n v="1351.96"/>
    <m/>
  </r>
  <r>
    <d v="2021-01-01T00:00:00"/>
    <s v="2020-21"/>
    <n v="2021"/>
    <n v="1"/>
    <s v="Jan"/>
    <x v="27"/>
    <n v="8"/>
    <s v="State"/>
    <n v="835.13"/>
    <n v="1129.3599999999999"/>
    <n v="1160.17"/>
    <n v="152.94"/>
    <n v="3124.66"/>
    <n v="3277.6"/>
    <m/>
  </r>
  <r>
    <d v="2021-01-01T00:00:00"/>
    <s v="2020-21"/>
    <n v="2021"/>
    <n v="1"/>
    <s v="Jan"/>
    <x v="28"/>
    <n v="11"/>
    <s v="State"/>
    <n v="12.24"/>
    <n v="15.71"/>
    <n v="215.75"/>
    <n v="0.17"/>
    <n v="243.7"/>
    <n v="243.87"/>
    <m/>
  </r>
  <r>
    <d v="2021-01-01T00:00:00"/>
    <s v="2020-21"/>
    <n v="2021"/>
    <n v="1"/>
    <s v="Jan"/>
    <x v="29"/>
    <n v="33"/>
    <s v="State"/>
    <n v="1865.72"/>
    <n v="2589.41"/>
    <n v="2370.9899999999998"/>
    <n v="567.1"/>
    <n v="6826.12"/>
    <n v="7393.22"/>
    <m/>
  </r>
  <r>
    <d v="2021-01-01T00:00:00"/>
    <s v="2020-21"/>
    <n v="2021"/>
    <n v="1"/>
    <s v="Jan"/>
    <x v="30"/>
    <n v="36"/>
    <s v="State"/>
    <n v="958.19"/>
    <n v="1307.47"/>
    <n v="1109.53"/>
    <n v="508.3"/>
    <n v="3375.19"/>
    <n v="3883.49"/>
    <m/>
  </r>
  <r>
    <d v="2021-01-01T00:00:00"/>
    <s v="2020-21"/>
    <n v="2021"/>
    <n v="1"/>
    <s v="Jan"/>
    <x v="31"/>
    <n v="16"/>
    <s v="State"/>
    <n v="25.15"/>
    <n v="35.35"/>
    <n v="9.5299999999999994"/>
    <n v="0.44"/>
    <n v="70.03"/>
    <n v="70.47"/>
    <m/>
  </r>
  <r>
    <d v="2021-01-01T00:00:00"/>
    <s v="2020-21"/>
    <n v="2021"/>
    <n v="1"/>
    <s v="Jan"/>
    <x v="32"/>
    <n v="9"/>
    <s v="State"/>
    <n v="1358.1"/>
    <n v="2037.09"/>
    <n v="1526.81"/>
    <n v="963.7"/>
    <n v="4922"/>
    <n v="5885.7"/>
    <m/>
  </r>
  <r>
    <d v="2021-01-01T00:00:00"/>
    <s v="2020-21"/>
    <n v="2021"/>
    <n v="1"/>
    <s v="Jan"/>
    <x v="33"/>
    <n v="5"/>
    <s v="State"/>
    <n v="218.53"/>
    <n v="327.66000000000003"/>
    <n v="669.94"/>
    <n v="9.92"/>
    <n v="1216.1300000000001"/>
    <n v="1226.05"/>
    <m/>
  </r>
  <r>
    <d v="2021-01-01T00:00:00"/>
    <s v="2020-21"/>
    <n v="2021"/>
    <n v="1"/>
    <s v="Jan"/>
    <x v="34"/>
    <n v="19"/>
    <s v="State"/>
    <n v="1278.23"/>
    <n v="1604.54"/>
    <n v="1003.56"/>
    <n v="312.52999999999997"/>
    <n v="3886.33"/>
    <n v="4198.8599999999997"/>
    <m/>
  </r>
  <r>
    <d v="2021-02-01T00:00:00"/>
    <s v="2020-21"/>
    <n v="2021"/>
    <n v="2"/>
    <s v="Feb"/>
    <x v="0"/>
    <n v="35"/>
    <s v="Union Territory"/>
    <n v="7.44"/>
    <n v="12.77"/>
    <n v="2.97"/>
    <n v="0.08"/>
    <n v="23.18"/>
    <n v="23.26"/>
    <m/>
  </r>
  <r>
    <d v="2021-02-01T00:00:00"/>
    <s v="2020-21"/>
    <n v="2021"/>
    <n v="2"/>
    <s v="Feb"/>
    <x v="1"/>
    <n v="28"/>
    <s v="State"/>
    <n v="592.54999999999995"/>
    <n v="814.07"/>
    <n v="1016.49"/>
    <n v="229.47"/>
    <n v="2423.11"/>
    <n v="2652.58"/>
    <m/>
  </r>
  <r>
    <d v="2021-02-01T00:00:00"/>
    <s v="2020-21"/>
    <n v="2021"/>
    <n v="2"/>
    <s v="Feb"/>
    <x v="2"/>
    <n v="12"/>
    <s v="State"/>
    <n v="23.18"/>
    <n v="30.55"/>
    <n v="7.6"/>
    <n v="0.04"/>
    <n v="61.33"/>
    <n v="61.37"/>
    <m/>
  </r>
  <r>
    <d v="2021-02-01T00:00:00"/>
    <s v="2020-21"/>
    <n v="2021"/>
    <n v="2"/>
    <s v="Feb"/>
    <x v="3"/>
    <n v="18"/>
    <s v="State"/>
    <n v="288.39999999999998"/>
    <n v="374.3"/>
    <n v="244.37"/>
    <n v="38.770000000000003"/>
    <n v="907.07"/>
    <n v="945.84"/>
    <m/>
  </r>
  <r>
    <d v="2021-02-01T00:00:00"/>
    <s v="2020-21"/>
    <n v="2021"/>
    <n v="2"/>
    <s v="Feb"/>
    <x v="4"/>
    <n v="10"/>
    <s v="State"/>
    <n v="302.68"/>
    <n v="468.16"/>
    <n v="168.6"/>
    <n v="188.55"/>
    <n v="939.44"/>
    <n v="1127.99"/>
    <m/>
  </r>
  <r>
    <d v="2021-02-01T00:00:00"/>
    <s v="2020-21"/>
    <n v="2021"/>
    <n v="2"/>
    <s v="Feb"/>
    <x v="5"/>
    <n v="4"/>
    <s v="Union Territory"/>
    <n v="28.96"/>
    <n v="37.94"/>
    <n v="81.17"/>
    <n v="0.43"/>
    <n v="148.07"/>
    <n v="148.5"/>
    <m/>
  </r>
  <r>
    <d v="2021-02-01T00:00:00"/>
    <s v="2020-21"/>
    <n v="2021"/>
    <n v="2"/>
    <s v="Feb"/>
    <x v="6"/>
    <n v="22"/>
    <s v="State"/>
    <n v="456.04"/>
    <n v="524.01"/>
    <n v="868.97"/>
    <n v="604.07000000000005"/>
    <n v="1849.02"/>
    <n v="2453.09"/>
    <m/>
  </r>
  <r>
    <d v="2021-02-01T00:00:00"/>
    <s v="2020-21"/>
    <n v="2021"/>
    <n v="2"/>
    <s v="Feb"/>
    <x v="7"/>
    <n v="38"/>
    <s v="Union Territory"/>
    <n v="32.82"/>
    <n v="42.21"/>
    <n v="162.44999999999999"/>
    <n v="0.22"/>
    <n v="237.48"/>
    <n v="237.7"/>
    <m/>
  </r>
  <r>
    <d v="2021-02-01T00:00:00"/>
    <s v="2020-21"/>
    <n v="2021"/>
    <n v="2"/>
    <s v="Feb"/>
    <x v="8"/>
    <n v="7"/>
    <s v="Union Territory"/>
    <n v="720.27"/>
    <n v="892.96"/>
    <n v="2026.94"/>
    <n v="87.29"/>
    <n v="3640.17"/>
    <n v="3727.46"/>
    <m/>
  </r>
  <r>
    <d v="2021-02-01T00:00:00"/>
    <s v="2020-21"/>
    <n v="2021"/>
    <n v="2"/>
    <s v="Feb"/>
    <x v="9"/>
    <n v="30"/>
    <s v="State"/>
    <n v="97.41"/>
    <n v="128.38"/>
    <n v="116.41"/>
    <n v="1.59"/>
    <n v="342.2"/>
    <n v="343.79"/>
    <m/>
  </r>
  <r>
    <d v="2021-02-01T00:00:00"/>
    <s v="2020-21"/>
    <n v="2021"/>
    <n v="2"/>
    <s v="Feb"/>
    <x v="10"/>
    <n v="24"/>
    <s v="State"/>
    <n v="2217.59"/>
    <n v="2727.93"/>
    <n v="2645.02"/>
    <n v="630.69000000000005"/>
    <n v="7590.54"/>
    <n v="8221.23"/>
    <m/>
  </r>
  <r>
    <d v="2021-02-01T00:00:00"/>
    <s v="2020-21"/>
    <n v="2021"/>
    <n v="2"/>
    <s v="Feb"/>
    <x v="11"/>
    <n v="6"/>
    <s v="State"/>
    <n v="859.97"/>
    <n v="1198.1500000000001"/>
    <n v="3118.85"/>
    <n v="412.84"/>
    <n v="5176.97"/>
    <n v="5589.81"/>
    <m/>
  </r>
  <r>
    <d v="2021-02-01T00:00:00"/>
    <s v="2020-21"/>
    <n v="2021"/>
    <n v="2"/>
    <s v="Feb"/>
    <x v="12"/>
    <n v="2"/>
    <s v="State"/>
    <n v="108.92"/>
    <n v="146.62"/>
    <n v="406.83"/>
    <n v="0.75"/>
    <n v="662.37"/>
    <n v="663.12"/>
    <m/>
  </r>
  <r>
    <d v="2021-02-01T00:00:00"/>
    <s v="2020-21"/>
    <n v="2021"/>
    <n v="2"/>
    <s v="Feb"/>
    <x v="13"/>
    <n v="1"/>
    <s v="Union Territory"/>
    <n v="97.22"/>
    <n v="141.12"/>
    <n v="89.88"/>
    <n v="1.67"/>
    <n v="328.22"/>
    <n v="329.89"/>
    <m/>
  </r>
  <r>
    <d v="2021-02-01T00:00:00"/>
    <s v="2020-21"/>
    <n v="2021"/>
    <n v="2"/>
    <s v="Feb"/>
    <x v="14"/>
    <n v="20"/>
    <s v="State"/>
    <n v="427.79"/>
    <n v="552.95000000000005"/>
    <n v="941.19"/>
    <n v="399.09"/>
    <n v="1921.93"/>
    <n v="2321.02"/>
    <m/>
  </r>
  <r>
    <d v="2021-02-01T00:00:00"/>
    <s v="2020-21"/>
    <n v="2021"/>
    <n v="2"/>
    <s v="Feb"/>
    <x v="15"/>
    <n v="29"/>
    <s v="State"/>
    <n v="1747.06"/>
    <n v="2230.65"/>
    <n v="2759.87"/>
    <n v="843.86"/>
    <n v="6737.58"/>
    <n v="7581.44"/>
    <m/>
  </r>
  <r>
    <d v="2021-02-01T00:00:00"/>
    <s v="2020-21"/>
    <n v="2021"/>
    <n v="2"/>
    <s v="Feb"/>
    <x v="16"/>
    <n v="32"/>
    <s v="State"/>
    <n v="599.27"/>
    <n v="856.89"/>
    <n v="344.42"/>
    <n v="5.52"/>
    <n v="1800.58"/>
    <n v="1806.1"/>
    <m/>
  </r>
  <r>
    <d v="2021-02-01T00:00:00"/>
    <s v="2020-21"/>
    <n v="2021"/>
    <n v="2"/>
    <s v="Feb"/>
    <x v="35"/>
    <n v="37"/>
    <s v="Union Territory"/>
    <n v="3.48"/>
    <n v="4.32"/>
    <n v="1.25"/>
    <n v="0.02"/>
    <n v="9.0500000000000007"/>
    <n v="9.07"/>
    <m/>
  </r>
  <r>
    <d v="2021-02-01T00:00:00"/>
    <s v="2020-21"/>
    <n v="2021"/>
    <n v="2"/>
    <s v="Feb"/>
    <x v="17"/>
    <n v="31"/>
    <s v="Union Territory"/>
    <n v="0.21"/>
    <n v="0.22"/>
    <n v="0.02"/>
    <n v="0"/>
    <n v="0.45"/>
    <n v="0.45"/>
    <m/>
  </r>
  <r>
    <d v="2021-02-01T00:00:00"/>
    <s v="2020-21"/>
    <n v="2021"/>
    <n v="2"/>
    <s v="Feb"/>
    <x v="18"/>
    <n v="23"/>
    <s v="State"/>
    <n v="657.2"/>
    <n v="832.56"/>
    <n v="712.09"/>
    <n v="589.72"/>
    <n v="2201.85"/>
    <n v="2791.57"/>
    <m/>
  </r>
  <r>
    <d v="2021-02-01T00:00:00"/>
    <s v="2020-21"/>
    <n v="2021"/>
    <n v="2"/>
    <s v="Feb"/>
    <x v="19"/>
    <n v="27"/>
    <s v="State"/>
    <n v="4469.8999999999996"/>
    <n v="5426.54"/>
    <n v="5095.79"/>
    <n v="1111.27"/>
    <n v="14992.23"/>
    <n v="16103.5"/>
    <m/>
  </r>
  <r>
    <d v="2021-02-01T00:00:00"/>
    <s v="2020-21"/>
    <n v="2021"/>
    <n v="2"/>
    <s v="Feb"/>
    <x v="20"/>
    <n v="14"/>
    <s v="State"/>
    <n v="10.56"/>
    <n v="15.03"/>
    <n v="6.59"/>
    <n v="0.17"/>
    <n v="32.18"/>
    <n v="32.35"/>
    <m/>
  </r>
  <r>
    <d v="2021-02-01T00:00:00"/>
    <s v="2020-21"/>
    <n v="2021"/>
    <n v="2"/>
    <s v="Feb"/>
    <x v="21"/>
    <n v="17"/>
    <s v="State"/>
    <n v="25.55"/>
    <n v="30.54"/>
    <n v="88.22"/>
    <n v="2.2000000000000002"/>
    <n v="144.31"/>
    <n v="146.51"/>
    <m/>
  </r>
  <r>
    <d v="2021-02-01T00:00:00"/>
    <s v="2020-21"/>
    <n v="2021"/>
    <n v="2"/>
    <s v="Feb"/>
    <x v="22"/>
    <n v="15"/>
    <s v="State"/>
    <n v="6.05"/>
    <n v="9.8000000000000007"/>
    <n v="5.18"/>
    <n v="0.03"/>
    <n v="21.03"/>
    <n v="21.06"/>
    <m/>
  </r>
  <r>
    <d v="2021-02-01T00:00:00"/>
    <s v="2020-21"/>
    <n v="2021"/>
    <n v="2"/>
    <s v="Feb"/>
    <x v="23"/>
    <n v="13"/>
    <s v="State"/>
    <n v="12.01"/>
    <n v="16.54"/>
    <n v="5.91"/>
    <n v="0.37"/>
    <n v="34.46"/>
    <n v="34.83"/>
    <m/>
  </r>
  <r>
    <d v="2021-02-01T00:00:00"/>
    <s v="2020-21"/>
    <n v="2021"/>
    <n v="2"/>
    <s v="Feb"/>
    <x v="24"/>
    <n v="21"/>
    <s v="State"/>
    <n v="624.16"/>
    <n v="781.06"/>
    <n v="1345.79"/>
    <n v="589.54999999999995"/>
    <n v="2751.01"/>
    <n v="3340.56"/>
    <m/>
  </r>
  <r>
    <d v="2021-02-01T00:00:00"/>
    <s v="2020-21"/>
    <n v="2021"/>
    <n v="2"/>
    <s v="Feb"/>
    <x v="25"/>
    <n v="34"/>
    <s v="Union Territory"/>
    <n v="19.22"/>
    <n v="29.09"/>
    <n v="109.61"/>
    <n v="0.14000000000000001"/>
    <n v="157.91999999999999"/>
    <n v="158.06"/>
    <m/>
  </r>
  <r>
    <d v="2021-02-01T00:00:00"/>
    <s v="2020-21"/>
    <n v="2021"/>
    <n v="2"/>
    <s v="Feb"/>
    <x v="26"/>
    <n v="3"/>
    <s v="State"/>
    <n v="330.06"/>
    <n v="510.88"/>
    <n v="447.67"/>
    <n v="10.77"/>
    <n v="1288.6099999999999"/>
    <n v="1299.3800000000001"/>
    <m/>
  </r>
  <r>
    <d v="2021-02-01T00:00:00"/>
    <s v="2020-21"/>
    <n v="2021"/>
    <n v="2"/>
    <s v="Feb"/>
    <x v="27"/>
    <n v="8"/>
    <s v="State"/>
    <n v="814"/>
    <n v="1068.46"/>
    <n v="1154.8499999999999"/>
    <n v="186.39"/>
    <n v="3037.31"/>
    <n v="3223.7"/>
    <m/>
  </r>
  <r>
    <d v="2021-02-01T00:00:00"/>
    <s v="2020-21"/>
    <n v="2021"/>
    <n v="2"/>
    <s v="Feb"/>
    <x v="28"/>
    <n v="11"/>
    <s v="State"/>
    <n v="12.97"/>
    <n v="18.48"/>
    <n v="190.84"/>
    <n v="0.05"/>
    <n v="222.29"/>
    <n v="222.34"/>
    <m/>
  </r>
  <r>
    <d v="2021-02-01T00:00:00"/>
    <s v="2020-21"/>
    <n v="2021"/>
    <n v="2"/>
    <s v="Feb"/>
    <x v="29"/>
    <n v="33"/>
    <s v="State"/>
    <n v="1770.87"/>
    <n v="2459.52"/>
    <n v="2109.4899999999998"/>
    <n v="668.33"/>
    <n v="6339.88"/>
    <n v="7008.21"/>
    <m/>
  </r>
  <r>
    <d v="2021-02-01T00:00:00"/>
    <s v="2020-21"/>
    <n v="2021"/>
    <n v="2"/>
    <s v="Feb"/>
    <x v="30"/>
    <n v="36"/>
    <s v="State"/>
    <n v="900.57"/>
    <n v="1173.4100000000001"/>
    <n v="986.92"/>
    <n v="575.54"/>
    <n v="3060.9"/>
    <n v="3636.44"/>
    <m/>
  </r>
  <r>
    <d v="2021-02-01T00:00:00"/>
    <s v="2020-21"/>
    <n v="2021"/>
    <n v="2"/>
    <s v="Feb"/>
    <x v="31"/>
    <n v="16"/>
    <s v="State"/>
    <n v="22.75"/>
    <n v="30.76"/>
    <n v="9.1199999999999992"/>
    <n v="0.62"/>
    <n v="62.63"/>
    <n v="63.25"/>
    <m/>
  </r>
  <r>
    <d v="2021-02-01T00:00:00"/>
    <s v="2020-21"/>
    <n v="2021"/>
    <n v="2"/>
    <s v="Feb"/>
    <x v="32"/>
    <n v="9"/>
    <s v="State"/>
    <n v="1281.2"/>
    <n v="1790.55"/>
    <n v="1626.48"/>
    <n v="1298.4000000000001"/>
    <n v="4698.2299999999996"/>
    <n v="5996.63"/>
    <m/>
  </r>
  <r>
    <d v="2021-02-01T00:00:00"/>
    <s v="2020-21"/>
    <n v="2021"/>
    <n v="2"/>
    <s v="Feb"/>
    <x v="33"/>
    <n v="5"/>
    <s v="State"/>
    <n v="212.69"/>
    <n v="308.44"/>
    <n v="647.44000000000005"/>
    <n v="12.56"/>
    <n v="1168.57"/>
    <n v="1181.1300000000001"/>
    <m/>
  </r>
  <r>
    <d v="2021-02-01T00:00:00"/>
    <s v="2020-21"/>
    <n v="2021"/>
    <n v="2"/>
    <s v="Feb"/>
    <x v="34"/>
    <n v="19"/>
    <s v="State"/>
    <n v="1291.8900000000001"/>
    <n v="1563"/>
    <n v="1105.93"/>
    <n v="374.17"/>
    <n v="3960.82"/>
    <n v="4334.99"/>
    <m/>
  </r>
  <r>
    <d v="2021-03-01T00:00:00"/>
    <s v="2020-21"/>
    <n v="2021"/>
    <n v="3"/>
    <s v="Mar"/>
    <x v="0"/>
    <n v="35"/>
    <s v="Union Territory"/>
    <n v="9.7200000000000006"/>
    <n v="12.93"/>
    <n v="2.9"/>
    <n v="0.11"/>
    <n v="25.55"/>
    <n v="25.66"/>
    <m/>
  </r>
  <r>
    <d v="2021-03-01T00:00:00"/>
    <s v="2020-21"/>
    <n v="2021"/>
    <n v="3"/>
    <s v="Mar"/>
    <x v="1"/>
    <n v="28"/>
    <s v="State"/>
    <n v="590.25"/>
    <n v="803.23"/>
    <n v="1075.06"/>
    <n v="216.54"/>
    <n v="2468.54"/>
    <n v="2685.08"/>
    <m/>
  </r>
  <r>
    <d v="2021-03-01T00:00:00"/>
    <s v="2020-21"/>
    <n v="2021"/>
    <n v="3"/>
    <s v="Mar"/>
    <x v="2"/>
    <n v="12"/>
    <s v="State"/>
    <n v="38.590000000000003"/>
    <n v="44.79"/>
    <n v="8.6300000000000008"/>
    <n v="0.02"/>
    <n v="92.01"/>
    <n v="92.03"/>
    <m/>
  </r>
  <r>
    <d v="2021-03-01T00:00:00"/>
    <s v="2020-21"/>
    <n v="2021"/>
    <n v="3"/>
    <s v="Mar"/>
    <x v="3"/>
    <n v="18"/>
    <s v="State"/>
    <n v="319.07"/>
    <n v="399.89"/>
    <n v="257.79000000000002"/>
    <n v="27.89"/>
    <n v="976.75"/>
    <n v="1004.64"/>
    <m/>
  </r>
  <r>
    <d v="2021-03-01T00:00:00"/>
    <s v="2020-21"/>
    <n v="2021"/>
    <n v="3"/>
    <s v="Mar"/>
    <x v="4"/>
    <n v="10"/>
    <s v="State"/>
    <n v="347.2"/>
    <n v="581.77"/>
    <n v="150.9"/>
    <n v="115.88"/>
    <n v="1079.8699999999999"/>
    <n v="1195.75"/>
    <m/>
  </r>
  <r>
    <d v="2021-03-01T00:00:00"/>
    <s v="2020-21"/>
    <n v="2021"/>
    <n v="3"/>
    <s v="Mar"/>
    <x v="5"/>
    <n v="4"/>
    <s v="Union Territory"/>
    <n v="31.81"/>
    <n v="41.05"/>
    <n v="91.94"/>
    <n v="0.47"/>
    <n v="164.8"/>
    <n v="165.27"/>
    <m/>
  </r>
  <r>
    <d v="2021-03-01T00:00:00"/>
    <s v="2020-21"/>
    <n v="2021"/>
    <n v="3"/>
    <s v="Mar"/>
    <x v="6"/>
    <n v="22"/>
    <s v="State"/>
    <n v="542.20000000000005"/>
    <n v="622.47"/>
    <n v="890.17"/>
    <n v="489.29"/>
    <n v="2054.84"/>
    <n v="2544.13"/>
    <m/>
  </r>
  <r>
    <d v="2021-03-01T00:00:00"/>
    <s v="2020-21"/>
    <n v="2021"/>
    <n v="3"/>
    <s v="Mar"/>
    <x v="7"/>
    <n v="38"/>
    <s v="Union Territory"/>
    <n v="38.549999999999997"/>
    <n v="50.88"/>
    <n v="202.28"/>
    <n v="7.0000000000000007E-2"/>
    <n v="291.70999999999998"/>
    <n v="291.77999999999997"/>
    <m/>
  </r>
  <r>
    <d v="2021-03-01T00:00:00"/>
    <s v="2020-21"/>
    <n v="2021"/>
    <n v="3"/>
    <s v="Mar"/>
    <x v="8"/>
    <n v="7"/>
    <s v="Union Territory"/>
    <n v="783.41"/>
    <n v="951.94"/>
    <n v="2090.31"/>
    <n v="100.31"/>
    <n v="3825.66"/>
    <n v="3925.97"/>
    <m/>
  </r>
  <r>
    <d v="2021-03-01T00:00:00"/>
    <s v="2020-21"/>
    <n v="2021"/>
    <n v="3"/>
    <s v="Mar"/>
    <x v="9"/>
    <n v="30"/>
    <s v="State"/>
    <n v="98.18"/>
    <n v="136.06"/>
    <n v="108.26"/>
    <n v="1.78"/>
    <n v="342.5"/>
    <n v="344.28"/>
    <m/>
  </r>
  <r>
    <d v="2021-03-01T00:00:00"/>
    <s v="2020-21"/>
    <n v="2021"/>
    <n v="3"/>
    <s v="Mar"/>
    <x v="10"/>
    <n v="24"/>
    <s v="State"/>
    <n v="2310.4299999999998"/>
    <n v="2815.06"/>
    <n v="2629.04"/>
    <n v="442.51"/>
    <n v="7754.53"/>
    <n v="8197.0400000000009"/>
    <m/>
  </r>
  <r>
    <d v="2021-03-01T00:00:00"/>
    <s v="2020-21"/>
    <n v="2021"/>
    <n v="3"/>
    <s v="Mar"/>
    <x v="11"/>
    <n v="6"/>
    <s v="State"/>
    <n v="930.02"/>
    <n v="1260.76"/>
    <n v="3104.72"/>
    <n v="414.11"/>
    <n v="5295.5"/>
    <n v="5709.61"/>
    <m/>
  </r>
  <r>
    <d v="2021-03-01T00:00:00"/>
    <s v="2020-21"/>
    <n v="2021"/>
    <n v="3"/>
    <s v="Mar"/>
    <x v="12"/>
    <n v="2"/>
    <s v="State"/>
    <n v="117.59"/>
    <n v="157.05000000000001"/>
    <n v="411.72"/>
    <n v="0.52"/>
    <n v="686.36"/>
    <n v="686.88"/>
    <m/>
  </r>
  <r>
    <d v="2021-03-01T00:00:00"/>
    <s v="2020-21"/>
    <n v="2021"/>
    <n v="3"/>
    <s v="Mar"/>
    <x v="13"/>
    <n v="1"/>
    <s v="Union Territory"/>
    <n v="99.41"/>
    <n v="163.18"/>
    <n v="85.98"/>
    <n v="3.05"/>
    <n v="348.57"/>
    <n v="351.62"/>
    <m/>
  </r>
  <r>
    <d v="2021-03-01T00:00:00"/>
    <s v="2020-21"/>
    <n v="2021"/>
    <n v="3"/>
    <s v="Mar"/>
    <x v="14"/>
    <n v="20"/>
    <s v="State"/>
    <n v="498.21"/>
    <n v="640.27"/>
    <n v="846.43"/>
    <n v="431.22"/>
    <n v="1984.91"/>
    <n v="2416.13"/>
    <m/>
  </r>
  <r>
    <d v="2021-03-01T00:00:00"/>
    <s v="2020-21"/>
    <n v="2021"/>
    <n v="3"/>
    <s v="Mar"/>
    <x v="15"/>
    <n v="29"/>
    <s v="State"/>
    <n v="1878.91"/>
    <n v="2377.71"/>
    <n v="2834.15"/>
    <n v="824.2"/>
    <n v="7090.77"/>
    <n v="7914.97"/>
    <m/>
  </r>
  <r>
    <d v="2021-03-01T00:00:00"/>
    <s v="2020-21"/>
    <n v="2021"/>
    <n v="3"/>
    <s v="Mar"/>
    <x v="16"/>
    <n v="32"/>
    <s v="State"/>
    <n v="637.29"/>
    <n v="863.89"/>
    <n v="322.10000000000002"/>
    <n v="4.66"/>
    <n v="1823.28"/>
    <n v="1827.94"/>
    <m/>
  </r>
  <r>
    <d v="2021-03-01T00:00:00"/>
    <s v="2020-21"/>
    <n v="2021"/>
    <n v="3"/>
    <s v="Mar"/>
    <x v="35"/>
    <n v="37"/>
    <s v="Union Territory"/>
    <n v="5.67"/>
    <n v="6.37"/>
    <n v="1.59"/>
    <n v="0.04"/>
    <n v="13.63"/>
    <n v="13.67"/>
    <m/>
  </r>
  <r>
    <d v="2021-03-01T00:00:00"/>
    <s v="2020-21"/>
    <n v="2021"/>
    <n v="3"/>
    <s v="Mar"/>
    <x v="17"/>
    <n v="31"/>
    <s v="Union Territory"/>
    <n v="0.64"/>
    <n v="0.82"/>
    <n v="0.08"/>
    <n v="0"/>
    <n v="1.54"/>
    <n v="1.54"/>
    <m/>
  </r>
  <r>
    <d v="2021-03-01T00:00:00"/>
    <s v="2020-21"/>
    <n v="2021"/>
    <n v="3"/>
    <s v="Mar"/>
    <x v="18"/>
    <n v="23"/>
    <s v="State"/>
    <n v="669.54"/>
    <n v="847.35"/>
    <n v="755.99"/>
    <n v="455.61"/>
    <n v="2272.88"/>
    <n v="2728.49"/>
    <m/>
  </r>
  <r>
    <d v="2021-03-01T00:00:00"/>
    <s v="2020-21"/>
    <n v="2021"/>
    <n v="3"/>
    <s v="Mar"/>
    <x v="19"/>
    <n v="27"/>
    <s v="State"/>
    <n v="4833.74"/>
    <n v="5669.22"/>
    <n v="5444.22"/>
    <n v="1091.31"/>
    <n v="15947.18"/>
    <n v="17038.490000000002"/>
    <m/>
  </r>
  <r>
    <d v="2021-03-01T00:00:00"/>
    <s v="2020-21"/>
    <n v="2021"/>
    <n v="3"/>
    <s v="Mar"/>
    <x v="20"/>
    <n v="14"/>
    <s v="State"/>
    <n v="20.69"/>
    <n v="24.92"/>
    <n v="4.59"/>
    <n v="0.16"/>
    <n v="50.2"/>
    <n v="50.36"/>
    <m/>
  </r>
  <r>
    <d v="2021-03-01T00:00:00"/>
    <s v="2020-21"/>
    <n v="2021"/>
    <n v="3"/>
    <s v="Mar"/>
    <x v="21"/>
    <n v="17"/>
    <s v="State"/>
    <n v="23.27"/>
    <n v="34.130000000000003"/>
    <n v="94.28"/>
    <n v="0.28000000000000003"/>
    <n v="151.68"/>
    <n v="151.96"/>
    <m/>
  </r>
  <r>
    <d v="2021-03-01T00:00:00"/>
    <s v="2020-21"/>
    <n v="2021"/>
    <n v="3"/>
    <s v="Mar"/>
    <x v="22"/>
    <n v="15"/>
    <s v="State"/>
    <n v="10.84"/>
    <n v="14.7"/>
    <n v="9.2799999999999994"/>
    <n v="0.1"/>
    <n v="34.82"/>
    <n v="34.92"/>
    <m/>
  </r>
  <r>
    <d v="2021-03-01T00:00:00"/>
    <s v="2020-21"/>
    <n v="2021"/>
    <n v="3"/>
    <s v="Mar"/>
    <x v="23"/>
    <n v="13"/>
    <s v="State"/>
    <n v="17.23"/>
    <n v="21.64"/>
    <n v="6.04"/>
    <n v="0.56999999999999995"/>
    <n v="44.91"/>
    <n v="45.48"/>
    <m/>
  </r>
  <r>
    <d v="2021-03-01T00:00:00"/>
    <s v="2020-21"/>
    <n v="2021"/>
    <n v="3"/>
    <s v="Mar"/>
    <x v="24"/>
    <n v="21"/>
    <s v="State"/>
    <n v="762.99"/>
    <n v="954.62"/>
    <n v="1036.5899999999999"/>
    <n v="531.09"/>
    <n v="2754.2"/>
    <n v="3285.29"/>
    <m/>
  </r>
  <r>
    <d v="2021-03-01T00:00:00"/>
    <s v="2020-21"/>
    <n v="2021"/>
    <n v="3"/>
    <s v="Mar"/>
    <x v="25"/>
    <n v="34"/>
    <s v="Union Territory"/>
    <n v="21.33"/>
    <n v="31.68"/>
    <n v="107.9"/>
    <n v="0.13"/>
    <n v="160.91"/>
    <n v="161.04"/>
    <m/>
  </r>
  <r>
    <d v="2021-03-01T00:00:00"/>
    <s v="2020-21"/>
    <n v="2021"/>
    <n v="3"/>
    <s v="Mar"/>
    <x v="26"/>
    <n v="3"/>
    <s v="State"/>
    <n v="349.54"/>
    <n v="544.35"/>
    <n v="450.88"/>
    <n v="17.079999999999998"/>
    <n v="1344.77"/>
    <n v="1361.85"/>
    <m/>
  </r>
  <r>
    <d v="2021-03-01T00:00:00"/>
    <s v="2020-21"/>
    <n v="2021"/>
    <n v="3"/>
    <s v="Mar"/>
    <x v="27"/>
    <n v="8"/>
    <s v="State"/>
    <n v="852.35"/>
    <n v="1132.52"/>
    <n v="1236.9100000000001"/>
    <n v="130"/>
    <n v="3221.78"/>
    <n v="3351.78"/>
    <m/>
  </r>
  <r>
    <d v="2021-03-01T00:00:00"/>
    <s v="2020-21"/>
    <n v="2021"/>
    <n v="3"/>
    <s v="Mar"/>
    <x v="28"/>
    <n v="11"/>
    <s v="State"/>
    <n v="13.66"/>
    <n v="19.95"/>
    <n v="179.82"/>
    <n v="0.23"/>
    <n v="213.43"/>
    <n v="213.66"/>
    <m/>
  </r>
  <r>
    <d v="2021-03-01T00:00:00"/>
    <s v="2020-21"/>
    <n v="2021"/>
    <n v="3"/>
    <s v="Mar"/>
    <x v="29"/>
    <n v="33"/>
    <s v="State"/>
    <n v="1914.53"/>
    <n v="2568.17"/>
    <n v="2315.88"/>
    <n v="780.59"/>
    <n v="6798.58"/>
    <n v="7579.17"/>
    <m/>
  </r>
  <r>
    <d v="2021-03-01T00:00:00"/>
    <s v="2020-21"/>
    <n v="2021"/>
    <n v="3"/>
    <s v="Mar"/>
    <x v="30"/>
    <n v="36"/>
    <s v="State"/>
    <n v="1057.6500000000001"/>
    <n v="1343.76"/>
    <n v="1142.6600000000001"/>
    <n v="622.35"/>
    <n v="3544.07"/>
    <n v="4166.42"/>
    <m/>
  </r>
  <r>
    <d v="2021-03-01T00:00:00"/>
    <s v="2020-21"/>
    <n v="2021"/>
    <n v="3"/>
    <s v="Mar"/>
    <x v="31"/>
    <n v="16"/>
    <s v="State"/>
    <n v="35.340000000000003"/>
    <n v="44.48"/>
    <n v="7.9"/>
    <n v="0.18"/>
    <n v="87.72"/>
    <n v="87.9"/>
    <m/>
  </r>
  <r>
    <d v="2021-03-01T00:00:00"/>
    <s v="2020-21"/>
    <n v="2021"/>
    <n v="3"/>
    <s v="Mar"/>
    <x v="32"/>
    <n v="9"/>
    <s v="State"/>
    <n v="1533.88"/>
    <n v="2119.04"/>
    <n v="1785.63"/>
    <n v="826.45"/>
    <n v="5438.55"/>
    <n v="6265"/>
    <m/>
  </r>
  <r>
    <d v="2021-03-01T00:00:00"/>
    <s v="2020-21"/>
    <n v="2021"/>
    <n v="3"/>
    <s v="Mar"/>
    <x v="33"/>
    <n v="5"/>
    <s v="State"/>
    <n v="230.19"/>
    <n v="354.39"/>
    <n v="711.04"/>
    <n v="7.95"/>
    <n v="1295.6199999999999"/>
    <n v="1303.57"/>
    <m/>
  </r>
  <r>
    <d v="2021-03-01T00:00:00"/>
    <s v="2020-21"/>
    <n v="2021"/>
    <n v="3"/>
    <s v="Mar"/>
    <x v="34"/>
    <n v="19"/>
    <s v="State"/>
    <n v="1342.61"/>
    <n v="1665.1"/>
    <n v="1093.8599999999999"/>
    <n v="285.22000000000003"/>
    <n v="4101.57"/>
    <n v="4386.79"/>
    <m/>
  </r>
  <r>
    <d v="2021-04-01T00:00:00"/>
    <s v="2021-22"/>
    <n v="2021"/>
    <n v="4"/>
    <s v="Apr"/>
    <x v="0"/>
    <n v="35"/>
    <s v="Union Territory"/>
    <n v="23.94"/>
    <n v="32.090000000000003"/>
    <n v="4.5599999999999996"/>
    <n v="0.01"/>
    <n v="60.59"/>
    <n v="60.6"/>
    <m/>
  </r>
  <r>
    <d v="2021-04-01T00:00:00"/>
    <s v="2021-22"/>
    <n v="2021"/>
    <n v="4"/>
    <s v="Apr"/>
    <x v="1"/>
    <n v="28"/>
    <s v="State"/>
    <n v="804.04"/>
    <n v="1079.07"/>
    <n v="1192.56"/>
    <n v="269.62"/>
    <n v="3075.67"/>
    <n v="3345.29"/>
    <m/>
  </r>
  <r>
    <d v="2021-04-01T00:00:00"/>
    <s v="2021-22"/>
    <n v="2021"/>
    <n v="4"/>
    <s v="Apr"/>
    <x v="2"/>
    <n v="12"/>
    <s v="State"/>
    <n v="43.65"/>
    <n v="51.05"/>
    <n v="8.32"/>
    <n v="0.22"/>
    <n v="103.02"/>
    <n v="103.24"/>
    <m/>
  </r>
  <r>
    <d v="2021-04-01T00:00:00"/>
    <s v="2021-22"/>
    <n v="2021"/>
    <n v="4"/>
    <s v="Apr"/>
    <x v="3"/>
    <n v="18"/>
    <s v="State"/>
    <n v="376.46"/>
    <n v="457.33"/>
    <n v="269.04000000000002"/>
    <n v="47.76"/>
    <n v="1102.83"/>
    <n v="1150.5899999999999"/>
    <m/>
  </r>
  <r>
    <d v="2021-04-01T00:00:00"/>
    <s v="2021-22"/>
    <n v="2021"/>
    <n v="4"/>
    <s v="Apr"/>
    <x v="4"/>
    <n v="10"/>
    <s v="State"/>
    <n v="440.54"/>
    <n v="675.73"/>
    <n v="227.95"/>
    <n v="164"/>
    <n v="1344.22"/>
    <n v="1508.22"/>
    <m/>
  </r>
  <r>
    <d v="2021-04-01T00:00:00"/>
    <s v="2021-22"/>
    <n v="2021"/>
    <n v="4"/>
    <s v="Apr"/>
    <x v="5"/>
    <n v="4"/>
    <s v="Union Territory"/>
    <n v="35.28"/>
    <n v="48.97"/>
    <n v="118.23"/>
    <n v="0.81"/>
    <n v="202.48"/>
    <n v="203.29"/>
    <m/>
  </r>
  <r>
    <d v="2021-04-01T00:00:00"/>
    <s v="2021-22"/>
    <n v="2021"/>
    <n v="4"/>
    <s v="Apr"/>
    <x v="6"/>
    <n v="22"/>
    <s v="State"/>
    <n v="514.13"/>
    <n v="586.17999999999995"/>
    <n v="869.88"/>
    <n v="702.39"/>
    <n v="1970.19"/>
    <n v="2672.58"/>
    <m/>
  </r>
  <r>
    <d v="2021-04-01T00:00:00"/>
    <s v="2021-22"/>
    <n v="2021"/>
    <n v="4"/>
    <s v="Apr"/>
    <x v="7"/>
    <n v="38"/>
    <s v="Union Territory"/>
    <n v="35.94"/>
    <n v="45.8"/>
    <n v="211.06"/>
    <n v="0.06"/>
    <n v="292.8"/>
    <n v="292.86"/>
    <m/>
  </r>
  <r>
    <d v="2021-04-01T00:00:00"/>
    <s v="2021-22"/>
    <n v="2021"/>
    <n v="4"/>
    <s v="Apr"/>
    <x v="8"/>
    <n v="7"/>
    <s v="Union Territory"/>
    <n v="1146.0999999999999"/>
    <n v="1375.87"/>
    <n v="2449.0300000000002"/>
    <n v="82.29"/>
    <n v="4971"/>
    <n v="5053.29"/>
    <m/>
  </r>
  <r>
    <d v="2021-04-01T00:00:00"/>
    <s v="2021-22"/>
    <n v="2021"/>
    <n v="4"/>
    <s v="Apr"/>
    <x v="9"/>
    <n v="30"/>
    <s v="State"/>
    <n v="107.41"/>
    <n v="146.84"/>
    <n v="143.85"/>
    <n v="2.62"/>
    <n v="398.1"/>
    <n v="400.72"/>
    <m/>
  </r>
  <r>
    <d v="2021-04-01T00:00:00"/>
    <s v="2021-22"/>
    <n v="2021"/>
    <n v="4"/>
    <s v="Apr"/>
    <x v="10"/>
    <n v="24"/>
    <s v="State"/>
    <n v="2769.85"/>
    <n v="3323.04"/>
    <n v="2967.19"/>
    <n v="572.28"/>
    <n v="9060.08"/>
    <n v="9632.36"/>
    <m/>
  </r>
  <r>
    <d v="2021-04-01T00:00:00"/>
    <s v="2021-22"/>
    <n v="2021"/>
    <n v="4"/>
    <s v="Apr"/>
    <x v="11"/>
    <n v="6"/>
    <s v="State"/>
    <n v="1038.46"/>
    <n v="1450.92"/>
    <n v="3677.26"/>
    <n v="491.67"/>
    <n v="6166.64"/>
    <n v="6658.31"/>
    <m/>
  </r>
  <r>
    <d v="2021-04-01T00:00:00"/>
    <s v="2021-22"/>
    <n v="2021"/>
    <n v="4"/>
    <s v="Apr"/>
    <x v="12"/>
    <n v="2"/>
    <s v="State"/>
    <n v="142.41"/>
    <n v="196.7"/>
    <n v="423.87"/>
    <n v="0.87"/>
    <n v="762.98"/>
    <n v="763.85"/>
    <m/>
  </r>
  <r>
    <d v="2021-04-01T00:00:00"/>
    <s v="2021-22"/>
    <n v="2021"/>
    <n v="4"/>
    <s v="Apr"/>
    <x v="13"/>
    <n v="1"/>
    <s v="Union Territory"/>
    <n v="150.80000000000001"/>
    <n v="244.63"/>
    <n v="109.02"/>
    <n v="4.42"/>
    <n v="504.45"/>
    <n v="508.87"/>
    <m/>
  </r>
  <r>
    <d v="2021-04-01T00:00:00"/>
    <s v="2021-22"/>
    <n v="2021"/>
    <n v="4"/>
    <s v="Apr"/>
    <x v="14"/>
    <n v="20"/>
    <s v="State"/>
    <n v="574.44000000000005"/>
    <n v="734.3"/>
    <n v="1103.5899999999999"/>
    <n v="543.92999999999995"/>
    <n v="2412.33"/>
    <n v="2956.26"/>
    <m/>
  </r>
  <r>
    <d v="2021-04-01T00:00:00"/>
    <s v="2021-22"/>
    <n v="2021"/>
    <n v="4"/>
    <s v="Apr"/>
    <x v="15"/>
    <n v="29"/>
    <s v="State"/>
    <n v="2438.17"/>
    <n v="3064.05"/>
    <n v="3570.32"/>
    <n v="882.87"/>
    <n v="9072.5400000000009"/>
    <n v="9955.41"/>
    <m/>
  </r>
  <r>
    <d v="2021-04-01T00:00:00"/>
    <s v="2021-22"/>
    <n v="2021"/>
    <n v="4"/>
    <s v="Apr"/>
    <x v="16"/>
    <n v="32"/>
    <s v="State"/>
    <n v="796.31"/>
    <n v="1075.8800000000001"/>
    <n v="582.29999999999995"/>
    <n v="11.83"/>
    <n v="2454.4899999999998"/>
    <n v="2466.3200000000002"/>
    <m/>
  </r>
  <r>
    <d v="2021-04-01T00:00:00"/>
    <s v="2021-22"/>
    <n v="2021"/>
    <n v="4"/>
    <s v="Apr"/>
    <x v="35"/>
    <n v="37"/>
    <s v="Union Territory"/>
    <n v="12.02"/>
    <n v="15.33"/>
    <n v="3.44"/>
    <n v="0.02"/>
    <n v="30.79"/>
    <n v="30.81"/>
    <m/>
  </r>
  <r>
    <d v="2021-04-01T00:00:00"/>
    <s v="2021-22"/>
    <n v="2021"/>
    <n v="4"/>
    <s v="Apr"/>
    <x v="17"/>
    <n v="31"/>
    <s v="Union Territory"/>
    <n v="1.62"/>
    <n v="1.76"/>
    <n v="0.34"/>
    <n v="0"/>
    <n v="3.72"/>
    <n v="3.72"/>
    <m/>
  </r>
  <r>
    <d v="2021-04-01T00:00:00"/>
    <s v="2021-22"/>
    <n v="2021"/>
    <n v="4"/>
    <s v="Apr"/>
    <x v="18"/>
    <n v="23"/>
    <s v="State"/>
    <n v="745.02"/>
    <n v="970.14"/>
    <n v="796.31"/>
    <n v="538.55999999999995"/>
    <n v="2511.4699999999998"/>
    <n v="3050.03"/>
    <m/>
  </r>
  <r>
    <d v="2021-04-01T00:00:00"/>
    <s v="2021-22"/>
    <n v="2021"/>
    <n v="4"/>
    <s v="Apr"/>
    <x v="19"/>
    <n v="27"/>
    <s v="State"/>
    <n v="5900.29"/>
    <n v="7029.04"/>
    <n v="8012.67"/>
    <n v="1070.6199999999999"/>
    <n v="20942"/>
    <n v="22012.62"/>
    <m/>
  </r>
  <r>
    <d v="2021-04-01T00:00:00"/>
    <s v="2021-22"/>
    <n v="2021"/>
    <n v="4"/>
    <s v="Apr"/>
    <x v="20"/>
    <n v="14"/>
    <s v="State"/>
    <n v="43.43"/>
    <n v="55.39"/>
    <n v="3.61"/>
    <n v="0.25"/>
    <n v="102.43"/>
    <n v="102.68"/>
    <m/>
  </r>
  <r>
    <d v="2021-04-01T00:00:00"/>
    <s v="2021-22"/>
    <n v="2021"/>
    <n v="4"/>
    <s v="Apr"/>
    <x v="21"/>
    <n v="17"/>
    <s v="State"/>
    <n v="39.67"/>
    <n v="46.35"/>
    <n v="119.67"/>
    <n v="0.43"/>
    <n v="205.69"/>
    <n v="206.12"/>
    <m/>
  </r>
  <r>
    <d v="2021-04-01T00:00:00"/>
    <s v="2021-22"/>
    <n v="2021"/>
    <n v="4"/>
    <s v="Apr"/>
    <x v="22"/>
    <n v="15"/>
    <s v="State"/>
    <n v="22.14"/>
    <n v="30.1"/>
    <n v="5.09"/>
    <n v="0.01"/>
    <n v="57.33"/>
    <n v="57.34"/>
    <m/>
  </r>
  <r>
    <d v="2021-04-01T00:00:00"/>
    <s v="2021-22"/>
    <n v="2021"/>
    <n v="4"/>
    <s v="Apr"/>
    <x v="23"/>
    <n v="13"/>
    <s v="State"/>
    <n v="19.13"/>
    <n v="24.38"/>
    <n v="7.62"/>
    <n v="0.47"/>
    <n v="51.13"/>
    <n v="51.6"/>
    <m/>
  </r>
  <r>
    <d v="2021-04-01T00:00:00"/>
    <s v="2021-22"/>
    <n v="2021"/>
    <n v="4"/>
    <s v="Apr"/>
    <x v="24"/>
    <n v="21"/>
    <s v="State"/>
    <n v="952.43"/>
    <n v="1126.67"/>
    <n v="1157.05"/>
    <n v="613.33000000000004"/>
    <n v="3236.15"/>
    <n v="3849.48"/>
    <m/>
  </r>
  <r>
    <d v="2021-04-01T00:00:00"/>
    <s v="2021-22"/>
    <n v="2021"/>
    <n v="4"/>
    <s v="Apr"/>
    <x v="25"/>
    <n v="34"/>
    <s v="Union Territory"/>
    <n v="22.03"/>
    <n v="34.979999999999997"/>
    <n v="112.2"/>
    <n v="0.28000000000000003"/>
    <n v="169.21"/>
    <n v="169.49"/>
    <m/>
  </r>
  <r>
    <d v="2021-04-01T00:00:00"/>
    <s v="2021-22"/>
    <n v="2021"/>
    <n v="4"/>
    <s v="Apr"/>
    <x v="26"/>
    <n v="3"/>
    <s v="State"/>
    <n v="466.4"/>
    <n v="728.68"/>
    <n v="708.49"/>
    <n v="20.53"/>
    <n v="1903.57"/>
    <n v="1924.1"/>
    <m/>
  </r>
  <r>
    <d v="2021-04-01T00:00:00"/>
    <s v="2021-22"/>
    <n v="2021"/>
    <n v="4"/>
    <s v="Apr"/>
    <x v="27"/>
    <n v="8"/>
    <s v="State"/>
    <n v="1044.75"/>
    <n v="1368.78"/>
    <n v="1276.01"/>
    <n v="130.79"/>
    <n v="3689.54"/>
    <n v="3820.33"/>
    <m/>
  </r>
  <r>
    <d v="2021-04-01T00:00:00"/>
    <s v="2021-22"/>
    <n v="2021"/>
    <n v="4"/>
    <s v="Apr"/>
    <x v="28"/>
    <n v="11"/>
    <s v="State"/>
    <n v="25.02"/>
    <n v="34.94"/>
    <n v="197.75"/>
    <n v="0.15"/>
    <n v="257.70999999999998"/>
    <n v="257.86"/>
    <m/>
  </r>
  <r>
    <d v="2021-04-01T00:00:00"/>
    <s v="2021-22"/>
    <n v="2021"/>
    <n v="4"/>
    <s v="Apr"/>
    <x v="29"/>
    <n v="33"/>
    <s v="State"/>
    <n v="2294.0300000000002"/>
    <n v="3121.79"/>
    <n v="3022.38"/>
    <n v="411.17"/>
    <n v="8438.2000000000007"/>
    <n v="8849.3700000000008"/>
    <m/>
  </r>
  <r>
    <d v="2021-04-01T00:00:00"/>
    <s v="2021-22"/>
    <n v="2021"/>
    <n v="4"/>
    <s v="Apr"/>
    <x v="30"/>
    <n v="36"/>
    <s v="State"/>
    <n v="1121.6600000000001"/>
    <n v="1460.28"/>
    <n v="1251.08"/>
    <n v="429.13"/>
    <n v="3833.02"/>
    <n v="4262.1499999999996"/>
    <m/>
  </r>
  <r>
    <d v="2021-04-01T00:00:00"/>
    <s v="2021-22"/>
    <n v="2021"/>
    <n v="4"/>
    <s v="Apr"/>
    <x v="31"/>
    <n v="16"/>
    <s v="State"/>
    <n v="43.53"/>
    <n v="56.93"/>
    <n v="9.4499999999999993"/>
    <n v="0.16"/>
    <n v="109.91"/>
    <n v="110.07"/>
    <m/>
  </r>
  <r>
    <d v="2021-04-01T00:00:00"/>
    <s v="2021-22"/>
    <n v="2021"/>
    <n v="4"/>
    <s v="Apr"/>
    <x v="32"/>
    <n v="9"/>
    <s v="State"/>
    <n v="1746.12"/>
    <n v="2493.75"/>
    <n v="2031.18"/>
    <n v="1083.95"/>
    <n v="6271.05"/>
    <n v="7355"/>
    <m/>
  </r>
  <r>
    <d v="2021-04-01T00:00:00"/>
    <s v="2021-22"/>
    <n v="2021"/>
    <n v="4"/>
    <s v="Apr"/>
    <x v="33"/>
    <n v="5"/>
    <s v="State"/>
    <n v="256.16000000000003"/>
    <n v="389.9"/>
    <n v="761.4"/>
    <n v="14.47"/>
    <n v="1407.46"/>
    <n v="1421.93"/>
    <m/>
  </r>
  <r>
    <d v="2021-04-01T00:00:00"/>
    <s v="2021-22"/>
    <n v="2021"/>
    <n v="4"/>
    <s v="Apr"/>
    <x v="34"/>
    <n v="19"/>
    <s v="State"/>
    <n v="1624.73"/>
    <n v="2019.54"/>
    <n v="1219.83"/>
    <n v="371.75"/>
    <n v="4864.1000000000004"/>
    <n v="5235.8500000000004"/>
    <m/>
  </r>
  <r>
    <d v="2021-05-01T00:00:00"/>
    <s v="2021-22"/>
    <n v="2021"/>
    <n v="5"/>
    <s v="May"/>
    <x v="0"/>
    <n v="35"/>
    <s v="Union Territory"/>
    <n v="19.420000000000002"/>
    <n v="25.84"/>
    <n v="3.04"/>
    <n v="0"/>
    <n v="48.3"/>
    <n v="48.3"/>
    <m/>
  </r>
  <r>
    <d v="2021-05-01T00:00:00"/>
    <s v="2021-22"/>
    <n v="2021"/>
    <n v="5"/>
    <s v="May"/>
    <x v="1"/>
    <n v="28"/>
    <s v="State"/>
    <n v="431.5"/>
    <n v="611.37"/>
    <n v="856.47"/>
    <n v="174.56"/>
    <n v="1899.34"/>
    <n v="2073.9"/>
    <m/>
  </r>
  <r>
    <d v="2021-05-01T00:00:00"/>
    <s v="2021-22"/>
    <n v="2021"/>
    <n v="5"/>
    <s v="May"/>
    <x v="2"/>
    <n v="12"/>
    <s v="State"/>
    <n v="13.7"/>
    <n v="17.649999999999999"/>
    <n v="5.13"/>
    <n v="0.01"/>
    <n v="36.479999999999997"/>
    <n v="36.49"/>
    <m/>
  </r>
  <r>
    <d v="2021-05-01T00:00:00"/>
    <s v="2021-22"/>
    <n v="2021"/>
    <n v="5"/>
    <s v="May"/>
    <x v="3"/>
    <n v="18"/>
    <s v="State"/>
    <n v="218.68"/>
    <n v="294.68"/>
    <n v="234.72"/>
    <n v="21.53"/>
    <n v="748.08"/>
    <n v="769.61"/>
    <m/>
  </r>
  <r>
    <d v="2021-05-01T00:00:00"/>
    <s v="2021-22"/>
    <n v="2021"/>
    <n v="5"/>
    <s v="May"/>
    <x v="4"/>
    <n v="10"/>
    <s v="State"/>
    <n v="198.92"/>
    <n v="366.65"/>
    <n v="110.92"/>
    <n v="172.55"/>
    <n v="676.49"/>
    <n v="849.04"/>
    <m/>
  </r>
  <r>
    <d v="2021-05-01T00:00:00"/>
    <s v="2021-22"/>
    <n v="2021"/>
    <n v="5"/>
    <s v="May"/>
    <x v="5"/>
    <n v="4"/>
    <s v="Union Territory"/>
    <n v="21.68"/>
    <n v="25.5"/>
    <n v="81.569999999999993"/>
    <n v="1.21"/>
    <n v="128.75"/>
    <n v="129.96"/>
    <m/>
  </r>
  <r>
    <d v="2021-05-01T00:00:00"/>
    <s v="2021-22"/>
    <n v="2021"/>
    <n v="5"/>
    <s v="May"/>
    <x v="6"/>
    <n v="22"/>
    <s v="State"/>
    <n v="337.88"/>
    <n v="389.15"/>
    <n v="774.06"/>
    <n v="524.88"/>
    <n v="1501.09"/>
    <n v="2025.97"/>
    <m/>
  </r>
  <r>
    <d v="2021-05-01T00:00:00"/>
    <s v="2021-22"/>
    <n v="2021"/>
    <n v="5"/>
    <s v="May"/>
    <x v="7"/>
    <n v="38"/>
    <s v="Union Territory"/>
    <n v="28.1"/>
    <n v="34.799999999999997"/>
    <n v="165.61"/>
    <n v="0.09"/>
    <n v="228.51"/>
    <n v="228.6"/>
    <m/>
  </r>
  <r>
    <d v="2021-05-01T00:00:00"/>
    <s v="2021-22"/>
    <n v="2021"/>
    <n v="5"/>
    <s v="May"/>
    <x v="8"/>
    <n v="7"/>
    <s v="Union Territory"/>
    <n v="538.04"/>
    <n v="624.07000000000005"/>
    <n v="1533.24"/>
    <n v="75.48"/>
    <n v="2695.35"/>
    <n v="2770.83"/>
    <m/>
  </r>
  <r>
    <d v="2021-05-01T00:00:00"/>
    <s v="2021-22"/>
    <n v="2021"/>
    <n v="5"/>
    <s v="May"/>
    <x v="9"/>
    <n v="30"/>
    <s v="State"/>
    <n v="52.01"/>
    <n v="74.459999999999994"/>
    <n v="101.52"/>
    <n v="0.97"/>
    <n v="227.99"/>
    <n v="228.96"/>
    <m/>
  </r>
  <r>
    <d v="2021-05-01T00:00:00"/>
    <s v="2021-22"/>
    <n v="2021"/>
    <n v="5"/>
    <s v="May"/>
    <x v="10"/>
    <n v="24"/>
    <s v="State"/>
    <n v="1655.66"/>
    <n v="2042.77"/>
    <n v="2074.08"/>
    <n v="609.29"/>
    <n v="5772.51"/>
    <n v="6381.8"/>
    <m/>
  </r>
  <r>
    <d v="2021-05-01T00:00:00"/>
    <s v="2021-22"/>
    <n v="2021"/>
    <n v="5"/>
    <s v="May"/>
    <x v="11"/>
    <n v="6"/>
    <s v="State"/>
    <n v="722.18"/>
    <n v="921.83"/>
    <n v="2591.7399999999998"/>
    <n v="427.23"/>
    <n v="4235.75"/>
    <n v="4662.9799999999996"/>
    <m/>
  </r>
  <r>
    <d v="2021-05-01T00:00:00"/>
    <s v="2021-22"/>
    <n v="2021"/>
    <n v="5"/>
    <s v="May"/>
    <x v="12"/>
    <n v="2"/>
    <s v="State"/>
    <n v="75.16"/>
    <n v="109.61"/>
    <n v="354.68"/>
    <n v="0.63"/>
    <n v="539.45000000000005"/>
    <n v="540.08000000000004"/>
    <m/>
  </r>
  <r>
    <d v="2021-05-01T00:00:00"/>
    <s v="2021-22"/>
    <n v="2021"/>
    <n v="5"/>
    <s v="May"/>
    <x v="13"/>
    <n v="1"/>
    <s v="Union Territory"/>
    <n v="60.74"/>
    <n v="93.22"/>
    <n v="74.39"/>
    <n v="3.68"/>
    <n v="228.35"/>
    <n v="232.03"/>
    <m/>
  </r>
  <r>
    <d v="2021-05-01T00:00:00"/>
    <s v="2021-22"/>
    <n v="2021"/>
    <n v="5"/>
    <s v="May"/>
    <x v="14"/>
    <n v="20"/>
    <s v="State"/>
    <n v="300.81"/>
    <n v="382.32"/>
    <n v="841.35"/>
    <n v="488.51"/>
    <n v="1524.48"/>
    <n v="2012.99"/>
    <m/>
  </r>
  <r>
    <d v="2021-05-01T00:00:00"/>
    <s v="2021-22"/>
    <n v="2021"/>
    <n v="5"/>
    <s v="May"/>
    <x v="15"/>
    <n v="29"/>
    <s v="State"/>
    <n v="1229.73"/>
    <n v="1538.5"/>
    <n v="2156.7600000000002"/>
    <n v="828.88"/>
    <n v="4924.99"/>
    <n v="5753.87"/>
    <m/>
  </r>
  <r>
    <d v="2021-05-01T00:00:00"/>
    <s v="2021-22"/>
    <n v="2021"/>
    <n v="5"/>
    <s v="May"/>
    <x v="16"/>
    <n v="32"/>
    <s v="State"/>
    <n v="319.92"/>
    <n v="477.18"/>
    <n v="346.99"/>
    <n v="2.4300000000000002"/>
    <n v="1144.0899999999999"/>
    <n v="1146.52"/>
    <m/>
  </r>
  <r>
    <d v="2021-05-01T00:00:00"/>
    <s v="2021-22"/>
    <n v="2021"/>
    <n v="5"/>
    <s v="May"/>
    <x v="35"/>
    <n v="37"/>
    <s v="Union Territory"/>
    <n v="1.81"/>
    <n v="3.05"/>
    <n v="0.45"/>
    <n v="0"/>
    <n v="5.31"/>
    <n v="5.31"/>
    <m/>
  </r>
  <r>
    <d v="2021-05-01T00:00:00"/>
    <s v="2021-22"/>
    <n v="2021"/>
    <n v="5"/>
    <s v="May"/>
    <x v="17"/>
    <n v="31"/>
    <s v="Union Territory"/>
    <n v="0.09"/>
    <n v="0.15"/>
    <n v="0.03"/>
    <n v="0"/>
    <n v="0.27"/>
    <n v="0.27"/>
    <m/>
  </r>
  <r>
    <d v="2021-05-01T00:00:00"/>
    <s v="2021-22"/>
    <n v="2021"/>
    <n v="5"/>
    <s v="May"/>
    <x v="18"/>
    <n v="23"/>
    <s v="State"/>
    <n v="382.9"/>
    <n v="491.04"/>
    <n v="578.98"/>
    <n v="475.48"/>
    <n v="1452.92"/>
    <n v="1928.4"/>
    <m/>
  </r>
  <r>
    <d v="2021-05-01T00:00:00"/>
    <s v="2021-22"/>
    <n v="2021"/>
    <n v="5"/>
    <s v="May"/>
    <x v="19"/>
    <n v="27"/>
    <s v="State"/>
    <n v="3760.78"/>
    <n v="4433.1899999999996"/>
    <n v="4360.53"/>
    <n v="1010.93"/>
    <n v="12554.5"/>
    <n v="13565.43"/>
    <m/>
  </r>
  <r>
    <d v="2021-05-01T00:00:00"/>
    <s v="2021-22"/>
    <n v="2021"/>
    <n v="5"/>
    <s v="May"/>
    <x v="20"/>
    <n v="14"/>
    <s v="State"/>
    <n v="7.71"/>
    <n v="10.53"/>
    <n v="3.37"/>
    <n v="0"/>
    <n v="21.61"/>
    <n v="21.61"/>
    <m/>
  </r>
  <r>
    <d v="2021-05-01T00:00:00"/>
    <s v="2021-22"/>
    <n v="2021"/>
    <n v="5"/>
    <s v="May"/>
    <x v="21"/>
    <n v="17"/>
    <s v="State"/>
    <n v="14.23"/>
    <n v="16.75"/>
    <n v="93.14"/>
    <n v="0.21"/>
    <n v="124.12"/>
    <n v="124.33"/>
    <m/>
  </r>
  <r>
    <d v="2021-05-01T00:00:00"/>
    <s v="2021-22"/>
    <n v="2021"/>
    <n v="5"/>
    <s v="May"/>
    <x v="22"/>
    <n v="15"/>
    <s v="State"/>
    <n v="4.9400000000000004"/>
    <n v="6.89"/>
    <n v="2.89"/>
    <n v="0.01"/>
    <n v="14.72"/>
    <n v="14.73"/>
    <m/>
  </r>
  <r>
    <d v="2021-05-01T00:00:00"/>
    <s v="2021-22"/>
    <n v="2021"/>
    <n v="5"/>
    <s v="May"/>
    <x v="23"/>
    <n v="13"/>
    <s v="State"/>
    <n v="11.27"/>
    <n v="14.63"/>
    <n v="3.46"/>
    <n v="0.05"/>
    <n v="29.36"/>
    <n v="29.41"/>
    <m/>
  </r>
  <r>
    <d v="2021-05-01T00:00:00"/>
    <s v="2021-22"/>
    <n v="2021"/>
    <n v="5"/>
    <s v="May"/>
    <x v="24"/>
    <n v="21"/>
    <s v="State"/>
    <n v="690.32"/>
    <n v="827.43"/>
    <n v="1094.7"/>
    <n v="584.29999999999995"/>
    <n v="2612.4499999999998"/>
    <n v="3196.75"/>
    <m/>
  </r>
  <r>
    <d v="2021-05-01T00:00:00"/>
    <s v="2021-22"/>
    <n v="2021"/>
    <n v="5"/>
    <s v="May"/>
    <x v="25"/>
    <n v="34"/>
    <s v="Union Territory"/>
    <n v="11.67"/>
    <n v="17.3"/>
    <n v="93.75"/>
    <n v="0.4"/>
    <n v="122.72"/>
    <n v="123.12"/>
    <m/>
  </r>
  <r>
    <d v="2021-05-01T00:00:00"/>
    <s v="2021-22"/>
    <n v="2021"/>
    <n v="5"/>
    <s v="May"/>
    <x v="26"/>
    <n v="3"/>
    <s v="State"/>
    <n v="288.27"/>
    <n v="462.95"/>
    <n v="493.13"/>
    <n v="21.43"/>
    <n v="1244.3499999999999"/>
    <n v="1265.78"/>
    <m/>
  </r>
  <r>
    <d v="2021-05-01T00:00:00"/>
    <s v="2021-22"/>
    <n v="2021"/>
    <n v="5"/>
    <s v="May"/>
    <x v="27"/>
    <n v="8"/>
    <s v="State"/>
    <n v="579.26"/>
    <n v="782.08"/>
    <n v="913.53"/>
    <n v="189.01"/>
    <n v="2274.87"/>
    <n v="2463.88"/>
    <m/>
  </r>
  <r>
    <d v="2021-05-01T00:00:00"/>
    <s v="2021-22"/>
    <n v="2021"/>
    <n v="5"/>
    <s v="May"/>
    <x v="28"/>
    <n v="11"/>
    <s v="State"/>
    <n v="10.3"/>
    <n v="11.87"/>
    <n v="227.6"/>
    <n v="0.03"/>
    <n v="249.77"/>
    <n v="249.8"/>
    <m/>
  </r>
  <r>
    <d v="2021-05-01T00:00:00"/>
    <s v="2021-22"/>
    <n v="2021"/>
    <n v="5"/>
    <s v="May"/>
    <x v="29"/>
    <n v="33"/>
    <s v="State"/>
    <n v="1325.49"/>
    <n v="1764.11"/>
    <n v="1834.61"/>
    <n v="667.52"/>
    <n v="4924.21"/>
    <n v="5591.73"/>
    <m/>
  </r>
  <r>
    <d v="2021-05-01T00:00:00"/>
    <s v="2021-22"/>
    <n v="2021"/>
    <n v="5"/>
    <s v="May"/>
    <x v="30"/>
    <n v="36"/>
    <s v="State"/>
    <n v="622.63"/>
    <n v="856.3"/>
    <n v="904.67"/>
    <n v="600.76"/>
    <n v="2383.6"/>
    <n v="2984.36"/>
    <m/>
  </r>
  <r>
    <d v="2021-05-01T00:00:00"/>
    <s v="2021-22"/>
    <n v="2021"/>
    <n v="5"/>
    <s v="May"/>
    <x v="31"/>
    <n v="16"/>
    <s v="State"/>
    <n v="13.9"/>
    <n v="19.22"/>
    <n v="5.98"/>
    <n v="0.05"/>
    <n v="39.1"/>
    <n v="39.15"/>
    <m/>
  </r>
  <r>
    <d v="2021-05-01T00:00:00"/>
    <s v="2021-22"/>
    <n v="2021"/>
    <n v="5"/>
    <s v="May"/>
    <x v="32"/>
    <n v="9"/>
    <s v="State"/>
    <n v="1002.21"/>
    <n v="1436.93"/>
    <n v="1223.24"/>
    <n v="1047.18"/>
    <n v="3662.38"/>
    <n v="4709.5600000000004"/>
    <m/>
  </r>
  <r>
    <d v="2021-05-01T00:00:00"/>
    <s v="2021-22"/>
    <n v="2021"/>
    <n v="5"/>
    <s v="May"/>
    <x v="33"/>
    <n v="5"/>
    <s v="State"/>
    <n v="156.33000000000001"/>
    <n v="224.74"/>
    <n v="503.27"/>
    <n v="9.07"/>
    <n v="884.34"/>
    <n v="893.41"/>
    <m/>
  </r>
  <r>
    <d v="2021-05-01T00:00:00"/>
    <s v="2021-22"/>
    <n v="2021"/>
    <n v="5"/>
    <s v="May"/>
    <x v="34"/>
    <n v="19"/>
    <s v="State"/>
    <n v="1007.05"/>
    <n v="1322.1"/>
    <n v="842.2"/>
    <n v="418.86"/>
    <n v="3171.35"/>
    <n v="3590.21"/>
    <m/>
  </r>
  <r>
    <d v="2021-06-01T00:00:00"/>
    <s v="2021-22"/>
    <n v="2021"/>
    <n v="6"/>
    <s v="Jun"/>
    <x v="0"/>
    <n v="35"/>
    <s v="Union Territory"/>
    <n v="4.25"/>
    <n v="5.62"/>
    <n v="1.66"/>
    <n v="0.01"/>
    <n v="11.53"/>
    <n v="11.54"/>
    <m/>
  </r>
  <r>
    <d v="2021-06-01T00:00:00"/>
    <s v="2021-22"/>
    <n v="2021"/>
    <n v="6"/>
    <s v="Jun"/>
    <x v="1"/>
    <n v="28"/>
    <s v="State"/>
    <n v="512.11"/>
    <n v="653.82000000000005"/>
    <n v="784.26"/>
    <n v="100.57"/>
    <n v="1950.19"/>
    <n v="2050.7600000000002"/>
    <m/>
  </r>
  <r>
    <d v="2021-06-01T00:00:00"/>
    <s v="2021-22"/>
    <n v="2021"/>
    <n v="6"/>
    <s v="Jun"/>
    <x v="2"/>
    <n v="12"/>
    <s v="State"/>
    <n v="13.18"/>
    <n v="15.91"/>
    <n v="3.87"/>
    <n v="0.13"/>
    <n v="32.96"/>
    <n v="33.090000000000003"/>
    <m/>
  </r>
  <r>
    <d v="2021-06-01T00:00:00"/>
    <s v="2021-22"/>
    <n v="2021"/>
    <n v="6"/>
    <s v="Jun"/>
    <x v="3"/>
    <n v="18"/>
    <s v="State"/>
    <n v="187.91"/>
    <n v="235.16"/>
    <n v="208.82"/>
    <n v="29.93"/>
    <n v="631.89"/>
    <n v="661.82"/>
    <m/>
  </r>
  <r>
    <d v="2021-06-01T00:00:00"/>
    <s v="2021-22"/>
    <n v="2021"/>
    <n v="6"/>
    <s v="Jun"/>
    <x v="4"/>
    <n v="10"/>
    <s v="State"/>
    <n v="242.46"/>
    <n v="368.62"/>
    <n v="119.86"/>
    <n v="158.01"/>
    <n v="730.94"/>
    <n v="888.95"/>
    <m/>
  </r>
  <r>
    <d v="2021-06-01T00:00:00"/>
    <s v="2021-22"/>
    <n v="2021"/>
    <n v="6"/>
    <s v="Jun"/>
    <x v="5"/>
    <n v="4"/>
    <s v="Union Territory"/>
    <n v="21.01"/>
    <n v="28.42"/>
    <n v="69.64"/>
    <n v="1.38"/>
    <n v="119.07"/>
    <n v="120.45"/>
    <m/>
  </r>
  <r>
    <d v="2021-06-01T00:00:00"/>
    <s v="2021-22"/>
    <n v="2021"/>
    <n v="6"/>
    <s v="Jun"/>
    <x v="6"/>
    <n v="22"/>
    <s v="State"/>
    <n v="439.57"/>
    <n v="488.1"/>
    <n v="744.44"/>
    <n v="557.51"/>
    <n v="1672.11"/>
    <n v="2229.62"/>
    <m/>
  </r>
  <r>
    <d v="2021-06-01T00:00:00"/>
    <s v="2021-22"/>
    <n v="2021"/>
    <n v="6"/>
    <s v="Jun"/>
    <x v="7"/>
    <n v="38"/>
    <s v="Union Territory"/>
    <n v="38.82"/>
    <n v="46.86"/>
    <n v="157.35"/>
    <n v="0.08"/>
    <n v="243.03"/>
    <n v="243.11"/>
    <m/>
  </r>
  <r>
    <d v="2021-06-01T00:00:00"/>
    <s v="2021-22"/>
    <n v="2021"/>
    <n v="6"/>
    <s v="Jun"/>
    <x v="8"/>
    <n v="7"/>
    <s v="Union Territory"/>
    <n v="497.13"/>
    <n v="601.89"/>
    <n v="1494.28"/>
    <n v="62.32"/>
    <n v="2593.3000000000002"/>
    <n v="2655.62"/>
    <m/>
  </r>
  <r>
    <d v="2021-06-01T00:00:00"/>
    <s v="2021-22"/>
    <n v="2021"/>
    <n v="6"/>
    <s v="Jun"/>
    <x v="9"/>
    <n v="30"/>
    <s v="State"/>
    <n v="65.5"/>
    <n v="84.45"/>
    <n v="105.09"/>
    <n v="1.29"/>
    <n v="255.04"/>
    <n v="256.33"/>
    <m/>
  </r>
  <r>
    <d v="2021-06-01T00:00:00"/>
    <s v="2021-22"/>
    <n v="2021"/>
    <n v="6"/>
    <s v="Jun"/>
    <x v="10"/>
    <n v="24"/>
    <s v="State"/>
    <n v="1739.55"/>
    <n v="2081.7199999999998"/>
    <n v="1952.49"/>
    <n v="353.97"/>
    <n v="5773.76"/>
    <n v="6127.73"/>
    <m/>
  </r>
  <r>
    <d v="2021-06-01T00:00:00"/>
    <s v="2021-22"/>
    <n v="2021"/>
    <n v="6"/>
    <s v="Jun"/>
    <x v="11"/>
    <n v="6"/>
    <s v="State"/>
    <n v="678.7"/>
    <n v="870.28"/>
    <n v="2096.92"/>
    <n v="155.09"/>
    <n v="3645.9"/>
    <n v="3800.99"/>
    <m/>
  </r>
  <r>
    <d v="2021-06-01T00:00:00"/>
    <s v="2021-22"/>
    <n v="2021"/>
    <n v="6"/>
    <s v="Jun"/>
    <x v="12"/>
    <n v="2"/>
    <s v="State"/>
    <n v="87.31"/>
    <n v="119.87"/>
    <n v="311.13"/>
    <n v="0.78"/>
    <n v="518.30999999999995"/>
    <n v="519.09"/>
    <m/>
  </r>
  <r>
    <d v="2021-06-01T00:00:00"/>
    <s v="2021-22"/>
    <n v="2021"/>
    <n v="6"/>
    <s v="Jun"/>
    <x v="13"/>
    <n v="1"/>
    <s v="Union Territory"/>
    <n v="75.58"/>
    <n v="123.78"/>
    <n v="95.25"/>
    <n v="5.13"/>
    <n v="294.61"/>
    <n v="299.74"/>
    <m/>
  </r>
  <r>
    <d v="2021-06-01T00:00:00"/>
    <s v="2021-22"/>
    <n v="2021"/>
    <n v="6"/>
    <s v="Jun"/>
    <x v="14"/>
    <n v="20"/>
    <s v="State"/>
    <n v="316.16000000000003"/>
    <n v="391.82"/>
    <n v="843.62"/>
    <n v="479.94"/>
    <n v="1551.6"/>
    <n v="2031.54"/>
    <m/>
  </r>
  <r>
    <d v="2021-06-01T00:00:00"/>
    <s v="2021-22"/>
    <n v="2021"/>
    <n v="6"/>
    <s v="Jun"/>
    <x v="15"/>
    <n v="29"/>
    <s v="State"/>
    <n v="1237.19"/>
    <n v="1501.72"/>
    <n v="2119.16"/>
    <n v="245.02"/>
    <n v="4858.07"/>
    <n v="5103.09"/>
    <m/>
  </r>
  <r>
    <d v="2021-06-01T00:00:00"/>
    <s v="2021-22"/>
    <n v="2021"/>
    <n v="6"/>
    <s v="Jun"/>
    <x v="16"/>
    <n v="32"/>
    <s v="State"/>
    <n v="313.19"/>
    <n v="438.46"/>
    <n v="244.61"/>
    <n v="2.12"/>
    <n v="996.26"/>
    <n v="998.38"/>
    <m/>
  </r>
  <r>
    <d v="2021-06-01T00:00:00"/>
    <s v="2021-22"/>
    <n v="2021"/>
    <n v="6"/>
    <s v="Jun"/>
    <x v="35"/>
    <n v="37"/>
    <s v="Union Territory"/>
    <n v="2.13"/>
    <n v="2.94"/>
    <n v="0.99"/>
    <n v="0"/>
    <n v="6.06"/>
    <n v="6.06"/>
    <m/>
  </r>
  <r>
    <d v="2021-06-01T00:00:00"/>
    <s v="2021-22"/>
    <n v="2021"/>
    <n v="6"/>
    <s v="Jun"/>
    <x v="17"/>
    <n v="31"/>
    <s v="Union Territory"/>
    <n v="0.18"/>
    <n v="0.18"/>
    <n v="0.11"/>
    <n v="0"/>
    <n v="0.47"/>
    <n v="0.47"/>
    <m/>
  </r>
  <r>
    <d v="2021-06-01T00:00:00"/>
    <s v="2021-22"/>
    <n v="2021"/>
    <n v="6"/>
    <s v="Jun"/>
    <x v="18"/>
    <n v="23"/>
    <s v="State"/>
    <n v="437.98"/>
    <n v="556.08000000000004"/>
    <n v="545.76"/>
    <n v="558.62"/>
    <n v="1539.82"/>
    <n v="2098.44"/>
    <m/>
  </r>
  <r>
    <d v="2021-06-01T00:00:00"/>
    <s v="2021-22"/>
    <n v="2021"/>
    <n v="6"/>
    <s v="Jun"/>
    <x v="19"/>
    <n v="27"/>
    <s v="State"/>
    <n v="3814.76"/>
    <n v="4411.37"/>
    <n v="4553.3"/>
    <n v="942.43"/>
    <n v="12779.43"/>
    <n v="13721.86"/>
    <m/>
  </r>
  <r>
    <d v="2021-06-01T00:00:00"/>
    <s v="2021-22"/>
    <n v="2021"/>
    <n v="6"/>
    <s v="Jun"/>
    <x v="20"/>
    <n v="14"/>
    <s v="State"/>
    <n v="8.64"/>
    <n v="11.06"/>
    <n v="2.11"/>
    <n v="0.04"/>
    <n v="21.81"/>
    <n v="21.85"/>
    <m/>
  </r>
  <r>
    <d v="2021-06-01T00:00:00"/>
    <s v="2021-22"/>
    <n v="2021"/>
    <n v="6"/>
    <s v="Jun"/>
    <x v="21"/>
    <n v="17"/>
    <s v="State"/>
    <n v="13.98"/>
    <n v="17.260000000000002"/>
    <n v="73.459999999999994"/>
    <n v="0.15"/>
    <n v="104.7"/>
    <n v="104.85"/>
    <m/>
  </r>
  <r>
    <d v="2021-06-01T00:00:00"/>
    <s v="2021-22"/>
    <n v="2021"/>
    <n v="6"/>
    <s v="Jun"/>
    <x v="22"/>
    <n v="15"/>
    <s v="State"/>
    <n v="5.79"/>
    <n v="7.92"/>
    <n v="3.64"/>
    <n v="0.02"/>
    <n v="17.350000000000001"/>
    <n v="17.37"/>
    <m/>
  </r>
  <r>
    <d v="2021-06-01T00:00:00"/>
    <s v="2021-22"/>
    <n v="2021"/>
    <n v="6"/>
    <s v="Jun"/>
    <x v="23"/>
    <n v="13"/>
    <s v="State"/>
    <n v="11.3"/>
    <n v="15.55"/>
    <n v="2.89"/>
    <n v="0.39"/>
    <n v="29.74"/>
    <n v="30.13"/>
    <m/>
  </r>
  <r>
    <d v="2021-06-01T00:00:00"/>
    <s v="2021-22"/>
    <n v="2021"/>
    <n v="6"/>
    <s v="Jun"/>
    <x v="24"/>
    <n v="21"/>
    <s v="State"/>
    <n v="743.16"/>
    <n v="858.83"/>
    <n v="842.65"/>
    <n v="555.27"/>
    <n v="2444.64"/>
    <n v="2999.91"/>
    <m/>
  </r>
  <r>
    <d v="2021-06-01T00:00:00"/>
    <s v="2021-22"/>
    <n v="2021"/>
    <n v="6"/>
    <s v="Jun"/>
    <x v="25"/>
    <n v="34"/>
    <s v="Union Territory"/>
    <n v="12.84"/>
    <n v="20.48"/>
    <n v="70.55"/>
    <n v="0.22"/>
    <n v="103.87"/>
    <n v="104.09"/>
    <m/>
  </r>
  <r>
    <d v="2021-06-01T00:00:00"/>
    <s v="2021-22"/>
    <n v="2021"/>
    <n v="6"/>
    <s v="Jun"/>
    <x v="26"/>
    <n v="3"/>
    <s v="State"/>
    <n v="274.91000000000003"/>
    <n v="410.85"/>
    <n v="407.81"/>
    <n v="17.559999999999999"/>
    <n v="1093.57"/>
    <n v="1111.1300000000001"/>
    <m/>
  </r>
  <r>
    <d v="2021-06-01T00:00:00"/>
    <s v="2021-22"/>
    <n v="2021"/>
    <n v="6"/>
    <s v="Jun"/>
    <x v="27"/>
    <n v="8"/>
    <s v="State"/>
    <n v="621.09"/>
    <n v="781.45"/>
    <n v="683.54"/>
    <n v="89.88"/>
    <n v="2086.08"/>
    <n v="2175.96"/>
    <m/>
  </r>
  <r>
    <d v="2021-06-01T00:00:00"/>
    <s v="2021-22"/>
    <n v="2021"/>
    <n v="6"/>
    <s v="Jun"/>
    <x v="28"/>
    <n v="11"/>
    <s v="State"/>
    <n v="11.04"/>
    <n v="17.75"/>
    <n v="182.92"/>
    <n v="0.01"/>
    <n v="211.71"/>
    <n v="211.72"/>
    <m/>
  </r>
  <r>
    <d v="2021-06-01T00:00:00"/>
    <s v="2021-22"/>
    <n v="2021"/>
    <n v="6"/>
    <s v="Jun"/>
    <x v="29"/>
    <n v="33"/>
    <s v="State"/>
    <n v="1152.6400000000001"/>
    <n v="1499.14"/>
    <n v="1395.94"/>
    <n v="331.89"/>
    <n v="4047.72"/>
    <n v="4379.6099999999997"/>
    <m/>
  </r>
  <r>
    <d v="2021-06-01T00:00:00"/>
    <s v="2021-22"/>
    <n v="2021"/>
    <n v="6"/>
    <s v="Jun"/>
    <x v="30"/>
    <n v="36"/>
    <s v="State"/>
    <n v="662.31"/>
    <n v="872.76"/>
    <n v="850.31"/>
    <n v="459.8"/>
    <n v="2385.38"/>
    <n v="2845.18"/>
    <m/>
  </r>
  <r>
    <d v="2021-06-01T00:00:00"/>
    <s v="2021-22"/>
    <n v="2021"/>
    <n v="6"/>
    <s v="Jun"/>
    <x v="31"/>
    <n v="16"/>
    <s v="State"/>
    <n v="16.190000000000001"/>
    <n v="21.85"/>
    <n v="4.58"/>
    <n v="0.09"/>
    <n v="42.62"/>
    <n v="42.71"/>
    <m/>
  </r>
  <r>
    <d v="2021-06-01T00:00:00"/>
    <s v="2021-22"/>
    <n v="2021"/>
    <n v="6"/>
    <s v="Jun"/>
    <x v="32"/>
    <n v="9"/>
    <s v="State"/>
    <n v="1091.48"/>
    <n v="1540.3"/>
    <n v="1175.67"/>
    <n v="780.91"/>
    <n v="3807.45"/>
    <n v="4588.3599999999997"/>
    <m/>
  </r>
  <r>
    <d v="2021-06-01T00:00:00"/>
    <s v="2021-22"/>
    <n v="2021"/>
    <n v="6"/>
    <s v="Jun"/>
    <x v="33"/>
    <n v="5"/>
    <s v="State"/>
    <n v="154.88999999999999"/>
    <n v="209.14"/>
    <n v="332.49"/>
    <n v="5.77"/>
    <n v="696.52"/>
    <n v="702.29"/>
    <m/>
  </r>
  <r>
    <d v="2021-06-01T00:00:00"/>
    <s v="2021-22"/>
    <n v="2021"/>
    <n v="6"/>
    <s v="Jun"/>
    <x v="34"/>
    <n v="19"/>
    <s v="State"/>
    <n v="820.11"/>
    <n v="1020.95"/>
    <n v="659.21"/>
    <n v="243.68"/>
    <n v="2500.27"/>
    <n v="2743.95"/>
    <m/>
  </r>
  <r>
    <d v="2021-07-01T00:00:00"/>
    <s v="2021-22"/>
    <n v="2021"/>
    <n v="7"/>
    <s v="Jul"/>
    <x v="0"/>
    <n v="35"/>
    <s v="Union Territory"/>
    <n v="5.93"/>
    <n v="10.09"/>
    <n v="2.4900000000000002"/>
    <n v="0.06"/>
    <n v="18.510000000000002"/>
    <n v="18.57"/>
    <m/>
  </r>
  <r>
    <d v="2021-07-01T00:00:00"/>
    <s v="2021-22"/>
    <n v="2021"/>
    <n v="7"/>
    <s v="Jul"/>
    <x v="1"/>
    <n v="28"/>
    <s v="State"/>
    <n v="669.41"/>
    <n v="927.77"/>
    <n v="956.19"/>
    <n v="176.97"/>
    <n v="2553.37"/>
    <n v="2730.34"/>
    <m/>
  </r>
  <r>
    <d v="2021-07-01T00:00:00"/>
    <s v="2021-22"/>
    <n v="2021"/>
    <n v="7"/>
    <s v="Jul"/>
    <x v="2"/>
    <n v="12"/>
    <s v="State"/>
    <n v="21.25"/>
    <n v="26.15"/>
    <n v="8.06"/>
    <n v="0.03"/>
    <n v="55.46"/>
    <n v="55.49"/>
    <m/>
  </r>
  <r>
    <d v="2021-07-01T00:00:00"/>
    <s v="2021-22"/>
    <n v="2021"/>
    <n v="7"/>
    <s v="Jul"/>
    <x v="3"/>
    <n v="18"/>
    <s v="State"/>
    <n v="281.39999999999998"/>
    <n v="355.61"/>
    <n v="225.69"/>
    <n v="19.260000000000002"/>
    <n v="862.7"/>
    <n v="881.96"/>
    <m/>
  </r>
  <r>
    <d v="2021-07-01T00:00:00"/>
    <s v="2021-22"/>
    <n v="2021"/>
    <n v="7"/>
    <s v="Jul"/>
    <x v="4"/>
    <n v="10"/>
    <s v="State"/>
    <n v="357.19"/>
    <n v="603.26"/>
    <n v="149.34"/>
    <n v="171.21"/>
    <n v="1109.79"/>
    <n v="1281"/>
    <m/>
  </r>
  <r>
    <d v="2021-07-01T00:00:00"/>
    <s v="2021-22"/>
    <n v="2021"/>
    <n v="7"/>
    <s v="Jul"/>
    <x v="5"/>
    <n v="4"/>
    <s v="Union Territory"/>
    <n v="30.58"/>
    <n v="42.03"/>
    <n v="95.92"/>
    <n v="0.38"/>
    <n v="168.53"/>
    <n v="168.91"/>
    <m/>
  </r>
  <r>
    <d v="2021-07-01T00:00:00"/>
    <s v="2021-22"/>
    <n v="2021"/>
    <n v="7"/>
    <s v="Jul"/>
    <x v="6"/>
    <n v="22"/>
    <s v="State"/>
    <n v="536.46"/>
    <n v="618.74"/>
    <n v="772.13"/>
    <n v="505.12"/>
    <n v="1927.33"/>
    <n v="2432.4499999999998"/>
    <m/>
  </r>
  <r>
    <d v="2021-07-01T00:00:00"/>
    <s v="2021-22"/>
    <n v="2021"/>
    <n v="7"/>
    <s v="Jul"/>
    <x v="7"/>
    <n v="38"/>
    <s v="Union Territory"/>
    <n v="33.22"/>
    <n v="42.52"/>
    <n v="151.57"/>
    <n v="0.04"/>
    <n v="227.31"/>
    <n v="227.35"/>
    <m/>
  </r>
  <r>
    <d v="2021-07-01T00:00:00"/>
    <s v="2021-22"/>
    <n v="2021"/>
    <n v="7"/>
    <s v="Jul"/>
    <x v="8"/>
    <n v="7"/>
    <s v="Union Territory"/>
    <n v="773.76"/>
    <n v="947.34"/>
    <n v="2040.37"/>
    <n v="53.59"/>
    <n v="3761.47"/>
    <n v="3815.06"/>
    <m/>
  </r>
  <r>
    <d v="2021-07-01T00:00:00"/>
    <s v="2021-22"/>
    <n v="2021"/>
    <n v="7"/>
    <s v="Jul"/>
    <x v="9"/>
    <n v="30"/>
    <s v="State"/>
    <n v="76.569999999999993"/>
    <n v="104.99"/>
    <n v="120.7"/>
    <n v="1.0900000000000001"/>
    <n v="302.26"/>
    <n v="303.35000000000002"/>
    <m/>
  </r>
  <r>
    <d v="2021-07-01T00:00:00"/>
    <s v="2021-22"/>
    <n v="2021"/>
    <n v="7"/>
    <s v="Jul"/>
    <x v="10"/>
    <n v="24"/>
    <s v="State"/>
    <n v="2183.06"/>
    <n v="2703.74"/>
    <n v="2310.17"/>
    <n v="431.68"/>
    <n v="7196.97"/>
    <n v="7628.65"/>
    <m/>
  </r>
  <r>
    <d v="2021-07-01T00:00:00"/>
    <s v="2021-22"/>
    <n v="2021"/>
    <n v="7"/>
    <s v="Jul"/>
    <x v="11"/>
    <n v="6"/>
    <s v="State"/>
    <n v="944.68"/>
    <n v="1259.8"/>
    <n v="2700.66"/>
    <n v="424.5"/>
    <n v="4905.1400000000003"/>
    <n v="5329.64"/>
    <m/>
  </r>
  <r>
    <d v="2021-07-01T00:00:00"/>
    <s v="2021-22"/>
    <n v="2021"/>
    <n v="7"/>
    <s v="Jul"/>
    <x v="12"/>
    <n v="2"/>
    <s v="State"/>
    <n v="120.78"/>
    <n v="184.6"/>
    <n v="360.38"/>
    <n v="0.89"/>
    <n v="665.76"/>
    <n v="666.65"/>
    <m/>
  </r>
  <r>
    <d v="2021-07-01T00:00:00"/>
    <s v="2021-22"/>
    <n v="2021"/>
    <n v="7"/>
    <s v="Jul"/>
    <x v="13"/>
    <n v="1"/>
    <s v="Union Territory"/>
    <n v="112.07"/>
    <n v="182.95"/>
    <n v="129.4"/>
    <n v="7.36"/>
    <n v="424.42"/>
    <n v="431.78"/>
    <m/>
  </r>
  <r>
    <d v="2021-07-01T00:00:00"/>
    <s v="2021-22"/>
    <n v="2021"/>
    <n v="7"/>
    <s v="Jul"/>
    <x v="14"/>
    <n v="20"/>
    <s v="State"/>
    <n v="365.12"/>
    <n v="482.49"/>
    <n v="792.87"/>
    <n v="415.92"/>
    <n v="1640.48"/>
    <n v="2056.4"/>
    <m/>
  </r>
  <r>
    <d v="2021-07-01T00:00:00"/>
    <s v="2021-22"/>
    <n v="2021"/>
    <n v="7"/>
    <s v="Jul"/>
    <x v="15"/>
    <n v="29"/>
    <s v="State"/>
    <n v="1797.44"/>
    <n v="2263.5300000000002"/>
    <n v="2393.7399999999998"/>
    <n v="281.8"/>
    <n v="6454.71"/>
    <n v="6736.51"/>
    <m/>
  </r>
  <r>
    <d v="2021-07-01T00:00:00"/>
    <s v="2021-22"/>
    <n v="2021"/>
    <n v="7"/>
    <s v="Jul"/>
    <x v="16"/>
    <n v="32"/>
    <s v="State"/>
    <n v="522.62"/>
    <n v="750.57"/>
    <n v="399.1"/>
    <n v="2.86"/>
    <n v="1672.29"/>
    <n v="1675.15"/>
    <m/>
  </r>
  <r>
    <d v="2021-07-01T00:00:00"/>
    <s v="2021-22"/>
    <n v="2021"/>
    <n v="7"/>
    <s v="Jul"/>
    <x v="35"/>
    <n v="37"/>
    <s v="Union Territory"/>
    <n v="4.4400000000000004"/>
    <n v="6.08"/>
    <n v="2.4300000000000002"/>
    <n v="0"/>
    <n v="12.95"/>
    <n v="12.95"/>
    <m/>
  </r>
  <r>
    <d v="2021-07-01T00:00:00"/>
    <s v="2021-22"/>
    <n v="2021"/>
    <n v="7"/>
    <s v="Jul"/>
    <x v="17"/>
    <n v="31"/>
    <s v="Union Territory"/>
    <n v="0.45"/>
    <n v="0.48"/>
    <n v="0.03"/>
    <n v="0"/>
    <n v="0.96"/>
    <n v="0.96"/>
    <m/>
  </r>
  <r>
    <d v="2021-07-01T00:00:00"/>
    <s v="2021-22"/>
    <n v="2021"/>
    <n v="7"/>
    <s v="Jul"/>
    <x v="18"/>
    <n v="23"/>
    <s v="State"/>
    <n v="644.39"/>
    <n v="855.94"/>
    <n v="672.68"/>
    <n v="484.03"/>
    <n v="2173.0100000000002"/>
    <n v="2657.04"/>
    <m/>
  </r>
  <r>
    <d v="2021-07-01T00:00:00"/>
    <s v="2021-22"/>
    <n v="2021"/>
    <n v="7"/>
    <s v="Jul"/>
    <x v="19"/>
    <n v="27"/>
    <s v="State"/>
    <n v="5133.1099999999997"/>
    <n v="6092.96"/>
    <n v="6605.47"/>
    <n v="1067.73"/>
    <n v="17831.54"/>
    <n v="18899.27"/>
    <m/>
  </r>
  <r>
    <d v="2021-07-01T00:00:00"/>
    <s v="2021-22"/>
    <n v="2021"/>
    <n v="7"/>
    <s v="Jul"/>
    <x v="20"/>
    <n v="14"/>
    <s v="State"/>
    <n v="14.09"/>
    <n v="19.84"/>
    <n v="3.19"/>
    <n v="0.27"/>
    <n v="37.119999999999997"/>
    <n v="37.39"/>
    <m/>
  </r>
  <r>
    <d v="2021-07-01T00:00:00"/>
    <s v="2021-22"/>
    <n v="2021"/>
    <n v="7"/>
    <s v="Jul"/>
    <x v="21"/>
    <n v="17"/>
    <s v="State"/>
    <n v="21.9"/>
    <n v="28.98"/>
    <n v="70.099999999999994"/>
    <n v="0.12"/>
    <n v="120.98"/>
    <n v="121.1"/>
    <m/>
  </r>
  <r>
    <d v="2021-07-01T00:00:00"/>
    <s v="2021-22"/>
    <n v="2021"/>
    <n v="7"/>
    <s v="Jul"/>
    <x v="22"/>
    <n v="15"/>
    <s v="State"/>
    <n v="6.94"/>
    <n v="11.38"/>
    <n v="2.64"/>
    <n v="0.03"/>
    <n v="20.96"/>
    <n v="20.99"/>
    <m/>
  </r>
  <r>
    <d v="2021-07-01T00:00:00"/>
    <s v="2021-22"/>
    <n v="2021"/>
    <n v="7"/>
    <s v="Jul"/>
    <x v="23"/>
    <n v="13"/>
    <s v="State"/>
    <n v="8.89"/>
    <n v="12.5"/>
    <n v="6.2"/>
    <n v="0.59"/>
    <n v="27.59"/>
    <n v="28.18"/>
    <m/>
  </r>
  <r>
    <d v="2021-07-01T00:00:00"/>
    <s v="2021-22"/>
    <n v="2021"/>
    <n v="7"/>
    <s v="Jul"/>
    <x v="24"/>
    <n v="21"/>
    <s v="State"/>
    <n v="927.52"/>
    <n v="1067.3499999999999"/>
    <n v="1028.1600000000001"/>
    <n v="592.20000000000005"/>
    <n v="3023.03"/>
    <n v="3615.23"/>
    <m/>
  </r>
  <r>
    <d v="2021-07-01T00:00:00"/>
    <s v="2021-22"/>
    <n v="2021"/>
    <n v="7"/>
    <s v="Jul"/>
    <x v="25"/>
    <n v="34"/>
    <s v="Union Territory"/>
    <n v="18.97"/>
    <n v="32.89"/>
    <n v="76.67"/>
    <n v="0.08"/>
    <n v="128.53"/>
    <n v="128.61000000000001"/>
    <m/>
  </r>
  <r>
    <d v="2021-07-01T00:00:00"/>
    <s v="2021-22"/>
    <n v="2021"/>
    <n v="7"/>
    <s v="Jul"/>
    <x v="26"/>
    <n v="3"/>
    <s v="State"/>
    <n v="398.27"/>
    <n v="597.67999999999995"/>
    <n v="516.73"/>
    <n v="20.350000000000001"/>
    <n v="1512.68"/>
    <n v="1533.03"/>
    <m/>
  </r>
  <r>
    <d v="2021-07-01T00:00:00"/>
    <s v="2021-22"/>
    <n v="2021"/>
    <n v="7"/>
    <s v="Jul"/>
    <x v="27"/>
    <n v="8"/>
    <s v="State"/>
    <n v="858.43"/>
    <n v="1144.6300000000001"/>
    <n v="1006.67"/>
    <n v="119.06"/>
    <n v="3009.73"/>
    <n v="3128.79"/>
    <m/>
  </r>
  <r>
    <d v="2021-07-01T00:00:00"/>
    <s v="2021-22"/>
    <n v="2021"/>
    <n v="7"/>
    <s v="Jul"/>
    <x v="28"/>
    <n v="11"/>
    <s v="State"/>
    <n v="15.64"/>
    <n v="23.67"/>
    <n v="158"/>
    <n v="0.02"/>
    <n v="197.31"/>
    <n v="197.33"/>
    <m/>
  </r>
  <r>
    <d v="2021-07-01T00:00:00"/>
    <s v="2021-22"/>
    <n v="2021"/>
    <n v="7"/>
    <s v="Jul"/>
    <x v="29"/>
    <n v="33"/>
    <s v="State"/>
    <n v="1722.26"/>
    <n v="2257.0100000000002"/>
    <n v="1764.38"/>
    <n v="558.47"/>
    <n v="5743.65"/>
    <n v="6302.12"/>
    <m/>
  </r>
  <r>
    <d v="2021-07-01T00:00:00"/>
    <s v="2021-22"/>
    <n v="2021"/>
    <n v="7"/>
    <s v="Jul"/>
    <x v="30"/>
    <n v="36"/>
    <s v="State"/>
    <n v="855.69"/>
    <n v="1151.57"/>
    <n v="1101.58"/>
    <n v="500.72"/>
    <n v="3108.84"/>
    <n v="3609.56"/>
    <m/>
  </r>
  <r>
    <d v="2021-07-01T00:00:00"/>
    <s v="2021-22"/>
    <n v="2021"/>
    <n v="7"/>
    <s v="Jul"/>
    <x v="31"/>
    <n v="16"/>
    <s v="State"/>
    <n v="24.54"/>
    <n v="32.68"/>
    <n v="7.58"/>
    <n v="0.43"/>
    <n v="64.8"/>
    <n v="65.23"/>
    <m/>
  </r>
  <r>
    <d v="2021-07-01T00:00:00"/>
    <s v="2021-22"/>
    <n v="2021"/>
    <n v="7"/>
    <s v="Jul"/>
    <x v="32"/>
    <n v="9"/>
    <s v="State"/>
    <n v="1414.22"/>
    <n v="2030.79"/>
    <n v="1565.3"/>
    <n v="1000.33"/>
    <n v="5010.3100000000004"/>
    <n v="6010.64"/>
    <m/>
  </r>
  <r>
    <d v="2021-07-01T00:00:00"/>
    <s v="2021-22"/>
    <n v="2021"/>
    <n v="7"/>
    <s v="Jul"/>
    <x v="33"/>
    <n v="5"/>
    <s v="State"/>
    <n v="226.84"/>
    <n v="313.22000000000003"/>
    <n v="558.27"/>
    <n v="7.3"/>
    <n v="1098.33"/>
    <n v="1105.6300000000001"/>
    <m/>
  </r>
  <r>
    <d v="2021-07-01T00:00:00"/>
    <s v="2021-22"/>
    <n v="2021"/>
    <n v="7"/>
    <s v="Jul"/>
    <x v="34"/>
    <n v="19"/>
    <s v="State"/>
    <n v="1061.18"/>
    <n v="1346.36"/>
    <n v="924.37"/>
    <n v="130.77000000000001"/>
    <n v="3331.91"/>
    <n v="3462.68"/>
    <m/>
  </r>
  <r>
    <d v="2021-08-01T00:00:00"/>
    <s v="2021-22"/>
    <n v="2021"/>
    <n v="8"/>
    <s v="Aug"/>
    <x v="0"/>
    <n v="35"/>
    <s v="Union Territory"/>
    <n v="7.7"/>
    <n v="10.52"/>
    <n v="1.57"/>
    <n v="0.04"/>
    <n v="19.79"/>
    <n v="19.829999999999998"/>
    <m/>
  </r>
  <r>
    <d v="2021-08-01T00:00:00"/>
    <s v="2021-22"/>
    <n v="2021"/>
    <n v="8"/>
    <s v="Aug"/>
    <x v="1"/>
    <n v="28"/>
    <s v="State"/>
    <n v="626.61"/>
    <n v="867.83"/>
    <n v="956.48"/>
    <n v="140.57"/>
    <n v="2450.92"/>
    <n v="2591.4899999999998"/>
    <m/>
  </r>
  <r>
    <d v="2021-08-01T00:00:00"/>
    <s v="2021-22"/>
    <n v="2021"/>
    <n v="8"/>
    <s v="Aug"/>
    <x v="2"/>
    <n v="12"/>
    <s v="State"/>
    <n v="19.600000000000001"/>
    <n v="23.72"/>
    <n v="9.81"/>
    <n v="0.22"/>
    <n v="53.13"/>
    <n v="53.35"/>
    <m/>
  </r>
  <r>
    <d v="2021-08-01T00:00:00"/>
    <s v="2021-22"/>
    <n v="2021"/>
    <n v="8"/>
    <s v="Aug"/>
    <x v="3"/>
    <n v="18"/>
    <s v="State"/>
    <n v="273.32"/>
    <n v="338.02"/>
    <n v="315.81"/>
    <n v="31.63"/>
    <n v="927.15"/>
    <n v="958.78"/>
    <m/>
  </r>
  <r>
    <d v="2021-08-01T00:00:00"/>
    <s v="2021-22"/>
    <n v="2021"/>
    <n v="8"/>
    <s v="Aug"/>
    <x v="4"/>
    <n v="10"/>
    <s v="State"/>
    <n v="287.83"/>
    <n v="478.67"/>
    <n v="144.72999999999999"/>
    <n v="125.72"/>
    <n v="911.23"/>
    <n v="1036.95"/>
    <m/>
  </r>
  <r>
    <d v="2021-08-01T00:00:00"/>
    <s v="2021-22"/>
    <n v="2021"/>
    <n v="8"/>
    <s v="Aug"/>
    <x v="5"/>
    <n v="4"/>
    <s v="Union Territory"/>
    <n v="27.83"/>
    <n v="38.4"/>
    <n v="77.52"/>
    <n v="0.41"/>
    <n v="143.75"/>
    <n v="144.16"/>
    <m/>
  </r>
  <r>
    <d v="2021-08-01T00:00:00"/>
    <s v="2021-22"/>
    <n v="2021"/>
    <n v="8"/>
    <s v="Aug"/>
    <x v="6"/>
    <n v="22"/>
    <s v="State"/>
    <n v="455.56"/>
    <n v="536.63"/>
    <n v="812.9"/>
    <n v="585.41"/>
    <n v="1805.09"/>
    <n v="2390.5"/>
    <m/>
  </r>
  <r>
    <d v="2021-08-01T00:00:00"/>
    <s v="2021-22"/>
    <n v="2021"/>
    <n v="8"/>
    <s v="Aug"/>
    <x v="7"/>
    <n v="38"/>
    <s v="Union Territory"/>
    <n v="29.39"/>
    <n v="40.36"/>
    <n v="184.69"/>
    <n v="0.1"/>
    <n v="254.44"/>
    <n v="254.54"/>
    <m/>
  </r>
  <r>
    <d v="2021-08-01T00:00:00"/>
    <s v="2021-22"/>
    <n v="2021"/>
    <n v="8"/>
    <s v="Aug"/>
    <x v="8"/>
    <n v="7"/>
    <s v="Union Territory"/>
    <n v="721.39"/>
    <n v="876.01"/>
    <n v="1926.19"/>
    <n v="81.89"/>
    <n v="3523.59"/>
    <n v="3605.48"/>
    <m/>
  </r>
  <r>
    <d v="2021-08-01T00:00:00"/>
    <s v="2021-22"/>
    <n v="2021"/>
    <n v="8"/>
    <s v="Aug"/>
    <x v="9"/>
    <n v="30"/>
    <s v="State"/>
    <n v="63.28"/>
    <n v="92.37"/>
    <n v="128.26"/>
    <n v="1.1100000000000001"/>
    <n v="283.91000000000003"/>
    <n v="285.02"/>
    <m/>
  </r>
  <r>
    <d v="2021-08-01T00:00:00"/>
    <s v="2021-22"/>
    <n v="2021"/>
    <n v="8"/>
    <s v="Aug"/>
    <x v="10"/>
    <n v="24"/>
    <s v="State"/>
    <n v="2000.89"/>
    <n v="2499.9499999999998"/>
    <n v="2507.44"/>
    <n v="547.96"/>
    <n v="7008.28"/>
    <n v="7556.24"/>
    <m/>
  </r>
  <r>
    <d v="2021-08-01T00:00:00"/>
    <s v="2021-22"/>
    <n v="2021"/>
    <n v="8"/>
    <s v="Aug"/>
    <x v="11"/>
    <n v="6"/>
    <s v="State"/>
    <n v="941.23"/>
    <n v="1287.06"/>
    <n v="2902.08"/>
    <n v="487.29"/>
    <n v="5130.37"/>
    <n v="5617.66"/>
    <m/>
  </r>
  <r>
    <d v="2021-08-01T00:00:00"/>
    <s v="2021-22"/>
    <n v="2021"/>
    <n v="8"/>
    <s v="Aug"/>
    <x v="12"/>
    <n v="2"/>
    <s v="State"/>
    <n v="115.23"/>
    <n v="173.99"/>
    <n v="414.16"/>
    <n v="0.79"/>
    <n v="703.38"/>
    <n v="704.17"/>
    <m/>
  </r>
  <r>
    <d v="2021-08-01T00:00:00"/>
    <s v="2021-22"/>
    <n v="2021"/>
    <n v="8"/>
    <s v="Aug"/>
    <x v="13"/>
    <n v="1"/>
    <s v="Union Territory"/>
    <n v="102.62"/>
    <n v="154.29"/>
    <n v="126.34"/>
    <n v="8.57"/>
    <n v="383.25"/>
    <n v="391.82"/>
    <m/>
  </r>
  <r>
    <d v="2021-08-01T00:00:00"/>
    <s v="2021-22"/>
    <n v="2021"/>
    <n v="8"/>
    <s v="Aug"/>
    <x v="14"/>
    <n v="20"/>
    <s v="State"/>
    <n v="377.7"/>
    <n v="492.92"/>
    <n v="911.71"/>
    <n v="384.14"/>
    <n v="1782.33"/>
    <n v="2166.4699999999998"/>
    <m/>
  </r>
  <r>
    <d v="2021-08-01T00:00:00"/>
    <s v="2021-22"/>
    <n v="2021"/>
    <n v="8"/>
    <s v="Aug"/>
    <x v="15"/>
    <n v="29"/>
    <s v="State"/>
    <n v="1789.71"/>
    <n v="2284.4699999999998"/>
    <n v="2551.2600000000002"/>
    <n v="804.02"/>
    <n v="6625.44"/>
    <n v="7429.46"/>
    <m/>
  </r>
  <r>
    <d v="2021-08-01T00:00:00"/>
    <s v="2021-22"/>
    <n v="2021"/>
    <n v="8"/>
    <s v="Aug"/>
    <x v="16"/>
    <n v="32"/>
    <s v="State"/>
    <n v="494.29"/>
    <n v="710.69"/>
    <n v="404.19"/>
    <n v="2.76"/>
    <n v="1609.17"/>
    <n v="1611.93"/>
    <m/>
  </r>
  <r>
    <d v="2021-08-01T00:00:00"/>
    <s v="2021-22"/>
    <n v="2021"/>
    <n v="8"/>
    <s v="Aug"/>
    <x v="35"/>
    <n v="37"/>
    <s v="Union Territory"/>
    <n v="4.7300000000000004"/>
    <n v="6.05"/>
    <n v="3.57"/>
    <n v="0"/>
    <n v="14.35"/>
    <n v="14.35"/>
    <m/>
  </r>
  <r>
    <d v="2021-08-01T00:00:00"/>
    <s v="2021-22"/>
    <n v="2021"/>
    <n v="8"/>
    <s v="Aug"/>
    <x v="17"/>
    <n v="31"/>
    <s v="Union Territory"/>
    <n v="0.6"/>
    <n v="0.65"/>
    <n v="0.06"/>
    <n v="0"/>
    <n v="1.31"/>
    <n v="1.31"/>
    <m/>
  </r>
  <r>
    <d v="2021-08-01T00:00:00"/>
    <s v="2021-22"/>
    <n v="2021"/>
    <n v="8"/>
    <s v="Aug"/>
    <x v="18"/>
    <n v="23"/>
    <s v="State"/>
    <n v="578.87"/>
    <n v="767.31"/>
    <n v="630.01"/>
    <n v="461.87"/>
    <n v="1976.19"/>
    <n v="2438.06"/>
    <m/>
  </r>
  <r>
    <d v="2021-08-01T00:00:00"/>
    <s v="2021-22"/>
    <n v="2021"/>
    <n v="8"/>
    <s v="Aug"/>
    <x v="19"/>
    <n v="27"/>
    <s v="State"/>
    <n v="4114.79"/>
    <n v="5068.3100000000004"/>
    <n v="4974.45"/>
    <n v="1017.09"/>
    <n v="14157.55"/>
    <n v="15174.64"/>
    <m/>
  </r>
  <r>
    <d v="2021-08-01T00:00:00"/>
    <s v="2021-22"/>
    <n v="2021"/>
    <n v="8"/>
    <s v="Aug"/>
    <x v="20"/>
    <n v="14"/>
    <s v="State"/>
    <n v="15.84"/>
    <n v="23.2"/>
    <n v="5.43"/>
    <n v="0.04"/>
    <n v="44.47"/>
    <n v="44.51"/>
    <m/>
  </r>
  <r>
    <d v="2021-08-01T00:00:00"/>
    <s v="2021-22"/>
    <n v="2021"/>
    <n v="8"/>
    <s v="Aug"/>
    <x v="21"/>
    <n v="17"/>
    <s v="State"/>
    <n v="22.64"/>
    <n v="27.6"/>
    <n v="66.95"/>
    <n v="2.17"/>
    <n v="117.19"/>
    <n v="119.36"/>
    <m/>
  </r>
  <r>
    <d v="2021-08-01T00:00:00"/>
    <s v="2021-22"/>
    <n v="2021"/>
    <n v="8"/>
    <s v="Aug"/>
    <x v="22"/>
    <n v="15"/>
    <s v="State"/>
    <n v="5.89"/>
    <n v="8.0500000000000007"/>
    <n v="1.97"/>
    <n v="0.03"/>
    <n v="15.91"/>
    <n v="15.94"/>
    <m/>
  </r>
  <r>
    <d v="2021-08-01T00:00:00"/>
    <s v="2021-22"/>
    <n v="2021"/>
    <n v="8"/>
    <s v="Aug"/>
    <x v="23"/>
    <n v="13"/>
    <s v="State"/>
    <n v="11.31"/>
    <n v="14.71"/>
    <n v="5.39"/>
    <n v="0.43"/>
    <n v="31.41"/>
    <n v="31.84"/>
    <m/>
  </r>
  <r>
    <d v="2021-08-01T00:00:00"/>
    <s v="2021-22"/>
    <n v="2021"/>
    <n v="8"/>
    <s v="Aug"/>
    <x v="24"/>
    <n v="21"/>
    <s v="State"/>
    <n v="792.93"/>
    <n v="956.47"/>
    <n v="948.21"/>
    <n v="618.94000000000005"/>
    <n v="2697.61"/>
    <n v="3316.55"/>
    <m/>
  </r>
  <r>
    <d v="2021-08-01T00:00:00"/>
    <s v="2021-22"/>
    <n v="2021"/>
    <n v="8"/>
    <s v="Aug"/>
    <x v="25"/>
    <n v="34"/>
    <s v="Union Territory"/>
    <n v="17.489999999999998"/>
    <n v="30.93"/>
    <n v="107.5"/>
    <n v="0.45"/>
    <n v="155.91999999999999"/>
    <n v="156.37"/>
    <m/>
  </r>
  <r>
    <d v="2021-08-01T00:00:00"/>
    <s v="2021-22"/>
    <n v="2021"/>
    <n v="8"/>
    <s v="Aug"/>
    <x v="26"/>
    <n v="3"/>
    <s v="State"/>
    <n v="363.17"/>
    <n v="529.76"/>
    <n v="502.94"/>
    <n v="18.27"/>
    <n v="1395.87"/>
    <n v="1414.14"/>
    <m/>
  </r>
  <r>
    <d v="2021-08-01T00:00:00"/>
    <s v="2021-22"/>
    <n v="2021"/>
    <n v="8"/>
    <s v="Aug"/>
    <x v="27"/>
    <n v="8"/>
    <s v="State"/>
    <n v="797.71"/>
    <n v="1029.31"/>
    <n v="1057.05"/>
    <n v="164.45"/>
    <n v="2884.07"/>
    <n v="3048.52"/>
    <m/>
  </r>
  <r>
    <d v="2021-08-01T00:00:00"/>
    <s v="2021-22"/>
    <n v="2021"/>
    <n v="8"/>
    <s v="Aug"/>
    <x v="28"/>
    <n v="11"/>
    <s v="State"/>
    <n v="12.57"/>
    <n v="16.23"/>
    <n v="190.26"/>
    <n v="0.03"/>
    <n v="219.06"/>
    <n v="219.09"/>
    <m/>
  </r>
  <r>
    <d v="2021-08-01T00:00:00"/>
    <s v="2021-22"/>
    <n v="2021"/>
    <n v="8"/>
    <s v="Aug"/>
    <x v="29"/>
    <n v="33"/>
    <s v="State"/>
    <n v="1857.14"/>
    <n v="2460.3000000000002"/>
    <n v="2048.17"/>
    <n v="694.32"/>
    <n v="6365.61"/>
    <n v="7059.93"/>
    <m/>
  </r>
  <r>
    <d v="2021-08-01T00:00:00"/>
    <s v="2021-22"/>
    <n v="2021"/>
    <n v="8"/>
    <s v="Aug"/>
    <x v="30"/>
    <n v="36"/>
    <s v="State"/>
    <n v="855.52"/>
    <n v="1123.0899999999999"/>
    <n v="1041.72"/>
    <n v="505.2"/>
    <n v="3020.33"/>
    <n v="3525.53"/>
    <m/>
  </r>
  <r>
    <d v="2021-08-01T00:00:00"/>
    <s v="2021-22"/>
    <n v="2021"/>
    <n v="8"/>
    <s v="Aug"/>
    <x v="31"/>
    <n v="16"/>
    <s v="State"/>
    <n v="21.14"/>
    <n v="27.65"/>
    <n v="6.96"/>
    <n v="0.16"/>
    <n v="55.75"/>
    <n v="55.91"/>
    <m/>
  </r>
  <r>
    <d v="2021-08-01T00:00:00"/>
    <s v="2021-22"/>
    <n v="2021"/>
    <n v="8"/>
    <s v="Aug"/>
    <x v="32"/>
    <n v="9"/>
    <s v="State"/>
    <n v="1377.19"/>
    <n v="1903.54"/>
    <n v="1621.48"/>
    <n v="1043.9100000000001"/>
    <n v="4902.21"/>
    <n v="5946.12"/>
    <m/>
  </r>
  <r>
    <d v="2021-08-01T00:00:00"/>
    <s v="2021-22"/>
    <n v="2021"/>
    <n v="8"/>
    <s v="Aug"/>
    <x v="33"/>
    <n v="5"/>
    <s v="State"/>
    <n v="213.29"/>
    <n v="303.17"/>
    <n v="566.17999999999995"/>
    <n v="6.84"/>
    <n v="1082.6400000000001"/>
    <n v="1089.48"/>
    <m/>
  </r>
  <r>
    <d v="2021-08-01T00:00:00"/>
    <s v="2021-22"/>
    <n v="2021"/>
    <n v="8"/>
    <s v="Aug"/>
    <x v="34"/>
    <n v="19"/>
    <s v="State"/>
    <n v="1118.6099999999999"/>
    <n v="1396.35"/>
    <n v="900.12"/>
    <n v="263.38"/>
    <n v="3415.08"/>
    <n v="3678.46"/>
    <m/>
  </r>
  <r>
    <d v="2021-09-01T00:00:00"/>
    <s v="2021-22"/>
    <n v="2021"/>
    <n v="9"/>
    <s v="Sep"/>
    <x v="0"/>
    <n v="35"/>
    <s v="Union Territory"/>
    <n v="6.56"/>
    <n v="10.91"/>
    <n v="2.11"/>
    <n v="0.02"/>
    <n v="19.579999999999998"/>
    <n v="19.600000000000001"/>
    <m/>
  </r>
  <r>
    <d v="2021-09-01T00:00:00"/>
    <s v="2021-22"/>
    <n v="2021"/>
    <n v="9"/>
    <s v="Sep"/>
    <x v="1"/>
    <n v="28"/>
    <s v="State"/>
    <n v="619.09"/>
    <n v="849.06"/>
    <n v="943.15"/>
    <n v="183.22"/>
    <n v="2411.3000000000002"/>
    <n v="2594.52"/>
    <m/>
  </r>
  <r>
    <d v="2021-09-01T00:00:00"/>
    <s v="2021-22"/>
    <n v="2021"/>
    <n v="9"/>
    <s v="Sep"/>
    <x v="2"/>
    <n v="12"/>
    <s v="State"/>
    <n v="18.71"/>
    <n v="25.35"/>
    <n v="11.15"/>
    <n v="0.06"/>
    <n v="55.21"/>
    <n v="55.27"/>
    <m/>
  </r>
  <r>
    <d v="2021-09-01T00:00:00"/>
    <s v="2021-22"/>
    <n v="2021"/>
    <n v="9"/>
    <s v="Sep"/>
    <x v="3"/>
    <n v="18"/>
    <s v="State"/>
    <n v="267.60000000000002"/>
    <n v="346.91"/>
    <n v="321.57"/>
    <n v="31.84"/>
    <n v="936.08"/>
    <n v="967.92"/>
    <m/>
  </r>
  <r>
    <d v="2021-09-01T00:00:00"/>
    <s v="2021-22"/>
    <n v="2021"/>
    <n v="9"/>
    <s v="Sep"/>
    <x v="4"/>
    <n v="10"/>
    <s v="State"/>
    <n v="222.85"/>
    <n v="365.45"/>
    <n v="126.89"/>
    <n v="160.36000000000001"/>
    <n v="715.19"/>
    <n v="875.55"/>
    <m/>
  </r>
  <r>
    <d v="2021-09-01T00:00:00"/>
    <s v="2021-22"/>
    <n v="2021"/>
    <n v="9"/>
    <s v="Sep"/>
    <x v="5"/>
    <n v="4"/>
    <s v="Union Territory"/>
    <n v="28.35"/>
    <n v="39.18"/>
    <n v="84.08"/>
    <n v="0.72"/>
    <n v="151.61000000000001"/>
    <n v="152.33000000000001"/>
    <m/>
  </r>
  <r>
    <d v="2021-09-01T00:00:00"/>
    <s v="2021-22"/>
    <n v="2021"/>
    <n v="9"/>
    <s v="Sep"/>
    <x v="6"/>
    <n v="22"/>
    <s v="State"/>
    <n v="464.56"/>
    <n v="550.16"/>
    <n v="756.63"/>
    <n v="461.58"/>
    <n v="1771.35"/>
    <n v="2232.9299999999998"/>
    <m/>
  </r>
  <r>
    <d v="2021-09-01T00:00:00"/>
    <s v="2021-22"/>
    <n v="2021"/>
    <n v="9"/>
    <s v="Sep"/>
    <x v="7"/>
    <n v="38"/>
    <s v="Union Territory"/>
    <n v="35.69"/>
    <n v="46.31"/>
    <n v="221.76"/>
    <n v="0.15"/>
    <n v="303.76"/>
    <n v="303.91000000000003"/>
    <m/>
  </r>
  <r>
    <d v="2021-09-01T00:00:00"/>
    <s v="2021-22"/>
    <n v="2021"/>
    <n v="9"/>
    <s v="Sep"/>
    <x v="8"/>
    <n v="7"/>
    <s v="Union Territory"/>
    <n v="695.21"/>
    <n v="849.5"/>
    <n v="1972.24"/>
    <n v="87.77"/>
    <n v="3516.95"/>
    <n v="3604.72"/>
    <m/>
  </r>
  <r>
    <d v="2021-09-01T00:00:00"/>
    <s v="2021-22"/>
    <n v="2021"/>
    <n v="9"/>
    <s v="Sep"/>
    <x v="9"/>
    <n v="30"/>
    <s v="State"/>
    <n v="71.349999999999994"/>
    <n v="100.25"/>
    <n v="145.63999999999999"/>
    <n v="1.36"/>
    <n v="317.24"/>
    <n v="318.60000000000002"/>
    <m/>
  </r>
  <r>
    <d v="2021-09-01T00:00:00"/>
    <s v="2021-22"/>
    <n v="2021"/>
    <n v="9"/>
    <s v="Sep"/>
    <x v="10"/>
    <n v="24"/>
    <s v="State"/>
    <n v="2044.98"/>
    <n v="2491.3000000000002"/>
    <n v="2732.34"/>
    <n v="511.33"/>
    <n v="7268.62"/>
    <n v="7779.95"/>
    <m/>
  </r>
  <r>
    <d v="2021-09-01T00:00:00"/>
    <s v="2021-22"/>
    <n v="2021"/>
    <n v="9"/>
    <s v="Sep"/>
    <x v="11"/>
    <n v="6"/>
    <s v="State"/>
    <n v="896.25"/>
    <n v="1197.52"/>
    <n v="3078.68"/>
    <n v="404.64"/>
    <n v="5172.45"/>
    <n v="5577.09"/>
    <m/>
  </r>
  <r>
    <d v="2021-09-01T00:00:00"/>
    <s v="2021-22"/>
    <n v="2021"/>
    <n v="9"/>
    <s v="Sep"/>
    <x v="12"/>
    <n v="2"/>
    <s v="State"/>
    <n v="108.43"/>
    <n v="157.13"/>
    <n v="413.32"/>
    <n v="1.04"/>
    <n v="678.88"/>
    <n v="679.92"/>
    <m/>
  </r>
  <r>
    <d v="2021-09-01T00:00:00"/>
    <s v="2021-22"/>
    <n v="2021"/>
    <n v="9"/>
    <s v="Sep"/>
    <x v="13"/>
    <n v="1"/>
    <s v="Union Territory"/>
    <n v="106.98"/>
    <n v="162.33000000000001"/>
    <n v="101.08"/>
    <n v="6.79"/>
    <n v="370.39"/>
    <n v="377.18"/>
    <m/>
  </r>
  <r>
    <d v="2021-09-01T00:00:00"/>
    <s v="2021-22"/>
    <n v="2021"/>
    <n v="9"/>
    <s v="Sep"/>
    <x v="14"/>
    <n v="20"/>
    <s v="State"/>
    <n v="349.19"/>
    <n v="434.86"/>
    <n v="1009.52"/>
    <n v="404.67"/>
    <n v="1793.57"/>
    <n v="2198.2399999999998"/>
    <m/>
  </r>
  <r>
    <d v="2021-09-01T00:00:00"/>
    <s v="2021-22"/>
    <n v="2021"/>
    <n v="9"/>
    <s v="Sep"/>
    <x v="15"/>
    <n v="29"/>
    <s v="State"/>
    <n v="1798.44"/>
    <n v="2312.33"/>
    <n v="2712.04"/>
    <n v="959.89"/>
    <n v="6822.81"/>
    <n v="7782.7"/>
    <m/>
  </r>
  <r>
    <d v="2021-09-01T00:00:00"/>
    <s v="2021-22"/>
    <n v="2021"/>
    <n v="9"/>
    <s v="Sep"/>
    <x v="16"/>
    <n v="32"/>
    <s v="State"/>
    <n v="574.55999999999995"/>
    <n v="846.11"/>
    <n v="339.65"/>
    <n v="3.65"/>
    <n v="1760.32"/>
    <n v="1763.97"/>
    <m/>
  </r>
  <r>
    <d v="2021-09-01T00:00:00"/>
    <s v="2021-22"/>
    <n v="2021"/>
    <n v="9"/>
    <s v="Sep"/>
    <x v="35"/>
    <n v="37"/>
    <s v="Union Territory"/>
    <n v="5.2"/>
    <n v="6.81"/>
    <n v="3.21"/>
    <n v="0.01"/>
    <n v="15.22"/>
    <n v="15.23"/>
    <m/>
  </r>
  <r>
    <d v="2021-09-01T00:00:00"/>
    <s v="2021-22"/>
    <n v="2021"/>
    <n v="9"/>
    <s v="Sep"/>
    <x v="17"/>
    <n v="31"/>
    <s v="Union Territory"/>
    <n v="0.16"/>
    <n v="0.16"/>
    <n v="0.02"/>
    <n v="0"/>
    <n v="0.34"/>
    <n v="0.34"/>
    <m/>
  </r>
  <r>
    <d v="2021-09-01T00:00:00"/>
    <s v="2021-22"/>
    <n v="2021"/>
    <n v="9"/>
    <s v="Sep"/>
    <x v="18"/>
    <n v="23"/>
    <s v="State"/>
    <n v="508.41"/>
    <n v="682.6"/>
    <n v="678.57"/>
    <n v="459.53"/>
    <n v="1869.58"/>
    <n v="2329.11"/>
    <m/>
  </r>
  <r>
    <d v="2021-09-01T00:00:00"/>
    <s v="2021-22"/>
    <n v="2021"/>
    <n v="9"/>
    <s v="Sep"/>
    <x v="19"/>
    <n v="27"/>
    <s v="State"/>
    <n v="4382.97"/>
    <n v="5397.04"/>
    <n v="5690.15"/>
    <n v="1114.04"/>
    <n v="15470.16"/>
    <n v="16584.2"/>
    <m/>
  </r>
  <r>
    <d v="2021-09-01T00:00:00"/>
    <s v="2021-22"/>
    <n v="2021"/>
    <n v="9"/>
    <s v="Sep"/>
    <x v="20"/>
    <n v="14"/>
    <s v="State"/>
    <n v="11.86"/>
    <n v="17.52"/>
    <n v="3.32"/>
    <n v="0.12"/>
    <n v="32.700000000000003"/>
    <n v="32.82"/>
    <m/>
  </r>
  <r>
    <d v="2021-09-01T00:00:00"/>
    <s v="2021-22"/>
    <n v="2021"/>
    <n v="9"/>
    <s v="Sep"/>
    <x v="21"/>
    <n v="17"/>
    <s v="State"/>
    <n v="22.62"/>
    <n v="29.24"/>
    <n v="67.53"/>
    <n v="0.14000000000000001"/>
    <n v="119.39"/>
    <n v="119.53"/>
    <m/>
  </r>
  <r>
    <d v="2021-09-01T00:00:00"/>
    <s v="2021-22"/>
    <n v="2021"/>
    <n v="9"/>
    <s v="Sep"/>
    <x v="22"/>
    <n v="15"/>
    <s v="State"/>
    <n v="7.5"/>
    <n v="10.91"/>
    <n v="1.1100000000000001"/>
    <n v="0.05"/>
    <n v="19.52"/>
    <n v="19.57"/>
    <m/>
  </r>
  <r>
    <d v="2021-09-01T00:00:00"/>
    <s v="2021-22"/>
    <n v="2021"/>
    <n v="9"/>
    <s v="Sep"/>
    <x v="23"/>
    <n v="13"/>
    <s v="State"/>
    <n v="9.98"/>
    <n v="13.37"/>
    <n v="6.65"/>
    <n v="0.48"/>
    <n v="30"/>
    <n v="30.48"/>
    <m/>
  </r>
  <r>
    <d v="2021-09-01T00:00:00"/>
    <s v="2021-22"/>
    <n v="2021"/>
    <n v="9"/>
    <s v="Sep"/>
    <x v="24"/>
    <n v="21"/>
    <s v="State"/>
    <n v="772.93"/>
    <n v="929.68"/>
    <n v="996.48"/>
    <n v="626.85"/>
    <n v="2699.09"/>
    <n v="3325.94"/>
    <m/>
  </r>
  <r>
    <d v="2021-09-01T00:00:00"/>
    <s v="2021-22"/>
    <n v="2021"/>
    <n v="9"/>
    <s v="Sep"/>
    <x v="25"/>
    <n v="34"/>
    <s v="Union Territory"/>
    <n v="18.68"/>
    <n v="31.37"/>
    <n v="109.62"/>
    <n v="0.45"/>
    <n v="159.66999999999999"/>
    <n v="160.12"/>
    <m/>
  </r>
  <r>
    <d v="2021-09-01T00:00:00"/>
    <s v="2021-22"/>
    <n v="2021"/>
    <n v="9"/>
    <s v="Sep"/>
    <x v="26"/>
    <n v="3"/>
    <s v="State"/>
    <n v="338.76"/>
    <n v="518.5"/>
    <n v="526.24"/>
    <n v="18.66"/>
    <n v="1383.5"/>
    <n v="1402.16"/>
    <m/>
  </r>
  <r>
    <d v="2021-09-01T00:00:00"/>
    <s v="2021-22"/>
    <n v="2021"/>
    <n v="9"/>
    <s v="Sep"/>
    <x v="27"/>
    <n v="8"/>
    <s v="State"/>
    <n v="739.56"/>
    <n v="987.22"/>
    <n v="1070.8900000000001"/>
    <n v="161.09"/>
    <n v="2797.67"/>
    <n v="2958.76"/>
    <m/>
  </r>
  <r>
    <d v="2021-09-01T00:00:00"/>
    <s v="2021-22"/>
    <n v="2021"/>
    <n v="9"/>
    <s v="Sep"/>
    <x v="28"/>
    <n v="11"/>
    <s v="State"/>
    <n v="14.99"/>
    <n v="20.07"/>
    <n v="224.97"/>
    <n v="0.01"/>
    <n v="260.02999999999997"/>
    <n v="260.04000000000002"/>
    <m/>
  </r>
  <r>
    <d v="2021-09-01T00:00:00"/>
    <s v="2021-22"/>
    <n v="2021"/>
    <n v="9"/>
    <s v="Sep"/>
    <x v="29"/>
    <n v="33"/>
    <s v="State"/>
    <n v="1903.14"/>
    <n v="2604.4699999999998"/>
    <n v="2568.17"/>
    <n v="765.85"/>
    <n v="7075.78"/>
    <n v="7841.63"/>
    <m/>
  </r>
  <r>
    <d v="2021-09-01T00:00:00"/>
    <s v="2021-22"/>
    <n v="2021"/>
    <n v="9"/>
    <s v="Sep"/>
    <x v="30"/>
    <n v="36"/>
    <s v="State"/>
    <n v="876.99"/>
    <n v="1170.3399999999999"/>
    <n v="967.76"/>
    <n v="478.48"/>
    <n v="3015.09"/>
    <n v="3493.57"/>
    <m/>
  </r>
  <r>
    <d v="2021-09-01T00:00:00"/>
    <s v="2021-22"/>
    <n v="2021"/>
    <n v="9"/>
    <s v="Sep"/>
    <x v="31"/>
    <n v="16"/>
    <s v="State"/>
    <n v="18.440000000000001"/>
    <n v="25.89"/>
    <n v="5.64"/>
    <n v="0.16"/>
    <n v="49.97"/>
    <n v="50.13"/>
    <m/>
  </r>
  <r>
    <d v="2021-09-01T00:00:00"/>
    <s v="2021-22"/>
    <n v="2021"/>
    <n v="9"/>
    <s v="Sep"/>
    <x v="32"/>
    <n v="9"/>
    <s v="State"/>
    <n v="1290.71"/>
    <n v="1826.51"/>
    <n v="1524.47"/>
    <n v="1050.0899999999999"/>
    <n v="4641.6899999999996"/>
    <n v="5691.78"/>
    <m/>
  </r>
  <r>
    <d v="2021-09-01T00:00:00"/>
    <s v="2021-22"/>
    <n v="2021"/>
    <n v="9"/>
    <s v="Sep"/>
    <x v="33"/>
    <n v="5"/>
    <s v="State"/>
    <n v="211.78"/>
    <n v="288.42"/>
    <n v="626.13"/>
    <n v="4.33"/>
    <n v="1126.33"/>
    <n v="1130.6600000000001"/>
    <m/>
  </r>
  <r>
    <d v="2021-09-01T00:00:00"/>
    <s v="2021-22"/>
    <n v="2021"/>
    <n v="9"/>
    <s v="Sep"/>
    <x v="34"/>
    <n v="19"/>
    <s v="State"/>
    <n v="1126.1300000000001"/>
    <n v="1412.85"/>
    <n v="1007.64"/>
    <n v="231.67"/>
    <n v="3546.62"/>
    <n v="3778.29"/>
    <m/>
  </r>
  <r>
    <d v="2021-10-01T00:00:00"/>
    <s v="2021-22"/>
    <n v="2021"/>
    <n v="10"/>
    <s v="Oct"/>
    <x v="0"/>
    <n v="35"/>
    <s v="Union Territory"/>
    <n v="6.87"/>
    <n v="11.69"/>
    <n v="7.31"/>
    <n v="0"/>
    <n v="25.87"/>
    <n v="25.87"/>
    <m/>
  </r>
  <r>
    <d v="2021-10-01T00:00:00"/>
    <s v="2021-22"/>
    <n v="2021"/>
    <n v="10"/>
    <s v="Oct"/>
    <x v="1"/>
    <n v="28"/>
    <s v="State"/>
    <n v="742.39"/>
    <n v="983.57"/>
    <n v="957.26"/>
    <n v="195.78"/>
    <n v="2683.22"/>
    <n v="2879"/>
    <m/>
  </r>
  <r>
    <d v="2021-10-01T00:00:00"/>
    <s v="2021-22"/>
    <n v="2021"/>
    <n v="10"/>
    <s v="Oct"/>
    <x v="2"/>
    <n v="12"/>
    <s v="State"/>
    <n v="16.12"/>
    <n v="23.25"/>
    <n v="6.95"/>
    <n v="0.21"/>
    <n v="46.32"/>
    <n v="46.53"/>
    <m/>
  </r>
  <r>
    <d v="2021-10-01T00:00:00"/>
    <s v="2021-22"/>
    <n v="2021"/>
    <n v="10"/>
    <s v="Oct"/>
    <x v="3"/>
    <n v="18"/>
    <s v="State"/>
    <n v="496.23"/>
    <n v="590.72"/>
    <n v="304.33999999999997"/>
    <n v="33.979999999999997"/>
    <n v="1391.29"/>
    <n v="1425.27"/>
    <m/>
  </r>
  <r>
    <d v="2021-10-01T00:00:00"/>
    <s v="2021-22"/>
    <n v="2021"/>
    <n v="10"/>
    <s v="Oct"/>
    <x v="4"/>
    <n v="10"/>
    <s v="State"/>
    <n v="444.22"/>
    <n v="620.4"/>
    <n v="138.59"/>
    <n v="147.88999999999999"/>
    <n v="1203.21"/>
    <n v="1351.1"/>
    <m/>
  </r>
  <r>
    <d v="2021-10-01T00:00:00"/>
    <s v="2021-22"/>
    <n v="2021"/>
    <n v="10"/>
    <s v="Oct"/>
    <x v="5"/>
    <n v="4"/>
    <s v="Union Territory"/>
    <n v="28.46"/>
    <n v="38.619999999999997"/>
    <n v="89.38"/>
    <n v="1.34"/>
    <n v="156.46"/>
    <n v="157.80000000000001"/>
    <m/>
  </r>
  <r>
    <d v="2021-10-01T00:00:00"/>
    <s v="2021-22"/>
    <n v="2021"/>
    <n v="10"/>
    <s v="Oct"/>
    <x v="6"/>
    <n v="22"/>
    <s v="State"/>
    <n v="519.04999999999995"/>
    <n v="600.91"/>
    <n v="808.93"/>
    <n v="463.56"/>
    <n v="1928.89"/>
    <n v="2392.4499999999998"/>
    <m/>
  </r>
  <r>
    <d v="2021-10-01T00:00:00"/>
    <s v="2021-22"/>
    <n v="2021"/>
    <n v="10"/>
    <s v="Oct"/>
    <x v="7"/>
    <n v="38"/>
    <s v="Union Territory"/>
    <n v="33.54"/>
    <n v="48.49"/>
    <n v="186.57"/>
    <n v="7.0000000000000007E-2"/>
    <n v="268.60000000000002"/>
    <n v="268.67"/>
    <m/>
  </r>
  <r>
    <d v="2021-10-01T00:00:00"/>
    <s v="2021-22"/>
    <n v="2021"/>
    <n v="10"/>
    <s v="Oct"/>
    <x v="8"/>
    <n v="7"/>
    <s v="Union Territory"/>
    <n v="835.68"/>
    <n v="1012.64"/>
    <n v="2106.29"/>
    <n v="90.17"/>
    <n v="3954.61"/>
    <n v="4044.78"/>
    <m/>
  </r>
  <r>
    <d v="2021-10-01T00:00:00"/>
    <s v="2021-22"/>
    <n v="2021"/>
    <n v="10"/>
    <s v="Oct"/>
    <x v="9"/>
    <n v="30"/>
    <s v="State"/>
    <n v="80.459999999999994"/>
    <n v="109.14"/>
    <n v="125.53"/>
    <n v="2.31"/>
    <n v="315.13"/>
    <n v="317.44"/>
    <m/>
  </r>
  <r>
    <d v="2021-10-01T00:00:00"/>
    <s v="2021-22"/>
    <n v="2021"/>
    <n v="10"/>
    <s v="Oct"/>
    <x v="10"/>
    <n v="24"/>
    <s v="State"/>
    <n v="2265.19"/>
    <n v="2773.34"/>
    <n v="2951.96"/>
    <n v="506.39"/>
    <n v="7990.49"/>
    <n v="8496.8799999999992"/>
    <m/>
  </r>
  <r>
    <d v="2021-10-01T00:00:00"/>
    <s v="2021-22"/>
    <n v="2021"/>
    <n v="10"/>
    <s v="Oct"/>
    <x v="11"/>
    <n v="6"/>
    <s v="State"/>
    <n v="954.53"/>
    <n v="1229.02"/>
    <n v="3102.35"/>
    <n v="319.61"/>
    <n v="5285.9"/>
    <n v="5605.51"/>
    <m/>
  </r>
  <r>
    <d v="2021-10-01T00:00:00"/>
    <s v="2021-22"/>
    <n v="2021"/>
    <n v="10"/>
    <s v="Oct"/>
    <x v="12"/>
    <n v="2"/>
    <s v="State"/>
    <n v="110.72"/>
    <n v="159.76"/>
    <n v="417.79"/>
    <n v="1.1599999999999999"/>
    <n v="688.27"/>
    <n v="689.43"/>
    <m/>
  </r>
  <r>
    <d v="2021-10-01T00:00:00"/>
    <s v="2021-22"/>
    <n v="2021"/>
    <n v="10"/>
    <s v="Oct"/>
    <x v="13"/>
    <n v="1"/>
    <s v="Union Territory"/>
    <n v="240.44"/>
    <n v="298.35000000000002"/>
    <n v="104.66"/>
    <n v="4.8899999999999997"/>
    <n v="643.45000000000005"/>
    <n v="648.34"/>
    <m/>
  </r>
  <r>
    <d v="2021-10-01T00:00:00"/>
    <s v="2021-22"/>
    <n v="2021"/>
    <n v="10"/>
    <s v="Oct"/>
    <x v="14"/>
    <n v="20"/>
    <s v="State"/>
    <n v="450.28"/>
    <n v="511.68"/>
    <n v="998.42"/>
    <n v="409.18"/>
    <n v="1960.38"/>
    <n v="2369.56"/>
    <m/>
  </r>
  <r>
    <d v="2021-10-01T00:00:00"/>
    <s v="2021-22"/>
    <n v="2021"/>
    <n v="10"/>
    <s v="Oct"/>
    <x v="15"/>
    <n v="29"/>
    <s v="State"/>
    <n v="1890.91"/>
    <n v="2449.91"/>
    <n v="3041.36"/>
    <n v="876.67"/>
    <n v="7382.18"/>
    <n v="8258.85"/>
    <m/>
  </r>
  <r>
    <d v="2021-10-01T00:00:00"/>
    <s v="2021-22"/>
    <n v="2021"/>
    <n v="10"/>
    <s v="Oct"/>
    <x v="16"/>
    <n v="32"/>
    <s v="State"/>
    <n v="631.30999999999995"/>
    <n v="916.14"/>
    <n v="375.35"/>
    <n v="8.91"/>
    <n v="1922.8"/>
    <n v="1931.71"/>
    <m/>
  </r>
  <r>
    <d v="2021-10-01T00:00:00"/>
    <s v="2021-22"/>
    <n v="2021"/>
    <n v="10"/>
    <s v="Oct"/>
    <x v="35"/>
    <n v="37"/>
    <s v="Union Territory"/>
    <n v="6.55"/>
    <n v="9.15"/>
    <n v="3.5"/>
    <n v="0"/>
    <n v="19.2"/>
    <n v="19.2"/>
    <m/>
  </r>
  <r>
    <d v="2021-10-01T00:00:00"/>
    <s v="2021-22"/>
    <n v="2021"/>
    <n v="10"/>
    <s v="Oct"/>
    <x v="17"/>
    <n v="31"/>
    <s v="Union Territory"/>
    <n v="0.98"/>
    <n v="1"/>
    <n v="0.09"/>
    <n v="0"/>
    <n v="2.0699999999999998"/>
    <n v="2.0699999999999998"/>
    <m/>
  </r>
  <r>
    <d v="2021-10-01T00:00:00"/>
    <s v="2021-22"/>
    <n v="2021"/>
    <n v="10"/>
    <s v="Oct"/>
    <x v="18"/>
    <n v="23"/>
    <s v="State"/>
    <n v="654.01"/>
    <n v="817.46"/>
    <n v="714.88"/>
    <n v="479.27"/>
    <n v="2186.35"/>
    <n v="2665.62"/>
    <m/>
  </r>
  <r>
    <d v="2021-10-01T00:00:00"/>
    <s v="2021-22"/>
    <n v="2021"/>
    <n v="10"/>
    <s v="Oct"/>
    <x v="19"/>
    <n v="27"/>
    <s v="State"/>
    <n v="4981.68"/>
    <n v="6058.63"/>
    <n v="7298.97"/>
    <n v="1015.63"/>
    <n v="18339.28"/>
    <n v="19354.91"/>
    <m/>
  </r>
  <r>
    <d v="2021-10-01T00:00:00"/>
    <s v="2021-22"/>
    <n v="2021"/>
    <n v="10"/>
    <s v="Oct"/>
    <x v="20"/>
    <n v="14"/>
    <s v="State"/>
    <n v="27.23"/>
    <n v="32.93"/>
    <n v="4.0199999999999996"/>
    <n v="0.06"/>
    <n v="64.180000000000007"/>
    <n v="64.239999999999995"/>
    <m/>
  </r>
  <r>
    <d v="2021-10-01T00:00:00"/>
    <s v="2021-22"/>
    <n v="2021"/>
    <n v="10"/>
    <s v="Oct"/>
    <x v="21"/>
    <n v="17"/>
    <s v="State"/>
    <n v="23.58"/>
    <n v="27.08"/>
    <n v="89.3"/>
    <n v="0.24"/>
    <n v="139.96"/>
    <n v="140.19999999999999"/>
    <m/>
  </r>
  <r>
    <d v="2021-10-01T00:00:00"/>
    <s v="2021-22"/>
    <n v="2021"/>
    <n v="10"/>
    <s v="Oct"/>
    <x v="22"/>
    <n v="15"/>
    <s v="State"/>
    <n v="12.52"/>
    <n v="15.97"/>
    <n v="3.31"/>
    <n v="0.04"/>
    <n v="31.8"/>
    <n v="31.84"/>
    <m/>
  </r>
  <r>
    <d v="2021-10-01T00:00:00"/>
    <s v="2021-22"/>
    <n v="2021"/>
    <n v="10"/>
    <s v="Oct"/>
    <x v="23"/>
    <n v="13"/>
    <s v="State"/>
    <n v="13.55"/>
    <n v="17.09"/>
    <n v="6.23"/>
    <n v="1.47"/>
    <n v="36.869999999999997"/>
    <n v="38.340000000000003"/>
    <m/>
  </r>
  <r>
    <d v="2021-10-01T00:00:00"/>
    <s v="2021-22"/>
    <n v="2021"/>
    <n v="10"/>
    <s v="Oct"/>
    <x v="24"/>
    <n v="21"/>
    <s v="State"/>
    <n v="907.29"/>
    <n v="1053.48"/>
    <n v="1005.5"/>
    <n v="627.07000000000005"/>
    <n v="2966.27"/>
    <n v="3593.34"/>
    <m/>
  </r>
  <r>
    <d v="2021-10-01T00:00:00"/>
    <s v="2021-22"/>
    <n v="2021"/>
    <n v="10"/>
    <s v="Oct"/>
    <x v="25"/>
    <n v="34"/>
    <s v="Union Territory"/>
    <n v="19.34"/>
    <n v="33.950000000000003"/>
    <n v="98.06"/>
    <n v="0.46"/>
    <n v="151.35"/>
    <n v="151.81"/>
    <m/>
  </r>
  <r>
    <d v="2021-10-01T00:00:00"/>
    <s v="2021-22"/>
    <n v="2021"/>
    <n v="10"/>
    <s v="Oct"/>
    <x v="26"/>
    <n v="3"/>
    <s v="State"/>
    <n v="410.27"/>
    <n v="606.44000000000005"/>
    <n v="560.87"/>
    <n v="17.86"/>
    <n v="1577.58"/>
    <n v="1595.44"/>
    <m/>
  </r>
  <r>
    <d v="2021-10-01T00:00:00"/>
    <s v="2021-22"/>
    <n v="2021"/>
    <n v="10"/>
    <s v="Oct"/>
    <x v="27"/>
    <n v="8"/>
    <s v="State"/>
    <n v="925.53"/>
    <n v="1212.6400000000001"/>
    <n v="1128.78"/>
    <n v="155.94"/>
    <n v="3266.95"/>
    <n v="3422.89"/>
    <m/>
  </r>
  <r>
    <d v="2021-10-01T00:00:00"/>
    <s v="2021-22"/>
    <n v="2021"/>
    <n v="10"/>
    <s v="Oct"/>
    <x v="28"/>
    <n v="11"/>
    <s v="State"/>
    <n v="15.81"/>
    <n v="24.3"/>
    <n v="217.19"/>
    <n v="0.04"/>
    <n v="257.3"/>
    <n v="257.33999999999997"/>
    <m/>
  </r>
  <r>
    <d v="2021-10-01T00:00:00"/>
    <s v="2021-22"/>
    <n v="2021"/>
    <n v="10"/>
    <s v="Oct"/>
    <x v="29"/>
    <n v="33"/>
    <s v="State"/>
    <n v="2011.24"/>
    <n v="2690.51"/>
    <n v="2376.9499999999998"/>
    <n v="563.67999999999995"/>
    <n v="7078.7"/>
    <n v="7642.38"/>
    <m/>
  </r>
  <r>
    <d v="2021-10-01T00:00:00"/>
    <s v="2021-22"/>
    <n v="2021"/>
    <n v="10"/>
    <s v="Oct"/>
    <x v="30"/>
    <n v="36"/>
    <s v="State"/>
    <n v="928.02"/>
    <n v="1277.77"/>
    <n v="1141.98"/>
    <n v="506.35"/>
    <n v="3347.77"/>
    <n v="3854.12"/>
    <m/>
  </r>
  <r>
    <d v="2021-10-01T00:00:00"/>
    <s v="2021-22"/>
    <n v="2021"/>
    <n v="10"/>
    <s v="Oct"/>
    <x v="31"/>
    <n v="16"/>
    <s v="State"/>
    <n v="25.77"/>
    <n v="33.54"/>
    <n v="7.49"/>
    <n v="0.11"/>
    <n v="66.8"/>
    <n v="66.91"/>
    <m/>
  </r>
  <r>
    <d v="2021-10-01T00:00:00"/>
    <s v="2021-22"/>
    <n v="2021"/>
    <n v="10"/>
    <s v="Oct"/>
    <x v="32"/>
    <n v="9"/>
    <s v="State"/>
    <n v="1574.74"/>
    <n v="2114.9"/>
    <n v="2000.73"/>
    <n v="1084.31"/>
    <n v="5690.37"/>
    <n v="6774.68"/>
    <m/>
  </r>
  <r>
    <d v="2021-10-01T00:00:00"/>
    <s v="2021-22"/>
    <n v="2021"/>
    <n v="10"/>
    <s v="Oct"/>
    <x v="33"/>
    <n v="5"/>
    <s v="State"/>
    <n v="222.92"/>
    <n v="355.77"/>
    <n v="678.11"/>
    <n v="2.5299999999999998"/>
    <n v="1256.8"/>
    <n v="1259.33"/>
    <m/>
  </r>
  <r>
    <d v="2021-10-01T00:00:00"/>
    <s v="2021-22"/>
    <n v="2021"/>
    <n v="10"/>
    <s v="Oct"/>
    <x v="34"/>
    <n v="19"/>
    <s v="State"/>
    <n v="1344.22"/>
    <n v="1650.42"/>
    <n v="997.07"/>
    <n v="267.69"/>
    <n v="3991.71"/>
    <n v="4259.3999999999996"/>
    <m/>
  </r>
  <r>
    <d v="2021-11-01T00:00:00"/>
    <s v="2021-22"/>
    <n v="2021"/>
    <n v="11"/>
    <s v="Nov"/>
    <x v="0"/>
    <n v="35"/>
    <s v="Union Territory"/>
    <n v="7.41"/>
    <n v="9.7899999999999991"/>
    <n v="6.97"/>
    <n v="0.02"/>
    <n v="24.17"/>
    <n v="24.19"/>
    <m/>
  </r>
  <r>
    <d v="2021-11-01T00:00:00"/>
    <s v="2021-22"/>
    <n v="2021"/>
    <n v="11"/>
    <s v="Nov"/>
    <x v="1"/>
    <n v="28"/>
    <s v="State"/>
    <n v="639.46"/>
    <n v="899.5"/>
    <n v="999.74"/>
    <n v="210.93"/>
    <n v="2538.6999999999998"/>
    <n v="2749.63"/>
    <m/>
  </r>
  <r>
    <d v="2021-11-01T00:00:00"/>
    <s v="2021-22"/>
    <n v="2021"/>
    <n v="11"/>
    <s v="Nov"/>
    <x v="2"/>
    <n v="12"/>
    <s v="State"/>
    <n v="13.12"/>
    <n v="17.59"/>
    <n v="9.5299999999999994"/>
    <n v="0.04"/>
    <n v="40.24"/>
    <n v="40.28"/>
    <m/>
  </r>
  <r>
    <d v="2021-11-01T00:00:00"/>
    <s v="2021-22"/>
    <n v="2021"/>
    <n v="11"/>
    <s v="Nov"/>
    <x v="3"/>
    <n v="18"/>
    <s v="State"/>
    <n v="283.64999999999998"/>
    <n v="373.69"/>
    <n v="300.14999999999998"/>
    <n v="34.04"/>
    <n v="957.49"/>
    <n v="991.53"/>
    <m/>
  </r>
  <r>
    <d v="2021-11-01T00:00:00"/>
    <s v="2021-22"/>
    <n v="2021"/>
    <n v="11"/>
    <s v="Nov"/>
    <x v="4"/>
    <n v="10"/>
    <s v="State"/>
    <n v="284.02999999999997"/>
    <n v="481.25"/>
    <n v="113.19"/>
    <n v="151.47"/>
    <n v="878.47"/>
    <n v="1029.94"/>
    <m/>
  </r>
  <r>
    <d v="2021-11-01T00:00:00"/>
    <s v="2021-22"/>
    <n v="2021"/>
    <n v="11"/>
    <s v="Nov"/>
    <x v="5"/>
    <n v="4"/>
    <s v="Union Territory"/>
    <n v="35.869999999999997"/>
    <n v="48.94"/>
    <n v="92.55"/>
    <n v="2.2999999999999998"/>
    <n v="177.36"/>
    <n v="179.66"/>
    <m/>
  </r>
  <r>
    <d v="2021-11-01T00:00:00"/>
    <s v="2021-22"/>
    <n v="2021"/>
    <n v="11"/>
    <s v="Nov"/>
    <x v="6"/>
    <n v="22"/>
    <s v="State"/>
    <n v="503.34"/>
    <n v="595.44000000000005"/>
    <n v="790.14"/>
    <n v="565.23"/>
    <n v="1888.92"/>
    <n v="2454.15"/>
    <m/>
  </r>
  <r>
    <d v="2021-11-01T00:00:00"/>
    <s v="2021-22"/>
    <n v="2021"/>
    <n v="11"/>
    <s v="Nov"/>
    <x v="7"/>
    <n v="38"/>
    <s v="Union Territory"/>
    <n v="33.57"/>
    <n v="47.17"/>
    <n v="189.22"/>
    <n v="0.33"/>
    <n v="269.95999999999998"/>
    <n v="270.29000000000002"/>
    <m/>
  </r>
  <r>
    <d v="2021-11-01T00:00:00"/>
    <s v="2021-22"/>
    <n v="2021"/>
    <n v="11"/>
    <s v="Nov"/>
    <x v="8"/>
    <n v="7"/>
    <s v="Union Territory"/>
    <n v="877.51"/>
    <n v="1087.95"/>
    <n v="2323.12"/>
    <n v="98.33"/>
    <n v="4288.58"/>
    <n v="4386.91"/>
    <m/>
  </r>
  <r>
    <d v="2021-11-01T00:00:00"/>
    <s v="2021-22"/>
    <n v="2021"/>
    <n v="11"/>
    <s v="Nov"/>
    <x v="9"/>
    <n v="30"/>
    <s v="State"/>
    <n v="99.03"/>
    <n v="138.31"/>
    <n v="278.54000000000002"/>
    <n v="2.14"/>
    <n v="515.88"/>
    <n v="518.02"/>
    <m/>
  </r>
  <r>
    <d v="2021-11-01T00:00:00"/>
    <s v="2021-22"/>
    <n v="2021"/>
    <n v="11"/>
    <s v="Nov"/>
    <x v="10"/>
    <n v="24"/>
    <s v="State"/>
    <n v="2657.94"/>
    <n v="3207.78"/>
    <n v="3078.37"/>
    <n v="624.89"/>
    <n v="8944.09"/>
    <n v="9568.98"/>
    <m/>
  </r>
  <r>
    <d v="2021-11-01T00:00:00"/>
    <s v="2021-22"/>
    <n v="2021"/>
    <n v="11"/>
    <s v="Nov"/>
    <x v="11"/>
    <n v="6"/>
    <s v="State"/>
    <n v="999.8"/>
    <n v="1377.16"/>
    <n v="3197.72"/>
    <n v="440.86"/>
    <n v="5574.68"/>
    <n v="6015.54"/>
    <m/>
  </r>
  <r>
    <d v="2021-11-01T00:00:00"/>
    <s v="2021-22"/>
    <n v="2021"/>
    <n v="11"/>
    <s v="Nov"/>
    <x v="12"/>
    <n v="2"/>
    <s v="State"/>
    <n v="123.57"/>
    <n v="188.6"/>
    <n v="446.86"/>
    <n v="2.91"/>
    <n v="759.03"/>
    <n v="761.94"/>
    <m/>
  </r>
  <r>
    <d v="2021-11-01T00:00:00"/>
    <s v="2021-22"/>
    <n v="2021"/>
    <n v="11"/>
    <s v="Nov"/>
    <x v="13"/>
    <n v="1"/>
    <s v="Union Territory"/>
    <n v="110.59"/>
    <n v="161.09"/>
    <n v="107.35"/>
    <n v="3.79"/>
    <n v="379.03"/>
    <n v="382.82"/>
    <m/>
  </r>
  <r>
    <d v="2021-11-01T00:00:00"/>
    <s v="2021-22"/>
    <n v="2021"/>
    <n v="11"/>
    <s v="Nov"/>
    <x v="14"/>
    <n v="20"/>
    <s v="State"/>
    <n v="395.37"/>
    <n v="520.59"/>
    <n v="996.77"/>
    <n v="424.19"/>
    <n v="1912.73"/>
    <n v="2336.92"/>
    <m/>
  </r>
  <r>
    <d v="2021-11-01T00:00:00"/>
    <s v="2021-22"/>
    <n v="2021"/>
    <n v="11"/>
    <s v="Nov"/>
    <x v="15"/>
    <n v="29"/>
    <s v="State"/>
    <n v="2044.08"/>
    <n v="2632.66"/>
    <n v="3400.37"/>
    <n v="970.97"/>
    <n v="8077.11"/>
    <n v="9048.08"/>
    <m/>
  </r>
  <r>
    <d v="2021-11-01T00:00:00"/>
    <s v="2021-22"/>
    <n v="2021"/>
    <n v="11"/>
    <s v="Nov"/>
    <x v="16"/>
    <n v="32"/>
    <s v="State"/>
    <n v="651.16"/>
    <n v="894.51"/>
    <n v="573.13"/>
    <n v="9.92"/>
    <n v="2118.8000000000002"/>
    <n v="2128.7199999999998"/>
    <m/>
  </r>
  <r>
    <d v="2021-11-01T00:00:00"/>
    <s v="2021-22"/>
    <n v="2021"/>
    <n v="11"/>
    <s v="Nov"/>
    <x v="35"/>
    <n v="37"/>
    <s v="Union Territory"/>
    <n v="4.63"/>
    <n v="5.9"/>
    <n v="2.83"/>
    <n v="0.05"/>
    <n v="13.36"/>
    <n v="13.41"/>
    <m/>
  </r>
  <r>
    <d v="2021-11-01T00:00:00"/>
    <s v="2021-22"/>
    <n v="2021"/>
    <n v="11"/>
    <s v="Nov"/>
    <x v="17"/>
    <n v="31"/>
    <s v="Union Territory"/>
    <n v="1.04"/>
    <n v="1.08"/>
    <n v="0.14000000000000001"/>
    <n v="0"/>
    <n v="2.2599999999999998"/>
    <n v="2.2599999999999998"/>
    <m/>
  </r>
  <r>
    <d v="2021-11-01T00:00:00"/>
    <s v="2021-22"/>
    <n v="2021"/>
    <n v="11"/>
    <s v="Nov"/>
    <x v="18"/>
    <n v="23"/>
    <s v="State"/>
    <n v="638.55999999999995"/>
    <n v="852.95"/>
    <n v="753.4"/>
    <n v="562.89"/>
    <n v="2244.91"/>
    <n v="2807.8"/>
    <m/>
  </r>
  <r>
    <d v="2021-11-01T00:00:00"/>
    <s v="2021-22"/>
    <n v="2021"/>
    <n v="11"/>
    <s v="Nov"/>
    <x v="19"/>
    <n v="27"/>
    <s v="State"/>
    <n v="5089.1400000000003"/>
    <n v="6157.54"/>
    <n v="6108.24"/>
    <n v="1301.3399999999999"/>
    <n v="17354.919999999998"/>
    <n v="18656.259999999998"/>
    <m/>
  </r>
  <r>
    <d v="2021-11-01T00:00:00"/>
    <s v="2021-22"/>
    <n v="2021"/>
    <n v="11"/>
    <s v="Nov"/>
    <x v="20"/>
    <n v="14"/>
    <s v="State"/>
    <n v="12.13"/>
    <n v="17.940000000000001"/>
    <n v="5.33"/>
    <n v="0.1"/>
    <n v="35.4"/>
    <n v="35.5"/>
    <m/>
  </r>
  <r>
    <d v="2021-11-01T00:00:00"/>
    <s v="2021-22"/>
    <n v="2021"/>
    <n v="11"/>
    <s v="Nov"/>
    <x v="21"/>
    <n v="17"/>
    <s v="State"/>
    <n v="27.05"/>
    <n v="35.630000000000003"/>
    <n v="89.21"/>
    <n v="0.31"/>
    <n v="151.88999999999999"/>
    <n v="152.19999999999999"/>
    <m/>
  </r>
  <r>
    <d v="2021-11-01T00:00:00"/>
    <s v="2021-22"/>
    <n v="2021"/>
    <n v="11"/>
    <s v="Nov"/>
    <x v="22"/>
    <n v="15"/>
    <s v="State"/>
    <n v="8.9"/>
    <n v="12.03"/>
    <n v="2.0499999999999998"/>
    <n v="0.02"/>
    <n v="22.98"/>
    <n v="23"/>
    <m/>
  </r>
  <r>
    <d v="2021-11-01T00:00:00"/>
    <s v="2021-22"/>
    <n v="2021"/>
    <n v="11"/>
    <s v="Nov"/>
    <x v="23"/>
    <n v="13"/>
    <s v="State"/>
    <n v="10.01"/>
    <n v="13.25"/>
    <n v="6.4"/>
    <n v="0.57999999999999996"/>
    <n v="29.66"/>
    <n v="30.24"/>
    <m/>
  </r>
  <r>
    <d v="2021-11-01T00:00:00"/>
    <s v="2021-22"/>
    <n v="2021"/>
    <n v="11"/>
    <s v="Nov"/>
    <x v="24"/>
    <n v="21"/>
    <s v="State"/>
    <n v="1001.08"/>
    <n v="1157.69"/>
    <n v="1223.24"/>
    <n v="753.77"/>
    <n v="3382.01"/>
    <n v="4135.78"/>
    <m/>
  </r>
  <r>
    <d v="2021-11-01T00:00:00"/>
    <s v="2021-22"/>
    <n v="2021"/>
    <n v="11"/>
    <s v="Nov"/>
    <x v="25"/>
    <n v="34"/>
    <s v="Union Territory"/>
    <n v="18.43"/>
    <n v="30.2"/>
    <n v="123.11"/>
    <n v="0.51"/>
    <n v="171.74"/>
    <n v="172.25"/>
    <m/>
  </r>
  <r>
    <d v="2021-11-01T00:00:00"/>
    <s v="2021-22"/>
    <n v="2021"/>
    <n v="11"/>
    <s v="Nov"/>
    <x v="26"/>
    <n v="3"/>
    <s v="State"/>
    <n v="463.04"/>
    <n v="704.95"/>
    <n v="655.52"/>
    <n v="21.71"/>
    <n v="1823.51"/>
    <n v="1845.22"/>
    <m/>
  </r>
  <r>
    <d v="2021-11-01T00:00:00"/>
    <s v="2021-22"/>
    <n v="2021"/>
    <n v="11"/>
    <s v="Nov"/>
    <x v="27"/>
    <n v="8"/>
    <s v="State"/>
    <n v="992.4"/>
    <n v="1312.62"/>
    <n v="1208.9000000000001"/>
    <n v="184.51"/>
    <n v="3513.92"/>
    <n v="3698.43"/>
    <m/>
  </r>
  <r>
    <d v="2021-11-01T00:00:00"/>
    <s v="2021-22"/>
    <n v="2021"/>
    <n v="11"/>
    <s v="Nov"/>
    <x v="28"/>
    <n v="11"/>
    <s v="State"/>
    <n v="13.36"/>
    <n v="18.649999999999999"/>
    <n v="175.21"/>
    <n v="0.1"/>
    <n v="207.22"/>
    <n v="207.32"/>
    <m/>
  </r>
  <r>
    <d v="2021-11-01T00:00:00"/>
    <s v="2021-22"/>
    <n v="2021"/>
    <n v="11"/>
    <s v="Nov"/>
    <x v="29"/>
    <n v="33"/>
    <s v="State"/>
    <n v="1958.49"/>
    <n v="2708.36"/>
    <n v="2573.63"/>
    <n v="554.48"/>
    <n v="7240.48"/>
    <n v="7794.96"/>
    <m/>
  </r>
  <r>
    <d v="2021-11-01T00:00:00"/>
    <s v="2021-22"/>
    <n v="2021"/>
    <n v="11"/>
    <s v="Nov"/>
    <x v="30"/>
    <n v="36"/>
    <s v="State"/>
    <n v="952.04"/>
    <n v="1310.3699999999999"/>
    <n v="1119"/>
    <n v="549.73"/>
    <n v="3381.41"/>
    <n v="3931.14"/>
    <m/>
  </r>
  <r>
    <d v="2021-11-01T00:00:00"/>
    <s v="2021-22"/>
    <n v="2021"/>
    <n v="11"/>
    <s v="Nov"/>
    <x v="31"/>
    <n v="16"/>
    <s v="State"/>
    <n v="20.62"/>
    <n v="28.96"/>
    <n v="7.9"/>
    <n v="0.2"/>
    <n v="57.48"/>
    <n v="57.68"/>
    <m/>
  </r>
  <r>
    <d v="2021-11-01T00:00:00"/>
    <s v="2021-22"/>
    <n v="2021"/>
    <n v="11"/>
    <s v="Nov"/>
    <x v="32"/>
    <n v="9"/>
    <s v="State"/>
    <n v="1507.6"/>
    <n v="2157.92"/>
    <n v="1803.14"/>
    <n v="1167.49"/>
    <n v="5468.66"/>
    <n v="6636.15"/>
    <m/>
  </r>
  <r>
    <d v="2021-11-01T00:00:00"/>
    <s v="2021-22"/>
    <n v="2021"/>
    <n v="11"/>
    <s v="Nov"/>
    <x v="33"/>
    <n v="5"/>
    <s v="State"/>
    <n v="233.41"/>
    <n v="356.99"/>
    <n v="665.76"/>
    <n v="7.11"/>
    <n v="1256.1600000000001"/>
    <n v="1263.27"/>
    <m/>
  </r>
  <r>
    <d v="2021-11-01T00:00:00"/>
    <s v="2021-22"/>
    <n v="2021"/>
    <n v="11"/>
    <s v="Nov"/>
    <x v="34"/>
    <n v="19"/>
    <s v="State"/>
    <n v="1263.58"/>
    <n v="1558.69"/>
    <n v="954.87"/>
    <n v="305.60000000000002"/>
    <n v="3777.14"/>
    <n v="4082.74"/>
    <m/>
  </r>
  <r>
    <d v="2021-12-01T00:00:00"/>
    <s v="2021-22"/>
    <n v="2021"/>
    <n v="12"/>
    <s v="Dec"/>
    <x v="0"/>
    <n v="35"/>
    <s v="Union Territory"/>
    <n v="10.220000000000001"/>
    <n v="12.93"/>
    <n v="2.7"/>
    <n v="0.02"/>
    <n v="25.85"/>
    <n v="25.87"/>
    <m/>
  </r>
  <r>
    <d v="2021-12-01T00:00:00"/>
    <s v="2021-22"/>
    <n v="2021"/>
    <n v="12"/>
    <s v="Dec"/>
    <x v="1"/>
    <n v="28"/>
    <s v="State"/>
    <n v="602"/>
    <n v="805.07"/>
    <n v="937.39"/>
    <n v="187.94"/>
    <n v="2344.46"/>
    <n v="2532.4"/>
    <m/>
  </r>
  <r>
    <d v="2021-12-01T00:00:00"/>
    <s v="2021-22"/>
    <n v="2021"/>
    <n v="12"/>
    <s v="Dec"/>
    <x v="2"/>
    <n v="12"/>
    <s v="State"/>
    <n v="17.72"/>
    <n v="25.16"/>
    <n v="9.74"/>
    <n v="0.11"/>
    <n v="52.62"/>
    <n v="52.73"/>
    <m/>
  </r>
  <r>
    <d v="2021-12-01T00:00:00"/>
    <s v="2021-22"/>
    <n v="2021"/>
    <n v="12"/>
    <s v="Dec"/>
    <x v="3"/>
    <n v="18"/>
    <s v="State"/>
    <n v="289.08"/>
    <n v="377.66"/>
    <n v="315.23"/>
    <n v="32.659999999999997"/>
    <n v="981.97"/>
    <n v="1014.63"/>
    <m/>
  </r>
  <r>
    <d v="2021-12-01T00:00:00"/>
    <s v="2021-22"/>
    <n v="2021"/>
    <n v="12"/>
    <s v="Dec"/>
    <x v="4"/>
    <n v="10"/>
    <s v="State"/>
    <n v="258.35000000000002"/>
    <n v="441.66"/>
    <n v="113.76"/>
    <n v="149.16999999999999"/>
    <n v="813.77"/>
    <n v="962.94"/>
    <m/>
  </r>
  <r>
    <d v="2021-12-01T00:00:00"/>
    <s v="2021-22"/>
    <n v="2021"/>
    <n v="12"/>
    <s v="Dec"/>
    <x v="5"/>
    <n v="4"/>
    <s v="Union Territory"/>
    <n v="32.090000000000003"/>
    <n v="47.47"/>
    <n v="83.8"/>
    <n v="0.7"/>
    <n v="163.36000000000001"/>
    <n v="164.06"/>
    <m/>
  </r>
  <r>
    <d v="2021-12-01T00:00:00"/>
    <s v="2021-22"/>
    <n v="2021"/>
    <n v="12"/>
    <s v="Dec"/>
    <x v="6"/>
    <n v="22"/>
    <s v="State"/>
    <n v="484.46"/>
    <n v="571.30999999999995"/>
    <n v="929"/>
    <n v="596.85"/>
    <n v="1984.77"/>
    <n v="2581.62"/>
    <m/>
  </r>
  <r>
    <d v="2021-12-01T00:00:00"/>
    <s v="2021-22"/>
    <n v="2021"/>
    <n v="12"/>
    <s v="Dec"/>
    <x v="7"/>
    <n v="38"/>
    <s v="Union Territory"/>
    <n v="30.71"/>
    <n v="40.340000000000003"/>
    <n v="161.03"/>
    <n v="1.36"/>
    <n v="232.08"/>
    <n v="233.44"/>
    <m/>
  </r>
  <r>
    <d v="2021-12-01T00:00:00"/>
    <s v="2021-22"/>
    <n v="2021"/>
    <n v="12"/>
    <s v="Dec"/>
    <x v="8"/>
    <n v="7"/>
    <s v="Union Territory"/>
    <n v="741.01"/>
    <n v="924.64"/>
    <n v="2002.74"/>
    <n v="85.4"/>
    <n v="3668.39"/>
    <n v="3753.79"/>
    <m/>
  </r>
  <r>
    <d v="2021-12-01T00:00:00"/>
    <s v="2021-22"/>
    <n v="2021"/>
    <n v="12"/>
    <s v="Dec"/>
    <x v="9"/>
    <n v="30"/>
    <s v="State"/>
    <n v="103.64"/>
    <n v="143.72999999999999"/>
    <n v="342.52"/>
    <n v="1.91"/>
    <n v="589.89"/>
    <n v="591.79999999999995"/>
    <m/>
  </r>
  <r>
    <d v="2021-12-01T00:00:00"/>
    <s v="2021-22"/>
    <n v="2021"/>
    <n v="12"/>
    <s v="Dec"/>
    <x v="10"/>
    <n v="24"/>
    <s v="State"/>
    <n v="2144.5100000000002"/>
    <n v="2551.92"/>
    <n v="2165.31"/>
    <n v="474.18"/>
    <n v="6861.74"/>
    <n v="7335.92"/>
    <m/>
  </r>
  <r>
    <d v="2021-12-01T00:00:00"/>
    <s v="2021-22"/>
    <n v="2021"/>
    <n v="12"/>
    <s v="Dec"/>
    <x v="11"/>
    <n v="6"/>
    <s v="State"/>
    <n v="946.75"/>
    <n v="1298.19"/>
    <n v="3201.61"/>
    <n v="426.65"/>
    <n v="5446.55"/>
    <n v="5873.2"/>
    <m/>
  </r>
  <r>
    <d v="2021-12-01T00:00:00"/>
    <s v="2021-22"/>
    <n v="2021"/>
    <n v="12"/>
    <s v="Dec"/>
    <x v="12"/>
    <n v="2"/>
    <s v="State"/>
    <n v="138.91"/>
    <n v="192.97"/>
    <n v="328.79"/>
    <n v="1.51"/>
    <n v="660.67"/>
    <n v="662.18"/>
    <m/>
  </r>
  <r>
    <d v="2021-12-01T00:00:00"/>
    <s v="2021-22"/>
    <n v="2021"/>
    <n v="12"/>
    <s v="Dec"/>
    <x v="13"/>
    <n v="1"/>
    <s v="Union Territory"/>
    <n v="95.92"/>
    <n v="143.84"/>
    <n v="78.84"/>
    <n v="1.4"/>
    <n v="318.60000000000002"/>
    <n v="320"/>
    <m/>
  </r>
  <r>
    <d v="2021-12-01T00:00:00"/>
    <s v="2021-22"/>
    <n v="2021"/>
    <n v="12"/>
    <s v="Dec"/>
    <x v="14"/>
    <n v="20"/>
    <s v="State"/>
    <n v="391.03"/>
    <n v="494.71"/>
    <n v="877.75"/>
    <n v="442.74"/>
    <n v="1763.49"/>
    <n v="2206.23"/>
    <m/>
  </r>
  <r>
    <d v="2021-12-01T00:00:00"/>
    <s v="2021-22"/>
    <n v="2021"/>
    <n v="12"/>
    <s v="Dec"/>
    <x v="15"/>
    <n v="29"/>
    <s v="State"/>
    <n v="1895.64"/>
    <n v="2409.75"/>
    <n v="3029.08"/>
    <n v="1000.41"/>
    <n v="7334.47"/>
    <n v="8334.8799999999992"/>
    <m/>
  </r>
  <r>
    <d v="2021-12-01T00:00:00"/>
    <s v="2021-22"/>
    <n v="2021"/>
    <n v="12"/>
    <s v="Dec"/>
    <x v="16"/>
    <n v="32"/>
    <s v="State"/>
    <n v="643.12"/>
    <n v="870.43"/>
    <n v="376.12"/>
    <n v="5.7"/>
    <n v="1889.67"/>
    <n v="1895.37"/>
    <m/>
  </r>
  <r>
    <d v="2021-12-01T00:00:00"/>
    <s v="2021-22"/>
    <n v="2021"/>
    <n v="12"/>
    <s v="Dec"/>
    <x v="35"/>
    <n v="37"/>
    <s v="Union Territory"/>
    <n v="5.81"/>
    <n v="7.32"/>
    <n v="2.0299999999999998"/>
    <n v="7.0000000000000007E-2"/>
    <n v="15.16"/>
    <n v="15.23"/>
    <m/>
  </r>
  <r>
    <d v="2021-12-01T00:00:00"/>
    <s v="2021-22"/>
    <n v="2021"/>
    <n v="12"/>
    <s v="Dec"/>
    <x v="17"/>
    <n v="31"/>
    <s v="Union Territory"/>
    <n v="0.69"/>
    <n v="0.66"/>
    <n v="0.08"/>
    <n v="0"/>
    <n v="1.43"/>
    <n v="1.43"/>
    <m/>
  </r>
  <r>
    <d v="2021-12-01T00:00:00"/>
    <s v="2021-22"/>
    <n v="2021"/>
    <n v="12"/>
    <s v="Dec"/>
    <x v="18"/>
    <n v="23"/>
    <s v="State"/>
    <n v="592.69000000000005"/>
    <n v="748.86"/>
    <n v="644.47"/>
    <n v="546.86"/>
    <n v="1986.02"/>
    <n v="2532.88"/>
    <m/>
  </r>
  <r>
    <d v="2021-12-01T00:00:00"/>
    <s v="2021-22"/>
    <n v="2021"/>
    <n v="12"/>
    <s v="Dec"/>
    <x v="19"/>
    <n v="27"/>
    <s v="State"/>
    <n v="5516.25"/>
    <n v="6469.5"/>
    <n v="6259.66"/>
    <n v="1346.13"/>
    <n v="18245.41"/>
    <n v="19591.54"/>
    <m/>
  </r>
  <r>
    <d v="2021-12-01T00:00:00"/>
    <s v="2021-22"/>
    <n v="2021"/>
    <n v="12"/>
    <s v="Dec"/>
    <x v="20"/>
    <n v="14"/>
    <s v="State"/>
    <n v="17.84"/>
    <n v="25.02"/>
    <n v="4.7"/>
    <n v="0.3"/>
    <n v="47.56"/>
    <n v="47.86"/>
    <m/>
  </r>
  <r>
    <d v="2021-12-01T00:00:00"/>
    <s v="2021-22"/>
    <n v="2021"/>
    <n v="12"/>
    <s v="Dec"/>
    <x v="21"/>
    <n v="17"/>
    <s v="State"/>
    <n v="21.86"/>
    <n v="27.12"/>
    <n v="99.16"/>
    <n v="0.49"/>
    <n v="148.13999999999999"/>
    <n v="148.63"/>
    <m/>
  </r>
  <r>
    <d v="2021-12-01T00:00:00"/>
    <s v="2021-22"/>
    <n v="2021"/>
    <n v="12"/>
    <s v="Dec"/>
    <x v="22"/>
    <n v="15"/>
    <s v="State"/>
    <n v="7.42"/>
    <n v="10.24"/>
    <n v="1.91"/>
    <n v="0.03"/>
    <n v="19.57"/>
    <n v="19.600000000000001"/>
    <m/>
  </r>
  <r>
    <d v="2021-12-01T00:00:00"/>
    <s v="2021-22"/>
    <n v="2021"/>
    <n v="12"/>
    <s v="Dec"/>
    <x v="23"/>
    <n v="13"/>
    <s v="State"/>
    <n v="11.39"/>
    <n v="14.87"/>
    <n v="5.57"/>
    <n v="1.87"/>
    <n v="31.83"/>
    <n v="33.700000000000003"/>
    <m/>
  </r>
  <r>
    <d v="2021-12-01T00:00:00"/>
    <s v="2021-22"/>
    <n v="2021"/>
    <n v="12"/>
    <s v="Dec"/>
    <x v="24"/>
    <n v="21"/>
    <s v="State"/>
    <n v="973.79"/>
    <n v="1118.6500000000001"/>
    <n v="1267.6300000000001"/>
    <n v="720.07"/>
    <n v="3360.07"/>
    <n v="4080.14"/>
    <m/>
  </r>
  <r>
    <d v="2021-12-01T00:00:00"/>
    <s v="2021-22"/>
    <n v="2021"/>
    <n v="12"/>
    <s v="Dec"/>
    <x v="25"/>
    <n v="34"/>
    <s v="Union Territory"/>
    <n v="18.899999999999999"/>
    <n v="30.24"/>
    <n v="97.19"/>
    <n v="0.64"/>
    <n v="146.33000000000001"/>
    <n v="146.97"/>
    <m/>
  </r>
  <r>
    <d v="2021-12-01T00:00:00"/>
    <s v="2021-22"/>
    <n v="2021"/>
    <n v="12"/>
    <s v="Dec"/>
    <x v="26"/>
    <n v="3"/>
    <s v="State"/>
    <n v="381.23"/>
    <n v="563.42999999999995"/>
    <n v="616.46"/>
    <n v="11.4"/>
    <n v="1561.12"/>
    <n v="1572.52"/>
    <m/>
  </r>
  <r>
    <d v="2021-12-01T00:00:00"/>
    <s v="2021-22"/>
    <n v="2021"/>
    <n v="12"/>
    <s v="Dec"/>
    <x v="27"/>
    <n v="8"/>
    <s v="State"/>
    <n v="812.64"/>
    <n v="1072.8499999999999"/>
    <n v="987.82"/>
    <n v="184.2"/>
    <n v="2873.31"/>
    <n v="3057.51"/>
    <m/>
  </r>
  <r>
    <d v="2021-12-01T00:00:00"/>
    <s v="2021-22"/>
    <n v="2021"/>
    <n v="12"/>
    <s v="Dec"/>
    <x v="28"/>
    <n v="11"/>
    <s v="State"/>
    <n v="23.6"/>
    <n v="21.67"/>
    <n v="203.63"/>
    <n v="0.05"/>
    <n v="248.9"/>
    <n v="248.95"/>
    <m/>
  </r>
  <r>
    <d v="2021-12-01T00:00:00"/>
    <s v="2021-22"/>
    <n v="2021"/>
    <n v="12"/>
    <s v="Dec"/>
    <x v="29"/>
    <n v="33"/>
    <s v="State"/>
    <n v="1712.3"/>
    <n v="2229.3200000000002"/>
    <n v="2083.5100000000002"/>
    <n v="610.20000000000005"/>
    <n v="6025.13"/>
    <n v="6635.33"/>
    <m/>
  </r>
  <r>
    <d v="2021-12-01T00:00:00"/>
    <s v="2021-22"/>
    <n v="2021"/>
    <n v="12"/>
    <s v="Dec"/>
    <x v="30"/>
    <n v="36"/>
    <s v="State"/>
    <n v="935.93"/>
    <n v="1252.4100000000001"/>
    <n v="1019.71"/>
    <n v="552.16"/>
    <n v="3208.05"/>
    <n v="3760.21"/>
    <m/>
  </r>
  <r>
    <d v="2021-12-01T00:00:00"/>
    <s v="2021-22"/>
    <n v="2021"/>
    <n v="12"/>
    <s v="Dec"/>
    <x v="31"/>
    <n v="16"/>
    <s v="State"/>
    <n v="26.45"/>
    <n v="32.81"/>
    <n v="8.31"/>
    <n v="0.09"/>
    <n v="67.569999999999993"/>
    <n v="67.66"/>
    <m/>
  </r>
  <r>
    <d v="2021-12-01T00:00:00"/>
    <s v="2021-22"/>
    <n v="2021"/>
    <n v="12"/>
    <s v="Dec"/>
    <x v="32"/>
    <n v="9"/>
    <s v="State"/>
    <n v="1323.86"/>
    <n v="1892.58"/>
    <n v="1704.26"/>
    <n v="1108.03"/>
    <n v="4920.7"/>
    <n v="6028.73"/>
    <m/>
  </r>
  <r>
    <d v="2021-12-01T00:00:00"/>
    <s v="2021-22"/>
    <n v="2021"/>
    <n v="12"/>
    <s v="Dec"/>
    <x v="33"/>
    <n v="5"/>
    <s v="State"/>
    <n v="211.9"/>
    <n v="317.91000000000003"/>
    <n v="539.13"/>
    <n v="7.57"/>
    <n v="1068.94"/>
    <n v="1076.51"/>
    <m/>
  </r>
  <r>
    <d v="2021-12-01T00:00:00"/>
    <s v="2021-22"/>
    <n v="2021"/>
    <n v="12"/>
    <s v="Dec"/>
    <x v="34"/>
    <n v="19"/>
    <s v="State"/>
    <n v="1149.8699999999999"/>
    <n v="1459.64"/>
    <n v="820.71"/>
    <n v="276.37"/>
    <n v="3430.22"/>
    <n v="3706.59"/>
    <m/>
  </r>
  <r>
    <d v="2022-01-01T00:00:00"/>
    <s v="2021-22"/>
    <n v="2022"/>
    <n v="1"/>
    <s v="Jan"/>
    <x v="0"/>
    <n v="35"/>
    <s v="Union Territory"/>
    <n v="11.05"/>
    <n v="14.64"/>
    <n v="2.98"/>
    <n v="0.01"/>
    <n v="28.67"/>
    <n v="28.68"/>
    <m/>
  </r>
  <r>
    <d v="2022-01-01T00:00:00"/>
    <s v="2021-22"/>
    <n v="2022"/>
    <n v="1"/>
    <s v="Jan"/>
    <x v="1"/>
    <n v="28"/>
    <s v="State"/>
    <n v="713.03"/>
    <n v="952.17"/>
    <n v="1058.1099999999999"/>
    <n v="108.01"/>
    <n v="2723.31"/>
    <n v="2831.32"/>
    <m/>
  </r>
  <r>
    <d v="2022-01-01T00:00:00"/>
    <s v="2021-22"/>
    <n v="2022"/>
    <n v="1"/>
    <s v="Jan"/>
    <x v="2"/>
    <n v="12"/>
    <s v="State"/>
    <n v="25.59"/>
    <n v="33.369999999999997"/>
    <n v="12.5"/>
    <n v="0.7"/>
    <n v="71.459999999999994"/>
    <n v="72.16"/>
    <m/>
  </r>
  <r>
    <d v="2022-01-01T00:00:00"/>
    <s v="2021-22"/>
    <n v="2022"/>
    <n v="1"/>
    <s v="Jan"/>
    <x v="3"/>
    <n v="18"/>
    <s v="State"/>
    <n v="308.7"/>
    <n v="421.33"/>
    <n v="292.88"/>
    <n v="39.47"/>
    <n v="1022.91"/>
    <n v="1062.3800000000001"/>
    <m/>
  </r>
  <r>
    <d v="2022-01-01T00:00:00"/>
    <s v="2021-22"/>
    <n v="2022"/>
    <n v="1"/>
    <s v="Jan"/>
    <x v="4"/>
    <n v="10"/>
    <s v="State"/>
    <n v="327.85"/>
    <n v="552.08000000000004"/>
    <n v="145.4"/>
    <n v="171.09"/>
    <n v="1025.33"/>
    <n v="1196.42"/>
    <m/>
  </r>
  <r>
    <d v="2022-01-01T00:00:00"/>
    <s v="2021-22"/>
    <n v="2022"/>
    <n v="1"/>
    <s v="Jan"/>
    <x v="5"/>
    <n v="4"/>
    <s v="Union Territory"/>
    <n v="37.909999999999997"/>
    <n v="59.54"/>
    <n v="93.8"/>
    <n v="4.71"/>
    <n v="191.25"/>
    <n v="195.96"/>
    <m/>
  </r>
  <r>
    <d v="2022-01-01T00:00:00"/>
    <s v="2021-22"/>
    <n v="2022"/>
    <n v="1"/>
    <s v="Jan"/>
    <x v="6"/>
    <n v="22"/>
    <s v="State"/>
    <n v="518.75"/>
    <n v="621.97"/>
    <n v="874.26"/>
    <n v="641.13"/>
    <n v="2014.98"/>
    <n v="2656.11"/>
    <m/>
  </r>
  <r>
    <d v="2022-01-01T00:00:00"/>
    <s v="2021-22"/>
    <n v="2022"/>
    <n v="1"/>
    <s v="Jan"/>
    <x v="7"/>
    <n v="38"/>
    <s v="Union Territory"/>
    <n v="35.35"/>
    <n v="46.04"/>
    <n v="197.96"/>
    <n v="0.53"/>
    <n v="279.35000000000002"/>
    <n v="279.88"/>
    <m/>
  </r>
  <r>
    <d v="2022-01-01T00:00:00"/>
    <s v="2021-22"/>
    <n v="2022"/>
    <n v="1"/>
    <s v="Jan"/>
    <x v="8"/>
    <n v="7"/>
    <s v="Union Territory"/>
    <n v="870.82"/>
    <n v="1104.48"/>
    <n v="2454.7199999999998"/>
    <n v="98.71"/>
    <n v="4430.0200000000004"/>
    <n v="4528.7299999999996"/>
    <m/>
  </r>
  <r>
    <d v="2022-01-01T00:00:00"/>
    <s v="2021-22"/>
    <n v="2022"/>
    <n v="1"/>
    <s v="Jan"/>
    <x v="9"/>
    <n v="30"/>
    <s v="State"/>
    <n v="111.82"/>
    <n v="155.49"/>
    <n v="124.28"/>
    <n v="2.59"/>
    <n v="391.59"/>
    <n v="394.18"/>
    <m/>
  </r>
  <r>
    <d v="2022-01-01T00:00:00"/>
    <s v="2021-22"/>
    <n v="2022"/>
    <n v="1"/>
    <s v="Jan"/>
    <x v="10"/>
    <n v="24"/>
    <s v="State"/>
    <n v="2430.91"/>
    <n v="2960.16"/>
    <n v="2613.7800000000002"/>
    <n v="611.47"/>
    <n v="8004.85"/>
    <n v="8616.32"/>
    <m/>
  </r>
  <r>
    <d v="2022-01-01T00:00:00"/>
    <s v="2021-22"/>
    <n v="2022"/>
    <n v="1"/>
    <s v="Jan"/>
    <x v="11"/>
    <n v="6"/>
    <s v="State"/>
    <n v="1038.75"/>
    <n v="1420.77"/>
    <n v="3470.79"/>
    <n v="489.4"/>
    <n v="5930.31"/>
    <n v="6419.71"/>
    <m/>
  </r>
  <r>
    <d v="2022-01-01T00:00:00"/>
    <s v="2021-22"/>
    <n v="2022"/>
    <n v="1"/>
    <s v="Jan"/>
    <x v="12"/>
    <n v="2"/>
    <s v="State"/>
    <n v="127.19"/>
    <n v="194.38"/>
    <n v="368.83"/>
    <n v="4.45"/>
    <n v="690.4"/>
    <n v="694.85"/>
    <m/>
  </r>
  <r>
    <d v="2022-01-01T00:00:00"/>
    <s v="2021-22"/>
    <n v="2022"/>
    <n v="1"/>
    <s v="Jan"/>
    <x v="13"/>
    <n v="1"/>
    <s v="Union Territory"/>
    <n v="112.93"/>
    <n v="198.36"/>
    <n v="91.16"/>
    <n v="2.23"/>
    <n v="402.45"/>
    <n v="404.68"/>
    <m/>
  </r>
  <r>
    <d v="2022-01-01T00:00:00"/>
    <s v="2021-22"/>
    <n v="2022"/>
    <n v="1"/>
    <s v="Jan"/>
    <x v="14"/>
    <n v="20"/>
    <s v="State"/>
    <n v="451.55"/>
    <n v="559.61"/>
    <n v="950.58"/>
    <n v="470.95"/>
    <n v="1961.74"/>
    <n v="2432.69"/>
    <m/>
  </r>
  <r>
    <d v="2022-01-01T00:00:00"/>
    <s v="2021-22"/>
    <n v="2022"/>
    <n v="1"/>
    <s v="Jan"/>
    <x v="15"/>
    <n v="29"/>
    <s v="State"/>
    <n v="2195.5300000000002"/>
    <n v="2835.47"/>
    <n v="3644.53"/>
    <n v="920.74"/>
    <n v="8675.5300000000007"/>
    <n v="9596.27"/>
    <m/>
  </r>
  <r>
    <d v="2022-01-01T00:00:00"/>
    <s v="2021-22"/>
    <n v="2022"/>
    <n v="1"/>
    <s v="Jan"/>
    <x v="16"/>
    <n v="32"/>
    <s v="State"/>
    <n v="752.75"/>
    <n v="1056.32"/>
    <n v="651.42999999999995"/>
    <n v="21.38"/>
    <n v="2460.5"/>
    <n v="2481.88"/>
    <m/>
  </r>
  <r>
    <d v="2022-01-01T00:00:00"/>
    <s v="2021-22"/>
    <n v="2022"/>
    <n v="1"/>
    <s v="Jan"/>
    <x v="35"/>
    <n v="37"/>
    <s v="Union Territory"/>
    <n v="13.31"/>
    <n v="17.71"/>
    <n v="3.86"/>
    <n v="0.28000000000000003"/>
    <n v="34.880000000000003"/>
    <n v="35.159999999999997"/>
    <m/>
  </r>
  <r>
    <d v="2022-01-01T00:00:00"/>
    <s v="2021-22"/>
    <n v="2022"/>
    <n v="1"/>
    <s v="Jan"/>
    <x v="17"/>
    <n v="31"/>
    <s v="Union Territory"/>
    <n v="0.99"/>
    <n v="1.03"/>
    <n v="0.05"/>
    <n v="0"/>
    <n v="2.0699999999999998"/>
    <n v="2.0699999999999998"/>
    <m/>
  </r>
  <r>
    <d v="2022-01-01T00:00:00"/>
    <s v="2021-22"/>
    <n v="2022"/>
    <n v="1"/>
    <s v="Jan"/>
    <x v="18"/>
    <n v="23"/>
    <s v="State"/>
    <n v="718.3"/>
    <n v="920.77"/>
    <n v="734.12"/>
    <n v="586.12"/>
    <n v="2373.19"/>
    <n v="2959.31"/>
    <m/>
  </r>
  <r>
    <d v="2022-01-01T00:00:00"/>
    <s v="2021-22"/>
    <n v="2022"/>
    <n v="1"/>
    <s v="Jan"/>
    <x v="19"/>
    <n v="27"/>
    <s v="State"/>
    <n v="5319.45"/>
    <n v="6360.44"/>
    <n v="7687.46"/>
    <n v="1337.05"/>
    <n v="19367.349999999999"/>
    <n v="20704.400000000001"/>
    <m/>
  </r>
  <r>
    <d v="2022-01-01T00:00:00"/>
    <s v="2021-22"/>
    <n v="2022"/>
    <n v="1"/>
    <s v="Jan"/>
    <x v="20"/>
    <n v="14"/>
    <s v="State"/>
    <n v="16.13"/>
    <n v="20.82"/>
    <n v="7.26"/>
    <n v="0.09"/>
    <n v="44.21"/>
    <n v="44.3"/>
    <m/>
  </r>
  <r>
    <d v="2022-01-01T00:00:00"/>
    <s v="2021-22"/>
    <n v="2022"/>
    <n v="1"/>
    <s v="Jan"/>
    <x v="21"/>
    <n v="17"/>
    <s v="State"/>
    <n v="26.95"/>
    <n v="35.6"/>
    <n v="83.27"/>
    <n v="0.49"/>
    <n v="145.82"/>
    <n v="146.31"/>
    <m/>
  </r>
  <r>
    <d v="2022-01-01T00:00:00"/>
    <s v="2021-22"/>
    <n v="2022"/>
    <n v="1"/>
    <s v="Jan"/>
    <x v="22"/>
    <n v="15"/>
    <s v="State"/>
    <n v="11.99"/>
    <n v="17.510000000000002"/>
    <n v="5.09"/>
    <n v="0.17"/>
    <n v="34.590000000000003"/>
    <n v="34.76"/>
    <m/>
  </r>
  <r>
    <d v="2022-01-01T00:00:00"/>
    <s v="2021-22"/>
    <n v="2022"/>
    <n v="1"/>
    <s v="Jan"/>
    <x v="23"/>
    <n v="13"/>
    <s v="State"/>
    <n v="12.24"/>
    <n v="20.04"/>
    <n v="6.54"/>
    <n v="1.73"/>
    <n v="38.82"/>
    <n v="40.549999999999997"/>
    <m/>
  </r>
  <r>
    <d v="2022-01-01T00:00:00"/>
    <s v="2021-22"/>
    <n v="2022"/>
    <n v="1"/>
    <s v="Jan"/>
    <x v="24"/>
    <n v="21"/>
    <s v="State"/>
    <n v="965.92"/>
    <n v="1143.1400000000001"/>
    <n v="1134.1500000000001"/>
    <n v="752.19"/>
    <n v="3243.21"/>
    <n v="3995.4"/>
    <m/>
  </r>
  <r>
    <d v="2022-01-01T00:00:00"/>
    <s v="2021-22"/>
    <n v="2022"/>
    <n v="1"/>
    <s v="Jan"/>
    <x v="25"/>
    <n v="34"/>
    <s v="Union Territory"/>
    <n v="22.48"/>
    <n v="38.72"/>
    <n v="106.77"/>
    <n v="1.28"/>
    <n v="167.97"/>
    <n v="169.25"/>
    <m/>
  </r>
  <r>
    <d v="2022-01-01T00:00:00"/>
    <s v="2021-22"/>
    <n v="2022"/>
    <n v="1"/>
    <s v="Jan"/>
    <x v="26"/>
    <n v="3"/>
    <s v="State"/>
    <n v="422.29"/>
    <n v="659.09"/>
    <n v="583.15"/>
    <n v="25.75"/>
    <n v="1664.53"/>
    <n v="1690.28"/>
    <m/>
  </r>
  <r>
    <d v="2022-01-01T00:00:00"/>
    <s v="2021-22"/>
    <n v="2022"/>
    <n v="1"/>
    <s v="Jan"/>
    <x v="27"/>
    <n v="8"/>
    <s v="State"/>
    <n v="971.7"/>
    <n v="1289.8599999999999"/>
    <n v="1215.7"/>
    <n v="171.41"/>
    <n v="3477.26"/>
    <n v="3648.67"/>
    <m/>
  </r>
  <r>
    <d v="2022-01-01T00:00:00"/>
    <s v="2021-22"/>
    <n v="2022"/>
    <n v="1"/>
    <s v="Jan"/>
    <x v="28"/>
    <n v="11"/>
    <s v="State"/>
    <n v="15"/>
    <n v="24.72"/>
    <n v="209.51"/>
    <n v="0.38"/>
    <n v="249.23"/>
    <n v="249.61"/>
    <m/>
  </r>
  <r>
    <d v="2022-01-01T00:00:00"/>
    <s v="2021-22"/>
    <n v="2022"/>
    <n v="1"/>
    <s v="Jan"/>
    <x v="29"/>
    <n v="33"/>
    <s v="State"/>
    <n v="2089.7399999999998"/>
    <n v="2812.13"/>
    <n v="2421.11"/>
    <n v="656.63"/>
    <n v="7322.98"/>
    <n v="7979.61"/>
    <m/>
  </r>
  <r>
    <d v="2022-01-01T00:00:00"/>
    <s v="2021-22"/>
    <n v="2022"/>
    <n v="1"/>
    <s v="Jan"/>
    <x v="30"/>
    <n v="36"/>
    <s v="State"/>
    <n v="1055.72"/>
    <n v="1424.16"/>
    <n v="1375.14"/>
    <n v="604.96"/>
    <n v="3855.02"/>
    <n v="4459.9799999999996"/>
    <m/>
  </r>
  <r>
    <d v="2022-01-01T00:00:00"/>
    <s v="2021-22"/>
    <n v="2022"/>
    <n v="1"/>
    <s v="Jan"/>
    <x v="31"/>
    <n v="16"/>
    <s v="State"/>
    <n v="27"/>
    <n v="37.42"/>
    <n v="8.3800000000000008"/>
    <n v="0.38"/>
    <n v="72.8"/>
    <n v="73.180000000000007"/>
    <m/>
  </r>
  <r>
    <d v="2022-01-01T00:00:00"/>
    <s v="2021-22"/>
    <n v="2022"/>
    <n v="1"/>
    <s v="Jan"/>
    <x v="32"/>
    <n v="9"/>
    <s v="State"/>
    <n v="1529.52"/>
    <n v="2178.6999999999998"/>
    <n v="2181.83"/>
    <n v="1095.5"/>
    <n v="5890.05"/>
    <n v="6985.55"/>
    <m/>
  </r>
  <r>
    <d v="2022-01-01T00:00:00"/>
    <s v="2021-22"/>
    <n v="2022"/>
    <n v="1"/>
    <s v="Jan"/>
    <x v="33"/>
    <n v="5"/>
    <s v="State"/>
    <n v="242.6"/>
    <n v="360.92"/>
    <n v="693.35"/>
    <n v="9.2200000000000006"/>
    <n v="1296.8699999999999"/>
    <n v="1306.0899999999999"/>
    <m/>
  </r>
  <r>
    <d v="2022-01-01T00:00:00"/>
    <s v="2021-22"/>
    <n v="2022"/>
    <n v="1"/>
    <s v="Jan"/>
    <x v="34"/>
    <n v="19"/>
    <s v="State"/>
    <n v="1329.17"/>
    <n v="1675.91"/>
    <n v="1140.81"/>
    <n v="328.37"/>
    <n v="4145.8900000000003"/>
    <n v="4474.26"/>
    <m/>
  </r>
  <r>
    <d v="2022-02-01T00:00:00"/>
    <s v="2021-22"/>
    <n v="2022"/>
    <n v="2"/>
    <s v="Feb"/>
    <x v="0"/>
    <n v="35"/>
    <s v="Union Territory"/>
    <n v="8.39"/>
    <n v="11.57"/>
    <n v="2.02"/>
    <n v="0.03"/>
    <n v="21.98"/>
    <n v="22.01"/>
    <m/>
  </r>
  <r>
    <d v="2022-02-01T00:00:00"/>
    <s v="2021-22"/>
    <n v="2022"/>
    <n v="2"/>
    <s v="Feb"/>
    <x v="1"/>
    <n v="28"/>
    <s v="State"/>
    <n v="707.92"/>
    <n v="931.88"/>
    <n v="1204.19"/>
    <n v="313.29000000000002"/>
    <n v="2843.99"/>
    <n v="3157.28"/>
    <m/>
  </r>
  <r>
    <d v="2022-02-01T00:00:00"/>
    <s v="2021-22"/>
    <n v="2022"/>
    <n v="2"/>
    <s v="Feb"/>
    <x v="2"/>
    <n v="12"/>
    <s v="State"/>
    <n v="18.59"/>
    <n v="26.26"/>
    <n v="10.98"/>
    <n v="0.16"/>
    <n v="55.83"/>
    <n v="55.99"/>
    <m/>
  </r>
  <r>
    <d v="2022-02-01T00:00:00"/>
    <s v="2021-22"/>
    <n v="2022"/>
    <n v="2"/>
    <s v="Feb"/>
    <x v="3"/>
    <n v="18"/>
    <s v="State"/>
    <n v="311.91000000000003"/>
    <n v="401.63"/>
    <n v="250.85"/>
    <n v="43.41"/>
    <n v="964.39"/>
    <n v="1007.8"/>
    <m/>
  </r>
  <r>
    <d v="2022-02-01T00:00:00"/>
    <s v="2021-22"/>
    <n v="2022"/>
    <n v="2"/>
    <s v="Feb"/>
    <x v="4"/>
    <n v="10"/>
    <s v="State"/>
    <n v="351.46"/>
    <n v="550.11"/>
    <n v="156.36000000000001"/>
    <n v="148.41"/>
    <n v="1057.93"/>
    <n v="1206.3399999999999"/>
    <m/>
  </r>
  <r>
    <d v="2022-02-01T00:00:00"/>
    <s v="2021-22"/>
    <n v="2022"/>
    <n v="2"/>
    <s v="Feb"/>
    <x v="5"/>
    <n v="4"/>
    <s v="Union Territory"/>
    <n v="32.880000000000003"/>
    <n v="45.79"/>
    <n v="98.79"/>
    <n v="0.82"/>
    <n v="177.46"/>
    <n v="178.28"/>
    <m/>
  </r>
  <r>
    <d v="2022-02-01T00:00:00"/>
    <s v="2021-22"/>
    <n v="2022"/>
    <n v="2"/>
    <s v="Feb"/>
    <x v="6"/>
    <n v="22"/>
    <s v="State"/>
    <n v="528.39"/>
    <n v="620.37"/>
    <n v="988.95"/>
    <n v="645.09"/>
    <n v="2137.71"/>
    <n v="2782.8"/>
    <m/>
  </r>
  <r>
    <d v="2022-02-01T00:00:00"/>
    <s v="2021-22"/>
    <n v="2022"/>
    <n v="2"/>
    <s v="Feb"/>
    <x v="7"/>
    <n v="38"/>
    <s v="Union Territory"/>
    <n v="37.06"/>
    <n v="48"/>
    <n v="174.56"/>
    <n v="0.52"/>
    <n v="259.62"/>
    <n v="260.14"/>
    <m/>
  </r>
  <r>
    <d v="2022-02-01T00:00:00"/>
    <s v="2021-22"/>
    <n v="2022"/>
    <n v="2"/>
    <s v="Feb"/>
    <x v="8"/>
    <n v="7"/>
    <s v="Union Territory"/>
    <n v="777.9"/>
    <n v="939.01"/>
    <n v="2103.11"/>
    <n v="101.63"/>
    <n v="3820.02"/>
    <n v="3921.65"/>
    <m/>
  </r>
  <r>
    <d v="2022-02-01T00:00:00"/>
    <s v="2021-22"/>
    <n v="2022"/>
    <n v="2"/>
    <s v="Feb"/>
    <x v="9"/>
    <n v="30"/>
    <s v="State"/>
    <n v="92.95"/>
    <n v="123.79"/>
    <n v="145.04"/>
    <n v="2.0499999999999998"/>
    <n v="361.78"/>
    <n v="363.83"/>
    <m/>
  </r>
  <r>
    <d v="2022-02-01T00:00:00"/>
    <s v="2021-22"/>
    <n v="2022"/>
    <n v="2"/>
    <s v="Feb"/>
    <x v="10"/>
    <n v="24"/>
    <s v="State"/>
    <n v="2478.13"/>
    <n v="3007.46"/>
    <n v="2768.51"/>
    <n v="618.66"/>
    <n v="8254.1"/>
    <n v="8872.76"/>
    <m/>
  </r>
  <r>
    <d v="2022-02-01T00:00:00"/>
    <s v="2021-22"/>
    <n v="2022"/>
    <n v="2"/>
    <s v="Feb"/>
    <x v="11"/>
    <n v="6"/>
    <s v="State"/>
    <n v="1050.3699999999999"/>
    <n v="1399.91"/>
    <n v="3008.6"/>
    <n v="469.29"/>
    <n v="5458.88"/>
    <n v="5928.17"/>
    <m/>
  </r>
  <r>
    <d v="2022-02-01T00:00:00"/>
    <s v="2021-22"/>
    <n v="2022"/>
    <n v="2"/>
    <s v="Feb"/>
    <x v="12"/>
    <n v="2"/>
    <s v="State"/>
    <n v="108.59"/>
    <n v="155.47999999999999"/>
    <n v="392.19"/>
    <n v="0.98"/>
    <n v="656.26"/>
    <n v="657.24"/>
    <m/>
  </r>
  <r>
    <d v="2022-02-01T00:00:00"/>
    <s v="2021-22"/>
    <n v="2022"/>
    <n v="2"/>
    <s v="Feb"/>
    <x v="13"/>
    <n v="1"/>
    <s v="Union Territory"/>
    <n v="96.86"/>
    <n v="136.46"/>
    <n v="90.67"/>
    <n v="2.4300000000000002"/>
    <n v="323.99"/>
    <n v="326.42"/>
    <m/>
  </r>
  <r>
    <d v="2022-02-01T00:00:00"/>
    <s v="2021-22"/>
    <n v="2022"/>
    <n v="2"/>
    <s v="Feb"/>
    <x v="14"/>
    <n v="20"/>
    <s v="State"/>
    <n v="544.61"/>
    <n v="660.79"/>
    <n v="846.35"/>
    <n v="484.73"/>
    <n v="2051.75"/>
    <n v="2536.48"/>
    <m/>
  </r>
  <r>
    <d v="2022-02-01T00:00:00"/>
    <s v="2021-22"/>
    <n v="2022"/>
    <n v="2"/>
    <s v="Feb"/>
    <x v="15"/>
    <n v="29"/>
    <s v="State"/>
    <n v="2177.58"/>
    <n v="2678.54"/>
    <n v="3393.69"/>
    <n v="926.51"/>
    <n v="8249.81"/>
    <n v="9176.32"/>
    <m/>
  </r>
  <r>
    <d v="2022-02-01T00:00:00"/>
    <s v="2021-22"/>
    <n v="2022"/>
    <n v="2"/>
    <s v="Feb"/>
    <x v="16"/>
    <n v="32"/>
    <s v="State"/>
    <n v="706.36"/>
    <n v="927.57"/>
    <n v="434.7"/>
    <n v="5.86"/>
    <n v="2068.63"/>
    <n v="2074.4899999999998"/>
    <m/>
  </r>
  <r>
    <d v="2022-02-01T00:00:00"/>
    <s v="2021-22"/>
    <n v="2022"/>
    <n v="2"/>
    <s v="Feb"/>
    <x v="35"/>
    <n v="37"/>
    <s v="Union Territory"/>
    <n v="5.56"/>
    <n v="7.59"/>
    <n v="2.17"/>
    <n v="0.25"/>
    <n v="15.32"/>
    <n v="15.57"/>
    <m/>
  </r>
  <r>
    <d v="2022-02-01T00:00:00"/>
    <s v="2021-22"/>
    <n v="2022"/>
    <n v="2"/>
    <s v="Feb"/>
    <x v="17"/>
    <n v="31"/>
    <s v="Union Territory"/>
    <n v="0.3"/>
    <n v="0.45"/>
    <n v="0.06"/>
    <n v="0"/>
    <n v="0.81"/>
    <n v="0.81"/>
    <m/>
  </r>
  <r>
    <d v="2022-02-01T00:00:00"/>
    <s v="2021-22"/>
    <n v="2022"/>
    <n v="2"/>
    <s v="Feb"/>
    <x v="18"/>
    <n v="23"/>
    <s v="State"/>
    <n v="666.04"/>
    <n v="858.95"/>
    <n v="726.38"/>
    <n v="601.45000000000005"/>
    <n v="2251.37"/>
    <n v="2852.82"/>
    <m/>
  </r>
  <r>
    <d v="2022-02-01T00:00:00"/>
    <s v="2021-22"/>
    <n v="2022"/>
    <n v="2"/>
    <s v="Feb"/>
    <x v="19"/>
    <n v="27"/>
    <s v="State"/>
    <n v="5426.85"/>
    <n v="6379.42"/>
    <n v="6122.46"/>
    <n v="1493.86"/>
    <n v="17928.73"/>
    <n v="19422.59"/>
    <m/>
  </r>
  <r>
    <d v="2022-02-01T00:00:00"/>
    <s v="2021-22"/>
    <n v="2022"/>
    <n v="2"/>
    <s v="Feb"/>
    <x v="20"/>
    <n v="14"/>
    <s v="State"/>
    <n v="14.12"/>
    <n v="19.52"/>
    <n v="5.0199999999999996"/>
    <n v="0.13"/>
    <n v="38.659999999999997"/>
    <n v="38.79"/>
    <m/>
  </r>
  <r>
    <d v="2022-02-01T00:00:00"/>
    <s v="2021-22"/>
    <n v="2022"/>
    <n v="2"/>
    <s v="Feb"/>
    <x v="21"/>
    <n v="17"/>
    <s v="State"/>
    <n v="31.25"/>
    <n v="38.369999999999997"/>
    <n v="130.19999999999999"/>
    <n v="0.74"/>
    <n v="199.82"/>
    <n v="200.56"/>
    <m/>
  </r>
  <r>
    <d v="2022-02-01T00:00:00"/>
    <s v="2021-22"/>
    <n v="2022"/>
    <n v="2"/>
    <s v="Feb"/>
    <x v="22"/>
    <n v="15"/>
    <s v="State"/>
    <n v="9.65"/>
    <n v="12.26"/>
    <n v="2.29"/>
    <n v="0.03"/>
    <n v="24.2"/>
    <n v="24.23"/>
    <m/>
  </r>
  <r>
    <d v="2022-02-01T00:00:00"/>
    <s v="2021-22"/>
    <n v="2022"/>
    <n v="2"/>
    <s v="Feb"/>
    <x v="23"/>
    <n v="13"/>
    <s v="State"/>
    <n v="9.0500000000000007"/>
    <n v="12.24"/>
    <n v="9.6"/>
    <n v="1.95"/>
    <n v="30.89"/>
    <n v="32.840000000000003"/>
    <m/>
  </r>
  <r>
    <d v="2022-02-01T00:00:00"/>
    <s v="2021-22"/>
    <n v="2022"/>
    <n v="2"/>
    <s v="Feb"/>
    <x v="24"/>
    <n v="21"/>
    <s v="State"/>
    <n v="989.49"/>
    <n v="1152.3699999999999"/>
    <n v="1223.92"/>
    <n v="735.71"/>
    <n v="3365.78"/>
    <n v="4101.49"/>
    <m/>
  </r>
  <r>
    <d v="2022-02-01T00:00:00"/>
    <s v="2021-22"/>
    <n v="2022"/>
    <n v="2"/>
    <s v="Feb"/>
    <x v="25"/>
    <n v="34"/>
    <s v="Union Territory"/>
    <n v="22.26"/>
    <n v="32.450000000000003"/>
    <n v="123.5"/>
    <n v="0.17"/>
    <n v="178.21"/>
    <n v="178.38"/>
    <m/>
  </r>
  <r>
    <d v="2022-02-01T00:00:00"/>
    <s v="2021-22"/>
    <n v="2022"/>
    <n v="2"/>
    <s v="Feb"/>
    <x v="26"/>
    <n v="3"/>
    <s v="State"/>
    <n v="367.37"/>
    <n v="516.98"/>
    <n v="584.59"/>
    <n v="11.21"/>
    <n v="1468.94"/>
    <n v="1480.15"/>
    <m/>
  </r>
  <r>
    <d v="2022-02-01T00:00:00"/>
    <s v="2021-22"/>
    <n v="2022"/>
    <n v="2"/>
    <s v="Feb"/>
    <x v="27"/>
    <n v="8"/>
    <s v="State"/>
    <n v="934.17"/>
    <n v="1213.3900000000001"/>
    <n v="1165.58"/>
    <n v="155.54"/>
    <n v="3313.14"/>
    <n v="3468.68"/>
    <m/>
  </r>
  <r>
    <d v="2022-02-01T00:00:00"/>
    <s v="2021-22"/>
    <n v="2022"/>
    <n v="2"/>
    <s v="Feb"/>
    <x v="28"/>
    <n v="11"/>
    <s v="State"/>
    <n v="15.6"/>
    <n v="21.26"/>
    <n v="185.3"/>
    <n v="0.11"/>
    <n v="222.16"/>
    <n v="222.27"/>
    <m/>
  </r>
  <r>
    <d v="2022-02-01T00:00:00"/>
    <s v="2021-22"/>
    <n v="2022"/>
    <n v="2"/>
    <s v="Feb"/>
    <x v="29"/>
    <n v="33"/>
    <s v="State"/>
    <n v="1907.21"/>
    <n v="2525.0100000000002"/>
    <n v="2299.17"/>
    <n v="661.81"/>
    <n v="6731.39"/>
    <n v="7393.2"/>
    <m/>
  </r>
  <r>
    <d v="2022-02-01T00:00:00"/>
    <s v="2021-22"/>
    <n v="2022"/>
    <n v="2"/>
    <s v="Feb"/>
    <x v="30"/>
    <n v="36"/>
    <s v="State"/>
    <n v="979.77"/>
    <n v="1283.76"/>
    <n v="1219.45"/>
    <n v="630.20000000000005"/>
    <n v="3482.98"/>
    <n v="4113.18"/>
    <m/>
  </r>
  <r>
    <d v="2022-02-01T00:00:00"/>
    <s v="2021-22"/>
    <n v="2022"/>
    <n v="2"/>
    <s v="Feb"/>
    <x v="31"/>
    <n v="16"/>
    <s v="State"/>
    <n v="25.01"/>
    <n v="31.95"/>
    <n v="8.8800000000000008"/>
    <n v="0.23"/>
    <n v="65.84"/>
    <n v="66.069999999999993"/>
    <m/>
  </r>
  <r>
    <d v="2022-02-01T00:00:00"/>
    <s v="2021-22"/>
    <n v="2022"/>
    <n v="2"/>
    <s v="Feb"/>
    <x v="32"/>
    <n v="9"/>
    <s v="State"/>
    <n v="1465.09"/>
    <n v="2022.52"/>
    <n v="1754"/>
    <n v="1277.04"/>
    <n v="5241.6099999999997"/>
    <n v="6518.65"/>
    <m/>
  </r>
  <r>
    <d v="2022-02-01T00:00:00"/>
    <s v="2021-22"/>
    <n v="2022"/>
    <n v="2"/>
    <s v="Feb"/>
    <x v="33"/>
    <n v="5"/>
    <s v="State"/>
    <n v="226.34"/>
    <n v="332.38"/>
    <n v="613.26"/>
    <n v="3.63"/>
    <n v="1171.98"/>
    <n v="1175.6099999999999"/>
    <m/>
  </r>
  <r>
    <d v="2022-02-01T00:00:00"/>
    <s v="2021-22"/>
    <n v="2022"/>
    <n v="2"/>
    <s v="Feb"/>
    <x v="34"/>
    <n v="19"/>
    <s v="State"/>
    <n v="1302.8900000000001"/>
    <n v="1644.41"/>
    <n v="1103.17"/>
    <n v="363.96"/>
    <n v="4050.47"/>
    <n v="4414.43"/>
    <m/>
  </r>
  <r>
    <d v="2022-03-01T00:00:00"/>
    <s v="2021-22"/>
    <n v="2022"/>
    <n v="3"/>
    <s v="Mar"/>
    <x v="0"/>
    <n v="35"/>
    <s v="Union Territory"/>
    <n v="10.42"/>
    <n v="14.17"/>
    <n v="2.27"/>
    <n v="0.04"/>
    <n v="26.86"/>
    <n v="26.9"/>
    <m/>
  </r>
  <r>
    <d v="2022-03-01T00:00:00"/>
    <s v="2021-22"/>
    <n v="2022"/>
    <n v="3"/>
    <s v="Mar"/>
    <x v="1"/>
    <n v="28"/>
    <s v="State"/>
    <n v="776.83"/>
    <n v="1006.23"/>
    <n v="1092.0899999999999"/>
    <n v="299.3"/>
    <n v="2875.15"/>
    <n v="3174.45"/>
    <m/>
  </r>
  <r>
    <d v="2022-03-01T00:00:00"/>
    <s v="2021-22"/>
    <n v="2022"/>
    <n v="3"/>
    <s v="Mar"/>
    <x v="2"/>
    <n v="12"/>
    <s v="State"/>
    <n v="42.46"/>
    <n v="51.18"/>
    <n v="11.21"/>
    <n v="0.14000000000000001"/>
    <n v="104.85"/>
    <n v="104.99"/>
    <m/>
  </r>
  <r>
    <d v="2022-03-01T00:00:00"/>
    <s v="2021-22"/>
    <n v="2022"/>
    <n v="3"/>
    <s v="Mar"/>
    <x v="3"/>
    <n v="18"/>
    <s v="State"/>
    <n v="345.94"/>
    <n v="445.56"/>
    <n v="285.95"/>
    <n v="37.15"/>
    <n v="1077.45"/>
    <n v="1114.5999999999999"/>
    <m/>
  </r>
  <r>
    <d v="2022-03-01T00:00:00"/>
    <s v="2021-22"/>
    <n v="2022"/>
    <n v="3"/>
    <s v="Mar"/>
    <x v="4"/>
    <n v="10"/>
    <s v="State"/>
    <n v="377.01"/>
    <n v="579.54999999999995"/>
    <n v="170.81"/>
    <n v="220.53"/>
    <n v="1127.3699999999999"/>
    <n v="1347.9"/>
    <m/>
  </r>
  <r>
    <d v="2022-03-01T00:00:00"/>
    <s v="2021-22"/>
    <n v="2022"/>
    <n v="3"/>
    <s v="Mar"/>
    <x v="5"/>
    <n v="4"/>
    <s v="Union Territory"/>
    <n v="33.909999999999997"/>
    <n v="43.75"/>
    <n v="105.71"/>
    <n v="0.38"/>
    <n v="183.37"/>
    <n v="183.75"/>
    <m/>
  </r>
  <r>
    <d v="2022-03-01T00:00:00"/>
    <s v="2021-22"/>
    <n v="2022"/>
    <n v="3"/>
    <s v="Mar"/>
    <x v="6"/>
    <n v="22"/>
    <s v="State"/>
    <n v="544.67999999999995"/>
    <n v="638.92999999999995"/>
    <n v="923.94"/>
    <n v="612.55999999999995"/>
    <n v="2107.5500000000002"/>
    <n v="2720.11"/>
    <m/>
  </r>
  <r>
    <d v="2022-03-01T00:00:00"/>
    <s v="2021-22"/>
    <n v="2022"/>
    <n v="3"/>
    <s v="Mar"/>
    <x v="7"/>
    <n v="38"/>
    <s v="Union Territory"/>
    <n v="40.07"/>
    <n v="50.85"/>
    <n v="192.18"/>
    <n v="0.68"/>
    <n v="283.10000000000002"/>
    <n v="283.77999999999997"/>
    <m/>
  </r>
  <r>
    <d v="2022-03-01T00:00:00"/>
    <s v="2021-22"/>
    <n v="2022"/>
    <n v="3"/>
    <s v="Mar"/>
    <x v="8"/>
    <n v="7"/>
    <s v="Union Territory"/>
    <n v="817.25"/>
    <n v="985.54"/>
    <n v="2204.14"/>
    <n v="104.79"/>
    <n v="4006.93"/>
    <n v="4111.72"/>
    <m/>
  </r>
  <r>
    <d v="2022-03-01T00:00:00"/>
    <s v="2021-22"/>
    <n v="2022"/>
    <n v="3"/>
    <s v="Mar"/>
    <x v="9"/>
    <n v="30"/>
    <s v="State"/>
    <n v="107.22"/>
    <n v="143.84"/>
    <n v="132.99"/>
    <n v="1.9"/>
    <n v="384.05"/>
    <n v="385.95"/>
    <m/>
  </r>
  <r>
    <d v="2022-03-01T00:00:00"/>
    <s v="2021-22"/>
    <n v="2022"/>
    <n v="3"/>
    <s v="Mar"/>
    <x v="10"/>
    <n v="24"/>
    <s v="State"/>
    <n v="2563.0100000000002"/>
    <n v="3080.66"/>
    <n v="3112.9"/>
    <n v="401.1"/>
    <n v="8756.57"/>
    <n v="9157.67"/>
    <m/>
  </r>
  <r>
    <d v="2022-03-01T00:00:00"/>
    <s v="2021-22"/>
    <n v="2022"/>
    <n v="3"/>
    <s v="Mar"/>
    <x v="11"/>
    <n v="6"/>
    <s v="State"/>
    <n v="1057.5999999999999"/>
    <n v="1403.64"/>
    <n v="3751.21"/>
    <n v="441.08"/>
    <n v="6212.45"/>
    <n v="6653.53"/>
    <m/>
  </r>
  <r>
    <d v="2022-03-01T00:00:00"/>
    <s v="2021-22"/>
    <n v="2022"/>
    <n v="3"/>
    <s v="Mar"/>
    <x v="12"/>
    <n v="2"/>
    <s v="State"/>
    <n v="122.83"/>
    <n v="163.5"/>
    <n v="396.68"/>
    <n v="0.89"/>
    <n v="683.01"/>
    <n v="683.9"/>
    <m/>
  </r>
  <r>
    <d v="2022-03-01T00:00:00"/>
    <s v="2021-22"/>
    <n v="2022"/>
    <n v="3"/>
    <s v="Mar"/>
    <x v="13"/>
    <n v="1"/>
    <s v="Union Territory"/>
    <n v="112.42"/>
    <n v="166.71"/>
    <n v="85.65"/>
    <n v="3.62"/>
    <n v="364.78"/>
    <n v="368.4"/>
    <m/>
  </r>
  <r>
    <d v="2022-03-01T00:00:00"/>
    <s v="2021-22"/>
    <n v="2022"/>
    <n v="3"/>
    <s v="Mar"/>
    <x v="14"/>
    <n v="20"/>
    <s v="State"/>
    <n v="524.67999999999995"/>
    <n v="661.51"/>
    <n v="881.98"/>
    <n v="481.79"/>
    <n v="2068.17"/>
    <n v="2549.96"/>
    <m/>
  </r>
  <r>
    <d v="2022-03-01T00:00:00"/>
    <s v="2021-22"/>
    <n v="2022"/>
    <n v="3"/>
    <s v="Mar"/>
    <x v="15"/>
    <n v="29"/>
    <s v="State"/>
    <n v="2202.46"/>
    <n v="2688.59"/>
    <n v="3088.67"/>
    <n v="770.4"/>
    <n v="7979.72"/>
    <n v="8750.1200000000008"/>
    <m/>
  </r>
  <r>
    <d v="2022-03-01T00:00:00"/>
    <s v="2021-22"/>
    <n v="2022"/>
    <n v="3"/>
    <s v="Mar"/>
    <x v="16"/>
    <n v="32"/>
    <s v="State"/>
    <n v="694.9"/>
    <n v="923.53"/>
    <n v="467.8"/>
    <n v="2.98"/>
    <n v="2086.23"/>
    <n v="2089.21"/>
    <m/>
  </r>
  <r>
    <d v="2022-03-01T00:00:00"/>
    <s v="2021-22"/>
    <n v="2022"/>
    <n v="3"/>
    <s v="Mar"/>
    <x v="35"/>
    <n v="37"/>
    <s v="Union Territory"/>
    <n v="9.44"/>
    <n v="11.33"/>
    <n v="2.72"/>
    <n v="0"/>
    <n v="23.49"/>
    <n v="23.49"/>
    <m/>
  </r>
  <r>
    <d v="2022-03-01T00:00:00"/>
    <s v="2021-22"/>
    <n v="2022"/>
    <n v="3"/>
    <s v="Mar"/>
    <x v="17"/>
    <n v="31"/>
    <s v="Union Territory"/>
    <n v="0.93"/>
    <n v="0.94"/>
    <n v="0.21"/>
    <n v="0"/>
    <n v="2.08"/>
    <n v="2.08"/>
    <m/>
  </r>
  <r>
    <d v="2022-03-01T00:00:00"/>
    <s v="2021-22"/>
    <n v="2022"/>
    <n v="3"/>
    <s v="Mar"/>
    <x v="18"/>
    <n v="23"/>
    <s v="State"/>
    <n v="713.28"/>
    <n v="911.32"/>
    <n v="785.03"/>
    <n v="525.51"/>
    <n v="2409.63"/>
    <n v="2935.14"/>
    <m/>
  </r>
  <r>
    <d v="2022-03-01T00:00:00"/>
    <s v="2021-22"/>
    <n v="2022"/>
    <n v="3"/>
    <s v="Mar"/>
    <x v="19"/>
    <n v="27"/>
    <s v="State"/>
    <n v="5803.34"/>
    <n v="6658.66"/>
    <n v="6467.73"/>
    <n v="1375.48"/>
    <n v="18929.73"/>
    <n v="20305.21"/>
    <m/>
  </r>
  <r>
    <d v="2022-03-01T00:00:00"/>
    <s v="2021-22"/>
    <n v="2022"/>
    <n v="3"/>
    <s v="Mar"/>
    <x v="20"/>
    <n v="14"/>
    <s v="State"/>
    <n v="22.18"/>
    <n v="32.82"/>
    <n v="4.3600000000000003"/>
    <n v="0.28000000000000003"/>
    <n v="59.36"/>
    <n v="59.64"/>
    <m/>
  </r>
  <r>
    <d v="2022-03-01T00:00:00"/>
    <s v="2021-22"/>
    <n v="2022"/>
    <n v="3"/>
    <s v="Mar"/>
    <x v="21"/>
    <n v="17"/>
    <s v="State"/>
    <n v="28.52"/>
    <n v="36.69"/>
    <n v="112.22"/>
    <n v="3.49"/>
    <n v="177.43"/>
    <n v="180.92"/>
    <m/>
  </r>
  <r>
    <d v="2022-03-01T00:00:00"/>
    <s v="2021-22"/>
    <n v="2022"/>
    <n v="3"/>
    <s v="Mar"/>
    <x v="22"/>
    <n v="15"/>
    <s v="State"/>
    <n v="14.24"/>
    <n v="19.98"/>
    <n v="2.54"/>
    <n v="0.01"/>
    <n v="36.76"/>
    <n v="36.770000000000003"/>
    <m/>
  </r>
  <r>
    <d v="2022-03-01T00:00:00"/>
    <s v="2021-22"/>
    <n v="2022"/>
    <n v="3"/>
    <s v="Mar"/>
    <x v="23"/>
    <n v="13"/>
    <s v="State"/>
    <n v="12.75"/>
    <n v="17.29"/>
    <n v="8.5"/>
    <n v="4.1399999999999997"/>
    <n v="38.54"/>
    <n v="42.68"/>
    <m/>
  </r>
  <r>
    <d v="2022-03-01T00:00:00"/>
    <s v="2021-22"/>
    <n v="2022"/>
    <n v="3"/>
    <s v="Mar"/>
    <x v="24"/>
    <n v="21"/>
    <s v="State"/>
    <n v="1109.8499999999999"/>
    <n v="1351.25"/>
    <n v="1003.47"/>
    <n v="660.09"/>
    <n v="3464.57"/>
    <n v="4124.66"/>
    <m/>
  </r>
  <r>
    <d v="2022-03-01T00:00:00"/>
    <s v="2021-22"/>
    <n v="2022"/>
    <n v="3"/>
    <s v="Mar"/>
    <x v="25"/>
    <n v="34"/>
    <s v="Union Territory"/>
    <n v="26.1"/>
    <n v="32.840000000000003"/>
    <n v="103.98"/>
    <n v="0.42"/>
    <n v="162.91999999999999"/>
    <n v="163.34"/>
    <m/>
  </r>
  <r>
    <d v="2022-03-01T00:00:00"/>
    <s v="2021-22"/>
    <n v="2022"/>
    <n v="3"/>
    <s v="Mar"/>
    <x v="26"/>
    <n v="3"/>
    <s v="State"/>
    <n v="412.6"/>
    <n v="596.47"/>
    <n v="545.33000000000004"/>
    <n v="17.47"/>
    <n v="1554.4"/>
    <n v="1571.87"/>
    <m/>
  </r>
  <r>
    <d v="2022-03-01T00:00:00"/>
    <s v="2021-22"/>
    <n v="2022"/>
    <n v="3"/>
    <s v="Mar"/>
    <x v="27"/>
    <n v="8"/>
    <s v="State"/>
    <n v="953.69"/>
    <n v="1247.73"/>
    <n v="1219.47"/>
    <n v="166.6"/>
    <n v="3420.89"/>
    <n v="3587.49"/>
    <m/>
  </r>
  <r>
    <d v="2022-03-01T00:00:00"/>
    <s v="2021-22"/>
    <n v="2022"/>
    <n v="3"/>
    <s v="Mar"/>
    <x v="28"/>
    <n v="11"/>
    <s v="State"/>
    <n v="15.14"/>
    <n v="19.23"/>
    <n v="195.57"/>
    <n v="0.02"/>
    <n v="229.94"/>
    <n v="229.96"/>
    <m/>
  </r>
  <r>
    <d v="2022-03-01T00:00:00"/>
    <s v="2021-22"/>
    <n v="2022"/>
    <n v="3"/>
    <s v="Mar"/>
    <x v="29"/>
    <n v="33"/>
    <s v="State"/>
    <n v="2081.36"/>
    <n v="2768.83"/>
    <n v="2572.77"/>
    <n v="599.57000000000005"/>
    <n v="7422.96"/>
    <n v="8022.53"/>
    <m/>
  </r>
  <r>
    <d v="2022-03-01T00:00:00"/>
    <s v="2021-22"/>
    <n v="2022"/>
    <n v="3"/>
    <s v="Mar"/>
    <x v="30"/>
    <n v="36"/>
    <s v="State"/>
    <n v="1083.77"/>
    <n v="1419.98"/>
    <n v="1246.01"/>
    <n v="492.38"/>
    <n v="3749.76"/>
    <n v="4242.1400000000003"/>
    <m/>
  </r>
  <r>
    <d v="2022-03-01T00:00:00"/>
    <s v="2021-22"/>
    <n v="2022"/>
    <n v="3"/>
    <s v="Mar"/>
    <x v="31"/>
    <n v="16"/>
    <s v="State"/>
    <n v="31.37"/>
    <n v="39.369999999999997"/>
    <n v="11.19"/>
    <n v="0.12"/>
    <n v="81.93"/>
    <n v="82.05"/>
    <m/>
  </r>
  <r>
    <d v="2022-03-01T00:00:00"/>
    <s v="2021-22"/>
    <n v="2022"/>
    <n v="3"/>
    <s v="Mar"/>
    <x v="32"/>
    <n v="9"/>
    <s v="State"/>
    <n v="1552.93"/>
    <n v="2167.9499999999998"/>
    <n v="1988.9"/>
    <n v="909.98"/>
    <n v="5709.78"/>
    <n v="6619.76"/>
    <m/>
  </r>
  <r>
    <d v="2022-03-01T00:00:00"/>
    <s v="2021-22"/>
    <n v="2022"/>
    <n v="3"/>
    <s v="Mar"/>
    <x v="33"/>
    <n v="5"/>
    <s v="State"/>
    <n v="221.13"/>
    <n v="327.54000000000002"/>
    <n v="697.51"/>
    <n v="9.15"/>
    <n v="1246.18"/>
    <n v="1255.33"/>
    <m/>
  </r>
  <r>
    <d v="2022-03-01T00:00:00"/>
    <s v="2021-22"/>
    <n v="2022"/>
    <n v="3"/>
    <s v="Mar"/>
    <x v="34"/>
    <n v="19"/>
    <s v="State"/>
    <n v="1353.23"/>
    <n v="1656.69"/>
    <n v="1169.8"/>
    <n v="291.92"/>
    <n v="4179.72"/>
    <n v="4471.6400000000003"/>
    <m/>
  </r>
  <r>
    <d v="2022-04-01T00:00:00"/>
    <s v="2022-23"/>
    <n v="2022"/>
    <n v="4"/>
    <s v="Apr"/>
    <x v="0"/>
    <n v="35"/>
    <s v="Union Territory"/>
    <n v="37.380000000000003"/>
    <n v="42.84"/>
    <n v="7.12"/>
    <n v="0.08"/>
    <n v="87.34"/>
    <n v="87.42"/>
    <m/>
  </r>
  <r>
    <d v="2022-04-01T00:00:00"/>
    <s v="2022-23"/>
    <n v="2022"/>
    <n v="4"/>
    <s v="Apr"/>
    <x v="1"/>
    <n v="28"/>
    <s v="State"/>
    <n v="1002.93"/>
    <n v="1294.48"/>
    <n v="1388.74"/>
    <n v="380.97"/>
    <n v="3686.15"/>
    <n v="4067.12"/>
    <m/>
  </r>
  <r>
    <d v="2022-04-01T00:00:00"/>
    <s v="2022-23"/>
    <n v="2022"/>
    <n v="4"/>
    <s v="Apr"/>
    <x v="2"/>
    <n v="12"/>
    <s v="State"/>
    <n v="79.97"/>
    <n v="93.2"/>
    <n v="22.82"/>
    <n v="0.22"/>
    <n v="195.99"/>
    <n v="196.21"/>
    <m/>
  </r>
  <r>
    <d v="2022-04-01T00:00:00"/>
    <s v="2022-23"/>
    <n v="2022"/>
    <n v="4"/>
    <s v="Apr"/>
    <x v="3"/>
    <n v="18"/>
    <s v="State"/>
    <n v="429.75"/>
    <n v="553.30999999999995"/>
    <n v="295.52"/>
    <n v="33.94"/>
    <n v="1278.58"/>
    <n v="1312.52"/>
    <m/>
  </r>
  <r>
    <d v="2022-04-01T00:00:00"/>
    <s v="2022-23"/>
    <n v="2022"/>
    <n v="4"/>
    <s v="Apr"/>
    <x v="4"/>
    <n v="10"/>
    <s v="State"/>
    <n v="456.79"/>
    <n v="767.19"/>
    <n v="179.25"/>
    <n v="67.400000000000006"/>
    <n v="1403.23"/>
    <n v="1470.63"/>
    <m/>
  </r>
  <r>
    <d v="2022-04-01T00:00:00"/>
    <s v="2022-23"/>
    <n v="2022"/>
    <n v="4"/>
    <s v="Apr"/>
    <x v="5"/>
    <n v="4"/>
    <s v="Union Territory"/>
    <n v="44.92"/>
    <n v="60.8"/>
    <n v="140.72999999999999"/>
    <n v="2.1800000000000002"/>
    <n v="246.45"/>
    <n v="248.63"/>
    <m/>
  </r>
  <r>
    <d v="2022-04-01T00:00:00"/>
    <s v="2022-23"/>
    <n v="2022"/>
    <n v="4"/>
    <s v="Apr"/>
    <x v="6"/>
    <n v="22"/>
    <s v="State"/>
    <n v="665.61"/>
    <n v="787.74"/>
    <n v="865.32"/>
    <n v="658.58"/>
    <n v="2318.67"/>
    <n v="2977.25"/>
    <m/>
  </r>
  <r>
    <d v="2022-04-01T00:00:00"/>
    <s v="2022-23"/>
    <n v="2022"/>
    <n v="4"/>
    <s v="Apr"/>
    <x v="7"/>
    <n v="38"/>
    <s v="Union Territory"/>
    <n v="46.55"/>
    <n v="59.1"/>
    <n v="273.83"/>
    <n v="1.27"/>
    <n v="379.48"/>
    <n v="380.75"/>
    <m/>
  </r>
  <r>
    <d v="2022-04-01T00:00:00"/>
    <s v="2022-23"/>
    <n v="2022"/>
    <n v="4"/>
    <s v="Apr"/>
    <x v="8"/>
    <n v="7"/>
    <s v="Union Territory"/>
    <n v="1324.21"/>
    <n v="1578.8"/>
    <n v="2903.97"/>
    <n v="63.8"/>
    <n v="5806.98"/>
    <n v="5870.78"/>
    <m/>
  </r>
  <r>
    <d v="2022-04-01T00:00:00"/>
    <s v="2022-23"/>
    <n v="2022"/>
    <n v="4"/>
    <s v="Apr"/>
    <x v="9"/>
    <n v="30"/>
    <s v="State"/>
    <n v="134.01"/>
    <n v="183.7"/>
    <n v="148.97999999999999"/>
    <n v="3.09"/>
    <n v="466.69"/>
    <n v="469.78"/>
    <m/>
  </r>
  <r>
    <d v="2022-04-01T00:00:00"/>
    <s v="2022-23"/>
    <n v="2022"/>
    <n v="4"/>
    <s v="Apr"/>
    <x v="10"/>
    <n v="24"/>
    <s v="State"/>
    <n v="3303.49"/>
    <n v="3901.62"/>
    <n v="3578.04"/>
    <n v="480.97"/>
    <n v="10783.15"/>
    <n v="11264.12"/>
    <m/>
  </r>
  <r>
    <d v="2022-04-01T00:00:00"/>
    <s v="2022-23"/>
    <n v="2022"/>
    <n v="4"/>
    <s v="Apr"/>
    <x v="11"/>
    <n v="6"/>
    <s v="State"/>
    <n v="1317.87"/>
    <n v="1717.8"/>
    <n v="4665.07"/>
    <n v="496.62"/>
    <n v="7700.74"/>
    <n v="8197.36"/>
    <m/>
  </r>
  <r>
    <d v="2022-04-01T00:00:00"/>
    <s v="2022-23"/>
    <n v="2022"/>
    <n v="4"/>
    <s v="Apr"/>
    <x v="12"/>
    <n v="2"/>
    <s v="State"/>
    <n v="166.56"/>
    <n v="225.66"/>
    <n v="423.14"/>
    <n v="2.0099999999999998"/>
    <n v="815.36"/>
    <n v="817.37"/>
    <m/>
  </r>
  <r>
    <d v="2022-04-01T00:00:00"/>
    <s v="2022-23"/>
    <n v="2022"/>
    <n v="4"/>
    <s v="Apr"/>
    <x v="13"/>
    <n v="1"/>
    <s v="Union Territory"/>
    <n v="176.26"/>
    <n v="273.36"/>
    <n v="104.21"/>
    <n v="6.03"/>
    <n v="553.83000000000004"/>
    <n v="559.86"/>
    <m/>
  </r>
  <r>
    <d v="2022-04-01T00:00:00"/>
    <s v="2022-23"/>
    <n v="2022"/>
    <n v="4"/>
    <s v="Apr"/>
    <x v="14"/>
    <n v="20"/>
    <s v="State"/>
    <n v="573.46"/>
    <n v="773.85"/>
    <n v="1226.79"/>
    <n v="525.98"/>
    <n v="2574.1"/>
    <n v="3100.08"/>
    <m/>
  </r>
  <r>
    <d v="2022-04-01T00:00:00"/>
    <s v="2022-23"/>
    <n v="2022"/>
    <n v="4"/>
    <s v="Apr"/>
    <x v="15"/>
    <n v="29"/>
    <s v="State"/>
    <n v="2859.52"/>
    <n v="3520.29"/>
    <n v="4354.76"/>
    <n v="1085.43"/>
    <n v="10734.57"/>
    <n v="11820"/>
    <m/>
  </r>
  <r>
    <d v="2022-04-01T00:00:00"/>
    <s v="2022-23"/>
    <n v="2022"/>
    <n v="4"/>
    <s v="Apr"/>
    <x v="16"/>
    <n v="32"/>
    <s v="State"/>
    <n v="844.33"/>
    <n v="1153.07"/>
    <n v="686.4"/>
    <n v="5.21"/>
    <n v="2683.8"/>
    <n v="2689.01"/>
    <m/>
  </r>
  <r>
    <d v="2022-04-01T00:00:00"/>
    <s v="2022-23"/>
    <n v="2022"/>
    <n v="4"/>
    <s v="Apr"/>
    <x v="35"/>
    <n v="37"/>
    <s v="Union Territory"/>
    <n v="19.09"/>
    <n v="23.34"/>
    <n v="4.51"/>
    <n v="0.24"/>
    <n v="46.94"/>
    <n v="47.18"/>
    <m/>
  </r>
  <r>
    <d v="2022-04-01T00:00:00"/>
    <s v="2022-23"/>
    <n v="2022"/>
    <n v="4"/>
    <s v="Apr"/>
    <x v="17"/>
    <n v="31"/>
    <s v="Union Territory"/>
    <n v="1.19"/>
    <n v="1.77"/>
    <n v="0.08"/>
    <n v="0"/>
    <n v="3.04"/>
    <n v="3.04"/>
    <m/>
  </r>
  <r>
    <d v="2022-04-01T00:00:00"/>
    <s v="2022-23"/>
    <n v="2022"/>
    <n v="4"/>
    <s v="Apr"/>
    <x v="18"/>
    <n v="23"/>
    <s v="State"/>
    <n v="850.2"/>
    <n v="1102.1199999999999"/>
    <n v="876.76"/>
    <n v="510.31"/>
    <n v="2829.08"/>
    <n v="3339.39"/>
    <m/>
  </r>
  <r>
    <d v="2022-04-01T00:00:00"/>
    <s v="2022-23"/>
    <n v="2022"/>
    <n v="4"/>
    <s v="Apr"/>
    <x v="19"/>
    <n v="27"/>
    <s v="State"/>
    <n v="7305.65"/>
    <n v="8573"/>
    <n v="9884.7000000000007"/>
    <n v="1731.29"/>
    <n v="25763.35"/>
    <n v="27494.639999999999"/>
    <m/>
  </r>
  <r>
    <d v="2022-04-01T00:00:00"/>
    <s v="2022-23"/>
    <n v="2022"/>
    <n v="4"/>
    <s v="Apr"/>
    <x v="20"/>
    <n v="14"/>
    <s v="State"/>
    <n v="25.9"/>
    <n v="35.67"/>
    <n v="6.8"/>
    <n v="0.6"/>
    <n v="68.37"/>
    <n v="68.97"/>
    <m/>
  </r>
  <r>
    <d v="2022-04-01T00:00:00"/>
    <s v="2022-23"/>
    <n v="2022"/>
    <n v="4"/>
    <s v="Apr"/>
    <x v="21"/>
    <n v="17"/>
    <s v="State"/>
    <n v="48.83"/>
    <n v="58.17"/>
    <n v="117.66"/>
    <n v="2.04"/>
    <n v="224.66"/>
    <n v="226.7"/>
    <m/>
  </r>
  <r>
    <d v="2022-04-01T00:00:00"/>
    <s v="2022-23"/>
    <n v="2022"/>
    <n v="4"/>
    <s v="Apr"/>
    <x v="22"/>
    <n v="15"/>
    <s v="State"/>
    <n v="17.28"/>
    <n v="24.49"/>
    <n v="4.4800000000000004"/>
    <n v="0.09"/>
    <n v="46.25"/>
    <n v="46.34"/>
    <m/>
  </r>
  <r>
    <d v="2022-04-01T00:00:00"/>
    <s v="2022-23"/>
    <n v="2022"/>
    <n v="4"/>
    <s v="Apr"/>
    <x v="23"/>
    <n v="13"/>
    <s v="State"/>
    <n v="22.22"/>
    <n v="28.29"/>
    <n v="12.03"/>
    <n v="5.5"/>
    <n v="62.54"/>
    <n v="68.040000000000006"/>
    <m/>
  </r>
  <r>
    <d v="2022-04-01T00:00:00"/>
    <s v="2022-23"/>
    <n v="2022"/>
    <n v="4"/>
    <s v="Apr"/>
    <x v="24"/>
    <n v="21"/>
    <s v="State"/>
    <n v="1381"/>
    <n v="1714.78"/>
    <n v="1092.05"/>
    <n v="722.4"/>
    <n v="4187.83"/>
    <n v="4910.2299999999996"/>
    <m/>
  </r>
  <r>
    <d v="2022-04-01T00:00:00"/>
    <s v="2022-23"/>
    <n v="2022"/>
    <n v="4"/>
    <s v="Apr"/>
    <x v="25"/>
    <n v="34"/>
    <s v="Union Territory"/>
    <n v="27.92"/>
    <n v="44.95"/>
    <n v="132.30000000000001"/>
    <n v="0.59"/>
    <n v="205.17"/>
    <n v="205.76"/>
    <m/>
  </r>
  <r>
    <d v="2022-04-01T00:00:00"/>
    <s v="2022-23"/>
    <n v="2022"/>
    <n v="4"/>
    <s v="Apr"/>
    <x v="26"/>
    <n v="3"/>
    <s v="State"/>
    <n v="531.03"/>
    <n v="783.04"/>
    <n v="649.65"/>
    <n v="30.27"/>
    <n v="1963.72"/>
    <n v="1993.99"/>
    <m/>
  </r>
  <r>
    <d v="2022-04-01T00:00:00"/>
    <s v="2022-23"/>
    <n v="2022"/>
    <n v="4"/>
    <s v="Apr"/>
    <x v="27"/>
    <n v="8"/>
    <s v="State"/>
    <n v="1309.4100000000001"/>
    <n v="1670.42"/>
    <n v="1412.38"/>
    <n v="155"/>
    <n v="4392.21"/>
    <n v="4547.21"/>
    <m/>
  </r>
  <r>
    <d v="2022-04-01T00:00:00"/>
    <s v="2022-23"/>
    <n v="2022"/>
    <n v="4"/>
    <s v="Apr"/>
    <x v="28"/>
    <n v="11"/>
    <s v="State"/>
    <n v="31.68"/>
    <n v="48.38"/>
    <n v="183.65"/>
    <n v="0.11"/>
    <n v="263.70999999999998"/>
    <n v="263.82"/>
    <m/>
  </r>
  <r>
    <d v="2022-04-01T00:00:00"/>
    <s v="2022-23"/>
    <n v="2022"/>
    <n v="4"/>
    <s v="Apr"/>
    <x v="29"/>
    <n v="33"/>
    <s v="State"/>
    <n v="2595.96"/>
    <n v="3440.26"/>
    <n v="2924.95"/>
    <n v="762.98"/>
    <n v="8961.17"/>
    <n v="9724.15"/>
    <m/>
  </r>
  <r>
    <d v="2022-04-01T00:00:00"/>
    <s v="2022-23"/>
    <n v="2022"/>
    <n v="4"/>
    <s v="Apr"/>
    <x v="30"/>
    <n v="36"/>
    <s v="State"/>
    <n v="1271.06"/>
    <n v="1662.97"/>
    <n v="1524.18"/>
    <n v="497.15"/>
    <n v="4458.21"/>
    <n v="4955.3599999999997"/>
    <m/>
  </r>
  <r>
    <d v="2022-04-01T00:00:00"/>
    <s v="2022-23"/>
    <n v="2022"/>
    <n v="4"/>
    <s v="Apr"/>
    <x v="31"/>
    <n v="16"/>
    <s v="State"/>
    <n v="40.630000000000003"/>
    <n v="53.61"/>
    <n v="12.04"/>
    <n v="0.57999999999999996"/>
    <n v="106.28"/>
    <n v="106.86"/>
    <m/>
  </r>
  <r>
    <d v="2022-04-01T00:00:00"/>
    <s v="2022-23"/>
    <n v="2022"/>
    <n v="4"/>
    <s v="Apr"/>
    <x v="32"/>
    <n v="9"/>
    <s v="State"/>
    <n v="2038.59"/>
    <n v="2781.78"/>
    <n v="2542.98"/>
    <n v="1170.76"/>
    <n v="7363.35"/>
    <n v="8534.11"/>
    <m/>
  </r>
  <r>
    <d v="2022-04-01T00:00:00"/>
    <s v="2022-23"/>
    <n v="2022"/>
    <n v="4"/>
    <s v="Apr"/>
    <x v="33"/>
    <n v="5"/>
    <s v="State"/>
    <n v="426.27"/>
    <n v="584.84"/>
    <n v="863.93"/>
    <n v="11.55"/>
    <n v="1875.04"/>
    <n v="1886.59"/>
    <m/>
  </r>
  <r>
    <d v="2022-04-01T00:00:00"/>
    <s v="2022-23"/>
    <n v="2022"/>
    <n v="4"/>
    <s v="Apr"/>
    <x v="34"/>
    <n v="19"/>
    <s v="State"/>
    <n v="1734.28"/>
    <n v="2155.35"/>
    <n v="1377.17"/>
    <n v="377.04"/>
    <n v="5266.8"/>
    <n v="5643.84"/>
    <m/>
  </r>
  <r>
    <d v="2022-05-01T00:00:00"/>
    <s v="2022-23"/>
    <n v="2022"/>
    <n v="5"/>
    <s v="May"/>
    <x v="0"/>
    <n v="35"/>
    <s v="Union Territory"/>
    <n v="8.48"/>
    <n v="11.66"/>
    <n v="4.17"/>
    <n v="0.02"/>
    <n v="24.31"/>
    <n v="24.33"/>
    <m/>
  </r>
  <r>
    <d v="2022-05-01T00:00:00"/>
    <s v="2022-23"/>
    <n v="2022"/>
    <n v="5"/>
    <s v="May"/>
    <x v="1"/>
    <n v="28"/>
    <s v="State"/>
    <n v="742.18"/>
    <n v="972.51"/>
    <n v="945.11"/>
    <n v="386.9"/>
    <n v="2659.8"/>
    <n v="3046.7"/>
    <m/>
  </r>
  <r>
    <d v="2022-05-01T00:00:00"/>
    <s v="2022-23"/>
    <n v="2022"/>
    <n v="5"/>
    <s v="May"/>
    <x v="2"/>
    <n v="12"/>
    <s v="State"/>
    <n v="31.52"/>
    <n v="41.17"/>
    <n v="8.82"/>
    <n v="0.12"/>
    <n v="81.510000000000005"/>
    <n v="81.63"/>
    <m/>
  </r>
  <r>
    <d v="2022-05-01T00:00:00"/>
    <s v="2022-23"/>
    <n v="2022"/>
    <n v="5"/>
    <s v="May"/>
    <x v="3"/>
    <n v="18"/>
    <s v="State"/>
    <n v="304.76"/>
    <n v="414.38"/>
    <n v="300.08"/>
    <n v="42.96"/>
    <n v="1019.22"/>
    <n v="1062.18"/>
    <m/>
  </r>
  <r>
    <d v="2022-05-01T00:00:00"/>
    <s v="2022-23"/>
    <n v="2022"/>
    <n v="5"/>
    <s v="May"/>
    <x v="4"/>
    <n v="10"/>
    <s v="State"/>
    <n v="313.8"/>
    <n v="546.19000000000005"/>
    <n v="149.81"/>
    <n v="167.77"/>
    <n v="1009.8"/>
    <n v="1177.57"/>
    <m/>
  </r>
  <r>
    <d v="2022-05-01T00:00:00"/>
    <s v="2022-23"/>
    <n v="2022"/>
    <n v="5"/>
    <s v="May"/>
    <x v="5"/>
    <n v="4"/>
    <s v="Union Territory"/>
    <n v="32.270000000000003"/>
    <n v="43.39"/>
    <n v="86.68"/>
    <n v="4.7699999999999996"/>
    <n v="162.34"/>
    <n v="167.11"/>
    <m/>
  </r>
  <r>
    <d v="2022-05-01T00:00:00"/>
    <s v="2022-23"/>
    <n v="2022"/>
    <n v="5"/>
    <s v="May"/>
    <x v="6"/>
    <n v="22"/>
    <s v="State"/>
    <n v="508.34"/>
    <n v="604.47"/>
    <n v="938.4"/>
    <n v="576.21"/>
    <n v="2051.21"/>
    <n v="2627.42"/>
    <m/>
  </r>
  <r>
    <d v="2022-05-01T00:00:00"/>
    <s v="2022-23"/>
    <n v="2022"/>
    <n v="5"/>
    <s v="May"/>
    <x v="7"/>
    <n v="38"/>
    <s v="Union Territory"/>
    <n v="43.21"/>
    <n v="55.26"/>
    <n v="199.69"/>
    <n v="2.2599999999999998"/>
    <n v="298.16000000000003"/>
    <n v="300.42"/>
    <m/>
  </r>
  <r>
    <d v="2022-05-01T00:00:00"/>
    <s v="2022-23"/>
    <n v="2022"/>
    <n v="5"/>
    <s v="May"/>
    <x v="8"/>
    <n v="7"/>
    <s v="Union Territory"/>
    <n v="798.73"/>
    <n v="996.34"/>
    <n v="2217.87"/>
    <n v="100.55"/>
    <n v="4012.94"/>
    <n v="4113.49"/>
    <m/>
  </r>
  <r>
    <d v="2022-05-01T00:00:00"/>
    <s v="2022-23"/>
    <n v="2022"/>
    <n v="5"/>
    <s v="May"/>
    <x v="9"/>
    <n v="30"/>
    <s v="State"/>
    <n v="125.94"/>
    <n v="167.24"/>
    <n v="163.47999999999999"/>
    <n v="4.13"/>
    <n v="456.66"/>
    <n v="460.79"/>
    <m/>
  </r>
  <r>
    <d v="2022-05-01T00:00:00"/>
    <s v="2022-23"/>
    <n v="2022"/>
    <n v="5"/>
    <s v="May"/>
    <x v="10"/>
    <n v="24"/>
    <s v="State"/>
    <n v="2634.17"/>
    <n v="3097.14"/>
    <n v="3053.15"/>
    <n v="536.88"/>
    <n v="8784.4599999999991"/>
    <n v="9321.34"/>
    <m/>
  </r>
  <r>
    <d v="2022-05-01T00:00:00"/>
    <s v="2022-23"/>
    <n v="2022"/>
    <n v="5"/>
    <s v="May"/>
    <x v="11"/>
    <n v="6"/>
    <s v="State"/>
    <n v="1106.4000000000001"/>
    <n v="1483.91"/>
    <n v="3523.21"/>
    <n v="549.66"/>
    <n v="6113.52"/>
    <n v="6663.18"/>
    <m/>
  </r>
  <r>
    <d v="2022-05-01T00:00:00"/>
    <s v="2022-23"/>
    <n v="2022"/>
    <n v="5"/>
    <s v="May"/>
    <x v="12"/>
    <n v="2"/>
    <s v="State"/>
    <n v="119.49"/>
    <n v="171.72"/>
    <n v="447.74"/>
    <n v="1.89"/>
    <n v="738.95"/>
    <n v="740.84"/>
    <m/>
  </r>
  <r>
    <d v="2022-05-01T00:00:00"/>
    <s v="2022-23"/>
    <n v="2022"/>
    <n v="5"/>
    <s v="May"/>
    <x v="13"/>
    <n v="1"/>
    <s v="Union Territory"/>
    <n v="103.41"/>
    <n v="165.49"/>
    <n v="93.95"/>
    <n v="8.7899999999999991"/>
    <n v="362.85"/>
    <n v="371.64"/>
    <m/>
  </r>
  <r>
    <d v="2022-05-01T00:00:00"/>
    <s v="2022-23"/>
    <n v="2022"/>
    <n v="5"/>
    <s v="May"/>
    <x v="14"/>
    <n v="20"/>
    <s v="State"/>
    <n v="443.82"/>
    <n v="607.97"/>
    <n v="963.42"/>
    <n v="452.86"/>
    <n v="2015.21"/>
    <n v="2468.0700000000002"/>
    <m/>
  </r>
  <r>
    <d v="2022-05-01T00:00:00"/>
    <s v="2022-23"/>
    <n v="2022"/>
    <n v="5"/>
    <s v="May"/>
    <x v="15"/>
    <n v="29"/>
    <s v="State"/>
    <n v="2111.77"/>
    <n v="2658.02"/>
    <n v="3408.4"/>
    <n v="1053.8499999999999"/>
    <n v="8178.19"/>
    <n v="9232.0400000000009"/>
    <m/>
  </r>
  <r>
    <d v="2022-05-01T00:00:00"/>
    <s v="2022-23"/>
    <n v="2022"/>
    <n v="5"/>
    <s v="May"/>
    <x v="16"/>
    <n v="32"/>
    <s v="State"/>
    <n v="697.48"/>
    <n v="952.62"/>
    <n v="411.4"/>
    <n v="2.56"/>
    <n v="2061.5"/>
    <n v="2064.06"/>
    <m/>
  </r>
  <r>
    <d v="2022-05-01T00:00:00"/>
    <s v="2022-23"/>
    <n v="2022"/>
    <n v="5"/>
    <s v="May"/>
    <x v="35"/>
    <n v="37"/>
    <s v="Union Territory"/>
    <n v="4.1500000000000004"/>
    <n v="6.66"/>
    <n v="1.49"/>
    <n v="0.13"/>
    <n v="12.3"/>
    <n v="12.43"/>
    <m/>
  </r>
  <r>
    <d v="2022-05-01T00:00:00"/>
    <s v="2022-23"/>
    <n v="2022"/>
    <n v="5"/>
    <s v="May"/>
    <x v="17"/>
    <n v="31"/>
    <s v="Union Territory"/>
    <n v="0.31"/>
    <n v="0.33"/>
    <n v="0.03"/>
    <n v="0"/>
    <n v="0.67"/>
    <n v="0.67"/>
    <m/>
  </r>
  <r>
    <d v="2022-05-01T00:00:00"/>
    <s v="2022-23"/>
    <n v="2022"/>
    <n v="5"/>
    <s v="May"/>
    <x v="18"/>
    <n v="23"/>
    <s v="State"/>
    <n v="603.24"/>
    <n v="833.01"/>
    <n v="752.36"/>
    <n v="557.87"/>
    <n v="2188.61"/>
    <n v="2746.48"/>
    <m/>
  </r>
  <r>
    <d v="2022-05-01T00:00:00"/>
    <s v="2022-23"/>
    <n v="2022"/>
    <n v="5"/>
    <s v="May"/>
    <x v="19"/>
    <n v="27"/>
    <s v="State"/>
    <n v="5650.29"/>
    <n v="6607.17"/>
    <n v="6530.69"/>
    <n v="1524.63"/>
    <n v="18788.150000000001"/>
    <n v="20312.78"/>
    <m/>
  </r>
  <r>
    <d v="2022-05-01T00:00:00"/>
    <s v="2022-23"/>
    <n v="2022"/>
    <n v="5"/>
    <s v="May"/>
    <x v="20"/>
    <n v="14"/>
    <s v="State"/>
    <n v="17.45"/>
    <n v="25.94"/>
    <n v="3.86"/>
    <n v="0.21"/>
    <n v="47.25"/>
    <n v="47.46"/>
    <m/>
  </r>
  <r>
    <d v="2022-05-01T00:00:00"/>
    <s v="2022-23"/>
    <n v="2022"/>
    <n v="5"/>
    <s v="May"/>
    <x v="21"/>
    <n v="17"/>
    <s v="State"/>
    <n v="29.89"/>
    <n v="38.21"/>
    <n v="103.77"/>
    <n v="2.59"/>
    <n v="171.87"/>
    <n v="174.46"/>
    <m/>
  </r>
  <r>
    <d v="2022-05-01T00:00:00"/>
    <s v="2022-23"/>
    <n v="2022"/>
    <n v="5"/>
    <s v="May"/>
    <x v="22"/>
    <n v="15"/>
    <s v="State"/>
    <n v="8.84"/>
    <n v="14.38"/>
    <n v="1.77"/>
    <n v="0.01"/>
    <n v="24.99"/>
    <n v="25"/>
    <m/>
  </r>
  <r>
    <d v="2022-05-01T00:00:00"/>
    <s v="2022-23"/>
    <n v="2022"/>
    <n v="5"/>
    <s v="May"/>
    <x v="23"/>
    <n v="13"/>
    <s v="State"/>
    <n v="14.96"/>
    <n v="18.55"/>
    <n v="11.24"/>
    <n v="4.38"/>
    <n v="44.75"/>
    <n v="49.13"/>
    <m/>
  </r>
  <r>
    <d v="2022-05-01T00:00:00"/>
    <s v="2022-23"/>
    <n v="2022"/>
    <n v="5"/>
    <s v="May"/>
    <x v="24"/>
    <n v="21"/>
    <s v="State"/>
    <n v="978.25"/>
    <n v="1174.02"/>
    <n v="1105.51"/>
    <n v="697.97"/>
    <n v="3257.78"/>
    <n v="3955.75"/>
    <m/>
  </r>
  <r>
    <d v="2022-05-01T00:00:00"/>
    <s v="2022-23"/>
    <n v="2022"/>
    <n v="5"/>
    <s v="May"/>
    <x v="25"/>
    <n v="34"/>
    <s v="Union Territory"/>
    <n v="21.84"/>
    <n v="33.31"/>
    <n v="125.56"/>
    <n v="0.41"/>
    <n v="180.71"/>
    <n v="181.12"/>
    <m/>
  </r>
  <r>
    <d v="2022-05-01T00:00:00"/>
    <s v="2022-23"/>
    <n v="2022"/>
    <n v="5"/>
    <s v="May"/>
    <x v="26"/>
    <n v="3"/>
    <s v="State"/>
    <n v="428.02"/>
    <n v="639.19000000000005"/>
    <n v="725.1"/>
    <n v="40.58"/>
    <n v="1792.31"/>
    <n v="1832.89"/>
    <m/>
  </r>
  <r>
    <d v="2022-05-01T00:00:00"/>
    <s v="2022-23"/>
    <n v="2022"/>
    <n v="5"/>
    <s v="May"/>
    <x v="27"/>
    <n v="8"/>
    <s v="State"/>
    <n v="953.06"/>
    <n v="1256.93"/>
    <n v="1438.99"/>
    <n v="139.93"/>
    <n v="3648.98"/>
    <n v="3788.91"/>
    <m/>
  </r>
  <r>
    <d v="2022-05-01T00:00:00"/>
    <s v="2022-23"/>
    <n v="2022"/>
    <n v="5"/>
    <s v="May"/>
    <x v="28"/>
    <n v="11"/>
    <s v="State"/>
    <n v="17.399999999999999"/>
    <n v="22.85"/>
    <n v="238.21"/>
    <n v="0.18"/>
    <n v="278.45999999999998"/>
    <n v="278.64"/>
    <m/>
  </r>
  <r>
    <d v="2022-05-01T00:00:00"/>
    <s v="2022-23"/>
    <n v="2022"/>
    <n v="5"/>
    <s v="May"/>
    <x v="29"/>
    <n v="33"/>
    <s v="State"/>
    <n v="2056.6999999999998"/>
    <n v="2720.28"/>
    <n v="2488.5"/>
    <n v="644.37"/>
    <n v="7265.48"/>
    <n v="7909.85"/>
    <m/>
  </r>
  <r>
    <d v="2022-05-01T00:00:00"/>
    <s v="2022-23"/>
    <n v="2022"/>
    <n v="5"/>
    <s v="May"/>
    <x v="30"/>
    <n v="36"/>
    <s v="State"/>
    <n v="942.49"/>
    <n v="1244.99"/>
    <n v="1250.8900000000001"/>
    <n v="543.29999999999995"/>
    <n v="3438.37"/>
    <n v="3981.67"/>
    <m/>
  </r>
  <r>
    <d v="2022-05-01T00:00:00"/>
    <s v="2022-23"/>
    <n v="2022"/>
    <n v="5"/>
    <s v="May"/>
    <x v="31"/>
    <n v="16"/>
    <s v="State"/>
    <n v="23.44"/>
    <n v="33.840000000000003"/>
    <n v="7.8"/>
    <n v="0.25"/>
    <n v="65.08"/>
    <n v="65.33"/>
    <m/>
  </r>
  <r>
    <d v="2022-05-01T00:00:00"/>
    <s v="2022-23"/>
    <n v="2022"/>
    <n v="5"/>
    <s v="May"/>
    <x v="32"/>
    <n v="9"/>
    <s v="State"/>
    <n v="1494.83"/>
    <n v="2188.8000000000002"/>
    <n v="1869.99"/>
    <n v="1116.43"/>
    <n v="5553.62"/>
    <n v="6670.05"/>
    <m/>
  </r>
  <r>
    <d v="2022-05-01T00:00:00"/>
    <s v="2022-23"/>
    <n v="2022"/>
    <n v="5"/>
    <s v="May"/>
    <x v="33"/>
    <n v="5"/>
    <s v="State"/>
    <n v="257.42"/>
    <n v="358.22"/>
    <n v="680.9"/>
    <n v="12.07"/>
    <n v="1296.54"/>
    <n v="1308.6099999999999"/>
    <m/>
  </r>
  <r>
    <d v="2022-05-01T00:00:00"/>
    <s v="2022-23"/>
    <n v="2022"/>
    <n v="5"/>
    <s v="May"/>
    <x v="34"/>
    <n v="19"/>
    <s v="State"/>
    <n v="1396.91"/>
    <n v="1782.84"/>
    <n v="1322.24"/>
    <n v="393.8"/>
    <n v="4501.99"/>
    <n v="4895.79"/>
    <m/>
  </r>
  <r>
    <d v="2022-06-01T00:00:00"/>
    <s v="2022-23"/>
    <n v="2022"/>
    <n v="6"/>
    <s v="Jun"/>
    <x v="0"/>
    <n v="35"/>
    <s v="Union Territory"/>
    <n v="7.9"/>
    <n v="11.12"/>
    <n v="3.32"/>
    <n v="0.02"/>
    <n v="22.34"/>
    <n v="22.36"/>
    <m/>
  </r>
  <r>
    <d v="2022-06-01T00:00:00"/>
    <s v="2022-23"/>
    <n v="2022"/>
    <n v="6"/>
    <s v="Jun"/>
    <x v="1"/>
    <n v="28"/>
    <s v="State"/>
    <n v="739.75"/>
    <n v="965.12"/>
    <n v="1026.83"/>
    <n v="254.81"/>
    <n v="2731.7"/>
    <n v="2986.51"/>
    <m/>
  </r>
  <r>
    <d v="2022-06-01T00:00:00"/>
    <s v="2022-23"/>
    <n v="2022"/>
    <n v="6"/>
    <s v="Jun"/>
    <x v="2"/>
    <n v="12"/>
    <s v="State"/>
    <n v="19.55"/>
    <n v="28.08"/>
    <n v="10.71"/>
    <n v="0.18"/>
    <n v="58.34"/>
    <n v="58.52"/>
    <m/>
  </r>
  <r>
    <d v="2022-06-01T00:00:00"/>
    <s v="2022-23"/>
    <n v="2022"/>
    <n v="6"/>
    <s v="Jun"/>
    <x v="3"/>
    <n v="18"/>
    <s v="State"/>
    <n v="288.73"/>
    <n v="376.74"/>
    <n v="265.02999999999997"/>
    <n v="41.57"/>
    <n v="930.5"/>
    <n v="972.07"/>
    <m/>
  </r>
  <r>
    <d v="2022-06-01T00:00:00"/>
    <s v="2022-23"/>
    <n v="2022"/>
    <n v="6"/>
    <s v="Jun"/>
    <x v="4"/>
    <n v="10"/>
    <s v="State"/>
    <n v="314.79000000000002"/>
    <n v="541.69000000000005"/>
    <n v="187.93"/>
    <n v="187.65"/>
    <n v="1044.4100000000001"/>
    <n v="1232.06"/>
    <m/>
  </r>
  <r>
    <d v="2022-06-01T00:00:00"/>
    <s v="2022-23"/>
    <n v="2022"/>
    <n v="6"/>
    <s v="Jun"/>
    <x v="5"/>
    <n v="4"/>
    <s v="Union Territory"/>
    <n v="31.9"/>
    <n v="44.71"/>
    <n v="92.04"/>
    <n v="1.04"/>
    <n v="168.65"/>
    <n v="169.69"/>
    <m/>
  </r>
  <r>
    <d v="2022-06-01T00:00:00"/>
    <s v="2022-23"/>
    <n v="2022"/>
    <n v="6"/>
    <s v="Jun"/>
    <x v="6"/>
    <n v="22"/>
    <s v="State"/>
    <n v="533.74"/>
    <n v="628.26"/>
    <n v="977"/>
    <n v="635.41"/>
    <n v="2139"/>
    <n v="2774.41"/>
    <m/>
  </r>
  <r>
    <d v="2022-06-01T00:00:00"/>
    <s v="2022-23"/>
    <n v="2022"/>
    <n v="6"/>
    <s v="Jun"/>
    <x v="7"/>
    <n v="38"/>
    <s v="Union Territory"/>
    <n v="55.74"/>
    <n v="67.260000000000005"/>
    <n v="225.55"/>
    <n v="1.41"/>
    <n v="348.55"/>
    <n v="349.96"/>
    <m/>
  </r>
  <r>
    <d v="2022-06-01T00:00:00"/>
    <s v="2022-23"/>
    <n v="2022"/>
    <n v="6"/>
    <s v="Jun"/>
    <x v="8"/>
    <n v="7"/>
    <s v="Union Territory"/>
    <n v="852.92"/>
    <n v="1018.51"/>
    <n v="2359.73"/>
    <n v="82.19"/>
    <n v="4231.16"/>
    <n v="4313.3500000000004"/>
    <m/>
  </r>
  <r>
    <d v="2022-06-01T00:00:00"/>
    <s v="2022-23"/>
    <n v="2022"/>
    <n v="6"/>
    <s v="Jun"/>
    <x v="9"/>
    <n v="30"/>
    <s v="State"/>
    <n v="109.79"/>
    <n v="154.19999999999999"/>
    <n v="160.44999999999999"/>
    <n v="4.2"/>
    <n v="424.44"/>
    <n v="428.64"/>
    <m/>
  </r>
  <r>
    <d v="2022-06-01T00:00:00"/>
    <s v="2022-23"/>
    <n v="2022"/>
    <n v="6"/>
    <s v="Jun"/>
    <x v="10"/>
    <n v="24"/>
    <s v="State"/>
    <n v="2454.92"/>
    <n v="2967.56"/>
    <n v="3252.83"/>
    <n v="531.27"/>
    <n v="8675.31"/>
    <n v="9206.58"/>
    <m/>
  </r>
  <r>
    <d v="2022-06-01T00:00:00"/>
    <s v="2022-23"/>
    <n v="2022"/>
    <n v="6"/>
    <s v="Jun"/>
    <x v="11"/>
    <n v="6"/>
    <s v="State"/>
    <n v="1141.32"/>
    <n v="1487.39"/>
    <n v="3577.48"/>
    <n v="507.7"/>
    <n v="6206.19"/>
    <n v="6713.89"/>
    <m/>
  </r>
  <r>
    <d v="2022-06-01T00:00:00"/>
    <s v="2022-23"/>
    <n v="2022"/>
    <n v="6"/>
    <s v="Jun"/>
    <x v="12"/>
    <n v="2"/>
    <s v="State"/>
    <n v="126.5"/>
    <n v="186.86"/>
    <n v="377.58"/>
    <n v="2.2000000000000002"/>
    <n v="690.94"/>
    <n v="693.14"/>
    <m/>
  </r>
  <r>
    <d v="2022-06-01T00:00:00"/>
    <s v="2022-23"/>
    <n v="2022"/>
    <n v="6"/>
    <s v="Jun"/>
    <x v="13"/>
    <n v="1"/>
    <s v="Union Territory"/>
    <n v="96.38"/>
    <n v="162.32"/>
    <n v="103.27"/>
    <n v="9.86"/>
    <n v="361.97"/>
    <n v="371.83"/>
    <m/>
  </r>
  <r>
    <d v="2022-06-01T00:00:00"/>
    <s v="2022-23"/>
    <n v="2022"/>
    <n v="6"/>
    <s v="Jun"/>
    <x v="14"/>
    <n v="20"/>
    <s v="State"/>
    <n v="408.77"/>
    <n v="577.79"/>
    <n v="824.36"/>
    <n v="504.23"/>
    <n v="1810.92"/>
    <n v="2315.15"/>
    <m/>
  </r>
  <r>
    <d v="2022-06-01T00:00:00"/>
    <s v="2022-23"/>
    <n v="2022"/>
    <n v="6"/>
    <s v="Jun"/>
    <x v="15"/>
    <n v="29"/>
    <s v="State"/>
    <n v="2069.87"/>
    <n v="2589.9"/>
    <n v="3241.16"/>
    <n v="943.96"/>
    <n v="7900.93"/>
    <n v="8844.89"/>
    <m/>
  </r>
  <r>
    <d v="2022-06-01T00:00:00"/>
    <s v="2022-23"/>
    <n v="2022"/>
    <n v="6"/>
    <s v="Jun"/>
    <x v="16"/>
    <n v="32"/>
    <s v="State"/>
    <n v="730.7"/>
    <n v="981.77"/>
    <n v="442.2"/>
    <n v="6.23"/>
    <n v="2154.67"/>
    <n v="2160.9"/>
    <m/>
  </r>
  <r>
    <d v="2022-06-01T00:00:00"/>
    <s v="2022-23"/>
    <n v="2022"/>
    <n v="6"/>
    <s v="Jun"/>
    <x v="35"/>
    <n v="37"/>
    <s v="Union Territory"/>
    <n v="4.3899999999999997"/>
    <n v="6.25"/>
    <n v="2.56"/>
    <n v="0.01"/>
    <n v="13.2"/>
    <n v="13.21"/>
    <m/>
  </r>
  <r>
    <d v="2022-06-01T00:00:00"/>
    <s v="2022-23"/>
    <n v="2022"/>
    <n v="6"/>
    <s v="Jun"/>
    <x v="17"/>
    <n v="31"/>
    <s v="Union Territory"/>
    <n v="0.15"/>
    <n v="0.41"/>
    <n v="0.08"/>
    <n v="0"/>
    <n v="0.64"/>
    <n v="0.64"/>
    <m/>
  </r>
  <r>
    <d v="2022-06-01T00:00:00"/>
    <s v="2022-23"/>
    <n v="2022"/>
    <n v="6"/>
    <s v="Jun"/>
    <x v="18"/>
    <n v="23"/>
    <s v="State"/>
    <n v="583.13"/>
    <n v="809.89"/>
    <n v="808.68"/>
    <n v="635.66"/>
    <n v="2201.6999999999998"/>
    <n v="2837.36"/>
    <m/>
  </r>
  <r>
    <d v="2022-06-01T00:00:00"/>
    <s v="2022-23"/>
    <n v="2022"/>
    <n v="6"/>
    <s v="Jun"/>
    <x v="19"/>
    <n v="27"/>
    <s v="State"/>
    <n v="6184.24"/>
    <n v="7409.87"/>
    <n v="7108.14"/>
    <n v="1639.17"/>
    <n v="20702.25"/>
    <n v="22341.42"/>
    <m/>
  </r>
  <r>
    <d v="2022-06-01T00:00:00"/>
    <s v="2022-23"/>
    <n v="2022"/>
    <n v="6"/>
    <s v="Jun"/>
    <x v="20"/>
    <n v="14"/>
    <s v="State"/>
    <n v="14.62"/>
    <n v="20.68"/>
    <n v="3.43"/>
    <n v="0.06"/>
    <n v="38.729999999999997"/>
    <n v="38.79"/>
    <m/>
  </r>
  <r>
    <d v="2022-06-01T00:00:00"/>
    <s v="2022-23"/>
    <n v="2022"/>
    <n v="6"/>
    <s v="Jun"/>
    <x v="21"/>
    <n v="17"/>
    <s v="State"/>
    <n v="25.48"/>
    <n v="30.62"/>
    <n v="91.82"/>
    <n v="4.67"/>
    <n v="147.91999999999999"/>
    <n v="152.59"/>
    <m/>
  </r>
  <r>
    <d v="2022-06-01T00:00:00"/>
    <s v="2022-23"/>
    <n v="2022"/>
    <n v="6"/>
    <s v="Jun"/>
    <x v="22"/>
    <n v="15"/>
    <s v="State"/>
    <n v="8.7100000000000009"/>
    <n v="14.31"/>
    <n v="2.75"/>
    <n v="0.08"/>
    <n v="25.77"/>
    <n v="25.85"/>
    <m/>
  </r>
  <r>
    <d v="2022-06-01T00:00:00"/>
    <s v="2022-23"/>
    <n v="2022"/>
    <n v="6"/>
    <s v="Jun"/>
    <x v="23"/>
    <n v="13"/>
    <s v="State"/>
    <n v="10.11"/>
    <n v="13.45"/>
    <n v="7.74"/>
    <n v="2.2799999999999998"/>
    <n v="31.3"/>
    <n v="33.58"/>
    <m/>
  </r>
  <r>
    <d v="2022-06-01T00:00:00"/>
    <s v="2022-23"/>
    <n v="2022"/>
    <n v="6"/>
    <s v="Jun"/>
    <x v="24"/>
    <n v="21"/>
    <s v="State"/>
    <n v="1063.33"/>
    <n v="1247.6300000000001"/>
    <n v="847.93"/>
    <n v="806.39"/>
    <n v="3158.89"/>
    <n v="3965.28"/>
    <m/>
  </r>
  <r>
    <d v="2022-06-01T00:00:00"/>
    <s v="2022-23"/>
    <n v="2022"/>
    <n v="6"/>
    <s v="Jun"/>
    <x v="25"/>
    <n v="34"/>
    <s v="Union Territory"/>
    <n v="24.61"/>
    <n v="37.94"/>
    <n v="119.72"/>
    <n v="0.18"/>
    <n v="182.27"/>
    <n v="182.45"/>
    <m/>
  </r>
  <r>
    <d v="2022-06-01T00:00:00"/>
    <s v="2022-23"/>
    <n v="2022"/>
    <n v="6"/>
    <s v="Jun"/>
    <x v="26"/>
    <n v="3"/>
    <s v="State"/>
    <n v="394.77"/>
    <n v="610.41999999999996"/>
    <n v="639.04999999999995"/>
    <n v="38.26"/>
    <n v="1644.24"/>
    <n v="1682.5"/>
    <m/>
  </r>
  <r>
    <d v="2022-06-01T00:00:00"/>
    <s v="2022-23"/>
    <n v="2022"/>
    <n v="6"/>
    <s v="Jun"/>
    <x v="27"/>
    <n v="8"/>
    <s v="State"/>
    <n v="851.44"/>
    <n v="1161.8499999999999"/>
    <n v="1201.76"/>
    <n v="170.91"/>
    <n v="3215.05"/>
    <n v="3385.96"/>
    <m/>
  </r>
  <r>
    <d v="2022-06-01T00:00:00"/>
    <s v="2022-23"/>
    <n v="2022"/>
    <n v="6"/>
    <s v="Jun"/>
    <x v="28"/>
    <n v="11"/>
    <s v="State"/>
    <n v="15.47"/>
    <n v="20.03"/>
    <n v="220.79"/>
    <n v="0.08"/>
    <n v="256.29000000000002"/>
    <n v="256.37"/>
    <m/>
  </r>
  <r>
    <d v="2022-06-01T00:00:00"/>
    <s v="2022-23"/>
    <n v="2022"/>
    <n v="6"/>
    <s v="Jun"/>
    <x v="29"/>
    <n v="33"/>
    <s v="State"/>
    <n v="2042.37"/>
    <n v="2682.24"/>
    <n v="2623.9"/>
    <n v="678.74"/>
    <n v="7348.51"/>
    <n v="8027.25"/>
    <m/>
  </r>
  <r>
    <d v="2022-06-01T00:00:00"/>
    <s v="2022-23"/>
    <n v="2022"/>
    <n v="6"/>
    <s v="Jun"/>
    <x v="30"/>
    <n v="36"/>
    <s v="State"/>
    <n v="932.8"/>
    <n v="1241.44"/>
    <n v="1143.25"/>
    <n v="583.97"/>
    <n v="3317.49"/>
    <n v="3901.46"/>
    <m/>
  </r>
  <r>
    <d v="2022-06-01T00:00:00"/>
    <s v="2022-23"/>
    <n v="2022"/>
    <n v="6"/>
    <s v="Jun"/>
    <x v="31"/>
    <n v="16"/>
    <s v="State"/>
    <n v="20.75"/>
    <n v="28"/>
    <n v="13.84"/>
    <n v="0.4"/>
    <n v="62.59"/>
    <n v="62.99"/>
    <m/>
  </r>
  <r>
    <d v="2022-06-01T00:00:00"/>
    <s v="2022-23"/>
    <n v="2022"/>
    <n v="6"/>
    <s v="Jun"/>
    <x v="32"/>
    <n v="9"/>
    <s v="State"/>
    <n v="1601.09"/>
    <n v="2271.7800000000002"/>
    <n v="1785.04"/>
    <n v="1176.5999999999999"/>
    <n v="5657.91"/>
    <n v="6834.51"/>
    <m/>
  </r>
  <r>
    <d v="2022-06-01T00:00:00"/>
    <s v="2022-23"/>
    <n v="2022"/>
    <n v="6"/>
    <s v="Jun"/>
    <x v="33"/>
    <n v="5"/>
    <s v="State"/>
    <n v="257.79000000000002"/>
    <n v="369.99"/>
    <n v="642.75"/>
    <n v="10.39"/>
    <n v="1270.53"/>
    <n v="1280.92"/>
    <m/>
  </r>
  <r>
    <d v="2022-06-01T00:00:00"/>
    <s v="2022-23"/>
    <n v="2022"/>
    <n v="6"/>
    <s v="Jun"/>
    <x v="34"/>
    <n v="19"/>
    <s v="State"/>
    <n v="1280.52"/>
    <n v="1630.56"/>
    <n v="1061.55"/>
    <n v="358.77"/>
    <n v="3972.63"/>
    <n v="4331.3999999999996"/>
    <m/>
  </r>
  <r>
    <d v="2022-07-01T00:00:00"/>
    <s v="2022-23"/>
    <n v="2022"/>
    <n v="7"/>
    <s v="Jul"/>
    <x v="0"/>
    <n v="35"/>
    <s v="Union Territory"/>
    <n v="8.31"/>
    <n v="11.47"/>
    <n v="3.5"/>
    <n v="0.13"/>
    <n v="23.28"/>
    <n v="23.41"/>
    <m/>
  </r>
  <r>
    <d v="2022-07-01T00:00:00"/>
    <s v="2022-23"/>
    <n v="2022"/>
    <n v="7"/>
    <s v="Jul"/>
    <x v="1"/>
    <n v="28"/>
    <s v="State"/>
    <n v="829.8"/>
    <n v="1081.57"/>
    <n v="1170.92"/>
    <n v="326.67"/>
    <n v="3082.29"/>
    <n v="3408.96"/>
    <m/>
  </r>
  <r>
    <d v="2022-07-01T00:00:00"/>
    <s v="2022-23"/>
    <n v="2022"/>
    <n v="7"/>
    <s v="Jul"/>
    <x v="2"/>
    <n v="12"/>
    <s v="State"/>
    <n v="22.58"/>
    <n v="29.44"/>
    <n v="13.13"/>
    <n v="0.26"/>
    <n v="65.150000000000006"/>
    <n v="65.41"/>
    <m/>
  </r>
  <r>
    <d v="2022-07-01T00:00:00"/>
    <s v="2022-23"/>
    <n v="2022"/>
    <n v="7"/>
    <s v="Jul"/>
    <x v="3"/>
    <n v="18"/>
    <s v="State"/>
    <n v="294.02999999999997"/>
    <n v="382.34"/>
    <n v="302.37"/>
    <n v="61.75"/>
    <n v="978.74"/>
    <n v="1040.49"/>
    <m/>
  </r>
  <r>
    <d v="2022-07-01T00:00:00"/>
    <s v="2022-23"/>
    <n v="2022"/>
    <n v="7"/>
    <s v="Jul"/>
    <x v="4"/>
    <n v="10"/>
    <s v="State"/>
    <n v="336.69"/>
    <n v="584.55999999999995"/>
    <n v="166.7"/>
    <n v="175.6"/>
    <n v="1087.95"/>
    <n v="1263.55"/>
    <m/>
  </r>
  <r>
    <d v="2022-07-01T00:00:00"/>
    <s v="2022-23"/>
    <n v="2022"/>
    <n v="7"/>
    <s v="Jul"/>
    <x v="5"/>
    <n v="4"/>
    <s v="Union Territory"/>
    <n v="35.99"/>
    <n v="48.47"/>
    <n v="90.78"/>
    <n v="0.65"/>
    <n v="175.24"/>
    <n v="175.89"/>
    <m/>
  </r>
  <r>
    <d v="2022-07-01T00:00:00"/>
    <s v="2022-23"/>
    <n v="2022"/>
    <n v="7"/>
    <s v="Jul"/>
    <x v="6"/>
    <n v="22"/>
    <s v="State"/>
    <n v="540.49"/>
    <n v="636.53"/>
    <n v="926.77"/>
    <n v="591.16999999999996"/>
    <n v="2103.79"/>
    <n v="2694.96"/>
    <m/>
  </r>
  <r>
    <d v="2022-07-01T00:00:00"/>
    <s v="2022-23"/>
    <n v="2022"/>
    <n v="7"/>
    <s v="Jul"/>
    <x v="7"/>
    <n v="38"/>
    <s v="Union Territory"/>
    <n v="38.5"/>
    <n v="51.09"/>
    <n v="222.94"/>
    <n v="0.99"/>
    <n v="312.52999999999997"/>
    <n v="313.52"/>
    <m/>
  </r>
  <r>
    <d v="2022-07-01T00:00:00"/>
    <s v="2022-23"/>
    <n v="2022"/>
    <n v="7"/>
    <s v="Jul"/>
    <x v="8"/>
    <n v="7"/>
    <s v="Union Territory"/>
    <n v="875.79"/>
    <n v="1045.8900000000001"/>
    <n v="2328.36"/>
    <n v="77.28"/>
    <n v="4250.04"/>
    <n v="4327.32"/>
    <m/>
  </r>
  <r>
    <d v="2022-07-01T00:00:00"/>
    <s v="2022-23"/>
    <n v="2022"/>
    <n v="7"/>
    <s v="Jul"/>
    <x v="9"/>
    <n v="30"/>
    <s v="State"/>
    <n v="112.94"/>
    <n v="153.19"/>
    <n v="162.91999999999999"/>
    <n v="3.44"/>
    <n v="429.05"/>
    <n v="432.49"/>
    <m/>
  </r>
  <r>
    <d v="2022-07-01T00:00:00"/>
    <s v="2022-23"/>
    <n v="2022"/>
    <n v="7"/>
    <s v="Jul"/>
    <x v="10"/>
    <n v="24"/>
    <s v="State"/>
    <n v="2527"/>
    <n v="3036.04"/>
    <n v="3085.08"/>
    <n v="534.42999999999995"/>
    <n v="8648.1200000000008"/>
    <n v="9182.5499999999993"/>
    <m/>
  </r>
  <r>
    <d v="2022-07-01T00:00:00"/>
    <s v="2022-23"/>
    <n v="2022"/>
    <n v="7"/>
    <s v="Jul"/>
    <x v="11"/>
    <n v="6"/>
    <s v="State"/>
    <n v="1152.27"/>
    <n v="1505.96"/>
    <n v="3650.84"/>
    <n v="481.71"/>
    <n v="6309.07"/>
    <n v="6790.78"/>
    <m/>
  </r>
  <r>
    <d v="2022-07-01T00:00:00"/>
    <s v="2022-23"/>
    <n v="2022"/>
    <n v="7"/>
    <s v="Jul"/>
    <x v="12"/>
    <n v="2"/>
    <s v="State"/>
    <n v="136.82"/>
    <n v="198.67"/>
    <n v="407.92"/>
    <n v="2.2599999999999998"/>
    <n v="743.41"/>
    <n v="745.67"/>
    <m/>
  </r>
  <r>
    <d v="2022-07-01T00:00:00"/>
    <s v="2022-23"/>
    <n v="2022"/>
    <n v="7"/>
    <s v="Jul"/>
    <x v="13"/>
    <n v="1"/>
    <s v="Union Territory"/>
    <n v="117.96"/>
    <n v="185.39"/>
    <n v="118.78"/>
    <n v="8.82"/>
    <n v="422.13"/>
    <n v="430.95"/>
    <m/>
  </r>
  <r>
    <d v="2022-07-01T00:00:00"/>
    <s v="2022-23"/>
    <n v="2022"/>
    <n v="7"/>
    <s v="Jul"/>
    <x v="14"/>
    <n v="20"/>
    <s v="State"/>
    <n v="444.86"/>
    <n v="553.78"/>
    <n v="992.97"/>
    <n v="522.12"/>
    <n v="1991.61"/>
    <n v="2513.73"/>
    <m/>
  </r>
  <r>
    <d v="2022-07-01T00:00:00"/>
    <s v="2022-23"/>
    <n v="2022"/>
    <n v="7"/>
    <s v="Jul"/>
    <x v="15"/>
    <n v="29"/>
    <s v="State"/>
    <n v="2233.33"/>
    <n v="2808.12"/>
    <n v="3543.11"/>
    <n v="1210.04"/>
    <n v="8584.56"/>
    <n v="9794.6"/>
    <m/>
  </r>
  <r>
    <d v="2022-07-01T00:00:00"/>
    <s v="2022-23"/>
    <n v="2022"/>
    <n v="7"/>
    <s v="Jul"/>
    <x v="16"/>
    <n v="32"/>
    <s v="State"/>
    <n v="742.78"/>
    <n v="1000.18"/>
    <n v="410.71"/>
    <n v="7.56"/>
    <n v="2153.67"/>
    <n v="2161.23"/>
    <m/>
  </r>
  <r>
    <d v="2022-07-01T00:00:00"/>
    <s v="2022-23"/>
    <n v="2022"/>
    <n v="7"/>
    <s v="Jul"/>
    <x v="35"/>
    <n v="37"/>
    <s v="Union Territory"/>
    <n v="6.93"/>
    <n v="9.14"/>
    <n v="3.88"/>
    <n v="0.04"/>
    <n v="19.95"/>
    <n v="19.989999999999998"/>
    <m/>
  </r>
  <r>
    <d v="2022-07-01T00:00:00"/>
    <s v="2022-23"/>
    <n v="2022"/>
    <n v="7"/>
    <s v="Jul"/>
    <x v="17"/>
    <n v="31"/>
    <s v="Union Territory"/>
    <n v="0.7"/>
    <n v="0.89"/>
    <n v="0.03"/>
    <n v="0"/>
    <n v="1.62"/>
    <n v="1.62"/>
    <m/>
  </r>
  <r>
    <d v="2022-07-01T00:00:00"/>
    <s v="2022-23"/>
    <n v="2022"/>
    <n v="7"/>
    <s v="Jul"/>
    <x v="18"/>
    <n v="23"/>
    <s v="State"/>
    <n v="661.46"/>
    <n v="902.21"/>
    <n v="828.16"/>
    <n v="574.19000000000005"/>
    <n v="2391.83"/>
    <n v="2966.02"/>
    <m/>
  </r>
  <r>
    <d v="2022-07-01T00:00:00"/>
    <s v="2022-23"/>
    <n v="2022"/>
    <n v="7"/>
    <s v="Jul"/>
    <x v="19"/>
    <n v="27"/>
    <s v="State"/>
    <n v="5524.67"/>
    <n v="6578.04"/>
    <n v="8248.5400000000009"/>
    <n v="1777.46"/>
    <n v="20351.25"/>
    <n v="22128.71"/>
    <m/>
  </r>
  <r>
    <d v="2022-07-01T00:00:00"/>
    <s v="2022-23"/>
    <n v="2022"/>
    <n v="7"/>
    <s v="Jul"/>
    <x v="20"/>
    <n v="14"/>
    <s v="State"/>
    <n v="16.899999999999999"/>
    <n v="23.74"/>
    <n v="4.18"/>
    <n v="0.19"/>
    <n v="44.82"/>
    <n v="45.01"/>
    <m/>
  </r>
  <r>
    <d v="2022-07-01T00:00:00"/>
    <s v="2022-23"/>
    <n v="2022"/>
    <n v="7"/>
    <s v="Jul"/>
    <x v="21"/>
    <n v="17"/>
    <s v="State"/>
    <n v="25.3"/>
    <n v="31.81"/>
    <n v="80.12"/>
    <n v="1.1000000000000001"/>
    <n v="137.22999999999999"/>
    <n v="138.33000000000001"/>
    <m/>
  </r>
  <r>
    <d v="2022-07-01T00:00:00"/>
    <s v="2022-23"/>
    <n v="2022"/>
    <n v="7"/>
    <s v="Jul"/>
    <x v="22"/>
    <n v="15"/>
    <s v="State"/>
    <n v="9.89"/>
    <n v="13.72"/>
    <n v="2.96"/>
    <n v="0.03"/>
    <n v="26.57"/>
    <n v="26.6"/>
    <m/>
  </r>
  <r>
    <d v="2022-07-01T00:00:00"/>
    <s v="2022-23"/>
    <n v="2022"/>
    <n v="7"/>
    <s v="Jul"/>
    <x v="23"/>
    <n v="13"/>
    <s v="State"/>
    <n v="10.86"/>
    <n v="13.64"/>
    <n v="12.06"/>
    <n v="5.09"/>
    <n v="36.56"/>
    <n v="41.65"/>
    <m/>
  </r>
  <r>
    <d v="2022-07-01T00:00:00"/>
    <s v="2022-23"/>
    <n v="2022"/>
    <n v="7"/>
    <s v="Jul"/>
    <x v="24"/>
    <n v="21"/>
    <s v="State"/>
    <n v="959.04"/>
    <n v="1111.69"/>
    <n v="872.98"/>
    <n v="707.9"/>
    <n v="2943.71"/>
    <n v="3651.61"/>
    <m/>
  </r>
  <r>
    <d v="2022-07-01T00:00:00"/>
    <s v="2022-23"/>
    <n v="2022"/>
    <n v="7"/>
    <s v="Jul"/>
    <x v="25"/>
    <n v="34"/>
    <s v="Union Territory"/>
    <n v="25.27"/>
    <n v="39.11"/>
    <n v="133.49"/>
    <n v="0.52"/>
    <n v="197.87"/>
    <n v="198.39"/>
    <m/>
  </r>
  <r>
    <d v="2022-07-01T00:00:00"/>
    <s v="2022-23"/>
    <n v="2022"/>
    <n v="7"/>
    <s v="Jul"/>
    <x v="26"/>
    <n v="3"/>
    <s v="State"/>
    <n v="430.97"/>
    <n v="641.42999999999995"/>
    <n v="626.46"/>
    <n v="34.6"/>
    <n v="1698.86"/>
    <n v="1733.46"/>
    <m/>
  </r>
  <r>
    <d v="2022-07-01T00:00:00"/>
    <s v="2022-23"/>
    <n v="2022"/>
    <n v="7"/>
    <s v="Jul"/>
    <x v="27"/>
    <n v="8"/>
    <s v="State"/>
    <n v="934.24"/>
    <n v="1243.01"/>
    <n v="1351.15"/>
    <n v="142.76"/>
    <n v="3528.4"/>
    <n v="3671.16"/>
    <m/>
  </r>
  <r>
    <d v="2022-07-01T00:00:00"/>
    <s v="2022-23"/>
    <n v="2022"/>
    <n v="7"/>
    <s v="Jul"/>
    <x v="28"/>
    <n v="11"/>
    <s v="State"/>
    <n v="15.59"/>
    <n v="21.98"/>
    <n v="211.29"/>
    <n v="0.02"/>
    <n v="248.86"/>
    <n v="248.88"/>
    <m/>
  </r>
  <r>
    <d v="2022-07-01T00:00:00"/>
    <s v="2022-23"/>
    <n v="2022"/>
    <n v="7"/>
    <s v="Jul"/>
    <x v="29"/>
    <n v="33"/>
    <s v="State"/>
    <n v="2189.61"/>
    <n v="2947.07"/>
    <n v="2643.33"/>
    <n v="669.3"/>
    <n v="7780.01"/>
    <n v="8449.31"/>
    <m/>
  </r>
  <r>
    <d v="2022-07-01T00:00:00"/>
    <s v="2022-23"/>
    <n v="2022"/>
    <n v="7"/>
    <s v="Jul"/>
    <x v="30"/>
    <n v="36"/>
    <s v="State"/>
    <n v="1234.98"/>
    <n v="1562.39"/>
    <n v="1275.93"/>
    <n v="474.16"/>
    <n v="4073.3"/>
    <n v="4547.46"/>
    <m/>
  </r>
  <r>
    <d v="2022-07-01T00:00:00"/>
    <s v="2022-23"/>
    <n v="2022"/>
    <n v="7"/>
    <s v="Jul"/>
    <x v="31"/>
    <n v="16"/>
    <s v="State"/>
    <n v="23.83"/>
    <n v="32.590000000000003"/>
    <n v="6.95"/>
    <n v="0.1"/>
    <n v="63.37"/>
    <n v="63.47"/>
    <m/>
  </r>
  <r>
    <d v="2022-07-01T00:00:00"/>
    <s v="2022-23"/>
    <n v="2022"/>
    <n v="7"/>
    <s v="Jul"/>
    <x v="32"/>
    <n v="9"/>
    <s v="State"/>
    <n v="1652.9"/>
    <n v="2257.86"/>
    <n v="1980.46"/>
    <n v="1182.8"/>
    <n v="5891.22"/>
    <n v="7074.02"/>
    <m/>
  </r>
  <r>
    <d v="2022-07-01T00:00:00"/>
    <s v="2022-23"/>
    <n v="2022"/>
    <n v="7"/>
    <s v="Jul"/>
    <x v="33"/>
    <n v="5"/>
    <s v="State"/>
    <n v="269.02"/>
    <n v="389.22"/>
    <n v="722.23"/>
    <n v="9.43"/>
    <n v="1380.47"/>
    <n v="1389.9"/>
    <m/>
  </r>
  <r>
    <d v="2022-07-01T00:00:00"/>
    <s v="2022-23"/>
    <n v="2022"/>
    <n v="7"/>
    <s v="Jul"/>
    <x v="34"/>
    <n v="19"/>
    <s v="State"/>
    <n v="1301.46"/>
    <n v="1663.87"/>
    <n v="1135.51"/>
    <n v="340.39"/>
    <n v="4100.84"/>
    <n v="4441.2299999999996"/>
    <m/>
  </r>
  <r>
    <d v="2022-08-01T00:00:00"/>
    <s v="2022-23"/>
    <n v="2022"/>
    <n v="8"/>
    <s v="Aug"/>
    <x v="0"/>
    <n v="35"/>
    <s v="Union Territory"/>
    <n v="5.0199999999999996"/>
    <n v="8.06"/>
    <n v="2.65"/>
    <n v="0.01"/>
    <n v="15.73"/>
    <n v="15.74"/>
    <m/>
  </r>
  <r>
    <d v="2022-08-01T00:00:00"/>
    <s v="2022-23"/>
    <n v="2022"/>
    <n v="8"/>
    <s v="Aug"/>
    <x v="1"/>
    <n v="28"/>
    <s v="State"/>
    <n v="765.97"/>
    <n v="996.86"/>
    <n v="1133.78"/>
    <n v="275.95"/>
    <n v="2896.61"/>
    <n v="3172.56"/>
    <m/>
  </r>
  <r>
    <d v="2022-08-01T00:00:00"/>
    <s v="2022-23"/>
    <n v="2022"/>
    <n v="8"/>
    <s v="Aug"/>
    <x v="2"/>
    <n v="12"/>
    <s v="State"/>
    <n v="21.57"/>
    <n v="28.55"/>
    <n v="9.02"/>
    <n v="0.16"/>
    <n v="59.14"/>
    <n v="59.3"/>
    <m/>
  </r>
  <r>
    <d v="2022-08-01T00:00:00"/>
    <s v="2022-23"/>
    <n v="2022"/>
    <n v="8"/>
    <s v="Aug"/>
    <x v="3"/>
    <n v="18"/>
    <s v="State"/>
    <n v="323.19"/>
    <n v="411.13"/>
    <n v="269.13"/>
    <n v="51.72"/>
    <n v="1003.45"/>
    <n v="1055.17"/>
    <m/>
  </r>
  <r>
    <d v="2022-08-01T00:00:00"/>
    <s v="2022-23"/>
    <n v="2022"/>
    <n v="8"/>
    <s v="Aug"/>
    <x v="4"/>
    <n v="10"/>
    <s v="State"/>
    <n v="371.52"/>
    <n v="573.79999999999995"/>
    <n v="181.49"/>
    <n v="143.79"/>
    <n v="1126.81"/>
    <n v="1270.5999999999999"/>
    <m/>
  </r>
  <r>
    <d v="2022-08-01T00:00:00"/>
    <s v="2022-23"/>
    <n v="2022"/>
    <n v="8"/>
    <s v="Aug"/>
    <x v="5"/>
    <n v="4"/>
    <s v="Union Territory"/>
    <n v="35.6"/>
    <n v="46.48"/>
    <n v="96.58"/>
    <n v="0.41"/>
    <n v="178.66"/>
    <n v="179.07"/>
    <m/>
  </r>
  <r>
    <d v="2022-08-01T00:00:00"/>
    <s v="2022-23"/>
    <n v="2022"/>
    <n v="8"/>
    <s v="Aug"/>
    <x v="6"/>
    <n v="22"/>
    <s v="State"/>
    <n v="480.02"/>
    <n v="558.45000000000005"/>
    <n v="869.19"/>
    <n v="533.96"/>
    <n v="1907.66"/>
    <n v="2441.62"/>
    <m/>
  </r>
  <r>
    <d v="2022-08-01T00:00:00"/>
    <s v="2022-23"/>
    <n v="2022"/>
    <n v="8"/>
    <s v="Aug"/>
    <x v="7"/>
    <n v="38"/>
    <s v="Union Territory"/>
    <n v="39.299999999999997"/>
    <n v="50.09"/>
    <n v="220.66"/>
    <n v="0.93"/>
    <n v="310.05"/>
    <n v="310.98"/>
    <m/>
  </r>
  <r>
    <d v="2022-08-01T00:00:00"/>
    <s v="2022-23"/>
    <n v="2022"/>
    <n v="8"/>
    <s v="Aug"/>
    <x v="8"/>
    <n v="7"/>
    <s v="Union Territory"/>
    <n v="897.52"/>
    <n v="1045.26"/>
    <n v="2321.63"/>
    <n v="84.14"/>
    <n v="4264.41"/>
    <n v="4348.55"/>
    <m/>
  </r>
  <r>
    <d v="2022-08-01T00:00:00"/>
    <s v="2022-23"/>
    <n v="2022"/>
    <n v="8"/>
    <s v="Aug"/>
    <x v="9"/>
    <n v="30"/>
    <s v="State"/>
    <n v="105.03"/>
    <n v="139.59"/>
    <n v="129.56"/>
    <n v="1.32"/>
    <n v="374.18"/>
    <n v="375.5"/>
    <m/>
  </r>
  <r>
    <d v="2022-08-01T00:00:00"/>
    <s v="2022-23"/>
    <n v="2022"/>
    <n v="8"/>
    <s v="Aug"/>
    <x v="10"/>
    <n v="24"/>
    <s v="State"/>
    <n v="2346.33"/>
    <n v="2818"/>
    <n v="3017.91"/>
    <n v="502.05"/>
    <n v="8182.24"/>
    <n v="8684.2900000000009"/>
    <m/>
  </r>
  <r>
    <d v="2022-08-01T00:00:00"/>
    <s v="2022-23"/>
    <n v="2022"/>
    <n v="8"/>
    <s v="Aug"/>
    <x v="11"/>
    <n v="6"/>
    <s v="State"/>
    <n v="1102.8"/>
    <n v="1466.71"/>
    <n v="3677.51"/>
    <n v="524.54"/>
    <n v="6247.02"/>
    <n v="6771.56"/>
    <m/>
  </r>
  <r>
    <d v="2022-08-01T00:00:00"/>
    <s v="2022-23"/>
    <n v="2022"/>
    <n v="8"/>
    <s v="Aug"/>
    <x v="12"/>
    <n v="2"/>
    <s v="State"/>
    <n v="135.6"/>
    <n v="183.85"/>
    <n v="387.2"/>
    <n v="1.93"/>
    <n v="706.65"/>
    <n v="708.58"/>
    <m/>
  </r>
  <r>
    <d v="2022-08-01T00:00:00"/>
    <s v="2022-23"/>
    <n v="2022"/>
    <n v="8"/>
    <s v="Aug"/>
    <x v="13"/>
    <n v="1"/>
    <s v="Union Territory"/>
    <n v="112.98"/>
    <n v="178.47"/>
    <n v="133.96"/>
    <n v="8.35"/>
    <n v="425.41"/>
    <n v="433.76"/>
    <m/>
  </r>
  <r>
    <d v="2022-08-01T00:00:00"/>
    <s v="2022-23"/>
    <n v="2022"/>
    <n v="8"/>
    <s v="Aug"/>
    <x v="14"/>
    <n v="20"/>
    <s v="State"/>
    <n v="442.67"/>
    <n v="566.52"/>
    <n v="1104.19"/>
    <n v="482.04"/>
    <n v="2113.38"/>
    <n v="2595.42"/>
    <m/>
  </r>
  <r>
    <d v="2022-08-01T00:00:00"/>
    <s v="2022-23"/>
    <n v="2022"/>
    <n v="8"/>
    <s v="Aug"/>
    <x v="15"/>
    <n v="29"/>
    <s v="State"/>
    <n v="2297.13"/>
    <n v="2840.9"/>
    <n v="3451.11"/>
    <n v="993.86"/>
    <n v="8589.14"/>
    <n v="9583"/>
    <m/>
  </r>
  <r>
    <d v="2022-08-01T00:00:00"/>
    <s v="2022-23"/>
    <n v="2022"/>
    <n v="8"/>
    <s v="Aug"/>
    <x v="16"/>
    <n v="32"/>
    <s v="State"/>
    <n v="706.88"/>
    <n v="910.94"/>
    <n v="414.92"/>
    <n v="2.96"/>
    <n v="2032.74"/>
    <n v="2035.7"/>
    <m/>
  </r>
  <r>
    <d v="2022-08-01T00:00:00"/>
    <s v="2022-23"/>
    <n v="2022"/>
    <n v="8"/>
    <s v="Aug"/>
    <x v="35"/>
    <n v="37"/>
    <s v="Union Territory"/>
    <n v="6.55"/>
    <n v="8.98"/>
    <n v="3.6"/>
    <n v="0.03"/>
    <n v="19.13"/>
    <n v="19.16"/>
    <m/>
  </r>
  <r>
    <d v="2022-08-01T00:00:00"/>
    <s v="2022-23"/>
    <n v="2022"/>
    <n v="8"/>
    <s v="Aug"/>
    <x v="17"/>
    <n v="31"/>
    <s v="Union Territory"/>
    <n v="0.15"/>
    <n v="0.16"/>
    <n v="0.05"/>
    <n v="0"/>
    <n v="0.36"/>
    <n v="0.36"/>
    <m/>
  </r>
  <r>
    <d v="2022-08-01T00:00:00"/>
    <s v="2022-23"/>
    <n v="2022"/>
    <n v="8"/>
    <s v="Aug"/>
    <x v="18"/>
    <n v="23"/>
    <s v="State"/>
    <n v="615.21"/>
    <n v="805.1"/>
    <n v="775.36"/>
    <n v="618.59"/>
    <n v="2195.67"/>
    <n v="2814.26"/>
    <m/>
  </r>
  <r>
    <d v="2022-08-01T00:00:00"/>
    <s v="2022-23"/>
    <n v="2022"/>
    <n v="8"/>
    <s v="Aug"/>
    <x v="19"/>
    <n v="27"/>
    <s v="State"/>
    <n v="5211.34"/>
    <n v="6071.41"/>
    <n v="6162.5"/>
    <n v="1417.57"/>
    <n v="17445.25"/>
    <n v="18862.82"/>
    <m/>
  </r>
  <r>
    <d v="2022-08-01T00:00:00"/>
    <s v="2022-23"/>
    <n v="2022"/>
    <n v="8"/>
    <s v="Aug"/>
    <x v="20"/>
    <n v="14"/>
    <s v="State"/>
    <n v="12.12"/>
    <n v="17.54"/>
    <n v="4.84"/>
    <n v="0.04"/>
    <n v="34.5"/>
    <n v="34.54"/>
    <m/>
  </r>
  <r>
    <d v="2022-08-01T00:00:00"/>
    <s v="2022-23"/>
    <n v="2022"/>
    <n v="8"/>
    <s v="Aug"/>
    <x v="21"/>
    <n v="17"/>
    <s v="State"/>
    <n v="26.59"/>
    <n v="31.82"/>
    <n v="88.18"/>
    <n v="0.78"/>
    <n v="146.59"/>
    <n v="147.37"/>
    <m/>
  </r>
  <r>
    <d v="2022-08-01T00:00:00"/>
    <s v="2022-23"/>
    <n v="2022"/>
    <n v="8"/>
    <s v="Aug"/>
    <x v="22"/>
    <n v="15"/>
    <s v="State"/>
    <n v="10.78"/>
    <n v="14.29"/>
    <n v="3.19"/>
    <n v="0.05"/>
    <n v="28.26"/>
    <n v="28.31"/>
    <m/>
  </r>
  <r>
    <d v="2022-08-01T00:00:00"/>
    <s v="2022-23"/>
    <n v="2022"/>
    <n v="8"/>
    <s v="Aug"/>
    <x v="23"/>
    <n v="13"/>
    <s v="State"/>
    <n v="10.79"/>
    <n v="13.34"/>
    <n v="10.130000000000001"/>
    <n v="3.46"/>
    <n v="34.26"/>
    <n v="37.72"/>
    <m/>
  </r>
  <r>
    <d v="2022-08-01T00:00:00"/>
    <s v="2022-23"/>
    <n v="2022"/>
    <n v="8"/>
    <s v="Aug"/>
    <x v="24"/>
    <n v="21"/>
    <s v="State"/>
    <n v="871.95"/>
    <n v="1019.81"/>
    <n v="1252.07"/>
    <n v="740.07"/>
    <n v="3143.83"/>
    <n v="3883.9"/>
    <m/>
  </r>
  <r>
    <d v="2022-08-01T00:00:00"/>
    <s v="2022-23"/>
    <n v="2022"/>
    <n v="8"/>
    <s v="Aug"/>
    <x v="25"/>
    <n v="34"/>
    <s v="Union Territory"/>
    <n v="26.09"/>
    <n v="37.53"/>
    <n v="136.44999999999999"/>
    <n v="0.15"/>
    <n v="200.07"/>
    <n v="200.22"/>
    <m/>
  </r>
  <r>
    <d v="2022-08-01T00:00:00"/>
    <s v="2022-23"/>
    <n v="2022"/>
    <n v="8"/>
    <s v="Aug"/>
    <x v="26"/>
    <n v="3"/>
    <s v="State"/>
    <n v="379.88"/>
    <n v="573.92999999999995"/>
    <n v="672.14"/>
    <n v="25.54"/>
    <n v="1625.95"/>
    <n v="1651.49"/>
    <m/>
  </r>
  <r>
    <d v="2022-08-01T00:00:00"/>
    <s v="2022-23"/>
    <n v="2022"/>
    <n v="8"/>
    <s v="Aug"/>
    <x v="27"/>
    <n v="8"/>
    <s v="State"/>
    <n v="860.14"/>
    <n v="1123.27"/>
    <n v="1249.5899999999999"/>
    <n v="108.11"/>
    <n v="3233"/>
    <n v="3341.11"/>
    <m/>
  </r>
  <r>
    <d v="2022-08-01T00:00:00"/>
    <s v="2022-23"/>
    <n v="2022"/>
    <n v="8"/>
    <s v="Aug"/>
    <x v="28"/>
    <n v="11"/>
    <s v="State"/>
    <n v="14.11"/>
    <n v="18.88"/>
    <n v="213.9"/>
    <n v="0.01"/>
    <n v="246.89"/>
    <n v="246.9"/>
    <m/>
  </r>
  <r>
    <d v="2022-08-01T00:00:00"/>
    <s v="2022-23"/>
    <n v="2022"/>
    <n v="8"/>
    <s v="Aug"/>
    <x v="29"/>
    <n v="33"/>
    <s v="State"/>
    <n v="2240.0500000000002"/>
    <n v="2956.35"/>
    <n v="2411.6"/>
    <n v="778.3"/>
    <n v="7608"/>
    <n v="8386.2999999999993"/>
    <m/>
  </r>
  <r>
    <d v="2022-08-01T00:00:00"/>
    <s v="2022-23"/>
    <n v="2022"/>
    <n v="8"/>
    <s v="Aug"/>
    <x v="30"/>
    <n v="36"/>
    <s v="State"/>
    <n v="894.78"/>
    <n v="1182.75"/>
    <n v="1269.5999999999999"/>
    <n v="523.89"/>
    <n v="3347.13"/>
    <n v="3871.02"/>
    <m/>
  </r>
  <r>
    <d v="2022-08-01T00:00:00"/>
    <s v="2022-23"/>
    <n v="2022"/>
    <n v="8"/>
    <s v="Aug"/>
    <x v="31"/>
    <n v="16"/>
    <s v="State"/>
    <n v="20.58"/>
    <n v="26.59"/>
    <n v="8.43"/>
    <n v="0.22"/>
    <n v="55.6"/>
    <n v="55.82"/>
    <m/>
  </r>
  <r>
    <d v="2022-08-01T00:00:00"/>
    <s v="2022-23"/>
    <n v="2022"/>
    <n v="8"/>
    <s v="Aug"/>
    <x v="32"/>
    <n v="9"/>
    <s v="State"/>
    <n v="1587.81"/>
    <n v="2136.96"/>
    <n v="2008.59"/>
    <n v="1048.01"/>
    <n v="5733.36"/>
    <n v="6781.37"/>
    <m/>
  </r>
  <r>
    <d v="2022-08-01T00:00:00"/>
    <s v="2022-23"/>
    <n v="2022"/>
    <n v="8"/>
    <s v="Aug"/>
    <x v="33"/>
    <n v="5"/>
    <s v="State"/>
    <n v="223.87"/>
    <n v="335.35"/>
    <n v="527.01"/>
    <n v="7.98"/>
    <n v="1086.23"/>
    <n v="1094.21"/>
    <m/>
  </r>
  <r>
    <d v="2022-08-01T00:00:00"/>
    <s v="2022-23"/>
    <n v="2022"/>
    <n v="8"/>
    <s v="Aug"/>
    <x v="34"/>
    <n v="19"/>
    <s v="State"/>
    <n v="1500.93"/>
    <n v="1739.51"/>
    <n v="1089.3499999999999"/>
    <n v="269.75"/>
    <n v="4329.79"/>
    <n v="4599.54"/>
    <m/>
  </r>
  <r>
    <d v="2022-09-01T00:00:00"/>
    <s v="2022-23"/>
    <n v="2022"/>
    <n v="9"/>
    <s v="Sep"/>
    <x v="0"/>
    <n v="35"/>
    <s v="Union Territory"/>
    <n v="13.32"/>
    <n v="15.81"/>
    <n v="3.67"/>
    <n v="0.31"/>
    <n v="32.799999999999997"/>
    <n v="33.11"/>
    <m/>
  </r>
  <r>
    <d v="2022-09-01T00:00:00"/>
    <s v="2022-23"/>
    <n v="2022"/>
    <n v="9"/>
    <s v="Sep"/>
    <x v="1"/>
    <n v="28"/>
    <s v="State"/>
    <n v="758.91"/>
    <n v="987.76"/>
    <n v="1106.97"/>
    <n v="277.88"/>
    <n v="2853.64"/>
    <n v="3131.52"/>
    <m/>
  </r>
  <r>
    <d v="2022-09-01T00:00:00"/>
    <s v="2022-23"/>
    <n v="2022"/>
    <n v="9"/>
    <s v="Sep"/>
    <x v="2"/>
    <n v="12"/>
    <s v="State"/>
    <n v="21.55"/>
    <n v="32.549999999999997"/>
    <n v="9.6300000000000008"/>
    <n v="0.18"/>
    <n v="63.73"/>
    <n v="63.91"/>
    <m/>
  </r>
  <r>
    <d v="2022-09-01T00:00:00"/>
    <s v="2022-23"/>
    <n v="2022"/>
    <n v="9"/>
    <s v="Sep"/>
    <x v="3"/>
    <n v="18"/>
    <s v="State"/>
    <n v="334.97"/>
    <n v="424.41"/>
    <n v="362.08"/>
    <n v="35.369999999999997"/>
    <n v="1121.46"/>
    <n v="1156.83"/>
    <m/>
  </r>
  <r>
    <d v="2022-09-01T00:00:00"/>
    <s v="2022-23"/>
    <n v="2022"/>
    <n v="9"/>
    <s v="Sep"/>
    <x v="4"/>
    <n v="10"/>
    <s v="State"/>
    <n v="341.37"/>
    <n v="554.04999999999995"/>
    <n v="382.82"/>
    <n v="187.69"/>
    <n v="1278.24"/>
    <n v="1465.93"/>
    <m/>
  </r>
  <r>
    <d v="2022-09-01T00:00:00"/>
    <s v="2022-23"/>
    <n v="2022"/>
    <n v="9"/>
    <s v="Sep"/>
    <x v="5"/>
    <n v="4"/>
    <s v="Union Territory"/>
    <n v="42.38"/>
    <n v="56.07"/>
    <n v="106.61"/>
    <n v="1.01"/>
    <n v="205.06"/>
    <n v="206.07"/>
    <m/>
  </r>
  <r>
    <d v="2022-09-01T00:00:00"/>
    <s v="2022-23"/>
    <n v="2022"/>
    <n v="9"/>
    <s v="Sep"/>
    <x v="6"/>
    <n v="22"/>
    <s v="State"/>
    <n v="434.54"/>
    <n v="504.73"/>
    <n v="841.15"/>
    <n v="488.71"/>
    <n v="1780.42"/>
    <n v="2269.13"/>
    <m/>
  </r>
  <r>
    <d v="2022-09-01T00:00:00"/>
    <s v="2022-23"/>
    <n v="2022"/>
    <n v="9"/>
    <s v="Sep"/>
    <x v="7"/>
    <n v="38"/>
    <s v="Union Territory"/>
    <n v="38.68"/>
    <n v="47.51"/>
    <n v="225.28"/>
    <n v="0.48"/>
    <n v="311.47000000000003"/>
    <n v="311.95"/>
    <m/>
  </r>
  <r>
    <d v="2022-09-01T00:00:00"/>
    <s v="2022-23"/>
    <n v="2022"/>
    <n v="9"/>
    <s v="Sep"/>
    <x v="8"/>
    <n v="7"/>
    <s v="Union Territory"/>
    <n v="1031.6400000000001"/>
    <n v="1187.2"/>
    <n v="2447.73"/>
    <n v="74.8"/>
    <n v="4666.57"/>
    <n v="4741.37"/>
    <m/>
  </r>
  <r>
    <d v="2022-09-01T00:00:00"/>
    <s v="2022-23"/>
    <n v="2022"/>
    <n v="9"/>
    <s v="Sep"/>
    <x v="9"/>
    <n v="30"/>
    <s v="State"/>
    <n v="119.79"/>
    <n v="158.79"/>
    <n v="148.51"/>
    <n v="2.39"/>
    <n v="427.09"/>
    <n v="429.48"/>
    <m/>
  </r>
  <r>
    <d v="2022-09-01T00:00:00"/>
    <s v="2022-23"/>
    <n v="2022"/>
    <n v="9"/>
    <s v="Sep"/>
    <x v="10"/>
    <n v="24"/>
    <s v="State"/>
    <n v="2329.4"/>
    <n v="2808.04"/>
    <n v="3356.73"/>
    <n v="525.89"/>
    <n v="8494.17"/>
    <n v="9020.06"/>
    <m/>
  </r>
  <r>
    <d v="2022-09-01T00:00:00"/>
    <s v="2022-23"/>
    <n v="2022"/>
    <n v="9"/>
    <s v="Sep"/>
    <x v="11"/>
    <n v="6"/>
    <s v="State"/>
    <n v="1065.74"/>
    <n v="1383.34"/>
    <n v="4444.38"/>
    <n v="509.53"/>
    <n v="6893.46"/>
    <n v="7402.99"/>
    <m/>
  </r>
  <r>
    <d v="2022-09-01T00:00:00"/>
    <s v="2022-23"/>
    <n v="2022"/>
    <n v="9"/>
    <s v="Sep"/>
    <x v="12"/>
    <n v="2"/>
    <s v="State"/>
    <n v="127.55"/>
    <n v="183.09"/>
    <n v="400.85"/>
    <n v="0.99"/>
    <n v="711.49"/>
    <n v="712.48"/>
    <m/>
  </r>
  <r>
    <d v="2022-09-01T00:00:00"/>
    <s v="2022-23"/>
    <n v="2022"/>
    <n v="9"/>
    <s v="Sep"/>
    <x v="13"/>
    <n v="1"/>
    <s v="Union Territory"/>
    <n v="106.75"/>
    <n v="172.95"/>
    <n v="141.94999999999999"/>
    <n v="6.12"/>
    <n v="421.65"/>
    <n v="427.77"/>
    <m/>
  </r>
  <r>
    <d v="2022-09-01T00:00:00"/>
    <s v="2022-23"/>
    <n v="2022"/>
    <n v="9"/>
    <s v="Sep"/>
    <x v="14"/>
    <n v="20"/>
    <s v="State"/>
    <n v="442.79"/>
    <n v="580.78"/>
    <n v="1035.93"/>
    <n v="403.2"/>
    <n v="2059.5"/>
    <n v="2462.6999999999998"/>
    <m/>
  </r>
  <r>
    <d v="2022-09-01T00:00:00"/>
    <s v="2022-23"/>
    <n v="2022"/>
    <n v="9"/>
    <s v="Sep"/>
    <x v="15"/>
    <n v="29"/>
    <s v="State"/>
    <n v="2230.65"/>
    <n v="2778.74"/>
    <n v="3706.5"/>
    <n v="1044.58"/>
    <n v="8715.89"/>
    <n v="9760.4699999999993"/>
    <m/>
  </r>
  <r>
    <d v="2022-09-01T00:00:00"/>
    <s v="2022-23"/>
    <n v="2022"/>
    <n v="9"/>
    <s v="Sep"/>
    <x v="16"/>
    <n v="32"/>
    <s v="State"/>
    <n v="767.25"/>
    <n v="1015.12"/>
    <n v="460.25"/>
    <n v="3.35"/>
    <n v="2242.62"/>
    <n v="2245.9699999999998"/>
    <m/>
  </r>
  <r>
    <d v="2022-09-01T00:00:00"/>
    <s v="2022-23"/>
    <n v="2022"/>
    <n v="9"/>
    <s v="Sep"/>
    <x v="35"/>
    <n v="37"/>
    <s v="Union Territory"/>
    <n v="6.76"/>
    <n v="8.76"/>
    <n v="3.79"/>
    <n v="0"/>
    <n v="19.309999999999999"/>
    <n v="19.309999999999999"/>
    <m/>
  </r>
  <r>
    <d v="2022-09-01T00:00:00"/>
    <s v="2022-23"/>
    <n v="2022"/>
    <n v="9"/>
    <s v="Sep"/>
    <x v="17"/>
    <n v="31"/>
    <s v="Union Territory"/>
    <n v="1.4"/>
    <n v="1.41"/>
    <n v="0.11"/>
    <n v="0"/>
    <n v="2.92"/>
    <n v="2.92"/>
    <m/>
  </r>
  <r>
    <d v="2022-09-01T00:00:00"/>
    <s v="2022-23"/>
    <n v="2022"/>
    <n v="9"/>
    <s v="Sep"/>
    <x v="18"/>
    <n v="23"/>
    <s v="State"/>
    <n v="599.53"/>
    <n v="769.13"/>
    <n v="753.42"/>
    <n v="589.1"/>
    <n v="2122.08"/>
    <n v="2711.18"/>
    <m/>
  </r>
  <r>
    <d v="2022-09-01T00:00:00"/>
    <s v="2022-23"/>
    <n v="2022"/>
    <n v="9"/>
    <s v="Sep"/>
    <x v="19"/>
    <n v="27"/>
    <s v="State"/>
    <n v="5794.85"/>
    <n v="6803.36"/>
    <n v="7247.78"/>
    <n v="1556.84"/>
    <n v="19845.990000000002"/>
    <n v="21402.83"/>
    <m/>
  </r>
  <r>
    <d v="2022-09-01T00:00:00"/>
    <s v="2022-23"/>
    <n v="2022"/>
    <n v="9"/>
    <s v="Sep"/>
    <x v="20"/>
    <n v="14"/>
    <s v="State"/>
    <n v="14.24"/>
    <n v="18.940000000000001"/>
    <n v="5.26"/>
    <n v="0.03"/>
    <n v="38.44"/>
    <n v="38.47"/>
    <m/>
  </r>
  <r>
    <d v="2022-09-01T00:00:00"/>
    <s v="2022-23"/>
    <n v="2022"/>
    <n v="9"/>
    <s v="Sep"/>
    <x v="21"/>
    <n v="17"/>
    <s v="State"/>
    <n v="30.61"/>
    <n v="36.130000000000003"/>
    <n v="93.49"/>
    <n v="0.85"/>
    <n v="160.22999999999999"/>
    <n v="161.08000000000001"/>
    <m/>
  </r>
  <r>
    <d v="2022-09-01T00:00:00"/>
    <s v="2022-23"/>
    <n v="2022"/>
    <n v="9"/>
    <s v="Sep"/>
    <x v="22"/>
    <n v="15"/>
    <s v="State"/>
    <n v="9.1300000000000008"/>
    <n v="12"/>
    <n v="2.76"/>
    <n v="0.04"/>
    <n v="23.89"/>
    <n v="23.93"/>
    <m/>
  </r>
  <r>
    <d v="2022-09-01T00:00:00"/>
    <s v="2022-23"/>
    <n v="2022"/>
    <n v="9"/>
    <s v="Sep"/>
    <x v="23"/>
    <n v="13"/>
    <s v="State"/>
    <n v="17.3"/>
    <n v="21.17"/>
    <n v="7.96"/>
    <n v="2.68"/>
    <n v="46.43"/>
    <n v="49.11"/>
    <m/>
  </r>
  <r>
    <d v="2022-09-01T00:00:00"/>
    <s v="2022-23"/>
    <n v="2022"/>
    <n v="9"/>
    <s v="Sep"/>
    <x v="24"/>
    <n v="21"/>
    <s v="State"/>
    <n v="770.86"/>
    <n v="938.18"/>
    <n v="1337.61"/>
    <n v="718.52"/>
    <n v="3046.65"/>
    <n v="3765.17"/>
    <m/>
  </r>
  <r>
    <d v="2022-09-01T00:00:00"/>
    <s v="2022-23"/>
    <n v="2022"/>
    <n v="9"/>
    <s v="Sep"/>
    <x v="25"/>
    <n v="34"/>
    <s v="Union Territory"/>
    <n v="25.7"/>
    <n v="39.69"/>
    <n v="122.22"/>
    <n v="0.82"/>
    <n v="187.61"/>
    <n v="188.43"/>
    <m/>
  </r>
  <r>
    <d v="2022-09-01T00:00:00"/>
    <s v="2022-23"/>
    <n v="2022"/>
    <n v="9"/>
    <s v="Sep"/>
    <x v="26"/>
    <n v="3"/>
    <s v="State"/>
    <n v="392.67"/>
    <n v="597.88"/>
    <n v="691.23"/>
    <n v="28.31"/>
    <n v="1681.78"/>
    <n v="1710.09"/>
    <m/>
  </r>
  <r>
    <d v="2022-09-01T00:00:00"/>
    <s v="2022-23"/>
    <n v="2022"/>
    <n v="9"/>
    <s v="Sep"/>
    <x v="27"/>
    <n v="8"/>
    <s v="State"/>
    <n v="861.06"/>
    <n v="1141.3599999999999"/>
    <n v="1189.6600000000001"/>
    <n v="114.44"/>
    <n v="3192.08"/>
    <n v="3306.52"/>
    <m/>
  </r>
  <r>
    <d v="2022-09-01T00:00:00"/>
    <s v="2022-23"/>
    <n v="2022"/>
    <n v="9"/>
    <s v="Sep"/>
    <x v="28"/>
    <n v="11"/>
    <s v="State"/>
    <n v="14.68"/>
    <n v="20.5"/>
    <n v="249.51"/>
    <n v="0.05"/>
    <n v="284.69"/>
    <n v="284.74"/>
    <m/>
  </r>
  <r>
    <d v="2022-09-01T00:00:00"/>
    <s v="2022-23"/>
    <n v="2022"/>
    <n v="9"/>
    <s v="Sep"/>
    <x v="29"/>
    <n v="33"/>
    <s v="State"/>
    <n v="2251.2199999999998"/>
    <n v="2965.31"/>
    <n v="2782.02"/>
    <n v="638.16"/>
    <n v="7998.55"/>
    <n v="8636.7099999999991"/>
    <m/>
  </r>
  <r>
    <d v="2022-09-01T00:00:00"/>
    <s v="2022-23"/>
    <n v="2022"/>
    <n v="9"/>
    <s v="Sep"/>
    <x v="30"/>
    <n v="36"/>
    <s v="State"/>
    <n v="975.62"/>
    <n v="1289.17"/>
    <n v="1139.9000000000001"/>
    <n v="510.06"/>
    <n v="3404.69"/>
    <n v="3914.75"/>
    <m/>
  </r>
  <r>
    <d v="2022-09-01T00:00:00"/>
    <s v="2022-23"/>
    <n v="2022"/>
    <n v="9"/>
    <s v="Sep"/>
    <x v="31"/>
    <n v="16"/>
    <s v="State"/>
    <n v="24.12"/>
    <n v="31.5"/>
    <n v="8.93"/>
    <n v="0.22"/>
    <n v="64.55"/>
    <n v="64.77"/>
    <m/>
  </r>
  <r>
    <d v="2022-09-01T00:00:00"/>
    <s v="2022-23"/>
    <n v="2022"/>
    <n v="9"/>
    <s v="Sep"/>
    <x v="32"/>
    <n v="9"/>
    <s v="State"/>
    <n v="1539.94"/>
    <n v="2073.87"/>
    <n v="2222.7399999999998"/>
    <n v="1167.77"/>
    <n v="5836.55"/>
    <n v="7004.32"/>
    <m/>
  </r>
  <r>
    <d v="2022-09-01T00:00:00"/>
    <s v="2022-23"/>
    <n v="2022"/>
    <n v="9"/>
    <s v="Sep"/>
    <x v="33"/>
    <n v="5"/>
    <s v="State"/>
    <n v="237.84"/>
    <n v="362.87"/>
    <n v="688.88"/>
    <n v="10.78"/>
    <n v="1289.5899999999999"/>
    <n v="1300.3699999999999"/>
    <m/>
  </r>
  <r>
    <d v="2022-09-01T00:00:00"/>
    <s v="2022-23"/>
    <n v="2022"/>
    <n v="9"/>
    <s v="Sep"/>
    <x v="34"/>
    <n v="19"/>
    <s v="State"/>
    <n v="1488.67"/>
    <n v="1778.42"/>
    <n v="1156.8499999999999"/>
    <n v="380.39"/>
    <n v="4423.9399999999996"/>
    <n v="4804.33"/>
    <m/>
  </r>
  <r>
    <d v="2022-10-01T00:00:00"/>
    <s v="2022-23"/>
    <n v="2022"/>
    <n v="10"/>
    <s v="Oct"/>
    <x v="0"/>
    <n v="35"/>
    <s v="Union Territory"/>
    <n v="7.9"/>
    <n v="11.05"/>
    <n v="4.45"/>
    <n v="0.01"/>
    <n v="23.4"/>
    <n v="23.41"/>
    <m/>
  </r>
  <r>
    <d v="2022-10-01T00:00:00"/>
    <s v="2022-23"/>
    <n v="2022"/>
    <n v="10"/>
    <s v="Oct"/>
    <x v="1"/>
    <n v="28"/>
    <s v="State"/>
    <n v="793.83"/>
    <n v="1049.08"/>
    <n v="1421.34"/>
    <n v="315.04000000000002"/>
    <n v="3264.25"/>
    <n v="3579.29"/>
    <m/>
  </r>
  <r>
    <d v="2022-10-01T00:00:00"/>
    <s v="2022-23"/>
    <n v="2022"/>
    <n v="10"/>
    <s v="Oct"/>
    <x v="2"/>
    <n v="12"/>
    <s v="State"/>
    <n v="22.76"/>
    <n v="29.28"/>
    <n v="12.57"/>
    <n v="0.22"/>
    <n v="64.61"/>
    <n v="64.83"/>
    <m/>
  </r>
  <r>
    <d v="2022-10-01T00:00:00"/>
    <s v="2022-23"/>
    <n v="2022"/>
    <n v="10"/>
    <s v="Oct"/>
    <x v="3"/>
    <n v="18"/>
    <s v="State"/>
    <n v="323.26"/>
    <n v="424.73"/>
    <n v="425.01"/>
    <n v="70.95"/>
    <n v="1173"/>
    <n v="1243.95"/>
    <m/>
  </r>
  <r>
    <d v="2022-10-01T00:00:00"/>
    <s v="2022-23"/>
    <n v="2022"/>
    <n v="10"/>
    <s v="Oct"/>
    <x v="4"/>
    <n v="10"/>
    <s v="State"/>
    <n v="328.06"/>
    <n v="542.11"/>
    <n v="302.52"/>
    <n v="171.48"/>
    <n v="1172.69"/>
    <n v="1344.17"/>
    <m/>
  </r>
  <r>
    <d v="2022-10-01T00:00:00"/>
    <s v="2022-23"/>
    <n v="2022"/>
    <n v="10"/>
    <s v="Oct"/>
    <x v="5"/>
    <n v="4"/>
    <s v="Union Territory"/>
    <n v="40.28"/>
    <n v="51.2"/>
    <n v="109.59"/>
    <n v="1.43"/>
    <n v="201.07"/>
    <n v="202.5"/>
    <m/>
  </r>
  <r>
    <d v="2022-10-01T00:00:00"/>
    <s v="2022-23"/>
    <n v="2022"/>
    <n v="10"/>
    <s v="Oct"/>
    <x v="6"/>
    <n v="22"/>
    <s v="State"/>
    <n v="478.98"/>
    <n v="565.20000000000005"/>
    <n v="834.59"/>
    <n v="449.61"/>
    <n v="1878.77"/>
    <n v="2328.38"/>
    <m/>
  </r>
  <r>
    <d v="2022-10-01T00:00:00"/>
    <s v="2022-23"/>
    <n v="2022"/>
    <n v="10"/>
    <s v="Oct"/>
    <x v="7"/>
    <n v="38"/>
    <s v="Union Territory"/>
    <n v="37.65"/>
    <n v="50.88"/>
    <n v="190.11"/>
    <n v="0.26"/>
    <n v="278.64"/>
    <n v="278.89999999999998"/>
    <m/>
  </r>
  <r>
    <d v="2022-10-01T00:00:00"/>
    <s v="2022-23"/>
    <n v="2022"/>
    <n v="10"/>
    <s v="Oct"/>
    <x v="8"/>
    <n v="7"/>
    <s v="Union Territory"/>
    <n v="920.54"/>
    <n v="1127.58"/>
    <n v="2537.85"/>
    <n v="84.47"/>
    <n v="4585.97"/>
    <n v="4670.4399999999996"/>
    <m/>
  </r>
  <r>
    <d v="2022-10-01T00:00:00"/>
    <s v="2022-23"/>
    <n v="2022"/>
    <n v="10"/>
    <s v="Oct"/>
    <x v="9"/>
    <n v="30"/>
    <s v="State"/>
    <n v="112.31"/>
    <n v="154.31"/>
    <n v="149.6"/>
    <n v="3.34"/>
    <n v="416.22"/>
    <n v="419.56"/>
    <m/>
  </r>
  <r>
    <d v="2022-10-01T00:00:00"/>
    <s v="2022-23"/>
    <n v="2022"/>
    <n v="10"/>
    <s v="Oct"/>
    <x v="10"/>
    <n v="24"/>
    <s v="State"/>
    <n v="2451.3200000000002"/>
    <n v="3015.26"/>
    <n v="3461.02"/>
    <n v="541.47"/>
    <n v="8927.6"/>
    <n v="9469.07"/>
    <m/>
  </r>
  <r>
    <d v="2022-10-01T00:00:00"/>
    <s v="2022-23"/>
    <n v="2022"/>
    <n v="10"/>
    <s v="Oct"/>
    <x v="11"/>
    <n v="6"/>
    <s v="State"/>
    <n v="1190.42"/>
    <n v="1611.92"/>
    <n v="4332.7"/>
    <n v="526.53"/>
    <n v="7135.04"/>
    <n v="7661.57"/>
    <m/>
  </r>
  <r>
    <d v="2022-10-01T00:00:00"/>
    <s v="2022-23"/>
    <n v="2022"/>
    <n v="10"/>
    <s v="Oct"/>
    <x v="12"/>
    <n v="2"/>
    <s v="State"/>
    <n v="133"/>
    <n v="190.77"/>
    <n v="457.53"/>
    <n v="2.74"/>
    <n v="781.3"/>
    <n v="784.04"/>
    <m/>
  </r>
  <r>
    <d v="2022-10-01T00:00:00"/>
    <s v="2022-23"/>
    <n v="2022"/>
    <n v="10"/>
    <s v="Oct"/>
    <x v="13"/>
    <n v="1"/>
    <s v="Union Territory"/>
    <n v="114.89"/>
    <n v="179.99"/>
    <n v="126.07"/>
    <n v="4.3600000000000003"/>
    <n v="420.95"/>
    <n v="425.31"/>
    <m/>
  </r>
  <r>
    <d v="2022-10-01T00:00:00"/>
    <s v="2022-23"/>
    <n v="2022"/>
    <n v="10"/>
    <s v="Oct"/>
    <x v="14"/>
    <n v="20"/>
    <s v="State"/>
    <n v="507.23"/>
    <n v="668.79"/>
    <n v="942.51"/>
    <n v="381.3"/>
    <n v="2118.5300000000002"/>
    <n v="2499.83"/>
    <m/>
  </r>
  <r>
    <d v="2022-10-01T00:00:00"/>
    <s v="2022-23"/>
    <n v="2022"/>
    <n v="10"/>
    <s v="Oct"/>
    <x v="15"/>
    <n v="29"/>
    <s v="State"/>
    <n v="2342.9"/>
    <n v="2968.77"/>
    <n v="4453.47"/>
    <n v="1231.2"/>
    <n v="9765.14"/>
    <n v="10996.34"/>
    <m/>
  </r>
  <r>
    <d v="2022-10-01T00:00:00"/>
    <s v="2022-23"/>
    <n v="2022"/>
    <n v="10"/>
    <s v="Oct"/>
    <x v="16"/>
    <n v="32"/>
    <s v="State"/>
    <n v="777.96"/>
    <n v="1002.27"/>
    <n v="695.68"/>
    <n v="9.17"/>
    <n v="2475.91"/>
    <n v="2485.08"/>
    <m/>
  </r>
  <r>
    <d v="2022-10-01T00:00:00"/>
    <s v="2022-23"/>
    <n v="2022"/>
    <n v="10"/>
    <s v="Oct"/>
    <x v="35"/>
    <n v="37"/>
    <s v="Union Territory"/>
    <n v="11.25"/>
    <n v="18.27"/>
    <n v="3.82"/>
    <n v="0.11"/>
    <n v="33.340000000000003"/>
    <n v="33.450000000000003"/>
    <m/>
  </r>
  <r>
    <d v="2022-10-01T00:00:00"/>
    <s v="2022-23"/>
    <n v="2022"/>
    <n v="10"/>
    <s v="Oct"/>
    <x v="17"/>
    <n v="31"/>
    <s v="Union Territory"/>
    <n v="0.47"/>
    <n v="1.03"/>
    <n v="0.85"/>
    <n v="0"/>
    <n v="2.35"/>
    <n v="2.35"/>
    <m/>
  </r>
  <r>
    <d v="2022-10-01T00:00:00"/>
    <s v="2022-23"/>
    <n v="2022"/>
    <n v="10"/>
    <s v="Oct"/>
    <x v="18"/>
    <n v="23"/>
    <s v="State"/>
    <n v="634.98"/>
    <n v="840.68"/>
    <n v="900.19"/>
    <n v="544.34"/>
    <n v="2375.85"/>
    <n v="2920.19"/>
    <m/>
  </r>
  <r>
    <d v="2022-10-01T00:00:00"/>
    <s v="2022-23"/>
    <n v="2022"/>
    <n v="10"/>
    <s v="Oct"/>
    <x v="19"/>
    <n v="27"/>
    <s v="State"/>
    <n v="5761.79"/>
    <n v="6827.22"/>
    <n v="8805.3799999999992"/>
    <n v="1642.86"/>
    <n v="21394.39"/>
    <n v="23037.25"/>
    <m/>
  </r>
  <r>
    <d v="2022-10-01T00:00:00"/>
    <s v="2022-23"/>
    <n v="2022"/>
    <n v="10"/>
    <s v="Oct"/>
    <x v="20"/>
    <n v="14"/>
    <s v="State"/>
    <n v="18.559999999999999"/>
    <n v="23.33"/>
    <n v="7.47"/>
    <n v="0.14000000000000001"/>
    <n v="49.36"/>
    <n v="49.5"/>
    <m/>
  </r>
  <r>
    <d v="2022-10-01T00:00:00"/>
    <s v="2022-23"/>
    <n v="2022"/>
    <n v="10"/>
    <s v="Oct"/>
    <x v="21"/>
    <n v="17"/>
    <s v="State"/>
    <n v="34.54"/>
    <n v="38.28"/>
    <n v="89.59"/>
    <n v="1.46"/>
    <n v="162.41"/>
    <n v="163.87"/>
    <m/>
  </r>
  <r>
    <d v="2022-10-01T00:00:00"/>
    <s v="2022-23"/>
    <n v="2022"/>
    <n v="10"/>
    <s v="Oct"/>
    <x v="22"/>
    <n v="15"/>
    <s v="State"/>
    <n v="8.58"/>
    <n v="11.88"/>
    <n v="3.99"/>
    <n v="0.02"/>
    <n v="24.45"/>
    <n v="24.47"/>
    <m/>
  </r>
  <r>
    <d v="2022-10-01T00:00:00"/>
    <s v="2022-23"/>
    <n v="2022"/>
    <n v="10"/>
    <s v="Oct"/>
    <x v="23"/>
    <n v="13"/>
    <s v="State"/>
    <n v="14.2"/>
    <n v="16.27"/>
    <n v="11.44"/>
    <n v="1.36"/>
    <n v="41.91"/>
    <n v="43.27"/>
    <m/>
  </r>
  <r>
    <d v="2022-10-01T00:00:00"/>
    <s v="2022-23"/>
    <n v="2022"/>
    <n v="10"/>
    <s v="Oct"/>
    <x v="24"/>
    <n v="21"/>
    <s v="State"/>
    <n v="856.48"/>
    <n v="1058.48"/>
    <n v="1139.5899999999999"/>
    <n v="714.89"/>
    <n v="3054.55"/>
    <n v="3769.44"/>
    <m/>
  </r>
  <r>
    <d v="2022-10-01T00:00:00"/>
    <s v="2022-23"/>
    <n v="2022"/>
    <n v="10"/>
    <s v="Oct"/>
    <x v="25"/>
    <n v="34"/>
    <s v="Union Territory"/>
    <n v="25.38"/>
    <n v="38.32"/>
    <n v="139.38"/>
    <n v="0.63"/>
    <n v="203.08"/>
    <n v="203.71"/>
    <m/>
  </r>
  <r>
    <d v="2022-10-01T00:00:00"/>
    <s v="2022-23"/>
    <n v="2022"/>
    <n v="10"/>
    <s v="Oct"/>
    <x v="26"/>
    <n v="3"/>
    <s v="State"/>
    <n v="405.42"/>
    <n v="610.62"/>
    <n v="714.47"/>
    <n v="29.3"/>
    <n v="1730.51"/>
    <n v="1759.81"/>
    <m/>
  </r>
  <r>
    <d v="2022-10-01T00:00:00"/>
    <s v="2022-23"/>
    <n v="2022"/>
    <n v="10"/>
    <s v="Oct"/>
    <x v="27"/>
    <n v="8"/>
    <s v="State"/>
    <n v="915.86"/>
    <n v="1235.1199999999999"/>
    <n v="1493.92"/>
    <n v="116.13"/>
    <n v="3644.9"/>
    <n v="3761.03"/>
    <m/>
  </r>
  <r>
    <d v="2022-10-01T00:00:00"/>
    <s v="2022-23"/>
    <n v="2022"/>
    <n v="10"/>
    <s v="Oct"/>
    <x v="28"/>
    <n v="11"/>
    <s v="State"/>
    <n v="21.56"/>
    <n v="26.35"/>
    <n v="217.27"/>
    <n v="0.02"/>
    <n v="265.18"/>
    <n v="265.2"/>
    <m/>
  </r>
  <r>
    <d v="2022-10-01T00:00:00"/>
    <s v="2022-23"/>
    <n v="2022"/>
    <n v="10"/>
    <s v="Oct"/>
    <x v="29"/>
    <n v="33"/>
    <s v="State"/>
    <n v="2328.64"/>
    <n v="3124.26"/>
    <n v="3366.18"/>
    <n v="720.62"/>
    <n v="8819.08"/>
    <n v="9539.7000000000007"/>
    <m/>
  </r>
  <r>
    <d v="2022-10-01T00:00:00"/>
    <s v="2022-23"/>
    <n v="2022"/>
    <n v="10"/>
    <s v="Oct"/>
    <x v="30"/>
    <n v="36"/>
    <s v="State"/>
    <n v="990.42"/>
    <n v="1353.92"/>
    <n v="1413.3"/>
    <n v="526.39"/>
    <n v="3757.64"/>
    <n v="4284.03"/>
    <m/>
  </r>
  <r>
    <d v="2022-10-01T00:00:00"/>
    <s v="2022-23"/>
    <n v="2022"/>
    <n v="10"/>
    <s v="Oct"/>
    <x v="31"/>
    <n v="16"/>
    <s v="State"/>
    <n v="27.66"/>
    <n v="36.06"/>
    <n v="12.05"/>
    <n v="0.45"/>
    <n v="75.77"/>
    <n v="76.22"/>
    <m/>
  </r>
  <r>
    <d v="2022-10-01T00:00:00"/>
    <s v="2022-23"/>
    <n v="2022"/>
    <n v="10"/>
    <s v="Oct"/>
    <x v="32"/>
    <n v="9"/>
    <s v="State"/>
    <n v="1530.5"/>
    <n v="2136.75"/>
    <n v="2944.71"/>
    <n v="1226.76"/>
    <n v="6611.96"/>
    <n v="7838.72"/>
    <m/>
  </r>
  <r>
    <d v="2022-10-01T00:00:00"/>
    <s v="2022-23"/>
    <n v="2022"/>
    <n v="10"/>
    <s v="Oct"/>
    <x v="33"/>
    <n v="5"/>
    <s v="State"/>
    <n v="280.58999999999997"/>
    <n v="404.58"/>
    <n v="918.38"/>
    <n v="9.06"/>
    <n v="1603.55"/>
    <n v="1612.61"/>
    <m/>
  </r>
  <r>
    <d v="2022-10-01T00:00:00"/>
    <s v="2022-23"/>
    <n v="2022"/>
    <n v="10"/>
    <s v="Oct"/>
    <x v="34"/>
    <n v="19"/>
    <s v="State"/>
    <n v="1575.46"/>
    <n v="1931.53"/>
    <n v="1507.6"/>
    <n v="352.11"/>
    <n v="5014.59"/>
    <n v="5366.7"/>
    <m/>
  </r>
  <r>
    <d v="2022-11-01T00:00:00"/>
    <s v="2022-23"/>
    <n v="2022"/>
    <n v="11"/>
    <s v="Nov"/>
    <x v="0"/>
    <n v="35"/>
    <s v="Union Territory"/>
    <n v="8.1199999999999992"/>
    <n v="10.54"/>
    <n v="3.89"/>
    <n v="0.03"/>
    <n v="22.55"/>
    <n v="22.58"/>
    <m/>
  </r>
  <r>
    <d v="2022-11-01T00:00:00"/>
    <s v="2022-23"/>
    <n v="2022"/>
    <n v="11"/>
    <s v="Nov"/>
    <x v="1"/>
    <n v="28"/>
    <s v="State"/>
    <n v="741.27"/>
    <n v="978.05"/>
    <n v="1127.1199999999999"/>
    <n v="287.11"/>
    <n v="2846.44"/>
    <n v="3133.55"/>
    <m/>
  </r>
  <r>
    <d v="2022-11-01T00:00:00"/>
    <s v="2022-23"/>
    <n v="2022"/>
    <n v="11"/>
    <s v="Nov"/>
    <x v="2"/>
    <n v="12"/>
    <s v="State"/>
    <n v="22.34"/>
    <n v="29.12"/>
    <n v="10.81"/>
    <n v="0.13"/>
    <n v="62.27"/>
    <n v="62.4"/>
    <m/>
  </r>
  <r>
    <d v="2022-11-01T00:00:00"/>
    <s v="2022-23"/>
    <n v="2022"/>
    <n v="11"/>
    <s v="Nov"/>
    <x v="3"/>
    <n v="18"/>
    <s v="State"/>
    <n v="302.45999999999998"/>
    <n v="391.7"/>
    <n v="343.61"/>
    <n v="42.72"/>
    <n v="1037.77"/>
    <n v="1080.49"/>
    <m/>
  </r>
  <r>
    <d v="2022-11-01T00:00:00"/>
    <s v="2022-23"/>
    <n v="2022"/>
    <n v="11"/>
    <s v="Nov"/>
    <x v="4"/>
    <n v="10"/>
    <s v="State"/>
    <n v="378.25"/>
    <n v="605.03"/>
    <n v="163.53"/>
    <n v="169.78"/>
    <n v="1146.81"/>
    <n v="1316.59"/>
    <m/>
  </r>
  <r>
    <d v="2022-11-01T00:00:00"/>
    <s v="2022-23"/>
    <n v="2022"/>
    <n v="11"/>
    <s v="Nov"/>
    <x v="5"/>
    <n v="4"/>
    <s v="Union Territory"/>
    <n v="35.03"/>
    <n v="49.97"/>
    <n v="89.35"/>
    <n v="0.8"/>
    <n v="174.35"/>
    <n v="175.15"/>
    <m/>
  </r>
  <r>
    <d v="2022-11-01T00:00:00"/>
    <s v="2022-23"/>
    <n v="2022"/>
    <n v="11"/>
    <s v="Nov"/>
    <x v="6"/>
    <n v="22"/>
    <s v="State"/>
    <n v="462.02"/>
    <n v="552.64"/>
    <n v="910.16"/>
    <n v="523.65"/>
    <n v="1924.82"/>
    <n v="2448.4699999999998"/>
    <m/>
  </r>
  <r>
    <d v="2022-11-01T00:00:00"/>
    <s v="2022-23"/>
    <n v="2022"/>
    <n v="11"/>
    <s v="Nov"/>
    <x v="7"/>
    <n v="38"/>
    <s v="Union Territory"/>
    <n v="36.130000000000003"/>
    <n v="46.26"/>
    <n v="221.22"/>
    <n v="0.93"/>
    <n v="303.61"/>
    <n v="304.54000000000002"/>
    <m/>
  </r>
  <r>
    <d v="2022-11-01T00:00:00"/>
    <s v="2022-23"/>
    <n v="2022"/>
    <n v="11"/>
    <s v="Nov"/>
    <x v="8"/>
    <n v="7"/>
    <s v="Union Territory"/>
    <n v="930.95"/>
    <n v="1127.43"/>
    <n v="2429.5300000000002"/>
    <n v="77.66"/>
    <n v="4487.91"/>
    <n v="4565.57"/>
    <m/>
  </r>
  <r>
    <d v="2022-11-01T00:00:00"/>
    <s v="2022-23"/>
    <n v="2022"/>
    <n v="11"/>
    <s v="Nov"/>
    <x v="9"/>
    <n v="30"/>
    <s v="State"/>
    <n v="120.32"/>
    <n v="160.91999999999999"/>
    <n v="163.37"/>
    <n v="2.73"/>
    <n v="444.61"/>
    <n v="447.34"/>
    <m/>
  </r>
  <r>
    <d v="2022-11-01T00:00:00"/>
    <s v="2022-23"/>
    <n v="2022"/>
    <n v="11"/>
    <s v="Nov"/>
    <x v="10"/>
    <n v="24"/>
    <s v="State"/>
    <n v="2583.1"/>
    <n v="3109.07"/>
    <n v="3056.62"/>
    <n v="584.61"/>
    <n v="8748.7900000000009"/>
    <n v="9333.4"/>
    <m/>
  </r>
  <r>
    <d v="2022-11-01T00:00:00"/>
    <s v="2022-23"/>
    <n v="2022"/>
    <n v="11"/>
    <s v="Nov"/>
    <x v="11"/>
    <n v="6"/>
    <s v="State"/>
    <n v="1045.69"/>
    <n v="1395.03"/>
    <n v="3880.31"/>
    <n v="448.2"/>
    <n v="6321.03"/>
    <n v="6769.23"/>
    <m/>
  </r>
  <r>
    <d v="2022-11-01T00:00:00"/>
    <s v="2022-23"/>
    <n v="2022"/>
    <n v="11"/>
    <s v="Nov"/>
    <x v="12"/>
    <n v="2"/>
    <s v="State"/>
    <n v="141.84"/>
    <n v="206.79"/>
    <n v="322.52"/>
    <n v="1.22"/>
    <n v="671.15"/>
    <n v="672.37"/>
    <m/>
  </r>
  <r>
    <d v="2022-11-01T00:00:00"/>
    <s v="2022-23"/>
    <n v="2022"/>
    <n v="11"/>
    <s v="Nov"/>
    <x v="13"/>
    <n v="1"/>
    <s v="Union Territory"/>
    <n v="129.44999999999999"/>
    <n v="194.92"/>
    <n v="102.13"/>
    <n v="3.07"/>
    <n v="426.5"/>
    <n v="429.57"/>
    <m/>
  </r>
  <r>
    <d v="2022-11-01T00:00:00"/>
    <s v="2022-23"/>
    <n v="2022"/>
    <n v="11"/>
    <s v="Nov"/>
    <x v="14"/>
    <n v="20"/>
    <s v="State"/>
    <n v="442.81"/>
    <n v="617.62"/>
    <n v="1064.19"/>
    <n v="426.19"/>
    <n v="2124.62"/>
    <n v="2550.81"/>
    <m/>
  </r>
  <r>
    <d v="2022-11-01T00:00:00"/>
    <s v="2022-23"/>
    <n v="2022"/>
    <n v="11"/>
    <s v="Nov"/>
    <x v="15"/>
    <n v="29"/>
    <s v="State"/>
    <n v="2241.31"/>
    <n v="2861.04"/>
    <n v="3958.75"/>
    <n v="1177.3599999999999"/>
    <n v="9061.1"/>
    <n v="10238.459999999999"/>
    <m/>
  </r>
  <r>
    <d v="2022-11-01T00:00:00"/>
    <s v="2022-23"/>
    <n v="2022"/>
    <n v="11"/>
    <s v="Nov"/>
    <x v="16"/>
    <n v="32"/>
    <s v="State"/>
    <n v="761.22"/>
    <n v="989.25"/>
    <n v="337.56"/>
    <n v="6.05"/>
    <n v="2088.0300000000002"/>
    <n v="2094.08"/>
    <m/>
  </r>
  <r>
    <d v="2022-11-01T00:00:00"/>
    <s v="2022-23"/>
    <n v="2022"/>
    <n v="11"/>
    <s v="Nov"/>
    <x v="35"/>
    <n v="37"/>
    <s v="Union Territory"/>
    <n v="17.84"/>
    <n v="29.26"/>
    <n v="2.76"/>
    <n v="0.09"/>
    <n v="49.86"/>
    <n v="49.95"/>
    <m/>
  </r>
  <r>
    <d v="2022-11-01T00:00:00"/>
    <s v="2022-23"/>
    <n v="2022"/>
    <n v="11"/>
    <s v="Nov"/>
    <x v="17"/>
    <n v="31"/>
    <s v="Union Territory"/>
    <n v="0.13"/>
    <n v="0.18"/>
    <n v="0.17"/>
    <n v="0"/>
    <n v="0.48"/>
    <n v="0.48"/>
    <m/>
  </r>
  <r>
    <d v="2022-11-01T00:00:00"/>
    <s v="2022-23"/>
    <n v="2022"/>
    <n v="11"/>
    <s v="Nov"/>
    <x v="18"/>
    <n v="23"/>
    <s v="State"/>
    <n v="706.66"/>
    <n v="916.86"/>
    <n v="707.39"/>
    <n v="558.80999999999995"/>
    <n v="2330.91"/>
    <n v="2889.72"/>
    <m/>
  </r>
  <r>
    <d v="2022-11-01T00:00:00"/>
    <s v="2022-23"/>
    <n v="2022"/>
    <n v="11"/>
    <s v="Nov"/>
    <x v="19"/>
    <n v="27"/>
    <s v="State"/>
    <n v="5828.63"/>
    <n v="6780.17"/>
    <n v="7289.38"/>
    <n v="1712.33"/>
    <n v="19898.18"/>
    <n v="21610.51"/>
    <m/>
  </r>
  <r>
    <d v="2022-11-01T00:00:00"/>
    <s v="2022-23"/>
    <n v="2022"/>
    <n v="11"/>
    <s v="Nov"/>
    <x v="20"/>
    <n v="14"/>
    <s v="State"/>
    <n v="16.760000000000002"/>
    <n v="24.6"/>
    <n v="9.0399999999999991"/>
    <n v="0.04"/>
    <n v="50.4"/>
    <n v="50.44"/>
    <m/>
  </r>
  <r>
    <d v="2022-11-01T00:00:00"/>
    <s v="2022-23"/>
    <n v="2022"/>
    <n v="11"/>
    <s v="Nov"/>
    <x v="21"/>
    <n v="17"/>
    <s v="State"/>
    <n v="27.44"/>
    <n v="33.28"/>
    <n v="100.03"/>
    <n v="1.05"/>
    <n v="160.75"/>
    <n v="161.80000000000001"/>
    <m/>
  </r>
  <r>
    <d v="2022-11-01T00:00:00"/>
    <s v="2022-23"/>
    <n v="2022"/>
    <n v="11"/>
    <s v="Nov"/>
    <x v="22"/>
    <n v="15"/>
    <s v="State"/>
    <n v="8.35"/>
    <n v="12.11"/>
    <n v="3.32"/>
    <n v="0.01"/>
    <n v="23.78"/>
    <n v="23.79"/>
    <m/>
  </r>
  <r>
    <d v="2022-11-01T00:00:00"/>
    <s v="2022-23"/>
    <n v="2022"/>
    <n v="11"/>
    <s v="Nov"/>
    <x v="23"/>
    <n v="13"/>
    <s v="State"/>
    <n v="10.3"/>
    <n v="13.27"/>
    <n v="8.08"/>
    <n v="1.85"/>
    <n v="31.65"/>
    <n v="33.5"/>
    <m/>
  </r>
  <r>
    <d v="2022-11-01T00:00:00"/>
    <s v="2022-23"/>
    <n v="2022"/>
    <n v="11"/>
    <s v="Nov"/>
    <x v="24"/>
    <n v="21"/>
    <s v="State"/>
    <n v="845.79"/>
    <n v="1014.82"/>
    <n v="1577.15"/>
    <n v="724.5"/>
    <n v="3437.76"/>
    <n v="4162.26"/>
    <m/>
  </r>
  <r>
    <d v="2022-11-01T00:00:00"/>
    <s v="2022-23"/>
    <n v="2022"/>
    <n v="11"/>
    <s v="Nov"/>
    <x v="25"/>
    <n v="34"/>
    <s v="Union Territory"/>
    <n v="24.05"/>
    <n v="37.590000000000003"/>
    <n v="147.29"/>
    <n v="0.43"/>
    <n v="208.93"/>
    <n v="209.36"/>
    <m/>
  </r>
  <r>
    <d v="2022-11-01T00:00:00"/>
    <s v="2022-23"/>
    <n v="2022"/>
    <n v="11"/>
    <s v="Nov"/>
    <x v="26"/>
    <n v="3"/>
    <s v="State"/>
    <n v="394.48"/>
    <n v="645.91"/>
    <n v="610.61"/>
    <n v="18.23"/>
    <n v="1651"/>
    <n v="1669.23"/>
    <m/>
  </r>
  <r>
    <d v="2022-11-01T00:00:00"/>
    <s v="2022-23"/>
    <n v="2022"/>
    <n v="11"/>
    <s v="Nov"/>
    <x v="27"/>
    <n v="8"/>
    <s v="State"/>
    <n v="996.05"/>
    <n v="1314.23"/>
    <n v="1183.48"/>
    <n v="124.68"/>
    <n v="3493.76"/>
    <n v="3618.44"/>
    <m/>
  </r>
  <r>
    <d v="2022-11-01T00:00:00"/>
    <s v="2022-23"/>
    <n v="2022"/>
    <n v="11"/>
    <s v="Nov"/>
    <x v="28"/>
    <n v="11"/>
    <s v="State"/>
    <n v="17.8"/>
    <n v="22.7"/>
    <n v="168.79"/>
    <n v="0.13"/>
    <n v="209.29"/>
    <n v="209.42"/>
    <m/>
  </r>
  <r>
    <d v="2022-11-01T00:00:00"/>
    <s v="2022-23"/>
    <n v="2022"/>
    <n v="11"/>
    <s v="Nov"/>
    <x v="29"/>
    <n v="33"/>
    <s v="State"/>
    <n v="2252.19"/>
    <n v="2966.23"/>
    <n v="2655.55"/>
    <n v="677.47"/>
    <n v="7873.97"/>
    <n v="8551.44"/>
    <m/>
  </r>
  <r>
    <d v="2022-11-01T00:00:00"/>
    <s v="2022-23"/>
    <n v="2022"/>
    <n v="11"/>
    <s v="Nov"/>
    <x v="30"/>
    <n v="36"/>
    <s v="State"/>
    <n v="1030.5999999999999"/>
    <n v="1388.3"/>
    <n v="1286.5999999999999"/>
    <n v="522.54"/>
    <n v="3705.5"/>
    <n v="4228.04"/>
    <m/>
  </r>
  <r>
    <d v="2022-11-01T00:00:00"/>
    <s v="2022-23"/>
    <n v="2022"/>
    <n v="11"/>
    <s v="Nov"/>
    <x v="31"/>
    <n v="16"/>
    <s v="State"/>
    <n v="22.64"/>
    <n v="29.59"/>
    <n v="7.11"/>
    <n v="0.27"/>
    <n v="59.34"/>
    <n v="59.61"/>
    <m/>
  </r>
  <r>
    <d v="2022-11-01T00:00:00"/>
    <s v="2022-23"/>
    <n v="2022"/>
    <n v="11"/>
    <s v="Nov"/>
    <x v="32"/>
    <n v="9"/>
    <s v="State"/>
    <n v="1533.66"/>
    <n v="2076.16"/>
    <n v="2444.21"/>
    <n v="1200.45"/>
    <n v="6054.03"/>
    <n v="7254.48"/>
    <m/>
  </r>
  <r>
    <d v="2022-11-01T00:00:00"/>
    <s v="2022-23"/>
    <n v="2022"/>
    <n v="11"/>
    <s v="Nov"/>
    <x v="33"/>
    <n v="5"/>
    <s v="State"/>
    <n v="243.52"/>
    <n v="387.54"/>
    <n v="639.08000000000004"/>
    <n v="9.89"/>
    <n v="1270.1400000000001"/>
    <n v="1280.03"/>
    <m/>
  </r>
  <r>
    <d v="2022-11-01T00:00:00"/>
    <s v="2022-23"/>
    <n v="2022"/>
    <n v="11"/>
    <s v="Nov"/>
    <x v="34"/>
    <n v="19"/>
    <s v="State"/>
    <n v="1312.8"/>
    <n v="1615.48"/>
    <n v="1132.22"/>
    <n v="310.95999999999998"/>
    <n v="4060.5"/>
    <n v="4371.46"/>
    <m/>
  </r>
  <r>
    <d v="2022-12-01T00:00:00"/>
    <s v="2022-23"/>
    <n v="2022"/>
    <n v="12"/>
    <s v="Dec"/>
    <x v="0"/>
    <n v="35"/>
    <s v="Union Territory"/>
    <n v="7.23"/>
    <n v="10.66"/>
    <n v="3.08"/>
    <n v="7.0000000000000007E-2"/>
    <n v="20.97"/>
    <n v="21.04"/>
    <m/>
  </r>
  <r>
    <d v="2022-12-01T00:00:00"/>
    <s v="2022-23"/>
    <n v="2022"/>
    <n v="12"/>
    <s v="Dec"/>
    <x v="1"/>
    <n v="28"/>
    <s v="State"/>
    <n v="756.99"/>
    <n v="972.23"/>
    <n v="1162.8599999999999"/>
    <n v="290.33"/>
    <n v="2892.08"/>
    <n v="3182.41"/>
    <m/>
  </r>
  <r>
    <d v="2022-12-01T00:00:00"/>
    <s v="2022-23"/>
    <n v="2022"/>
    <n v="12"/>
    <s v="Dec"/>
    <x v="2"/>
    <n v="12"/>
    <s v="State"/>
    <n v="24.61"/>
    <n v="32.32"/>
    <n v="10.26"/>
    <n v="0.03"/>
    <n v="67.19"/>
    <n v="67.22"/>
    <m/>
  </r>
  <r>
    <d v="2022-12-01T00:00:00"/>
    <s v="2022-23"/>
    <n v="2022"/>
    <n v="12"/>
    <s v="Dec"/>
    <x v="3"/>
    <n v="18"/>
    <s v="State"/>
    <n v="324.05"/>
    <n v="405.78"/>
    <n v="366.37"/>
    <n v="53.86"/>
    <n v="1096.2"/>
    <n v="1150.06"/>
    <m/>
  </r>
  <r>
    <d v="2022-12-01T00:00:00"/>
    <s v="2022-23"/>
    <n v="2022"/>
    <n v="12"/>
    <s v="Dec"/>
    <x v="4"/>
    <n v="10"/>
    <s v="State"/>
    <n v="358.84"/>
    <n v="592.73"/>
    <n v="169.85"/>
    <n v="187.8"/>
    <n v="1121.42"/>
    <n v="1309.22"/>
    <m/>
  </r>
  <r>
    <d v="2022-12-01T00:00:00"/>
    <s v="2022-23"/>
    <n v="2022"/>
    <n v="12"/>
    <s v="Dec"/>
    <x v="5"/>
    <n v="4"/>
    <s v="Union Territory"/>
    <n v="37.369999999999997"/>
    <n v="50.02"/>
    <n v="129.82"/>
    <n v="0.39"/>
    <n v="217.21"/>
    <n v="217.6"/>
    <m/>
  </r>
  <r>
    <d v="2022-12-01T00:00:00"/>
    <s v="2022-23"/>
    <n v="2022"/>
    <n v="12"/>
    <s v="Dec"/>
    <x v="6"/>
    <n v="22"/>
    <s v="State"/>
    <n v="512"/>
    <n v="588.23"/>
    <n v="897.89"/>
    <n v="587.24"/>
    <n v="1998.12"/>
    <n v="2585.36"/>
    <m/>
  </r>
  <r>
    <d v="2022-12-01T00:00:00"/>
    <s v="2022-23"/>
    <n v="2022"/>
    <n v="12"/>
    <s v="Dec"/>
    <x v="7"/>
    <n v="38"/>
    <s v="Union Territory"/>
    <n v="42.98"/>
    <n v="51.43"/>
    <n v="223.03"/>
    <n v="0.1"/>
    <n v="317.44"/>
    <n v="317.54000000000002"/>
    <m/>
  </r>
  <r>
    <d v="2022-12-01T00:00:00"/>
    <s v="2022-23"/>
    <n v="2022"/>
    <n v="12"/>
    <s v="Dec"/>
    <x v="8"/>
    <n v="7"/>
    <s v="Union Territory"/>
    <n v="859.02"/>
    <n v="1040.19"/>
    <n v="2420.66"/>
    <n v="80.849999999999994"/>
    <n v="4319.87"/>
    <n v="4400.72"/>
    <m/>
  </r>
  <r>
    <d v="2022-12-01T00:00:00"/>
    <s v="2022-23"/>
    <n v="2022"/>
    <n v="12"/>
    <s v="Dec"/>
    <x v="9"/>
    <n v="30"/>
    <s v="State"/>
    <n v="125.81"/>
    <n v="162.79"/>
    <n v="168.83"/>
    <n v="2.71"/>
    <n v="457.43"/>
    <n v="460.14"/>
    <m/>
  </r>
  <r>
    <d v="2022-12-01T00:00:00"/>
    <s v="2022-23"/>
    <n v="2022"/>
    <n v="12"/>
    <s v="Dec"/>
    <x v="10"/>
    <n v="24"/>
    <s v="State"/>
    <n v="2574.0700000000002"/>
    <n v="3067.59"/>
    <n v="2971.47"/>
    <n v="625.19000000000005"/>
    <n v="8613.1299999999992"/>
    <n v="9238.32"/>
    <m/>
  </r>
  <r>
    <d v="2022-12-01T00:00:00"/>
    <s v="2022-23"/>
    <n v="2022"/>
    <n v="12"/>
    <s v="Dec"/>
    <x v="11"/>
    <n v="6"/>
    <s v="State"/>
    <n v="1032.6199999999999"/>
    <n v="1371.52"/>
    <n v="3758.63"/>
    <n v="515.21"/>
    <n v="6162.77"/>
    <n v="6677.98"/>
    <m/>
  </r>
  <r>
    <d v="2022-12-01T00:00:00"/>
    <s v="2022-23"/>
    <n v="2022"/>
    <n v="12"/>
    <s v="Dec"/>
    <x v="12"/>
    <n v="2"/>
    <s v="State"/>
    <n v="129.96"/>
    <n v="183.35"/>
    <n v="394.39"/>
    <n v="0.63"/>
    <n v="707.7"/>
    <n v="708.33"/>
    <m/>
  </r>
  <r>
    <d v="2022-12-01T00:00:00"/>
    <s v="2022-23"/>
    <n v="2022"/>
    <n v="12"/>
    <s v="Dec"/>
    <x v="13"/>
    <n v="1"/>
    <s v="Union Territory"/>
    <n v="125.12"/>
    <n v="185.86"/>
    <n v="97.18"/>
    <n v="1.44"/>
    <n v="408.16"/>
    <n v="409.6"/>
    <m/>
  </r>
  <r>
    <d v="2022-12-01T00:00:00"/>
    <s v="2022-23"/>
    <n v="2022"/>
    <n v="12"/>
    <s v="Dec"/>
    <x v="14"/>
    <n v="20"/>
    <s v="State"/>
    <n v="473.71"/>
    <n v="615"/>
    <n v="951.43"/>
    <n v="495.54"/>
    <n v="2040.14"/>
    <n v="2535.6799999999998"/>
    <m/>
  </r>
  <r>
    <d v="2022-12-01T00:00:00"/>
    <s v="2022-23"/>
    <n v="2022"/>
    <n v="12"/>
    <s v="Dec"/>
    <x v="15"/>
    <n v="29"/>
    <s v="State"/>
    <n v="2374.13"/>
    <n v="2950.47"/>
    <n v="3607.08"/>
    <n v="1128.8900000000001"/>
    <n v="8931.68"/>
    <n v="10060.57"/>
    <m/>
  </r>
  <r>
    <d v="2022-12-01T00:00:00"/>
    <s v="2022-23"/>
    <n v="2022"/>
    <n v="12"/>
    <s v="Dec"/>
    <x v="16"/>
    <n v="32"/>
    <s v="State"/>
    <n v="752.52"/>
    <n v="1005.39"/>
    <n v="417.15"/>
    <n v="10.28"/>
    <n v="2175.06"/>
    <n v="2185.34"/>
    <m/>
  </r>
  <r>
    <d v="2022-12-01T00:00:00"/>
    <s v="2022-23"/>
    <n v="2022"/>
    <n v="12"/>
    <s v="Dec"/>
    <x v="35"/>
    <n v="37"/>
    <s v="Union Territory"/>
    <n v="9.9600000000000009"/>
    <n v="12.68"/>
    <n v="2.79"/>
    <n v="0.08"/>
    <n v="25.43"/>
    <n v="25.51"/>
    <m/>
  </r>
  <r>
    <d v="2022-12-01T00:00:00"/>
    <s v="2022-23"/>
    <n v="2022"/>
    <n v="12"/>
    <s v="Dec"/>
    <x v="17"/>
    <n v="31"/>
    <s v="Union Territory"/>
    <n v="0.41"/>
    <n v="0.45"/>
    <n v="0.06"/>
    <n v="0"/>
    <n v="0.92"/>
    <n v="0.92"/>
    <m/>
  </r>
  <r>
    <d v="2022-12-01T00:00:00"/>
    <s v="2022-23"/>
    <n v="2022"/>
    <n v="12"/>
    <s v="Dec"/>
    <x v="18"/>
    <n v="23"/>
    <s v="State"/>
    <n v="733.4"/>
    <n v="911.41"/>
    <n v="824.79"/>
    <n v="608.95000000000005"/>
    <n v="2469.6"/>
    <n v="3078.55"/>
    <m/>
  </r>
  <r>
    <d v="2022-12-01T00:00:00"/>
    <s v="2022-23"/>
    <n v="2022"/>
    <n v="12"/>
    <s v="Dec"/>
    <x v="19"/>
    <n v="27"/>
    <s v="State"/>
    <n v="6472.84"/>
    <n v="7519.13"/>
    <n v="7894.07"/>
    <n v="1712.07"/>
    <n v="21886.04"/>
    <n v="23598.11"/>
    <m/>
  </r>
  <r>
    <d v="2022-12-01T00:00:00"/>
    <s v="2022-23"/>
    <n v="2022"/>
    <n v="12"/>
    <s v="Dec"/>
    <x v="20"/>
    <n v="14"/>
    <s v="State"/>
    <n v="16.16"/>
    <n v="25.39"/>
    <n v="4.08"/>
    <n v="0.03"/>
    <n v="45.63"/>
    <n v="45.66"/>
    <m/>
  </r>
  <r>
    <d v="2022-12-01T00:00:00"/>
    <s v="2022-23"/>
    <n v="2022"/>
    <n v="12"/>
    <s v="Dec"/>
    <x v="21"/>
    <n v="17"/>
    <s v="State"/>
    <n v="32.47"/>
    <n v="40.99"/>
    <n v="96.41"/>
    <n v="1.51"/>
    <n v="169.87"/>
    <n v="171.38"/>
    <m/>
  </r>
  <r>
    <d v="2022-12-01T00:00:00"/>
    <s v="2022-23"/>
    <n v="2022"/>
    <n v="12"/>
    <s v="Dec"/>
    <x v="22"/>
    <n v="15"/>
    <s v="State"/>
    <n v="7.66"/>
    <n v="12.94"/>
    <n v="2.11"/>
    <n v="0.04"/>
    <n v="22.71"/>
    <n v="22.75"/>
    <m/>
  </r>
  <r>
    <d v="2022-12-01T00:00:00"/>
    <s v="2022-23"/>
    <n v="2022"/>
    <n v="12"/>
    <s v="Dec"/>
    <x v="23"/>
    <n v="13"/>
    <s v="State"/>
    <n v="14.73"/>
    <n v="20.09"/>
    <n v="6.4"/>
    <n v="2.4900000000000002"/>
    <n v="41.22"/>
    <n v="43.71"/>
    <m/>
  </r>
  <r>
    <d v="2022-12-01T00:00:00"/>
    <s v="2022-23"/>
    <n v="2022"/>
    <n v="12"/>
    <s v="Dec"/>
    <x v="24"/>
    <n v="21"/>
    <s v="State"/>
    <n v="856.46"/>
    <n v="1033.3599999999999"/>
    <n v="1212.43"/>
    <n v="752.04"/>
    <n v="3102.25"/>
    <n v="3854.29"/>
    <m/>
  </r>
  <r>
    <d v="2022-12-01T00:00:00"/>
    <s v="2022-23"/>
    <n v="2022"/>
    <n v="12"/>
    <s v="Dec"/>
    <x v="25"/>
    <n v="34"/>
    <s v="Union Territory"/>
    <n v="23.78"/>
    <n v="35.700000000000003"/>
    <n v="131.65"/>
    <n v="0.57999999999999996"/>
    <n v="191.13"/>
    <n v="191.71"/>
    <m/>
  </r>
  <r>
    <d v="2022-12-01T00:00:00"/>
    <s v="2022-23"/>
    <n v="2022"/>
    <n v="12"/>
    <s v="Dec"/>
    <x v="26"/>
    <n v="3"/>
    <s v="State"/>
    <n v="430.71"/>
    <n v="616.71"/>
    <n v="672.17"/>
    <n v="14.65"/>
    <n v="1719.59"/>
    <n v="1734.24"/>
    <m/>
  </r>
  <r>
    <d v="2022-12-01T00:00:00"/>
    <s v="2022-23"/>
    <n v="2022"/>
    <n v="12"/>
    <s v="Dec"/>
    <x v="27"/>
    <n v="8"/>
    <s v="State"/>
    <n v="1043.8900000000001"/>
    <n v="1336.98"/>
    <n v="1302.5899999999999"/>
    <n v="105.36"/>
    <n v="3683.46"/>
    <n v="3788.82"/>
    <m/>
  </r>
  <r>
    <d v="2022-12-01T00:00:00"/>
    <s v="2022-23"/>
    <n v="2022"/>
    <n v="12"/>
    <s v="Dec"/>
    <x v="28"/>
    <n v="11"/>
    <s v="State"/>
    <n v="15.58"/>
    <n v="19.670000000000002"/>
    <n v="255.01"/>
    <n v="0.05"/>
    <n v="290.26"/>
    <n v="290.31"/>
    <m/>
  </r>
  <r>
    <d v="2022-12-01T00:00:00"/>
    <s v="2022-23"/>
    <n v="2022"/>
    <n v="12"/>
    <s v="Dec"/>
    <x v="29"/>
    <n v="33"/>
    <s v="State"/>
    <n v="2225.1"/>
    <n v="2854.59"/>
    <n v="2599.9699999999998"/>
    <n v="644.59"/>
    <n v="7679.66"/>
    <n v="8324.25"/>
    <m/>
  </r>
  <r>
    <d v="2022-12-01T00:00:00"/>
    <s v="2022-23"/>
    <n v="2022"/>
    <n v="12"/>
    <s v="Dec"/>
    <x v="30"/>
    <n v="36"/>
    <s v="State"/>
    <n v="1052.69"/>
    <n v="1361.11"/>
    <n v="1214.74"/>
    <n v="549.36"/>
    <n v="3628.54"/>
    <n v="4177.8999999999996"/>
    <m/>
  </r>
  <r>
    <d v="2022-12-01T00:00:00"/>
    <s v="2022-23"/>
    <n v="2022"/>
    <n v="12"/>
    <s v="Dec"/>
    <x v="31"/>
    <n v="16"/>
    <s v="State"/>
    <n v="30.81"/>
    <n v="38.72"/>
    <n v="8.15"/>
    <n v="0.04"/>
    <n v="77.680000000000007"/>
    <n v="77.72"/>
    <m/>
  </r>
  <r>
    <d v="2022-12-01T00:00:00"/>
    <s v="2022-23"/>
    <n v="2022"/>
    <n v="12"/>
    <s v="Dec"/>
    <x v="32"/>
    <n v="9"/>
    <s v="State"/>
    <n v="1587.5"/>
    <n v="2174.1"/>
    <n v="2036.29"/>
    <n v="1380.51"/>
    <n v="5797.89"/>
    <n v="7178.4"/>
    <m/>
  </r>
  <r>
    <d v="2022-12-01T00:00:00"/>
    <s v="2022-23"/>
    <n v="2022"/>
    <n v="12"/>
    <s v="Dec"/>
    <x v="33"/>
    <n v="5"/>
    <s v="State"/>
    <n v="250.66"/>
    <n v="375.65"/>
    <n v="616.83000000000004"/>
    <n v="9.36"/>
    <n v="1243.1400000000001"/>
    <n v="1252.5"/>
    <m/>
  </r>
  <r>
    <d v="2022-12-01T00:00:00"/>
    <s v="2022-23"/>
    <n v="2022"/>
    <n v="12"/>
    <s v="Dec"/>
    <x v="34"/>
    <n v="19"/>
    <s v="State"/>
    <n v="1380.44"/>
    <n v="1661.28"/>
    <n v="1148.25"/>
    <n v="392.84"/>
    <n v="4189.97"/>
    <n v="4582.8100000000004"/>
    <m/>
  </r>
  <r>
    <d v="2023-01-01T00:00:00"/>
    <s v="2022-23"/>
    <n v="2023"/>
    <n v="1"/>
    <s v="Jan"/>
    <x v="0"/>
    <n v="35"/>
    <s v="Union Territory"/>
    <n v="9.76"/>
    <n v="16.239999999999998"/>
    <n v="5.5"/>
    <n v="0.05"/>
    <n v="31.5"/>
    <n v="31.55"/>
    <m/>
  </r>
  <r>
    <d v="2023-01-01T00:00:00"/>
    <s v="2022-23"/>
    <n v="2023"/>
    <n v="1"/>
    <s v="Jan"/>
    <x v="1"/>
    <n v="28"/>
    <s v="State"/>
    <n v="840.83"/>
    <n v="1133.24"/>
    <n v="1277.8800000000001"/>
    <n v="182.71"/>
    <n v="3251.95"/>
    <n v="3434.66"/>
    <m/>
  </r>
  <r>
    <d v="2023-01-01T00:00:00"/>
    <s v="2022-23"/>
    <n v="2023"/>
    <n v="1"/>
    <s v="Jan"/>
    <x v="2"/>
    <n v="12"/>
    <s v="State"/>
    <n v="29.79"/>
    <n v="38.799999999999997"/>
    <n v="12.28"/>
    <n v="0.11"/>
    <n v="80.87"/>
    <n v="80.98"/>
    <m/>
  </r>
  <r>
    <d v="2023-01-01T00:00:00"/>
    <s v="2022-23"/>
    <n v="2023"/>
    <n v="1"/>
    <s v="Jan"/>
    <x v="3"/>
    <n v="18"/>
    <s v="State"/>
    <n v="353.03"/>
    <n v="484.5"/>
    <n v="342.71"/>
    <n v="65.510000000000005"/>
    <n v="1180.24"/>
    <n v="1245.75"/>
    <m/>
  </r>
  <r>
    <d v="2023-01-01T00:00:00"/>
    <s v="2022-23"/>
    <n v="2023"/>
    <n v="1"/>
    <s v="Jan"/>
    <x v="4"/>
    <n v="10"/>
    <s v="State"/>
    <n v="427.89"/>
    <n v="702.78"/>
    <n v="161.84"/>
    <n v="161.26"/>
    <n v="1292.51"/>
    <n v="1453.77"/>
    <m/>
  </r>
  <r>
    <d v="2023-01-01T00:00:00"/>
    <s v="2022-23"/>
    <n v="2023"/>
    <n v="1"/>
    <s v="Jan"/>
    <x v="5"/>
    <n v="4"/>
    <s v="Union Territory"/>
    <n v="45.77"/>
    <n v="75.28"/>
    <n v="104.27"/>
    <n v="8.3699999999999992"/>
    <n v="225.32"/>
    <n v="233.69"/>
    <m/>
  </r>
  <r>
    <d v="2023-01-01T00:00:00"/>
    <s v="2022-23"/>
    <n v="2023"/>
    <n v="1"/>
    <s v="Jan"/>
    <x v="6"/>
    <n v="22"/>
    <s v="State"/>
    <n v="572.16999999999996"/>
    <n v="680.9"/>
    <n v="871.48"/>
    <n v="670.91"/>
    <n v="2124.5500000000002"/>
    <n v="2795.46"/>
    <m/>
  </r>
  <r>
    <d v="2023-01-01T00:00:00"/>
    <s v="2022-23"/>
    <n v="2023"/>
    <n v="1"/>
    <s v="Jan"/>
    <x v="7"/>
    <n v="38"/>
    <s v="Union Territory"/>
    <n v="39.08"/>
    <n v="49.56"/>
    <n v="222.95"/>
    <n v="1.22"/>
    <n v="311.58999999999997"/>
    <n v="312.81"/>
    <m/>
  </r>
  <r>
    <d v="2023-01-01T00:00:00"/>
    <s v="2022-23"/>
    <n v="2023"/>
    <n v="1"/>
    <s v="Jan"/>
    <x v="8"/>
    <n v="7"/>
    <s v="Union Territory"/>
    <n v="996.45"/>
    <n v="1248.21"/>
    <n v="2534.77"/>
    <n v="102.98"/>
    <n v="4779.43"/>
    <n v="4882.41"/>
    <m/>
  </r>
  <r>
    <d v="2023-01-01T00:00:00"/>
    <s v="2022-23"/>
    <n v="2023"/>
    <n v="1"/>
    <s v="Jan"/>
    <x v="9"/>
    <n v="30"/>
    <s v="State"/>
    <n v="158.29"/>
    <n v="214.46"/>
    <n v="212.02"/>
    <n v="4.82"/>
    <n v="584.77"/>
    <n v="589.59"/>
    <m/>
  </r>
  <r>
    <d v="2023-01-01T00:00:00"/>
    <s v="2022-23"/>
    <n v="2023"/>
    <n v="1"/>
    <s v="Jan"/>
    <x v="10"/>
    <n v="24"/>
    <s v="State"/>
    <n v="2768.12"/>
    <n v="3328.03"/>
    <n v="3262"/>
    <n v="650.48"/>
    <n v="9358.15"/>
    <n v="10008.629999999999"/>
    <m/>
  </r>
  <r>
    <d v="2023-01-01T00:00:00"/>
    <s v="2022-23"/>
    <n v="2023"/>
    <n v="1"/>
    <s v="Jan"/>
    <x v="11"/>
    <n v="6"/>
    <s v="State"/>
    <n v="1183.4100000000001"/>
    <n v="1559.12"/>
    <n v="4681"/>
    <n v="506.4"/>
    <n v="7423.53"/>
    <n v="7929.93"/>
    <m/>
  </r>
  <r>
    <d v="2023-01-01T00:00:00"/>
    <s v="2022-23"/>
    <n v="2023"/>
    <n v="1"/>
    <s v="Jan"/>
    <x v="12"/>
    <n v="2"/>
    <s v="State"/>
    <n v="150.15"/>
    <n v="218.31"/>
    <n v="394.33"/>
    <n v="2.33"/>
    <n v="762.79"/>
    <n v="765.12"/>
    <m/>
  </r>
  <r>
    <d v="2023-01-01T00:00:00"/>
    <s v="2022-23"/>
    <n v="2023"/>
    <n v="1"/>
    <s v="Jan"/>
    <x v="13"/>
    <n v="1"/>
    <s v="Union Territory"/>
    <n v="148.56"/>
    <n v="234.33"/>
    <n v="87.9"/>
    <n v="3.61"/>
    <n v="470.79"/>
    <n v="474.4"/>
    <m/>
  </r>
  <r>
    <d v="2023-01-01T00:00:00"/>
    <s v="2022-23"/>
    <n v="2023"/>
    <n v="1"/>
    <s v="Jan"/>
    <x v="14"/>
    <n v="20"/>
    <s v="State"/>
    <n v="549.34"/>
    <n v="714.53"/>
    <n v="1136.28"/>
    <n v="532.22"/>
    <n v="2400.15"/>
    <n v="2932.37"/>
    <m/>
  </r>
  <r>
    <d v="2023-01-01T00:00:00"/>
    <s v="2022-23"/>
    <n v="2023"/>
    <n v="1"/>
    <s v="Jan"/>
    <x v="15"/>
    <n v="29"/>
    <s v="State"/>
    <n v="2641.77"/>
    <n v="3282.91"/>
    <n v="4374.1499999999996"/>
    <n v="1023.19"/>
    <n v="10298.83"/>
    <n v="11322.02"/>
    <m/>
  </r>
  <r>
    <d v="2023-01-01T00:00:00"/>
    <s v="2022-23"/>
    <n v="2023"/>
    <n v="1"/>
    <s v="Jan"/>
    <x v="16"/>
    <n v="32"/>
    <s v="State"/>
    <n v="879.32"/>
    <n v="1184.3499999999999"/>
    <n v="490.13"/>
    <n v="16.600000000000001"/>
    <n v="2553.8000000000002"/>
    <n v="2570.4"/>
    <m/>
  </r>
  <r>
    <d v="2023-01-01T00:00:00"/>
    <s v="2022-23"/>
    <n v="2023"/>
    <n v="1"/>
    <s v="Jan"/>
    <x v="35"/>
    <n v="37"/>
    <s v="Union Territory"/>
    <n v="17.059999999999999"/>
    <n v="23.87"/>
    <n v="5.09"/>
    <n v="7.0000000000000007E-2"/>
    <n v="46.02"/>
    <n v="46.09"/>
    <m/>
  </r>
  <r>
    <d v="2023-01-01T00:00:00"/>
    <s v="2022-23"/>
    <n v="2023"/>
    <n v="1"/>
    <s v="Jan"/>
    <x v="17"/>
    <n v="31"/>
    <s v="Union Territory"/>
    <n v="0.59"/>
    <n v="0.62"/>
    <n v="0.97"/>
    <n v="0"/>
    <n v="2.1800000000000002"/>
    <n v="2.1800000000000002"/>
    <m/>
  </r>
  <r>
    <d v="2023-01-01T00:00:00"/>
    <s v="2022-23"/>
    <n v="2023"/>
    <n v="1"/>
    <s v="Jan"/>
    <x v="18"/>
    <n v="23"/>
    <s v="State"/>
    <n v="816.84"/>
    <n v="1029.33"/>
    <n v="907.28"/>
    <n v="594.30999999999995"/>
    <n v="2753.45"/>
    <n v="3347.76"/>
    <m/>
  </r>
  <r>
    <d v="2023-01-01T00:00:00"/>
    <s v="2022-23"/>
    <n v="2023"/>
    <n v="1"/>
    <s v="Jan"/>
    <x v="19"/>
    <n v="27"/>
    <s v="State"/>
    <n v="6454.59"/>
    <n v="7420.48"/>
    <n v="8831.81"/>
    <n v="1805.72"/>
    <n v="22706.880000000001"/>
    <n v="24512.6"/>
    <m/>
  </r>
  <r>
    <d v="2023-01-01T00:00:00"/>
    <s v="2022-23"/>
    <n v="2023"/>
    <n v="1"/>
    <s v="Jan"/>
    <x v="20"/>
    <n v="14"/>
    <s v="State"/>
    <n v="24.94"/>
    <n v="37.08"/>
    <n v="4.49"/>
    <n v="0.54"/>
    <n v="66.510000000000005"/>
    <n v="67.05"/>
    <m/>
  </r>
  <r>
    <d v="2023-01-01T00:00:00"/>
    <s v="2022-23"/>
    <n v="2023"/>
    <n v="1"/>
    <s v="Jan"/>
    <x v="21"/>
    <n v="17"/>
    <s v="State"/>
    <n v="40.86"/>
    <n v="52.32"/>
    <n v="92.17"/>
    <n v="1.87"/>
    <n v="185.35"/>
    <n v="187.22"/>
    <m/>
  </r>
  <r>
    <d v="2023-01-01T00:00:00"/>
    <s v="2022-23"/>
    <n v="2023"/>
    <n v="1"/>
    <s v="Jan"/>
    <x v="22"/>
    <n v="15"/>
    <s v="State"/>
    <n v="14.33"/>
    <n v="26.28"/>
    <n v="2.91"/>
    <n v="0.16"/>
    <n v="43.52"/>
    <n v="43.68"/>
    <m/>
  </r>
  <r>
    <d v="2023-01-01T00:00:00"/>
    <s v="2022-23"/>
    <n v="2023"/>
    <n v="1"/>
    <s v="Jan"/>
    <x v="23"/>
    <n v="13"/>
    <s v="State"/>
    <n v="19.27"/>
    <n v="23.29"/>
    <n v="9.18"/>
    <n v="3.45"/>
    <n v="51.74"/>
    <n v="55.19"/>
    <m/>
  </r>
  <r>
    <d v="2023-01-01T00:00:00"/>
    <s v="2022-23"/>
    <n v="2023"/>
    <n v="1"/>
    <s v="Jan"/>
    <x v="24"/>
    <n v="21"/>
    <s v="State"/>
    <n v="1056.42"/>
    <n v="1260.3399999999999"/>
    <n v="1163.6600000000001"/>
    <n v="775.17"/>
    <n v="3480.42"/>
    <n v="4255.59"/>
    <m/>
  </r>
  <r>
    <d v="2023-01-01T00:00:00"/>
    <s v="2022-23"/>
    <n v="2023"/>
    <n v="1"/>
    <s v="Jan"/>
    <x v="25"/>
    <n v="34"/>
    <s v="Union Territory"/>
    <n v="26.99"/>
    <n v="42.24"/>
    <n v="148.15"/>
    <n v="2.82"/>
    <n v="217.38"/>
    <n v="220.2"/>
    <m/>
  </r>
  <r>
    <d v="2023-01-01T00:00:00"/>
    <s v="2022-23"/>
    <n v="2023"/>
    <n v="1"/>
    <s v="Jan"/>
    <x v="26"/>
    <n v="3"/>
    <s v="State"/>
    <n v="440.95"/>
    <n v="714.18"/>
    <n v="612.46"/>
    <n v="28.1"/>
    <n v="1767.59"/>
    <n v="1795.69"/>
    <m/>
  </r>
  <r>
    <d v="2023-01-01T00:00:00"/>
    <s v="2022-23"/>
    <n v="2023"/>
    <n v="1"/>
    <s v="Jan"/>
    <x v="27"/>
    <n v="8"/>
    <s v="State"/>
    <n v="1135.72"/>
    <n v="1483.88"/>
    <n v="1418.04"/>
    <n v="116.8"/>
    <n v="4037.64"/>
    <n v="4154.4399999999996"/>
    <m/>
  </r>
  <r>
    <d v="2023-01-01T00:00:00"/>
    <s v="2022-23"/>
    <n v="2023"/>
    <n v="1"/>
    <s v="Jan"/>
    <x v="28"/>
    <n v="11"/>
    <s v="State"/>
    <n v="18.75"/>
    <n v="24.93"/>
    <n v="240.14"/>
    <n v="0.18"/>
    <n v="283.82"/>
    <n v="284"/>
    <m/>
  </r>
  <r>
    <d v="2023-01-01T00:00:00"/>
    <s v="2022-23"/>
    <n v="2023"/>
    <n v="1"/>
    <s v="Jan"/>
    <x v="29"/>
    <n v="33"/>
    <s v="State"/>
    <n v="2365.1799999999998"/>
    <n v="3110.61"/>
    <n v="2755.18"/>
    <n v="578.23"/>
    <n v="8230.9699999999993"/>
    <n v="8809.2000000000007"/>
    <m/>
  </r>
  <r>
    <d v="2023-01-01T00:00:00"/>
    <s v="2022-23"/>
    <n v="2023"/>
    <n v="1"/>
    <s v="Jan"/>
    <x v="30"/>
    <n v="36"/>
    <s v="State"/>
    <n v="1159.52"/>
    <n v="1576.56"/>
    <n v="1427.89"/>
    <n v="577.04"/>
    <n v="4163.97"/>
    <n v="4741.01"/>
    <m/>
  </r>
  <r>
    <d v="2023-01-01T00:00:00"/>
    <s v="2022-23"/>
    <n v="2023"/>
    <n v="1"/>
    <s v="Jan"/>
    <x v="31"/>
    <n v="16"/>
    <s v="State"/>
    <n v="31.63"/>
    <n v="39.92"/>
    <n v="9.11"/>
    <n v="0.31"/>
    <n v="80.66"/>
    <n v="80.97"/>
    <m/>
  </r>
  <r>
    <d v="2023-01-01T00:00:00"/>
    <s v="2022-23"/>
    <n v="2023"/>
    <n v="1"/>
    <s v="Jan"/>
    <x v="32"/>
    <n v="9"/>
    <s v="State"/>
    <n v="1802.4"/>
    <n v="2522.0100000000002"/>
    <n v="2339.7600000000002"/>
    <n v="1091.22"/>
    <n v="6664.17"/>
    <n v="7755.39"/>
    <m/>
  </r>
  <r>
    <d v="2023-01-01T00:00:00"/>
    <s v="2022-23"/>
    <n v="2023"/>
    <n v="1"/>
    <s v="Jan"/>
    <x v="33"/>
    <n v="5"/>
    <s v="State"/>
    <n v="291.87"/>
    <n v="412.56"/>
    <n v="795.47"/>
    <n v="11.04"/>
    <n v="1499.9"/>
    <n v="1510.94"/>
    <m/>
  </r>
  <r>
    <d v="2023-01-01T00:00:00"/>
    <s v="2022-23"/>
    <n v="2023"/>
    <n v="1"/>
    <s v="Jan"/>
    <x v="34"/>
    <n v="19"/>
    <s v="State"/>
    <n v="1527.82"/>
    <n v="1863.85"/>
    <n v="1239.4000000000001"/>
    <n v="343.61"/>
    <n v="4631.07"/>
    <n v="4974.68"/>
    <m/>
  </r>
  <r>
    <d v="2023-02-01T00:00:00"/>
    <s v="2022-23"/>
    <n v="2023"/>
    <n v="2"/>
    <s v="Feb"/>
    <x v="0"/>
    <n v="35"/>
    <s v="Union Territory"/>
    <n v="11.23"/>
    <n v="15.35"/>
    <n v="3.99"/>
    <n v="0.12"/>
    <n v="30.57"/>
    <n v="30.69"/>
    <m/>
  </r>
  <r>
    <d v="2023-02-01T00:00:00"/>
    <s v="2022-23"/>
    <n v="2023"/>
    <n v="2"/>
    <s v="Feb"/>
    <x v="1"/>
    <n v="28"/>
    <s v="State"/>
    <n v="792.12"/>
    <n v="1030.71"/>
    <n v="1249.3599999999999"/>
    <n v="485.15"/>
    <n v="3072.19"/>
    <n v="3557.34"/>
    <m/>
  </r>
  <r>
    <d v="2023-02-01T00:00:00"/>
    <s v="2022-23"/>
    <n v="2023"/>
    <n v="2"/>
    <s v="Feb"/>
    <x v="2"/>
    <n v="12"/>
    <s v="State"/>
    <n v="29.07"/>
    <n v="39.71"/>
    <n v="9.09"/>
    <n v="0.15"/>
    <n v="77.87"/>
    <n v="78.02"/>
    <m/>
  </r>
  <r>
    <d v="2023-02-01T00:00:00"/>
    <s v="2022-23"/>
    <n v="2023"/>
    <n v="2"/>
    <s v="Feb"/>
    <x v="3"/>
    <n v="18"/>
    <s v="State"/>
    <n v="334.16"/>
    <n v="424.74"/>
    <n v="283.85000000000002"/>
    <n v="67.78"/>
    <n v="1042.75"/>
    <n v="1110.53"/>
    <m/>
  </r>
  <r>
    <d v="2023-02-01T00:00:00"/>
    <s v="2022-23"/>
    <n v="2023"/>
    <n v="2"/>
    <s v="Feb"/>
    <x v="4"/>
    <n v="10"/>
    <s v="State"/>
    <n v="444.99"/>
    <n v="668.09"/>
    <n v="191.3"/>
    <n v="194.94"/>
    <n v="1304.3800000000001"/>
    <n v="1499.32"/>
    <m/>
  </r>
  <r>
    <d v="2023-02-01T00:00:00"/>
    <s v="2022-23"/>
    <n v="2023"/>
    <n v="2"/>
    <s v="Feb"/>
    <x v="5"/>
    <n v="4"/>
    <s v="Union Territory"/>
    <n v="39.159999999999997"/>
    <n v="50.81"/>
    <n v="97.32"/>
    <n v="0.44"/>
    <n v="187.29"/>
    <n v="187.73"/>
    <m/>
  </r>
  <r>
    <d v="2023-02-01T00:00:00"/>
    <s v="2022-23"/>
    <n v="2023"/>
    <n v="2"/>
    <s v="Feb"/>
    <x v="6"/>
    <n v="22"/>
    <s v="State"/>
    <n v="539.96"/>
    <n v="657.77"/>
    <n v="1122.82"/>
    <n v="688.71"/>
    <n v="2320.5500000000002"/>
    <n v="3009.26"/>
    <m/>
  </r>
  <r>
    <d v="2023-02-01T00:00:00"/>
    <s v="2022-23"/>
    <n v="2023"/>
    <n v="2"/>
    <s v="Feb"/>
    <x v="7"/>
    <n v="38"/>
    <s v="Union Territory"/>
    <n v="40.65"/>
    <n v="52.24"/>
    <n v="190.07"/>
    <n v="0.39"/>
    <n v="282.95999999999998"/>
    <n v="283.35000000000002"/>
    <m/>
  </r>
  <r>
    <d v="2023-02-01T00:00:00"/>
    <s v="2022-23"/>
    <n v="2023"/>
    <n v="2"/>
    <s v="Feb"/>
    <x v="8"/>
    <n v="7"/>
    <s v="Union Territory"/>
    <n v="899.5"/>
    <n v="1088.49"/>
    <n v="2690.04"/>
    <n v="91.02"/>
    <n v="4678.03"/>
    <n v="4769.05"/>
    <m/>
  </r>
  <r>
    <d v="2023-02-01T00:00:00"/>
    <s v="2022-23"/>
    <n v="2023"/>
    <n v="2"/>
    <s v="Feb"/>
    <x v="9"/>
    <n v="30"/>
    <s v="State"/>
    <n v="140.62"/>
    <n v="180.31"/>
    <n v="168.32"/>
    <n v="3.31"/>
    <n v="489.25"/>
    <n v="492.56"/>
    <m/>
  </r>
  <r>
    <d v="2023-02-01T00:00:00"/>
    <s v="2022-23"/>
    <n v="2023"/>
    <n v="2"/>
    <s v="Feb"/>
    <x v="10"/>
    <n v="24"/>
    <s v="State"/>
    <n v="2658.26"/>
    <n v="3215.75"/>
    <n v="3034.4"/>
    <n v="665.87"/>
    <n v="8908.41"/>
    <n v="9574.2800000000007"/>
    <m/>
  </r>
  <r>
    <d v="2023-02-01T00:00:00"/>
    <s v="2022-23"/>
    <n v="2023"/>
    <n v="2"/>
    <s v="Feb"/>
    <x v="11"/>
    <n v="6"/>
    <s v="State"/>
    <n v="1161.3800000000001"/>
    <n v="1564.05"/>
    <n v="4075.09"/>
    <n v="509.06"/>
    <n v="6800.52"/>
    <n v="7309.58"/>
    <m/>
  </r>
  <r>
    <d v="2023-02-01T00:00:00"/>
    <s v="2022-23"/>
    <n v="2023"/>
    <n v="2"/>
    <s v="Feb"/>
    <x v="12"/>
    <n v="2"/>
    <s v="State"/>
    <n v="150.59"/>
    <n v="200.61"/>
    <n v="338.65"/>
    <n v="0.9"/>
    <n v="689.85"/>
    <n v="690.75"/>
    <m/>
  </r>
  <r>
    <d v="2023-02-01T00:00:00"/>
    <s v="2022-23"/>
    <n v="2023"/>
    <n v="2"/>
    <s v="Feb"/>
    <x v="13"/>
    <n v="1"/>
    <s v="Union Territory"/>
    <n v="143.46"/>
    <n v="199.82"/>
    <n v="88.53"/>
    <n v="2.42"/>
    <n v="431.81"/>
    <n v="434.23"/>
    <m/>
  </r>
  <r>
    <d v="2023-02-01T00:00:00"/>
    <s v="2022-23"/>
    <n v="2023"/>
    <n v="2"/>
    <s v="Feb"/>
    <x v="14"/>
    <n v="20"/>
    <s v="State"/>
    <n v="562.29999999999995"/>
    <n v="757.06"/>
    <n v="1098.22"/>
    <n v="544.22"/>
    <n v="2417.58"/>
    <n v="2961.8"/>
    <m/>
  </r>
  <r>
    <d v="2023-02-01T00:00:00"/>
    <s v="2022-23"/>
    <n v="2023"/>
    <n v="2"/>
    <s v="Feb"/>
    <x v="15"/>
    <n v="29"/>
    <s v="State"/>
    <n v="2451.5500000000002"/>
    <n v="3042.81"/>
    <n v="3940.93"/>
    <n v="1373.87"/>
    <n v="9435.2900000000009"/>
    <n v="10809.16"/>
    <m/>
  </r>
  <r>
    <d v="2023-02-01T00:00:00"/>
    <s v="2022-23"/>
    <n v="2023"/>
    <n v="2"/>
    <s v="Feb"/>
    <x v="16"/>
    <n v="32"/>
    <s v="State"/>
    <n v="807.48"/>
    <n v="1051.55"/>
    <n v="464.58"/>
    <n v="2.0699999999999998"/>
    <n v="2323.61"/>
    <n v="2325.6799999999998"/>
    <m/>
  </r>
  <r>
    <d v="2023-02-01T00:00:00"/>
    <s v="2022-23"/>
    <n v="2023"/>
    <n v="2"/>
    <s v="Feb"/>
    <x v="35"/>
    <n v="37"/>
    <s v="Union Territory"/>
    <n v="9.7799999999999994"/>
    <n v="12.58"/>
    <n v="1.82"/>
    <n v="0.04"/>
    <n v="24.18"/>
    <n v="24.22"/>
    <m/>
  </r>
  <r>
    <d v="2023-02-01T00:00:00"/>
    <s v="2022-23"/>
    <n v="2023"/>
    <n v="2"/>
    <s v="Feb"/>
    <x v="17"/>
    <n v="31"/>
    <s v="Union Territory"/>
    <n v="1.33"/>
    <n v="1.37"/>
    <n v="0.28999999999999998"/>
    <n v="0"/>
    <n v="2.99"/>
    <n v="2.99"/>
    <m/>
  </r>
  <r>
    <d v="2023-02-01T00:00:00"/>
    <s v="2022-23"/>
    <n v="2023"/>
    <n v="2"/>
    <s v="Feb"/>
    <x v="18"/>
    <n v="23"/>
    <s v="State"/>
    <n v="792.85"/>
    <n v="973.62"/>
    <n v="818.25"/>
    <n v="649.82000000000005"/>
    <n v="2584.7199999999998"/>
    <n v="3234.54"/>
    <m/>
  </r>
  <r>
    <d v="2023-02-01T00:00:00"/>
    <s v="2022-23"/>
    <n v="2023"/>
    <n v="2"/>
    <s v="Feb"/>
    <x v="19"/>
    <n v="27"/>
    <s v="State"/>
    <n v="6204.49"/>
    <n v="7319.61"/>
    <n v="7072"/>
    <n v="1753.31"/>
    <n v="20596.099999999999"/>
    <n v="22349.41"/>
    <m/>
  </r>
  <r>
    <d v="2023-02-01T00:00:00"/>
    <s v="2022-23"/>
    <n v="2023"/>
    <n v="2"/>
    <s v="Feb"/>
    <x v="20"/>
    <n v="14"/>
    <s v="State"/>
    <n v="23.59"/>
    <n v="34.770000000000003"/>
    <n v="5.33"/>
    <n v="0.03"/>
    <n v="63.69"/>
    <n v="63.72"/>
    <m/>
  </r>
  <r>
    <d v="2023-02-01T00:00:00"/>
    <s v="2022-23"/>
    <n v="2023"/>
    <n v="2"/>
    <s v="Feb"/>
    <x v="21"/>
    <n v="17"/>
    <s v="State"/>
    <n v="33.39"/>
    <n v="43.86"/>
    <n v="111.15"/>
    <n v="0.87"/>
    <n v="188.4"/>
    <n v="189.27"/>
    <m/>
  </r>
  <r>
    <d v="2023-02-01T00:00:00"/>
    <s v="2022-23"/>
    <n v="2023"/>
    <n v="2"/>
    <s v="Feb"/>
    <x v="22"/>
    <n v="15"/>
    <s v="State"/>
    <n v="20.92"/>
    <n v="33.01"/>
    <n v="3.62"/>
    <n v="0.03"/>
    <n v="57.55"/>
    <n v="57.58"/>
    <m/>
  </r>
  <r>
    <d v="2023-02-01T00:00:00"/>
    <s v="2022-23"/>
    <n v="2023"/>
    <n v="2"/>
    <s v="Feb"/>
    <x v="23"/>
    <n v="13"/>
    <s v="State"/>
    <n v="13.66"/>
    <n v="21.89"/>
    <n v="13.01"/>
    <n v="5.1100000000000003"/>
    <n v="48.56"/>
    <n v="53.67"/>
    <m/>
  </r>
  <r>
    <d v="2023-02-01T00:00:00"/>
    <s v="2022-23"/>
    <n v="2023"/>
    <n v="2"/>
    <s v="Feb"/>
    <x v="24"/>
    <n v="21"/>
    <s v="State"/>
    <n v="1012.89"/>
    <n v="1205.8900000000001"/>
    <n v="1508.96"/>
    <n v="791.61"/>
    <n v="3727.74"/>
    <n v="4519.3500000000004"/>
    <m/>
  </r>
  <r>
    <d v="2023-02-01T00:00:00"/>
    <s v="2022-23"/>
    <n v="2023"/>
    <n v="2"/>
    <s v="Feb"/>
    <x v="25"/>
    <n v="34"/>
    <s v="Union Territory"/>
    <n v="26.44"/>
    <n v="39.72"/>
    <n v="121.94"/>
    <n v="0.04"/>
    <n v="188.1"/>
    <n v="188.14"/>
    <m/>
  </r>
  <r>
    <d v="2023-02-01T00:00:00"/>
    <s v="2022-23"/>
    <n v="2023"/>
    <n v="2"/>
    <s v="Feb"/>
    <x v="26"/>
    <n v="3"/>
    <s v="State"/>
    <n v="394.03"/>
    <n v="589.44000000000005"/>
    <n v="648.72"/>
    <n v="18.78"/>
    <n v="1632.19"/>
    <n v="1650.97"/>
    <m/>
  </r>
  <r>
    <d v="2023-02-01T00:00:00"/>
    <s v="2022-23"/>
    <n v="2023"/>
    <n v="2"/>
    <s v="Feb"/>
    <x v="27"/>
    <n v="8"/>
    <s v="State"/>
    <n v="1019.07"/>
    <n v="1260.3"/>
    <n v="1559.16"/>
    <n v="101.99"/>
    <n v="3838.53"/>
    <n v="3940.52"/>
    <m/>
  </r>
  <r>
    <d v="2023-02-01T00:00:00"/>
    <s v="2022-23"/>
    <n v="2023"/>
    <n v="2"/>
    <s v="Feb"/>
    <x v="28"/>
    <n v="11"/>
    <s v="State"/>
    <n v="21.61"/>
    <n v="27.33"/>
    <n v="216.04"/>
    <n v="0.06"/>
    <n v="264.98"/>
    <n v="265.04000000000002"/>
    <m/>
  </r>
  <r>
    <d v="2023-02-01T00:00:00"/>
    <s v="2022-23"/>
    <n v="2023"/>
    <n v="2"/>
    <s v="Feb"/>
    <x v="29"/>
    <n v="33"/>
    <s v="State"/>
    <n v="2346.19"/>
    <n v="3161.86"/>
    <n v="2581.5"/>
    <n v="684.37"/>
    <n v="8089.55"/>
    <n v="8773.92"/>
    <m/>
  </r>
  <r>
    <d v="2023-02-01T00:00:00"/>
    <s v="2022-23"/>
    <n v="2023"/>
    <n v="2"/>
    <s v="Feb"/>
    <x v="30"/>
    <n v="36"/>
    <s v="State"/>
    <n v="1088.6300000000001"/>
    <n v="1429.93"/>
    <n v="1306.8499999999999"/>
    <n v="598.52"/>
    <n v="3825.41"/>
    <n v="4423.93"/>
    <m/>
  </r>
  <r>
    <d v="2023-02-01T00:00:00"/>
    <s v="2022-23"/>
    <n v="2023"/>
    <n v="2"/>
    <s v="Feb"/>
    <x v="31"/>
    <n v="16"/>
    <s v="State"/>
    <n v="30.22"/>
    <n v="39.200000000000003"/>
    <n v="9.74"/>
    <n v="0.15"/>
    <n v="79.16"/>
    <n v="79.31"/>
    <m/>
  </r>
  <r>
    <d v="2023-02-01T00:00:00"/>
    <s v="2022-23"/>
    <n v="2023"/>
    <n v="2"/>
    <s v="Feb"/>
    <x v="32"/>
    <n v="9"/>
    <s v="State"/>
    <n v="1645.73"/>
    <n v="2280.25"/>
    <n v="2033.08"/>
    <n v="1471.94"/>
    <n v="5959.06"/>
    <n v="7431"/>
    <m/>
  </r>
  <r>
    <d v="2023-02-01T00:00:00"/>
    <s v="2022-23"/>
    <n v="2023"/>
    <n v="2"/>
    <s v="Feb"/>
    <x v="33"/>
    <n v="5"/>
    <s v="State"/>
    <n v="261.42"/>
    <n v="384.24"/>
    <n v="749.66"/>
    <n v="10.039999999999999"/>
    <n v="1395.32"/>
    <n v="1405.36"/>
    <m/>
  </r>
  <r>
    <d v="2023-02-01T00:00:00"/>
    <s v="2022-23"/>
    <n v="2023"/>
    <n v="2"/>
    <s v="Feb"/>
    <x v="34"/>
    <n v="19"/>
    <s v="State"/>
    <n v="1503.7"/>
    <n v="1803.19"/>
    <n v="1226.98"/>
    <n v="421.55"/>
    <n v="4533.87"/>
    <n v="4955.42"/>
    <m/>
  </r>
  <r>
    <d v="2023-03-01T00:00:00"/>
    <s v="2022-23"/>
    <n v="2023"/>
    <n v="3"/>
    <s v="Mar"/>
    <x v="0"/>
    <n v="35"/>
    <s v="Union Territory"/>
    <n v="14.05"/>
    <n v="18.57"/>
    <n v="4.59"/>
    <n v="0.16"/>
    <n v="37.21"/>
    <n v="37.369999999999997"/>
    <m/>
  </r>
  <r>
    <d v="2023-03-01T00:00:00"/>
    <s v="2022-23"/>
    <n v="2023"/>
    <n v="3"/>
    <s v="Mar"/>
    <x v="1"/>
    <n v="28"/>
    <s v="State"/>
    <n v="820.2"/>
    <n v="1080.18"/>
    <n v="1301.1500000000001"/>
    <n v="330.31"/>
    <n v="3201.53"/>
    <n v="3531.84"/>
    <m/>
  </r>
  <r>
    <d v="2023-03-01T00:00:00"/>
    <s v="2022-23"/>
    <n v="2023"/>
    <n v="3"/>
    <s v="Mar"/>
    <x v="2"/>
    <n v="12"/>
    <s v="State"/>
    <n v="59.8"/>
    <n v="71.97"/>
    <n v="12.23"/>
    <n v="0.44"/>
    <n v="144"/>
    <n v="144.44"/>
    <m/>
  </r>
  <r>
    <d v="2023-03-01T00:00:00"/>
    <s v="2022-23"/>
    <n v="2023"/>
    <n v="3"/>
    <s v="Mar"/>
    <x v="3"/>
    <n v="18"/>
    <s v="State"/>
    <n v="388.43"/>
    <n v="486.32"/>
    <n v="345.59"/>
    <n v="59.99"/>
    <n v="1220.3399999999999"/>
    <n v="1280.33"/>
    <m/>
  </r>
  <r>
    <d v="2023-03-01T00:00:00"/>
    <s v="2022-23"/>
    <n v="2023"/>
    <n v="3"/>
    <s v="Mar"/>
    <x v="4"/>
    <n v="10"/>
    <s v="State"/>
    <n v="480.13"/>
    <n v="865.22"/>
    <n v="209.13"/>
    <n v="189.61"/>
    <n v="1554.48"/>
    <n v="1744.09"/>
    <m/>
  </r>
  <r>
    <d v="2023-03-01T00:00:00"/>
    <s v="2022-23"/>
    <n v="2023"/>
    <n v="3"/>
    <s v="Mar"/>
    <x v="5"/>
    <n v="4"/>
    <s v="Union Territory"/>
    <n v="40.36"/>
    <n v="51.67"/>
    <n v="109.59"/>
    <n v="0.67"/>
    <n v="201.62"/>
    <n v="202.29"/>
    <m/>
  </r>
  <r>
    <d v="2023-03-01T00:00:00"/>
    <s v="2022-23"/>
    <n v="2023"/>
    <n v="3"/>
    <s v="Mar"/>
    <x v="6"/>
    <n v="22"/>
    <s v="State"/>
    <n v="590.21"/>
    <n v="723.72"/>
    <n v="1066.31"/>
    <n v="636.47"/>
    <n v="2380.2399999999998"/>
    <n v="3016.71"/>
    <m/>
  </r>
  <r>
    <d v="2023-03-01T00:00:00"/>
    <s v="2022-23"/>
    <n v="2023"/>
    <n v="3"/>
    <s v="Mar"/>
    <x v="7"/>
    <n v="38"/>
    <s v="Union Territory"/>
    <n v="44.18"/>
    <n v="56.66"/>
    <n v="207.91"/>
    <n v="0.34"/>
    <n v="308.75"/>
    <n v="309.08999999999997"/>
    <m/>
  </r>
  <r>
    <d v="2023-03-01T00:00:00"/>
    <s v="2022-23"/>
    <n v="2023"/>
    <n v="3"/>
    <s v="Mar"/>
    <x v="8"/>
    <n v="7"/>
    <s v="Union Territory"/>
    <n v="935.59"/>
    <n v="1115.01"/>
    <n v="2686.29"/>
    <n v="103.31"/>
    <n v="4736.8900000000003"/>
    <n v="4840.2"/>
    <m/>
  </r>
  <r>
    <d v="2023-03-01T00:00:00"/>
    <s v="2022-23"/>
    <n v="2023"/>
    <n v="3"/>
    <s v="Mar"/>
    <x v="9"/>
    <n v="30"/>
    <s v="State"/>
    <n v="143.75"/>
    <n v="188.93"/>
    <n v="178.56"/>
    <n v="3.35"/>
    <n v="511.24"/>
    <n v="514.59"/>
    <m/>
  </r>
  <r>
    <d v="2023-03-01T00:00:00"/>
    <s v="2022-23"/>
    <n v="2023"/>
    <n v="3"/>
    <s v="Mar"/>
    <x v="10"/>
    <n v="24"/>
    <s v="State"/>
    <n v="2774.52"/>
    <n v="3437.6"/>
    <n v="3219.06"/>
    <n v="487.66"/>
    <n v="9431.18"/>
    <n v="9918.84"/>
    <m/>
  </r>
  <r>
    <d v="2023-03-01T00:00:00"/>
    <s v="2022-23"/>
    <n v="2023"/>
    <n v="3"/>
    <s v="Mar"/>
    <x v="11"/>
    <n v="6"/>
    <s v="State"/>
    <n v="1229.6300000000001"/>
    <n v="1595.9"/>
    <n v="4498.75"/>
    <n v="455.84"/>
    <n v="7324.28"/>
    <n v="7780.12"/>
    <m/>
  </r>
  <r>
    <d v="2023-03-01T00:00:00"/>
    <s v="2022-23"/>
    <n v="2023"/>
    <n v="3"/>
    <s v="Mar"/>
    <x v="12"/>
    <n v="2"/>
    <s v="State"/>
    <n v="151.27000000000001"/>
    <n v="196.33"/>
    <n v="390.6"/>
    <n v="1.17"/>
    <n v="738.2"/>
    <n v="739.37"/>
    <m/>
  </r>
  <r>
    <d v="2023-03-01T00:00:00"/>
    <s v="2022-23"/>
    <n v="2023"/>
    <n v="3"/>
    <s v="Mar"/>
    <x v="13"/>
    <n v="1"/>
    <s v="Union Territory"/>
    <n v="157.21"/>
    <n v="216.7"/>
    <n v="97.93"/>
    <n v="4.95"/>
    <n v="471.84"/>
    <n v="476.79"/>
    <m/>
  </r>
  <r>
    <d v="2023-03-01T00:00:00"/>
    <s v="2022-23"/>
    <n v="2023"/>
    <n v="3"/>
    <s v="Mar"/>
    <x v="14"/>
    <n v="20"/>
    <s v="State"/>
    <n v="588.13"/>
    <n v="779.68"/>
    <n v="1213.5"/>
    <n v="502.11"/>
    <n v="2581.31"/>
    <n v="3083.42"/>
    <m/>
  </r>
  <r>
    <d v="2023-03-01T00:00:00"/>
    <s v="2022-23"/>
    <n v="2023"/>
    <n v="3"/>
    <s v="Mar"/>
    <x v="15"/>
    <n v="29"/>
    <s v="State"/>
    <n v="2594.1999999999998"/>
    <n v="3127.52"/>
    <n v="3562.23"/>
    <n v="1076.1400000000001"/>
    <n v="9283.9500000000007"/>
    <n v="10360.09"/>
    <m/>
  </r>
  <r>
    <d v="2023-03-01T00:00:00"/>
    <s v="2022-23"/>
    <n v="2023"/>
    <n v="3"/>
    <s v="Mar"/>
    <x v="16"/>
    <n v="32"/>
    <s v="State"/>
    <n v="810.65"/>
    <n v="1064.1500000000001"/>
    <n v="476.1"/>
    <n v="3.01"/>
    <n v="2350.9"/>
    <n v="2353.91"/>
    <m/>
  </r>
  <r>
    <d v="2023-03-01T00:00:00"/>
    <s v="2022-23"/>
    <n v="2023"/>
    <n v="3"/>
    <s v="Mar"/>
    <x v="35"/>
    <n v="37"/>
    <s v="Union Territory"/>
    <n v="8.68"/>
    <n v="11.49"/>
    <n v="2.36"/>
    <n v="0.09"/>
    <n v="22.53"/>
    <n v="22.62"/>
    <m/>
  </r>
  <r>
    <d v="2023-03-01T00:00:00"/>
    <s v="2022-23"/>
    <n v="2023"/>
    <n v="3"/>
    <s v="Mar"/>
    <x v="17"/>
    <n v="31"/>
    <s v="Union Territory"/>
    <n v="1.22"/>
    <n v="1.27"/>
    <n v="0.22"/>
    <n v="0"/>
    <n v="2.71"/>
    <n v="2.71"/>
    <m/>
  </r>
  <r>
    <d v="2023-03-01T00:00:00"/>
    <s v="2022-23"/>
    <n v="2023"/>
    <n v="3"/>
    <s v="Mar"/>
    <x v="18"/>
    <n v="23"/>
    <s v="State"/>
    <n v="830.32"/>
    <n v="1043.19"/>
    <n v="908.88"/>
    <n v="563.9"/>
    <n v="2782.39"/>
    <n v="3346.29"/>
    <m/>
  </r>
  <r>
    <d v="2023-03-01T00:00:00"/>
    <s v="2022-23"/>
    <n v="2023"/>
    <n v="3"/>
    <s v="Mar"/>
    <x v="19"/>
    <n v="27"/>
    <s v="State"/>
    <n v="6486.49"/>
    <n v="7622.28"/>
    <n v="6952.14"/>
    <n v="1634"/>
    <n v="21060.91"/>
    <n v="22694.91"/>
    <m/>
  </r>
  <r>
    <d v="2023-03-01T00:00:00"/>
    <s v="2022-23"/>
    <n v="2023"/>
    <n v="3"/>
    <s v="Mar"/>
    <x v="20"/>
    <n v="14"/>
    <s v="State"/>
    <n v="24.79"/>
    <n v="32.94"/>
    <n v="6.89"/>
    <n v="0.61"/>
    <n v="64.62"/>
    <n v="65.23"/>
    <m/>
  </r>
  <r>
    <d v="2023-03-01T00:00:00"/>
    <s v="2022-23"/>
    <n v="2023"/>
    <n v="3"/>
    <s v="Mar"/>
    <x v="21"/>
    <n v="17"/>
    <s v="State"/>
    <n v="41.46"/>
    <n v="53.68"/>
    <n v="106.03"/>
    <n v="0.59"/>
    <n v="201.17"/>
    <n v="201.76"/>
    <m/>
  </r>
  <r>
    <d v="2023-03-01T00:00:00"/>
    <s v="2022-23"/>
    <n v="2023"/>
    <n v="3"/>
    <s v="Mar"/>
    <x v="22"/>
    <n v="15"/>
    <s v="State"/>
    <n v="26.18"/>
    <n v="40.36"/>
    <n v="3.69"/>
    <n v="0.06"/>
    <n v="70.23"/>
    <n v="70.290000000000006"/>
    <m/>
  </r>
  <r>
    <d v="2023-03-01T00:00:00"/>
    <s v="2022-23"/>
    <n v="2023"/>
    <n v="3"/>
    <s v="Mar"/>
    <x v="23"/>
    <n v="13"/>
    <s v="State"/>
    <n v="16.88"/>
    <n v="24.57"/>
    <n v="9.91"/>
    <n v="6.3"/>
    <n v="51.36"/>
    <n v="57.66"/>
    <m/>
  </r>
  <r>
    <d v="2023-03-01T00:00:00"/>
    <s v="2022-23"/>
    <n v="2023"/>
    <n v="3"/>
    <s v="Mar"/>
    <x v="24"/>
    <n v="21"/>
    <s v="State"/>
    <n v="1146.1500000000001"/>
    <n v="1432.38"/>
    <n v="1447.91"/>
    <n v="722.58"/>
    <n v="4026.44"/>
    <n v="4749.0200000000004"/>
    <m/>
  </r>
  <r>
    <d v="2023-03-01T00:00:00"/>
    <s v="2022-23"/>
    <n v="2023"/>
    <n v="3"/>
    <s v="Mar"/>
    <x v="25"/>
    <n v="34"/>
    <s v="Union Territory"/>
    <n v="25.14"/>
    <n v="36.840000000000003"/>
    <n v="140.66"/>
    <n v="1.19"/>
    <n v="202.64"/>
    <n v="203.83"/>
    <m/>
  </r>
  <r>
    <d v="2023-03-01T00:00:00"/>
    <s v="2022-23"/>
    <n v="2023"/>
    <n v="3"/>
    <s v="Mar"/>
    <x v="26"/>
    <n v="3"/>
    <s v="State"/>
    <n v="435.12"/>
    <n v="637.58000000000004"/>
    <n v="629.09"/>
    <n v="33.049999999999997"/>
    <n v="1701.79"/>
    <n v="1734.84"/>
    <m/>
  </r>
  <r>
    <d v="2023-03-01T00:00:00"/>
    <s v="2022-23"/>
    <n v="2023"/>
    <n v="3"/>
    <s v="Mar"/>
    <x v="27"/>
    <n v="8"/>
    <s v="State"/>
    <n v="1104.17"/>
    <n v="1409.02"/>
    <n v="1536.58"/>
    <n v="104.49"/>
    <n v="4049.77"/>
    <n v="4154.26"/>
    <m/>
  </r>
  <r>
    <d v="2023-03-01T00:00:00"/>
    <s v="2022-23"/>
    <n v="2023"/>
    <n v="3"/>
    <s v="Mar"/>
    <x v="28"/>
    <n v="11"/>
    <s v="State"/>
    <n v="19.62"/>
    <n v="27.89"/>
    <n v="214.86"/>
    <n v="0.05"/>
    <n v="262.37"/>
    <n v="262.42"/>
    <m/>
  </r>
  <r>
    <d v="2023-03-01T00:00:00"/>
    <s v="2022-23"/>
    <n v="2023"/>
    <n v="3"/>
    <s v="Mar"/>
    <x v="29"/>
    <n v="33"/>
    <s v="State"/>
    <n v="2467.7399999999998"/>
    <n v="3424.06"/>
    <n v="2779.24"/>
    <n v="574.12"/>
    <n v="8671.0400000000009"/>
    <n v="9245.16"/>
    <m/>
  </r>
  <r>
    <d v="2023-03-01T00:00:00"/>
    <s v="2022-23"/>
    <n v="2023"/>
    <n v="3"/>
    <s v="Mar"/>
    <x v="30"/>
    <n v="36"/>
    <s v="State"/>
    <n v="1267.97"/>
    <n v="1583.09"/>
    <n v="1378.89"/>
    <n v="574.19000000000005"/>
    <n v="4229.95"/>
    <n v="4804.1400000000003"/>
    <m/>
  </r>
  <r>
    <d v="2023-03-01T00:00:00"/>
    <s v="2022-23"/>
    <n v="2023"/>
    <n v="3"/>
    <s v="Mar"/>
    <x v="31"/>
    <n v="16"/>
    <s v="State"/>
    <n v="36.33"/>
    <n v="45.02"/>
    <n v="9.0299999999999994"/>
    <n v="0.05"/>
    <n v="90.38"/>
    <n v="90.43"/>
    <m/>
  </r>
  <r>
    <d v="2023-03-01T00:00:00"/>
    <s v="2022-23"/>
    <n v="2023"/>
    <n v="3"/>
    <s v="Mar"/>
    <x v="32"/>
    <n v="9"/>
    <s v="State"/>
    <n v="1793.78"/>
    <n v="2465.8000000000002"/>
    <n v="2351.29"/>
    <n v="1002.59"/>
    <n v="6610.87"/>
    <n v="7613.46"/>
    <m/>
  </r>
  <r>
    <d v="2023-03-01T00:00:00"/>
    <s v="2022-23"/>
    <n v="2023"/>
    <n v="3"/>
    <s v="Mar"/>
    <x v="33"/>
    <n v="5"/>
    <s v="State"/>
    <n v="314.95999999999998"/>
    <n v="422.11"/>
    <n v="774.12"/>
    <n v="11.99"/>
    <n v="1511.19"/>
    <n v="1523.18"/>
    <m/>
  </r>
  <r>
    <d v="2023-03-01T00:00:00"/>
    <s v="2022-23"/>
    <n v="2023"/>
    <n v="3"/>
    <s v="Mar"/>
    <x v="34"/>
    <n v="19"/>
    <s v="State"/>
    <n v="1651.82"/>
    <n v="1888.56"/>
    <n v="1242.3599999999999"/>
    <n v="309.64"/>
    <n v="4782.74"/>
    <n v="5092.38"/>
    <m/>
  </r>
  <r>
    <d v="2023-04-01T00:00:00"/>
    <s v="2023-24"/>
    <n v="2023"/>
    <n v="4"/>
    <s v="Apr"/>
    <x v="0"/>
    <n v="35"/>
    <s v="Union Territory"/>
    <n v="39.409999999999997"/>
    <n v="46.41"/>
    <n v="6.02"/>
    <n v="0.09"/>
    <n v="91.84"/>
    <n v="91.93"/>
    <m/>
  </r>
  <r>
    <d v="2023-04-01T00:00:00"/>
    <s v="2023-24"/>
    <n v="2023"/>
    <n v="4"/>
    <s v="Apr"/>
    <x v="1"/>
    <n v="28"/>
    <s v="State"/>
    <n v="1059.28"/>
    <n v="1348.09"/>
    <n v="1667.68"/>
    <n v="254.33"/>
    <n v="4075.05"/>
    <n v="4329.38"/>
    <m/>
  </r>
  <r>
    <d v="2023-04-01T00:00:00"/>
    <s v="2023-24"/>
    <n v="2023"/>
    <n v="4"/>
    <s v="Apr"/>
    <x v="2"/>
    <n v="12"/>
    <s v="State"/>
    <n v="100.84"/>
    <n v="122.08"/>
    <n v="15.12"/>
    <n v="0.33"/>
    <n v="238.04"/>
    <n v="238.37"/>
    <m/>
  </r>
  <r>
    <d v="2023-04-01T00:00:00"/>
    <s v="2023-24"/>
    <n v="2023"/>
    <n v="4"/>
    <s v="Apr"/>
    <x v="3"/>
    <n v="18"/>
    <s v="State"/>
    <n v="480.53"/>
    <n v="607.72"/>
    <n v="360.27"/>
    <n v="64.290000000000006"/>
    <n v="1448.52"/>
    <n v="1512.81"/>
    <m/>
  </r>
  <r>
    <d v="2023-04-01T00:00:00"/>
    <s v="2023-24"/>
    <n v="2023"/>
    <n v="4"/>
    <s v="Apr"/>
    <x v="4"/>
    <n v="10"/>
    <s v="State"/>
    <n v="495.98"/>
    <n v="796.14"/>
    <n v="209.28"/>
    <n v="123.81"/>
    <n v="1501.4"/>
    <n v="1625.21"/>
    <m/>
  </r>
  <r>
    <d v="2023-04-01T00:00:00"/>
    <s v="2023-24"/>
    <n v="2023"/>
    <n v="4"/>
    <s v="Apr"/>
    <x v="5"/>
    <n v="4"/>
    <s v="Union Territory"/>
    <n v="46.5"/>
    <n v="62.83"/>
    <n v="143.44"/>
    <n v="1.83"/>
    <n v="252.77"/>
    <n v="254.6"/>
    <m/>
  </r>
  <r>
    <d v="2023-04-01T00:00:00"/>
    <s v="2023-24"/>
    <n v="2023"/>
    <n v="4"/>
    <s v="Apr"/>
    <x v="6"/>
    <n v="22"/>
    <s v="State"/>
    <n v="757.91"/>
    <n v="879.53"/>
    <n v="1183.1400000000001"/>
    <n v="687.46"/>
    <n v="2820.58"/>
    <n v="3508.04"/>
    <m/>
  </r>
  <r>
    <d v="2023-04-01T00:00:00"/>
    <s v="2023-24"/>
    <n v="2023"/>
    <n v="4"/>
    <s v="Apr"/>
    <x v="7"/>
    <n v="38"/>
    <s v="Union Territory"/>
    <n v="46"/>
    <n v="61.59"/>
    <n v="290.42"/>
    <n v="0.86"/>
    <n v="398.01"/>
    <n v="398.87"/>
    <m/>
  </r>
  <r>
    <d v="2023-04-01T00:00:00"/>
    <s v="2023-24"/>
    <n v="2023"/>
    <n v="4"/>
    <s v="Apr"/>
    <x v="8"/>
    <n v="7"/>
    <s v="Union Territory"/>
    <n v="1358.48"/>
    <n v="1637.88"/>
    <n v="3240.97"/>
    <n v="83.05"/>
    <n v="6237.33"/>
    <n v="6320.38"/>
    <m/>
  </r>
  <r>
    <d v="2023-04-01T00:00:00"/>
    <s v="2023-24"/>
    <n v="2023"/>
    <n v="4"/>
    <s v="Apr"/>
    <x v="9"/>
    <n v="30"/>
    <s v="State"/>
    <n v="177.24"/>
    <n v="236.84"/>
    <n v="201.01"/>
    <n v="4.51"/>
    <n v="615.09"/>
    <n v="619.6"/>
    <m/>
  </r>
  <r>
    <d v="2023-04-01T00:00:00"/>
    <s v="2023-24"/>
    <n v="2023"/>
    <n v="4"/>
    <s v="Apr"/>
    <x v="10"/>
    <n v="24"/>
    <s v="State"/>
    <n v="3436.53"/>
    <n v="4064.5"/>
    <n v="3555.91"/>
    <n v="664.43"/>
    <n v="11056.94"/>
    <n v="11721.37"/>
    <m/>
  </r>
  <r>
    <d v="2023-04-01T00:00:00"/>
    <s v="2023-24"/>
    <n v="2023"/>
    <n v="4"/>
    <s v="Apr"/>
    <x v="11"/>
    <n v="6"/>
    <s v="State"/>
    <n v="1424.32"/>
    <n v="1871.45"/>
    <n v="6228.45"/>
    <n v="511.19"/>
    <n v="9524.2199999999993"/>
    <n v="10035.41"/>
    <m/>
  </r>
  <r>
    <d v="2023-04-01T00:00:00"/>
    <s v="2023-24"/>
    <n v="2023"/>
    <n v="4"/>
    <s v="Apr"/>
    <x v="12"/>
    <n v="2"/>
    <s v="State"/>
    <n v="213.6"/>
    <n v="301.06"/>
    <n v="439.84"/>
    <n v="2.2400000000000002"/>
    <n v="954.5"/>
    <n v="956.74"/>
    <m/>
  </r>
  <r>
    <d v="2023-04-01T00:00:00"/>
    <s v="2023-24"/>
    <n v="2023"/>
    <n v="4"/>
    <s v="Apr"/>
    <x v="13"/>
    <n v="1"/>
    <s v="Union Territory"/>
    <n v="285.02"/>
    <n v="394.05"/>
    <n v="116.08"/>
    <n v="8.33"/>
    <n v="795.15"/>
    <n v="803.48"/>
    <m/>
  </r>
  <r>
    <d v="2023-04-01T00:00:00"/>
    <s v="2023-24"/>
    <n v="2023"/>
    <n v="4"/>
    <s v="Apr"/>
    <x v="14"/>
    <n v="20"/>
    <s v="State"/>
    <n v="707.01"/>
    <n v="951.5"/>
    <n v="1450.81"/>
    <n v="591.91"/>
    <n v="3109.32"/>
    <n v="3701.23"/>
    <m/>
  </r>
  <r>
    <d v="2023-04-01T00:00:00"/>
    <s v="2023-24"/>
    <n v="2023"/>
    <n v="4"/>
    <s v="Apr"/>
    <x v="15"/>
    <n v="29"/>
    <s v="State"/>
    <n v="3578.49"/>
    <n v="4298.32"/>
    <n v="5277.34"/>
    <n v="1439.14"/>
    <n v="13154.15"/>
    <n v="14593.29"/>
    <m/>
  </r>
  <r>
    <d v="2023-04-01T00:00:00"/>
    <s v="2023-24"/>
    <n v="2023"/>
    <n v="4"/>
    <s v="Apr"/>
    <x v="16"/>
    <n v="32"/>
    <s v="State"/>
    <n v="1023.57"/>
    <n v="1365.59"/>
    <n v="607.29"/>
    <n v="13.57"/>
    <n v="2996.45"/>
    <n v="3010.02"/>
    <m/>
  </r>
  <r>
    <d v="2023-04-01T00:00:00"/>
    <s v="2023-24"/>
    <n v="2023"/>
    <n v="4"/>
    <s v="Apr"/>
    <x v="35"/>
    <n v="37"/>
    <s v="Union Territory"/>
    <n v="28.26"/>
    <n v="33.51"/>
    <n v="5.81"/>
    <n v="0.04"/>
    <n v="67.58"/>
    <n v="67.62"/>
    <m/>
  </r>
  <r>
    <d v="2023-04-01T00:00:00"/>
    <s v="2023-24"/>
    <n v="2023"/>
    <n v="4"/>
    <s v="Apr"/>
    <x v="17"/>
    <n v="31"/>
    <s v="Union Territory"/>
    <n v="0.91"/>
    <n v="1.07"/>
    <n v="0.84"/>
    <n v="0"/>
    <n v="2.82"/>
    <n v="2.82"/>
    <m/>
  </r>
  <r>
    <d v="2023-04-01T00:00:00"/>
    <s v="2023-24"/>
    <n v="2023"/>
    <n v="4"/>
    <s v="Apr"/>
    <x v="18"/>
    <n v="23"/>
    <s v="State"/>
    <n v="1004.45"/>
    <n v="1286.6199999999999"/>
    <n v="1322.22"/>
    <n v="653.75"/>
    <n v="3613.29"/>
    <n v="4267.04"/>
    <m/>
  </r>
  <r>
    <d v="2023-04-01T00:00:00"/>
    <s v="2023-24"/>
    <n v="2023"/>
    <n v="4"/>
    <s v="Apr"/>
    <x v="19"/>
    <n v="27"/>
    <s v="State"/>
    <n v="9002.02"/>
    <n v="10391.91"/>
    <n v="11917.68"/>
    <n v="1884.15"/>
    <n v="31311.61"/>
    <n v="33195.760000000002"/>
    <m/>
  </r>
  <r>
    <d v="2023-04-01T00:00:00"/>
    <s v="2023-24"/>
    <n v="2023"/>
    <n v="4"/>
    <s v="Apr"/>
    <x v="20"/>
    <n v="14"/>
    <s v="State"/>
    <n v="34.270000000000003"/>
    <n v="49.85"/>
    <n v="6.32"/>
    <n v="0.28000000000000003"/>
    <n v="90.44"/>
    <n v="90.72"/>
    <m/>
  </r>
  <r>
    <d v="2023-04-01T00:00:00"/>
    <s v="2023-24"/>
    <n v="2023"/>
    <n v="4"/>
    <s v="Apr"/>
    <x v="21"/>
    <n v="17"/>
    <s v="State"/>
    <n v="51.14"/>
    <n v="69.48"/>
    <n v="116.72"/>
    <n v="2.08"/>
    <n v="237.34"/>
    <n v="239.42"/>
    <m/>
  </r>
  <r>
    <d v="2023-04-01T00:00:00"/>
    <s v="2023-24"/>
    <n v="2023"/>
    <n v="4"/>
    <s v="Apr"/>
    <x v="22"/>
    <n v="15"/>
    <s v="State"/>
    <n v="25.38"/>
    <n v="40.78"/>
    <n v="4.7"/>
    <n v="7.0000000000000007E-2"/>
    <n v="70.86"/>
    <n v="70.930000000000007"/>
    <m/>
  </r>
  <r>
    <d v="2023-04-01T00:00:00"/>
    <s v="2023-24"/>
    <n v="2023"/>
    <n v="4"/>
    <s v="Apr"/>
    <x v="23"/>
    <n v="13"/>
    <s v="State"/>
    <n v="27.97"/>
    <n v="35.65"/>
    <n v="15.33"/>
    <n v="9.15"/>
    <n v="78.95"/>
    <n v="88.1"/>
    <m/>
  </r>
  <r>
    <d v="2023-04-01T00:00:00"/>
    <s v="2023-24"/>
    <n v="2023"/>
    <n v="4"/>
    <s v="Apr"/>
    <x v="24"/>
    <n v="21"/>
    <s v="State"/>
    <n v="1400.05"/>
    <n v="1659.57"/>
    <n v="1195.53"/>
    <n v="780.59"/>
    <n v="4255.1499999999996"/>
    <n v="5035.74"/>
    <m/>
  </r>
  <r>
    <d v="2023-04-01T00:00:00"/>
    <s v="2023-24"/>
    <n v="2023"/>
    <n v="4"/>
    <s v="Apr"/>
    <x v="25"/>
    <n v="34"/>
    <s v="Union Territory"/>
    <n v="28.07"/>
    <n v="42.41"/>
    <n v="147.32"/>
    <n v="0.19"/>
    <n v="217.8"/>
    <n v="217.99"/>
    <m/>
  </r>
  <r>
    <d v="2023-04-01T00:00:00"/>
    <s v="2023-24"/>
    <n v="2023"/>
    <n v="4"/>
    <s v="Apr"/>
    <x v="26"/>
    <n v="3"/>
    <s v="State"/>
    <n v="594.65"/>
    <n v="860.42"/>
    <n v="816.16"/>
    <n v="45.02"/>
    <n v="2271.23"/>
    <n v="2316.25"/>
    <m/>
  </r>
  <r>
    <d v="2023-04-01T00:00:00"/>
    <s v="2023-24"/>
    <n v="2023"/>
    <n v="4"/>
    <s v="Apr"/>
    <x v="27"/>
    <n v="8"/>
    <s v="State"/>
    <n v="1372.32"/>
    <n v="1741.02"/>
    <n v="1525.78"/>
    <n v="146.22999999999999"/>
    <n v="4639.12"/>
    <n v="4785.3500000000004"/>
    <m/>
  </r>
  <r>
    <d v="2023-04-01T00:00:00"/>
    <s v="2023-24"/>
    <n v="2023"/>
    <n v="4"/>
    <s v="Apr"/>
    <x v="28"/>
    <n v="11"/>
    <s v="State"/>
    <n v="78.760000000000005"/>
    <n v="110.17"/>
    <n v="236.94"/>
    <n v="0.12"/>
    <n v="425.87"/>
    <n v="425.99"/>
    <m/>
  </r>
  <r>
    <d v="2023-04-01T00:00:00"/>
    <s v="2023-24"/>
    <n v="2023"/>
    <n v="4"/>
    <s v="Apr"/>
    <x v="29"/>
    <n v="33"/>
    <s v="State"/>
    <n v="3157.72"/>
    <n v="3682.12"/>
    <n v="3821.2"/>
    <n v="897.78"/>
    <n v="10661.04"/>
    <n v="11558.82"/>
    <m/>
  </r>
  <r>
    <d v="2023-04-01T00:00:00"/>
    <s v="2023-24"/>
    <n v="2023"/>
    <n v="4"/>
    <s v="Apr"/>
    <x v="30"/>
    <n v="36"/>
    <s v="State"/>
    <n v="1417.89"/>
    <n v="1822.98"/>
    <n v="1838.37"/>
    <n v="543.14"/>
    <n v="5079.24"/>
    <n v="5622.38"/>
    <m/>
  </r>
  <r>
    <d v="2023-04-01T00:00:00"/>
    <s v="2023-24"/>
    <n v="2023"/>
    <n v="4"/>
    <s v="Apr"/>
    <x v="31"/>
    <n v="16"/>
    <s v="State"/>
    <n v="49.43"/>
    <n v="69.95"/>
    <n v="13.53"/>
    <n v="0.47"/>
    <n v="132.91"/>
    <n v="133.38"/>
    <m/>
  </r>
  <r>
    <d v="2023-04-01T00:00:00"/>
    <s v="2023-24"/>
    <n v="2023"/>
    <n v="4"/>
    <s v="Apr"/>
    <x v="32"/>
    <n v="9"/>
    <s v="State"/>
    <n v="2586.6799999999998"/>
    <n v="3476.02"/>
    <n v="2987.57"/>
    <n v="1270.18"/>
    <n v="9050.27"/>
    <n v="10320.450000000001"/>
    <m/>
  </r>
  <r>
    <d v="2023-04-01T00:00:00"/>
    <s v="2023-24"/>
    <n v="2023"/>
    <n v="4"/>
    <s v="Apr"/>
    <x v="33"/>
    <n v="5"/>
    <s v="State"/>
    <n v="387.32"/>
    <n v="554.33000000000004"/>
    <n v="1191.8399999999999"/>
    <n v="14.94"/>
    <n v="2133.4899999999998"/>
    <n v="2148.4299999999998"/>
    <m/>
  </r>
  <r>
    <d v="2023-04-01T00:00:00"/>
    <s v="2023-24"/>
    <n v="2023"/>
    <n v="4"/>
    <s v="Apr"/>
    <x v="34"/>
    <n v="19"/>
    <s v="State"/>
    <n v="1949.47"/>
    <n v="2416.36"/>
    <n v="1657.01"/>
    <n v="424.4"/>
    <n v="6022.84"/>
    <n v="6447.24"/>
    <m/>
  </r>
  <r>
    <d v="2023-05-01T00:00:00"/>
    <s v="2023-24"/>
    <n v="2023"/>
    <n v="5"/>
    <s v="May"/>
    <x v="0"/>
    <n v="35"/>
    <s v="Union Territory"/>
    <n v="11.82"/>
    <n v="15.15"/>
    <n v="3.3"/>
    <n v="0.64"/>
    <n v="30.27"/>
    <n v="30.91"/>
    <m/>
  </r>
  <r>
    <d v="2023-05-01T00:00:00"/>
    <s v="2023-24"/>
    <n v="2023"/>
    <n v="5"/>
    <s v="May"/>
    <x v="1"/>
    <n v="28"/>
    <s v="State"/>
    <n v="801.16"/>
    <n v="1048.17"/>
    <n v="1210.76"/>
    <n v="313.11"/>
    <n v="3060.09"/>
    <n v="3373.2"/>
    <m/>
  </r>
  <r>
    <d v="2023-05-01T00:00:00"/>
    <s v="2023-24"/>
    <n v="2023"/>
    <n v="5"/>
    <s v="May"/>
    <x v="2"/>
    <n v="12"/>
    <s v="State"/>
    <n v="49.56"/>
    <n v="60.13"/>
    <n v="10.36"/>
    <n v="0.24"/>
    <n v="120.05"/>
    <n v="120.29"/>
    <m/>
  </r>
  <r>
    <d v="2023-05-01T00:00:00"/>
    <s v="2023-24"/>
    <n v="2023"/>
    <n v="5"/>
    <s v="May"/>
    <x v="3"/>
    <n v="18"/>
    <s v="State"/>
    <n v="356.19"/>
    <n v="487.5"/>
    <n v="322.41000000000003"/>
    <n v="51.05"/>
    <n v="1166.0999999999999"/>
    <n v="1217.1500000000001"/>
    <m/>
  </r>
  <r>
    <d v="2023-05-01T00:00:00"/>
    <s v="2023-24"/>
    <n v="2023"/>
    <n v="5"/>
    <s v="May"/>
    <x v="4"/>
    <n v="10"/>
    <s v="State"/>
    <n v="365.17"/>
    <n v="623.01"/>
    <n v="175.35"/>
    <n v="202.36"/>
    <n v="1163.53"/>
    <n v="1365.89"/>
    <m/>
  </r>
  <r>
    <d v="2023-05-01T00:00:00"/>
    <s v="2023-24"/>
    <n v="2023"/>
    <n v="5"/>
    <s v="May"/>
    <x v="5"/>
    <n v="4"/>
    <s v="Union Territory"/>
    <n v="36.950000000000003"/>
    <n v="48.26"/>
    <n v="171.78"/>
    <n v="2.37"/>
    <n v="256.99"/>
    <n v="259.36"/>
    <m/>
  </r>
  <r>
    <d v="2023-05-01T00:00:00"/>
    <s v="2023-24"/>
    <n v="2023"/>
    <n v="5"/>
    <s v="May"/>
    <x v="6"/>
    <n v="22"/>
    <s v="State"/>
    <n v="471.03"/>
    <n v="582.57000000000005"/>
    <n v="821.4"/>
    <n v="649.79"/>
    <n v="1875"/>
    <n v="2524.79"/>
    <m/>
  </r>
  <r>
    <d v="2023-05-01T00:00:00"/>
    <s v="2023-24"/>
    <n v="2023"/>
    <n v="5"/>
    <s v="May"/>
    <x v="7"/>
    <n v="38"/>
    <s v="Union Territory"/>
    <n v="35.85"/>
    <n v="47.04"/>
    <n v="239.82"/>
    <n v="1.3"/>
    <n v="322.70999999999998"/>
    <n v="324.01"/>
    <m/>
  </r>
  <r>
    <d v="2023-05-01T00:00:00"/>
    <s v="2023-24"/>
    <n v="2023"/>
    <n v="5"/>
    <s v="May"/>
    <x v="8"/>
    <n v="7"/>
    <s v="Union Territory"/>
    <n v="1117.48"/>
    <n v="1295.06"/>
    <n v="2622.68"/>
    <n v="112.22"/>
    <n v="5035.22"/>
    <n v="5147.4399999999996"/>
    <m/>
  </r>
  <r>
    <d v="2023-05-01T00:00:00"/>
    <s v="2023-24"/>
    <n v="2023"/>
    <n v="5"/>
    <s v="May"/>
    <x v="9"/>
    <n v="30"/>
    <s v="State"/>
    <n v="136.32"/>
    <n v="182.47"/>
    <n v="200.55"/>
    <n v="3.49"/>
    <n v="519.34"/>
    <n v="522.83000000000004"/>
    <m/>
  </r>
  <r>
    <d v="2023-05-01T00:00:00"/>
    <s v="2023-24"/>
    <n v="2023"/>
    <n v="5"/>
    <s v="May"/>
    <x v="10"/>
    <n v="24"/>
    <s v="State"/>
    <n v="2729.13"/>
    <n v="3371.18"/>
    <n v="3025.07"/>
    <n v="674.5"/>
    <n v="9125.3799999999992"/>
    <n v="9799.8799999999992"/>
    <m/>
  </r>
  <r>
    <d v="2023-05-01T00:00:00"/>
    <s v="2023-24"/>
    <n v="2023"/>
    <n v="5"/>
    <s v="May"/>
    <x v="11"/>
    <n v="6"/>
    <s v="State"/>
    <n v="1227.5"/>
    <n v="1543.74"/>
    <n v="4053.2"/>
    <n v="425.5"/>
    <n v="6824.44"/>
    <n v="7249.94"/>
    <m/>
  </r>
  <r>
    <d v="2023-05-01T00:00:00"/>
    <s v="2023-24"/>
    <n v="2023"/>
    <n v="5"/>
    <s v="May"/>
    <x v="12"/>
    <n v="2"/>
    <s v="State"/>
    <n v="138.72"/>
    <n v="188.75"/>
    <n v="499.13"/>
    <n v="1.85"/>
    <n v="826.6"/>
    <n v="828.45"/>
    <m/>
  </r>
  <r>
    <d v="2023-05-01T00:00:00"/>
    <s v="2023-24"/>
    <n v="2023"/>
    <n v="5"/>
    <s v="May"/>
    <x v="13"/>
    <n v="1"/>
    <s v="Union Territory"/>
    <n v="114.27"/>
    <n v="178.17"/>
    <n v="119.75"/>
    <n v="9.65"/>
    <n v="412.19"/>
    <n v="421.84"/>
    <m/>
  </r>
  <r>
    <d v="2023-05-01T00:00:00"/>
    <s v="2023-24"/>
    <n v="2023"/>
    <n v="5"/>
    <s v="May"/>
    <x v="14"/>
    <n v="20"/>
    <s v="State"/>
    <n v="434.03"/>
    <n v="653.44000000000005"/>
    <n v="904.45"/>
    <n v="592.44000000000005"/>
    <n v="1991.92"/>
    <n v="2584.36"/>
    <m/>
  </r>
  <r>
    <d v="2023-05-01T00:00:00"/>
    <s v="2023-24"/>
    <n v="2023"/>
    <n v="5"/>
    <s v="May"/>
    <x v="15"/>
    <n v="29"/>
    <s v="State"/>
    <n v="2462.85"/>
    <n v="3022.24"/>
    <n v="3582.08"/>
    <n v="1249.57"/>
    <n v="9067.17"/>
    <n v="10316.74"/>
    <m/>
  </r>
  <r>
    <d v="2023-05-01T00:00:00"/>
    <s v="2023-24"/>
    <n v="2023"/>
    <n v="5"/>
    <s v="May"/>
    <x v="16"/>
    <n v="32"/>
    <s v="State"/>
    <n v="802.24"/>
    <n v="1040.19"/>
    <n v="451.68"/>
    <n v="3.32"/>
    <n v="2294.11"/>
    <n v="2297.4299999999998"/>
    <m/>
  </r>
  <r>
    <d v="2023-05-01T00:00:00"/>
    <s v="2023-24"/>
    <n v="2023"/>
    <n v="5"/>
    <s v="May"/>
    <x v="35"/>
    <n v="37"/>
    <s v="Union Territory"/>
    <n v="11.12"/>
    <n v="13.72"/>
    <n v="1.53"/>
    <n v="0.05"/>
    <n v="26.37"/>
    <n v="26.42"/>
    <m/>
  </r>
  <r>
    <d v="2023-05-01T00:00:00"/>
    <s v="2023-24"/>
    <n v="2023"/>
    <n v="5"/>
    <s v="May"/>
    <x v="17"/>
    <n v="31"/>
    <s v="Union Territory"/>
    <n v="7.0000000000000007E-2"/>
    <n v="0.09"/>
    <n v="1.92"/>
    <n v="0"/>
    <n v="2.08"/>
    <n v="2.08"/>
    <m/>
  </r>
  <r>
    <d v="2023-05-01T00:00:00"/>
    <s v="2023-24"/>
    <n v="2023"/>
    <n v="5"/>
    <s v="May"/>
    <x v="18"/>
    <n v="23"/>
    <s v="State"/>
    <n v="764.11"/>
    <n v="987.45"/>
    <n v="947.92"/>
    <n v="681.89"/>
    <n v="2699.48"/>
    <n v="3381.37"/>
    <m/>
  </r>
  <r>
    <d v="2023-05-01T00:00:00"/>
    <s v="2023-24"/>
    <n v="2023"/>
    <n v="5"/>
    <s v="May"/>
    <x v="19"/>
    <n v="27"/>
    <s v="State"/>
    <n v="6480.71"/>
    <n v="7620.58"/>
    <n v="7620.23"/>
    <n v="1814.91"/>
    <n v="21721.52"/>
    <n v="23536.43"/>
    <m/>
  </r>
  <r>
    <d v="2023-05-01T00:00:00"/>
    <s v="2023-24"/>
    <n v="2023"/>
    <n v="5"/>
    <s v="May"/>
    <x v="20"/>
    <n v="14"/>
    <s v="State"/>
    <n v="13.33"/>
    <n v="23.45"/>
    <n v="2.4500000000000002"/>
    <n v="0.2"/>
    <n v="39.229999999999997"/>
    <n v="39.43"/>
    <m/>
  </r>
  <r>
    <d v="2023-05-01T00:00:00"/>
    <s v="2023-24"/>
    <n v="2023"/>
    <n v="5"/>
    <s v="May"/>
    <x v="21"/>
    <n v="17"/>
    <s v="State"/>
    <n v="42.55"/>
    <n v="55.6"/>
    <n v="113.41"/>
    <n v="2.74"/>
    <n v="211.56"/>
    <n v="214.3"/>
    <m/>
  </r>
  <r>
    <d v="2023-05-01T00:00:00"/>
    <s v="2023-24"/>
    <n v="2023"/>
    <n v="5"/>
    <s v="May"/>
    <x v="22"/>
    <n v="15"/>
    <s v="State"/>
    <n v="13.72"/>
    <n v="20.89"/>
    <n v="3.38"/>
    <n v="0.03"/>
    <n v="37.99"/>
    <n v="38.020000000000003"/>
    <m/>
  </r>
  <r>
    <d v="2023-05-01T00:00:00"/>
    <s v="2023-24"/>
    <n v="2023"/>
    <n v="5"/>
    <s v="May"/>
    <x v="23"/>
    <n v="13"/>
    <s v="State"/>
    <n v="15.44"/>
    <n v="21.15"/>
    <n v="10.76"/>
    <n v="4.6399999999999997"/>
    <n v="47.35"/>
    <n v="51.99"/>
    <m/>
  </r>
  <r>
    <d v="2023-05-01T00:00:00"/>
    <s v="2023-24"/>
    <n v="2023"/>
    <n v="5"/>
    <s v="May"/>
    <x v="24"/>
    <n v="21"/>
    <s v="State"/>
    <n v="1029.25"/>
    <n v="1254.92"/>
    <n v="1337.55"/>
    <n v="776.01"/>
    <n v="3621.72"/>
    <n v="4397.7299999999996"/>
    <m/>
  </r>
  <r>
    <d v="2023-05-01T00:00:00"/>
    <s v="2023-24"/>
    <n v="2023"/>
    <n v="5"/>
    <s v="May"/>
    <x v="25"/>
    <n v="34"/>
    <s v="Union Territory"/>
    <n v="23.75"/>
    <n v="36.04"/>
    <n v="142.41"/>
    <n v="0.1"/>
    <n v="202.2"/>
    <n v="202.3"/>
    <m/>
  </r>
  <r>
    <d v="2023-05-01T00:00:00"/>
    <s v="2023-24"/>
    <n v="2023"/>
    <n v="5"/>
    <s v="May"/>
    <x v="26"/>
    <n v="3"/>
    <s v="State"/>
    <n v="406.31"/>
    <n v="638.02"/>
    <n v="663.11"/>
    <n v="37.04"/>
    <n v="1707.44"/>
    <n v="1744.48"/>
    <m/>
  </r>
  <r>
    <d v="2023-05-01T00:00:00"/>
    <s v="2023-24"/>
    <n v="2023"/>
    <n v="5"/>
    <s v="May"/>
    <x v="27"/>
    <n v="8"/>
    <s v="State"/>
    <n v="1077.56"/>
    <n v="1385.88"/>
    <n v="1337.91"/>
    <n v="122.23"/>
    <n v="3801.35"/>
    <n v="3923.58"/>
    <m/>
  </r>
  <r>
    <d v="2023-05-01T00:00:00"/>
    <s v="2023-24"/>
    <n v="2023"/>
    <n v="5"/>
    <s v="May"/>
    <x v="28"/>
    <n v="11"/>
    <s v="State"/>
    <n v="25.83"/>
    <n v="30.59"/>
    <n v="277.95999999999998"/>
    <n v="0.04"/>
    <n v="334.38"/>
    <n v="334.42"/>
    <m/>
  </r>
  <r>
    <d v="2023-05-01T00:00:00"/>
    <s v="2023-24"/>
    <n v="2023"/>
    <n v="5"/>
    <s v="May"/>
    <x v="29"/>
    <n v="33"/>
    <s v="State"/>
    <n v="2398.4899999999998"/>
    <n v="3101.15"/>
    <n v="2783.83"/>
    <n v="669.3"/>
    <n v="8283.4699999999993"/>
    <n v="8952.77"/>
    <m/>
  </r>
  <r>
    <d v="2023-05-01T00:00:00"/>
    <s v="2023-24"/>
    <n v="2023"/>
    <n v="5"/>
    <s v="May"/>
    <x v="30"/>
    <n v="36"/>
    <s v="State"/>
    <n v="1104.21"/>
    <n v="1448.15"/>
    <n v="1391.22"/>
    <n v="563.02"/>
    <n v="3943.58"/>
    <n v="4506.6000000000004"/>
    <m/>
  </r>
  <r>
    <d v="2023-05-01T00:00:00"/>
    <s v="2023-24"/>
    <n v="2023"/>
    <n v="5"/>
    <s v="May"/>
    <x v="31"/>
    <n v="16"/>
    <s v="State"/>
    <n v="27.76"/>
    <n v="39.549999999999997"/>
    <n v="7.04"/>
    <n v="0.32"/>
    <n v="74.349999999999994"/>
    <n v="74.67"/>
    <m/>
  </r>
  <r>
    <d v="2023-05-01T00:00:00"/>
    <s v="2023-24"/>
    <n v="2023"/>
    <n v="5"/>
    <s v="May"/>
    <x v="32"/>
    <n v="9"/>
    <s v="State"/>
    <n v="1744.59"/>
    <n v="2383.89"/>
    <n v="2270.8000000000002"/>
    <n v="1069.08"/>
    <n v="6399.28"/>
    <n v="7468.36"/>
    <m/>
  </r>
  <r>
    <d v="2023-05-01T00:00:00"/>
    <s v="2023-24"/>
    <n v="2023"/>
    <n v="5"/>
    <s v="May"/>
    <x v="33"/>
    <n v="5"/>
    <s v="State"/>
    <n v="307.39999999999998"/>
    <n v="411.49"/>
    <n v="702.97"/>
    <n v="9.32"/>
    <n v="1421.86"/>
    <n v="1431.18"/>
    <m/>
  </r>
  <r>
    <d v="2023-05-01T00:00:00"/>
    <s v="2023-24"/>
    <n v="2023"/>
    <n v="5"/>
    <s v="May"/>
    <x v="34"/>
    <n v="19"/>
    <s v="State"/>
    <n v="1625.34"/>
    <n v="1952.4"/>
    <n v="1197.47"/>
    <n v="387.08"/>
    <n v="4775.21"/>
    <n v="5162.29"/>
    <m/>
  </r>
  <r>
    <d v="2023-06-01T00:00:00"/>
    <s v="2023-24"/>
    <n v="2023"/>
    <n v="6"/>
    <s v="Jun"/>
    <x v="0"/>
    <n v="35"/>
    <s v="Union Territory"/>
    <n v="11.49"/>
    <n v="16.21"/>
    <n v="8.15"/>
    <n v="0.13"/>
    <n v="35.85"/>
    <n v="35.979999999999997"/>
    <m/>
  </r>
  <r>
    <d v="2023-06-01T00:00:00"/>
    <s v="2023-24"/>
    <n v="2023"/>
    <n v="6"/>
    <s v="Jun"/>
    <x v="1"/>
    <n v="28"/>
    <s v="State"/>
    <n v="943.38"/>
    <n v="1187.6400000000001"/>
    <n v="1120.49"/>
    <n v="225.91"/>
    <n v="3251.51"/>
    <n v="3477.42"/>
    <m/>
  </r>
  <r>
    <d v="2023-06-01T00:00:00"/>
    <s v="2023-24"/>
    <n v="2023"/>
    <n v="6"/>
    <s v="Jun"/>
    <x v="2"/>
    <n v="12"/>
    <s v="State"/>
    <n v="35.46"/>
    <n v="46.61"/>
    <n v="8.49"/>
    <n v="0.05"/>
    <n v="90.56"/>
    <n v="90.61"/>
    <m/>
  </r>
  <r>
    <d v="2023-06-01T00:00:00"/>
    <s v="2023-24"/>
    <n v="2023"/>
    <n v="6"/>
    <s v="Jun"/>
    <x v="3"/>
    <n v="18"/>
    <s v="State"/>
    <n v="390.44"/>
    <n v="471.72"/>
    <n v="294.57"/>
    <n v="56.32"/>
    <n v="1156.73"/>
    <n v="1213.05"/>
    <m/>
  </r>
  <r>
    <d v="2023-06-01T00:00:00"/>
    <s v="2023-24"/>
    <n v="2023"/>
    <n v="6"/>
    <s v="Jun"/>
    <x v="4"/>
    <n v="10"/>
    <s v="State"/>
    <n v="419.22"/>
    <n v="653.73"/>
    <n v="179.64"/>
    <n v="184.47"/>
    <n v="1252.5899999999999"/>
    <n v="1437.06"/>
    <m/>
  </r>
  <r>
    <d v="2023-06-01T00:00:00"/>
    <s v="2023-24"/>
    <n v="2023"/>
    <n v="6"/>
    <s v="Jun"/>
    <x v="5"/>
    <n v="4"/>
    <s v="Union Territory"/>
    <n v="50.51"/>
    <n v="64.25"/>
    <n v="111.55"/>
    <n v="0.76"/>
    <n v="226.31"/>
    <n v="227.07"/>
    <m/>
  </r>
  <r>
    <d v="2023-06-01T00:00:00"/>
    <s v="2023-24"/>
    <n v="2023"/>
    <n v="6"/>
    <s v="Jun"/>
    <x v="6"/>
    <n v="22"/>
    <s v="State"/>
    <n v="606.54999999999995"/>
    <n v="706.2"/>
    <n v="1030.82"/>
    <n v="668.47"/>
    <n v="2343.5700000000002"/>
    <n v="3012.04"/>
    <m/>
  </r>
  <r>
    <d v="2023-06-01T00:00:00"/>
    <s v="2023-24"/>
    <n v="2023"/>
    <n v="6"/>
    <s v="Jun"/>
    <x v="7"/>
    <n v="38"/>
    <s v="Union Territory"/>
    <n v="41.21"/>
    <n v="52.59"/>
    <n v="245.16"/>
    <n v="1.06"/>
    <n v="338.96"/>
    <n v="340.02"/>
    <m/>
  </r>
  <r>
    <d v="2023-06-01T00:00:00"/>
    <s v="2023-24"/>
    <n v="2023"/>
    <n v="6"/>
    <s v="Jun"/>
    <x v="8"/>
    <n v="7"/>
    <s v="Union Territory"/>
    <n v="990.07"/>
    <n v="1161.8599999999999"/>
    <n v="2489.6799999999998"/>
    <n v="102.51"/>
    <n v="4641.6099999999997"/>
    <n v="4744.12"/>
    <m/>
  </r>
  <r>
    <d v="2023-06-01T00:00:00"/>
    <s v="2023-24"/>
    <n v="2023"/>
    <n v="6"/>
    <s v="Jun"/>
    <x v="9"/>
    <n v="30"/>
    <s v="State"/>
    <n v="139.11000000000001"/>
    <n v="178.46"/>
    <n v="158.63"/>
    <n v="4.24"/>
    <n v="476.2"/>
    <n v="480.44"/>
    <m/>
  </r>
  <r>
    <d v="2023-06-01T00:00:00"/>
    <s v="2023-24"/>
    <n v="2023"/>
    <n v="6"/>
    <s v="Jun"/>
    <x v="10"/>
    <n v="24"/>
    <s v="State"/>
    <n v="2808.4"/>
    <n v="3500.3"/>
    <n v="3134.63"/>
    <n v="676.38"/>
    <n v="9443.33"/>
    <n v="10119.709999999999"/>
    <m/>
  </r>
  <r>
    <d v="2023-06-01T00:00:00"/>
    <s v="2023-24"/>
    <n v="2023"/>
    <n v="6"/>
    <s v="Jun"/>
    <x v="11"/>
    <n v="6"/>
    <s v="State"/>
    <n v="1329.12"/>
    <n v="1694.81"/>
    <n v="4427.96"/>
    <n v="536.29999999999995"/>
    <n v="7451.89"/>
    <n v="7988.19"/>
    <m/>
  </r>
  <r>
    <d v="2023-06-01T00:00:00"/>
    <s v="2023-24"/>
    <n v="2023"/>
    <n v="6"/>
    <s v="Jun"/>
    <x v="12"/>
    <n v="2"/>
    <s v="State"/>
    <n v="165.04"/>
    <n v="225.72"/>
    <n v="446.91"/>
    <n v="2.94"/>
    <n v="837.67"/>
    <n v="840.61"/>
    <m/>
  </r>
  <r>
    <d v="2023-06-01T00:00:00"/>
    <s v="2023-24"/>
    <n v="2023"/>
    <n v="6"/>
    <s v="Jun"/>
    <x v="13"/>
    <n v="1"/>
    <s v="Union Territory"/>
    <n v="194.37"/>
    <n v="256.92"/>
    <n v="125.42"/>
    <n v="11.97"/>
    <n v="576.71"/>
    <n v="588.67999999999995"/>
    <m/>
  </r>
  <r>
    <d v="2023-06-01T00:00:00"/>
    <s v="2023-24"/>
    <n v="2023"/>
    <n v="6"/>
    <s v="Jun"/>
    <x v="14"/>
    <n v="20"/>
    <s v="State"/>
    <n v="524.08000000000004"/>
    <n v="696.62"/>
    <n v="1036.28"/>
    <n v="573.23"/>
    <n v="2256.98"/>
    <n v="2830.21"/>
    <m/>
  </r>
  <r>
    <d v="2023-06-01T00:00:00"/>
    <s v="2023-24"/>
    <n v="2023"/>
    <n v="6"/>
    <s v="Jun"/>
    <x v="15"/>
    <n v="29"/>
    <s v="State"/>
    <n v="2568.52"/>
    <n v="3098.19"/>
    <n v="4143.6000000000004"/>
    <n v="1382.89"/>
    <n v="9810.31"/>
    <n v="11193.2"/>
    <m/>
  </r>
  <r>
    <d v="2023-06-01T00:00:00"/>
    <s v="2023-24"/>
    <n v="2023"/>
    <n v="6"/>
    <s v="Jun"/>
    <x v="16"/>
    <n v="32"/>
    <s v="State"/>
    <n v="1029.68"/>
    <n v="1284.25"/>
    <n v="407.81"/>
    <n v="3.35"/>
    <n v="2721.74"/>
    <n v="2725.09"/>
    <m/>
  </r>
  <r>
    <d v="2023-06-01T00:00:00"/>
    <s v="2023-24"/>
    <n v="2023"/>
    <n v="6"/>
    <s v="Jun"/>
    <x v="35"/>
    <n v="37"/>
    <s v="Union Territory"/>
    <n v="5.5"/>
    <n v="6.72"/>
    <n v="2.34"/>
    <n v="0"/>
    <n v="14.56"/>
    <n v="14.56"/>
    <m/>
  </r>
  <r>
    <d v="2023-06-01T00:00:00"/>
    <s v="2023-24"/>
    <n v="2023"/>
    <n v="6"/>
    <s v="Jun"/>
    <x v="17"/>
    <n v="31"/>
    <s v="Union Territory"/>
    <n v="10.51"/>
    <n v="10.59"/>
    <n v="0.76"/>
    <n v="0"/>
    <n v="21.86"/>
    <n v="21.86"/>
    <m/>
  </r>
  <r>
    <d v="2023-06-01T00:00:00"/>
    <s v="2023-24"/>
    <n v="2023"/>
    <n v="6"/>
    <s v="Jun"/>
    <x v="18"/>
    <n v="23"/>
    <s v="State"/>
    <n v="820.65"/>
    <n v="1037.27"/>
    <n v="889.85"/>
    <n v="637.44000000000005"/>
    <n v="2747.77"/>
    <n v="3385.21"/>
    <m/>
  </r>
  <r>
    <d v="2023-06-01T00:00:00"/>
    <s v="2023-24"/>
    <n v="2023"/>
    <n v="6"/>
    <s v="Jun"/>
    <x v="19"/>
    <n v="27"/>
    <s v="State"/>
    <n v="7381.73"/>
    <n v="8453.56"/>
    <n v="8436.17"/>
    <n v="1827.32"/>
    <n v="24271.46"/>
    <n v="26098.78"/>
    <m/>
  </r>
  <r>
    <d v="2023-06-01T00:00:00"/>
    <s v="2023-24"/>
    <n v="2023"/>
    <n v="6"/>
    <s v="Jun"/>
    <x v="20"/>
    <n v="14"/>
    <s v="State"/>
    <n v="25"/>
    <n v="31.53"/>
    <n v="3.83"/>
    <n v="0"/>
    <n v="60.36"/>
    <n v="60.36"/>
    <m/>
  </r>
  <r>
    <d v="2023-06-01T00:00:00"/>
    <s v="2023-24"/>
    <n v="2023"/>
    <n v="6"/>
    <s v="Jun"/>
    <x v="21"/>
    <n v="17"/>
    <s v="State"/>
    <n v="36.79"/>
    <n v="44.02"/>
    <n v="111.31"/>
    <n v="2.0299999999999998"/>
    <n v="192.12"/>
    <n v="194.15"/>
    <m/>
  </r>
  <r>
    <d v="2023-06-01T00:00:00"/>
    <s v="2023-24"/>
    <n v="2023"/>
    <n v="6"/>
    <s v="Jun"/>
    <x v="22"/>
    <n v="15"/>
    <s v="State"/>
    <n v="19.64"/>
    <n v="31.45"/>
    <n v="4.2300000000000004"/>
    <n v="0.05"/>
    <n v="55.32"/>
    <n v="55.37"/>
    <m/>
  </r>
  <r>
    <d v="2023-06-01T00:00:00"/>
    <s v="2023-24"/>
    <n v="2023"/>
    <n v="6"/>
    <s v="Jun"/>
    <x v="23"/>
    <n v="13"/>
    <s v="State"/>
    <n v="30.69"/>
    <n v="33.840000000000003"/>
    <n v="10.47"/>
    <n v="4.2"/>
    <n v="75"/>
    <n v="79.2"/>
    <m/>
  </r>
  <r>
    <d v="2023-06-01T00:00:00"/>
    <s v="2023-24"/>
    <n v="2023"/>
    <n v="6"/>
    <s v="Jun"/>
    <x v="24"/>
    <n v="21"/>
    <s v="State"/>
    <n v="1130.1400000000001"/>
    <n v="1322.65"/>
    <n v="1122.3900000000001"/>
    <n v="804.79"/>
    <n v="3575.18"/>
    <n v="4379.97"/>
    <m/>
  </r>
  <r>
    <d v="2023-06-01T00:00:00"/>
    <s v="2023-24"/>
    <n v="2023"/>
    <n v="6"/>
    <s v="Jun"/>
    <x v="25"/>
    <n v="34"/>
    <s v="Union Territory"/>
    <n v="25.96"/>
    <n v="41.11"/>
    <n v="143.1"/>
    <n v="0.21"/>
    <n v="210.17"/>
    <n v="210.38"/>
    <m/>
  </r>
  <r>
    <d v="2023-06-01T00:00:00"/>
    <s v="2023-24"/>
    <n v="2023"/>
    <n v="6"/>
    <s v="Jun"/>
    <x v="26"/>
    <n v="3"/>
    <s v="State"/>
    <n v="505.12"/>
    <n v="726.45"/>
    <n v="694.14"/>
    <n v="40.22"/>
    <n v="1925.71"/>
    <n v="1965.93"/>
    <m/>
  </r>
  <r>
    <d v="2023-06-01T00:00:00"/>
    <s v="2023-24"/>
    <n v="2023"/>
    <n v="6"/>
    <s v="Jun"/>
    <x v="27"/>
    <n v="8"/>
    <s v="State"/>
    <n v="1100.47"/>
    <n v="1394.85"/>
    <n v="1271.81"/>
    <n v="124.87"/>
    <n v="3767.13"/>
    <n v="3892"/>
    <m/>
  </r>
  <r>
    <d v="2023-06-01T00:00:00"/>
    <s v="2023-24"/>
    <n v="2023"/>
    <n v="6"/>
    <s v="Jun"/>
    <x v="28"/>
    <n v="11"/>
    <s v="State"/>
    <n v="20.7"/>
    <n v="25.27"/>
    <n v="241.49"/>
    <n v="0.05"/>
    <n v="287.45999999999998"/>
    <n v="287.51"/>
    <m/>
  </r>
  <r>
    <d v="2023-06-01T00:00:00"/>
    <s v="2023-24"/>
    <n v="2023"/>
    <n v="6"/>
    <s v="Jun"/>
    <x v="29"/>
    <n v="33"/>
    <s v="State"/>
    <n v="2574.6"/>
    <n v="3253.75"/>
    <n v="3052.98"/>
    <n v="719.31"/>
    <n v="8881.33"/>
    <n v="9600.64"/>
    <m/>
  </r>
  <r>
    <d v="2023-06-01T00:00:00"/>
    <s v="2023-24"/>
    <n v="2023"/>
    <n v="6"/>
    <s v="Jun"/>
    <x v="30"/>
    <n v="36"/>
    <s v="State"/>
    <n v="1242.1199999999999"/>
    <n v="1575.13"/>
    <n v="1326.67"/>
    <n v="537.47"/>
    <n v="4143.92"/>
    <n v="4681.3900000000003"/>
    <m/>
  </r>
  <r>
    <d v="2023-06-01T00:00:00"/>
    <s v="2023-24"/>
    <n v="2023"/>
    <n v="6"/>
    <s v="Jun"/>
    <x v="31"/>
    <n v="16"/>
    <s v="State"/>
    <n v="29.19"/>
    <n v="38.54"/>
    <n v="7.35"/>
    <n v="0.08"/>
    <n v="75.08"/>
    <n v="75.16"/>
    <m/>
  </r>
  <r>
    <d v="2023-06-01T00:00:00"/>
    <s v="2023-24"/>
    <n v="2023"/>
    <n v="6"/>
    <s v="Jun"/>
    <x v="32"/>
    <n v="9"/>
    <s v="State"/>
    <n v="1869.7"/>
    <n v="2562.73"/>
    <n v="2308.25"/>
    <n v="1363.47"/>
    <n v="6740.68"/>
    <n v="8104.15"/>
    <m/>
  </r>
  <r>
    <d v="2023-06-01T00:00:00"/>
    <s v="2023-24"/>
    <n v="2023"/>
    <n v="6"/>
    <s v="Jun"/>
    <x v="33"/>
    <n v="5"/>
    <s v="State"/>
    <n v="327.37"/>
    <n v="438.6"/>
    <n v="745.08"/>
    <n v="11.5"/>
    <n v="1511.05"/>
    <n v="1522.55"/>
    <m/>
  </r>
  <r>
    <d v="2023-06-01T00:00:00"/>
    <s v="2023-24"/>
    <n v="2023"/>
    <n v="6"/>
    <s v="Jun"/>
    <x v="34"/>
    <n v="19"/>
    <s v="State"/>
    <n v="1594.03"/>
    <n v="1943.64"/>
    <n v="1148.19"/>
    <n v="368.01"/>
    <n v="4685.8599999999997"/>
    <n v="5053.87"/>
    <m/>
  </r>
  <r>
    <d v="2023-07-01T00:00:00"/>
    <s v="2023-24"/>
    <n v="2023"/>
    <n v="7"/>
    <s v="Jul"/>
    <x v="0"/>
    <n v="35"/>
    <s v="Union Territory"/>
    <n v="7.41"/>
    <n v="11.18"/>
    <n v="12.11"/>
    <n v="0.1"/>
    <n v="30.7"/>
    <n v="30.8"/>
    <m/>
  </r>
  <r>
    <d v="2023-07-01T00:00:00"/>
    <s v="2023-24"/>
    <n v="2023"/>
    <n v="7"/>
    <s v="Jul"/>
    <x v="1"/>
    <n v="28"/>
    <s v="State"/>
    <n v="899.4"/>
    <n v="1198.6099999999999"/>
    <n v="1254.72"/>
    <n v="240.68"/>
    <n v="3352.73"/>
    <n v="3593.41"/>
    <m/>
  </r>
  <r>
    <d v="2023-07-01T00:00:00"/>
    <s v="2023-24"/>
    <n v="2023"/>
    <n v="7"/>
    <s v="Jul"/>
    <x v="2"/>
    <n v="12"/>
    <s v="State"/>
    <n v="28.3"/>
    <n v="37.08"/>
    <n v="8.25"/>
    <n v="0.06"/>
    <n v="73.63"/>
    <n v="73.69"/>
    <m/>
  </r>
  <r>
    <d v="2023-07-01T00:00:00"/>
    <s v="2023-24"/>
    <n v="2023"/>
    <n v="7"/>
    <s v="Jul"/>
    <x v="3"/>
    <n v="18"/>
    <s v="State"/>
    <n v="360.69"/>
    <n v="450.52"/>
    <n v="299.64999999999998"/>
    <n v="71.900000000000006"/>
    <n v="1110.8599999999999"/>
    <n v="1182.76"/>
    <m/>
  </r>
  <r>
    <d v="2023-07-01T00:00:00"/>
    <s v="2023-24"/>
    <n v="2023"/>
    <n v="7"/>
    <s v="Jul"/>
    <x v="4"/>
    <n v="10"/>
    <s v="State"/>
    <n v="410.38"/>
    <n v="717.86"/>
    <n v="181.51"/>
    <n v="178.06"/>
    <n v="1309.75"/>
    <n v="1487.81"/>
    <m/>
  </r>
  <r>
    <d v="2023-07-01T00:00:00"/>
    <s v="2023-24"/>
    <n v="2023"/>
    <n v="7"/>
    <s v="Jul"/>
    <x v="5"/>
    <n v="4"/>
    <s v="Union Territory"/>
    <n v="41.23"/>
    <n v="56.72"/>
    <n v="118.26"/>
    <n v="0.86"/>
    <n v="216.21"/>
    <n v="217.07"/>
    <m/>
  </r>
  <r>
    <d v="2023-07-01T00:00:00"/>
    <s v="2023-24"/>
    <n v="2023"/>
    <n v="7"/>
    <s v="Jul"/>
    <x v="6"/>
    <n v="22"/>
    <s v="State"/>
    <n v="516"/>
    <n v="627.30999999999995"/>
    <n v="1017.76"/>
    <n v="643.51"/>
    <n v="2161.0700000000002"/>
    <n v="2804.58"/>
    <m/>
  </r>
  <r>
    <d v="2023-07-01T00:00:00"/>
    <s v="2023-24"/>
    <n v="2023"/>
    <n v="7"/>
    <s v="Jul"/>
    <x v="7"/>
    <n v="38"/>
    <s v="Union Territory"/>
    <n v="44.48"/>
    <n v="56.17"/>
    <n v="253.21"/>
    <n v="0.28000000000000003"/>
    <n v="353.86"/>
    <n v="354.14"/>
    <m/>
  </r>
  <r>
    <d v="2023-07-01T00:00:00"/>
    <s v="2023-24"/>
    <n v="2023"/>
    <n v="7"/>
    <s v="Jul"/>
    <x v="8"/>
    <n v="7"/>
    <s v="Union Territory"/>
    <n v="1029.98"/>
    <n v="1221.42"/>
    <n v="3053.18"/>
    <n v="100.8"/>
    <n v="5304.58"/>
    <n v="5405.38"/>
    <m/>
  </r>
  <r>
    <d v="2023-07-01T00:00:00"/>
    <s v="2023-24"/>
    <n v="2023"/>
    <n v="7"/>
    <s v="Jul"/>
    <x v="9"/>
    <n v="30"/>
    <s v="State"/>
    <n v="131.03"/>
    <n v="173.21"/>
    <n v="219.81"/>
    <n v="3.68"/>
    <n v="524.04999999999995"/>
    <n v="527.73"/>
    <m/>
  </r>
  <r>
    <d v="2023-07-01T00:00:00"/>
    <s v="2023-24"/>
    <n v="2023"/>
    <n v="7"/>
    <s v="Jul"/>
    <x v="10"/>
    <n v="24"/>
    <s v="State"/>
    <n v="2679.04"/>
    <n v="3292.7"/>
    <n v="3184.55"/>
    <n v="631.04"/>
    <n v="9156.2900000000009"/>
    <n v="9787.33"/>
    <m/>
  </r>
  <r>
    <d v="2023-07-01T00:00:00"/>
    <s v="2023-24"/>
    <n v="2023"/>
    <n v="7"/>
    <s v="Jul"/>
    <x v="11"/>
    <n v="6"/>
    <s v="State"/>
    <n v="1222.74"/>
    <n v="1609.86"/>
    <n v="4571.32"/>
    <n v="549.03"/>
    <n v="7403.92"/>
    <n v="7952.95"/>
    <m/>
  </r>
  <r>
    <d v="2023-07-01T00:00:00"/>
    <s v="2023-24"/>
    <n v="2023"/>
    <n v="7"/>
    <s v="Jul"/>
    <x v="12"/>
    <n v="2"/>
    <s v="State"/>
    <n v="162.58000000000001"/>
    <n v="232.94"/>
    <n v="518.77"/>
    <n v="2.56"/>
    <n v="914.29"/>
    <n v="916.85"/>
    <m/>
  </r>
  <r>
    <d v="2023-07-01T00:00:00"/>
    <s v="2023-24"/>
    <n v="2023"/>
    <n v="7"/>
    <s v="Jul"/>
    <x v="13"/>
    <n v="1"/>
    <s v="Union Territory"/>
    <n v="162.69"/>
    <n v="234"/>
    <n v="141.35"/>
    <n v="10.98"/>
    <n v="538.04"/>
    <n v="549.02"/>
    <m/>
  </r>
  <r>
    <d v="2023-07-01T00:00:00"/>
    <s v="2023-24"/>
    <n v="2023"/>
    <n v="7"/>
    <s v="Jul"/>
    <x v="14"/>
    <n v="20"/>
    <s v="State"/>
    <n v="538.84"/>
    <n v="721.04"/>
    <n v="1016.77"/>
    <n v="581.9"/>
    <n v="2276.65"/>
    <n v="2858.55"/>
    <m/>
  </r>
  <r>
    <d v="2023-07-01T00:00:00"/>
    <s v="2023-24"/>
    <n v="2023"/>
    <n v="7"/>
    <s v="Jul"/>
    <x v="15"/>
    <n v="29"/>
    <s v="State"/>
    <n v="2574.96"/>
    <n v="3181.08"/>
    <n v="4300.3"/>
    <n v="1449.12"/>
    <n v="10056.34"/>
    <n v="11505.46"/>
    <m/>
  </r>
  <r>
    <d v="2023-07-01T00:00:00"/>
    <s v="2023-24"/>
    <n v="2023"/>
    <n v="7"/>
    <s v="Jul"/>
    <x v="16"/>
    <n v="32"/>
    <s v="State"/>
    <n v="846.91"/>
    <n v="1093.31"/>
    <n v="438.67"/>
    <n v="2.34"/>
    <n v="2378.89"/>
    <n v="2381.23"/>
    <m/>
  </r>
  <r>
    <d v="2023-07-01T00:00:00"/>
    <s v="2023-24"/>
    <n v="2023"/>
    <n v="7"/>
    <s v="Jul"/>
    <x v="35"/>
    <n v="37"/>
    <s v="Union Territory"/>
    <n v="8.4700000000000006"/>
    <n v="11"/>
    <n v="3.1"/>
    <n v="0.03"/>
    <n v="22.57"/>
    <n v="22.6"/>
    <m/>
  </r>
  <r>
    <d v="2023-07-01T00:00:00"/>
    <s v="2023-24"/>
    <n v="2023"/>
    <n v="7"/>
    <s v="Jul"/>
    <x v="17"/>
    <n v="31"/>
    <s v="Union Territory"/>
    <n v="0.67"/>
    <n v="1.5"/>
    <n v="0.18"/>
    <n v="0"/>
    <n v="2.35"/>
    <n v="2.35"/>
    <m/>
  </r>
  <r>
    <d v="2023-07-01T00:00:00"/>
    <s v="2023-24"/>
    <n v="2023"/>
    <n v="7"/>
    <s v="Jul"/>
    <x v="18"/>
    <n v="23"/>
    <s v="State"/>
    <n v="794.89"/>
    <n v="1044.94"/>
    <n v="900.37"/>
    <n v="584.85"/>
    <n v="2740.2"/>
    <n v="3325.05"/>
    <m/>
  </r>
  <r>
    <d v="2023-07-01T00:00:00"/>
    <s v="2023-24"/>
    <n v="2023"/>
    <n v="7"/>
    <s v="Jul"/>
    <x v="19"/>
    <n v="27"/>
    <s v="State"/>
    <n v="6795.84"/>
    <n v="7957.64"/>
    <n v="9499.49"/>
    <n v="1811.06"/>
    <n v="24252.97"/>
    <n v="26064.03"/>
    <m/>
  </r>
  <r>
    <d v="2023-07-01T00:00:00"/>
    <s v="2023-24"/>
    <n v="2023"/>
    <n v="7"/>
    <s v="Jul"/>
    <x v="20"/>
    <n v="14"/>
    <s v="State"/>
    <n v="15.65"/>
    <n v="22.53"/>
    <n v="3.82"/>
    <n v="0.04"/>
    <n v="42"/>
    <n v="42.04"/>
    <m/>
  </r>
  <r>
    <d v="2023-07-01T00:00:00"/>
    <s v="2023-24"/>
    <n v="2023"/>
    <n v="7"/>
    <s v="Jul"/>
    <x v="21"/>
    <n v="17"/>
    <s v="State"/>
    <n v="44.42"/>
    <n v="50.42"/>
    <n v="80.23"/>
    <n v="0.28999999999999998"/>
    <n v="175.07"/>
    <n v="175.36"/>
    <m/>
  </r>
  <r>
    <d v="2023-07-01T00:00:00"/>
    <s v="2023-24"/>
    <n v="2023"/>
    <n v="7"/>
    <s v="Jul"/>
    <x v="22"/>
    <n v="15"/>
    <s v="State"/>
    <n v="14.07"/>
    <n v="22.03"/>
    <n v="2.97"/>
    <n v="7.0000000000000007E-2"/>
    <n v="39.07"/>
    <n v="39.14"/>
    <m/>
  </r>
  <r>
    <d v="2023-07-01T00:00:00"/>
    <s v="2023-24"/>
    <n v="2023"/>
    <n v="7"/>
    <s v="Jul"/>
    <x v="23"/>
    <n v="13"/>
    <s v="State"/>
    <n v="13.83"/>
    <n v="18.190000000000001"/>
    <n v="7.99"/>
    <n v="2.94"/>
    <n v="40.01"/>
    <n v="42.95"/>
    <m/>
  </r>
  <r>
    <d v="2023-07-01T00:00:00"/>
    <s v="2023-24"/>
    <n v="2023"/>
    <n v="7"/>
    <s v="Jul"/>
    <x v="24"/>
    <n v="21"/>
    <s v="State"/>
    <n v="1096.55"/>
    <n v="1300.33"/>
    <n v="1094.5899999999999"/>
    <n v="753.93"/>
    <n v="3491.47"/>
    <n v="4245.3999999999996"/>
    <m/>
  </r>
  <r>
    <d v="2023-07-01T00:00:00"/>
    <s v="2023-24"/>
    <n v="2023"/>
    <n v="7"/>
    <s v="Jul"/>
    <x v="25"/>
    <n v="34"/>
    <s v="Union Territory"/>
    <n v="27.18"/>
    <n v="41.35"/>
    <n v="146.75"/>
    <n v="0.27"/>
    <n v="215.28"/>
    <n v="215.55"/>
    <m/>
  </r>
  <r>
    <d v="2023-07-01T00:00:00"/>
    <s v="2023-24"/>
    <n v="2023"/>
    <n v="7"/>
    <s v="Jul"/>
    <x v="26"/>
    <n v="3"/>
    <s v="State"/>
    <n v="489.38"/>
    <n v="727.31"/>
    <n v="739.82"/>
    <n v="43.9"/>
    <n v="1956.51"/>
    <n v="2000.41"/>
    <m/>
  </r>
  <r>
    <d v="2023-07-01T00:00:00"/>
    <s v="2023-24"/>
    <n v="2023"/>
    <n v="7"/>
    <s v="Jul"/>
    <x v="27"/>
    <n v="8"/>
    <s v="State"/>
    <n v="1088.6300000000001"/>
    <n v="1380.13"/>
    <n v="1408.09"/>
    <n v="111.14"/>
    <n v="3876.85"/>
    <n v="3987.99"/>
    <m/>
  </r>
  <r>
    <d v="2023-07-01T00:00:00"/>
    <s v="2023-24"/>
    <n v="2023"/>
    <n v="7"/>
    <s v="Jul"/>
    <x v="28"/>
    <n v="11"/>
    <s v="State"/>
    <n v="21.94"/>
    <n v="29.51"/>
    <n v="262.42"/>
    <n v="0.1"/>
    <n v="313.87"/>
    <n v="313.97000000000003"/>
    <m/>
  </r>
  <r>
    <d v="2023-07-01T00:00:00"/>
    <s v="2023-24"/>
    <n v="2023"/>
    <n v="7"/>
    <s v="Jul"/>
    <x v="29"/>
    <n v="33"/>
    <s v="State"/>
    <n v="2568.41"/>
    <n v="3300"/>
    <n v="3377.73"/>
    <n v="775.72"/>
    <n v="9246.14"/>
    <n v="10021.86"/>
    <m/>
  </r>
  <r>
    <d v="2023-07-01T00:00:00"/>
    <s v="2023-24"/>
    <n v="2023"/>
    <n v="7"/>
    <s v="Jul"/>
    <x v="30"/>
    <n v="36"/>
    <s v="State"/>
    <n v="1210.5"/>
    <n v="1623.48"/>
    <n v="1453.15"/>
    <n v="561.91"/>
    <n v="4287.13"/>
    <n v="4849.04"/>
    <m/>
  </r>
  <r>
    <d v="2023-07-01T00:00:00"/>
    <s v="2023-24"/>
    <n v="2023"/>
    <n v="7"/>
    <s v="Jul"/>
    <x v="31"/>
    <n v="16"/>
    <s v="State"/>
    <n v="31.03"/>
    <n v="39.53"/>
    <n v="6.97"/>
    <n v="0.56999999999999995"/>
    <n v="77.53"/>
    <n v="78.099999999999994"/>
    <m/>
  </r>
  <r>
    <d v="2023-07-01T00:00:00"/>
    <s v="2023-24"/>
    <n v="2023"/>
    <n v="7"/>
    <s v="Jul"/>
    <x v="32"/>
    <n v="9"/>
    <s v="State"/>
    <n v="1995.75"/>
    <n v="2750.54"/>
    <n v="2608.52"/>
    <n v="1447.22"/>
    <n v="7354.81"/>
    <n v="8802.0300000000007"/>
    <m/>
  </r>
  <r>
    <d v="2023-07-01T00:00:00"/>
    <s v="2023-24"/>
    <n v="2023"/>
    <n v="7"/>
    <s v="Jul"/>
    <x v="33"/>
    <n v="5"/>
    <s v="State"/>
    <n v="318.27999999999997"/>
    <n v="415.18"/>
    <n v="863.17"/>
    <n v="10.49"/>
    <n v="1596.63"/>
    <n v="1607.12"/>
    <m/>
  </r>
  <r>
    <d v="2023-07-01T00:00:00"/>
    <s v="2023-24"/>
    <n v="2023"/>
    <n v="7"/>
    <s v="Jul"/>
    <x v="34"/>
    <n v="19"/>
    <s v="State"/>
    <n v="1570.54"/>
    <n v="1952.69"/>
    <n v="1236.96"/>
    <n v="367.65"/>
    <n v="4760.1899999999996"/>
    <n v="5127.84"/>
    <m/>
  </r>
  <r>
    <d v="2023-08-01T00:00:00"/>
    <s v="2023-24"/>
    <n v="2023"/>
    <n v="8"/>
    <s v="Aug"/>
    <x v="0"/>
    <n v="35"/>
    <s v="Union Territory"/>
    <n v="6.9"/>
    <n v="10.18"/>
    <n v="4.12"/>
    <n v="0.03"/>
    <n v="21.2"/>
    <n v="21.23"/>
    <m/>
  </r>
  <r>
    <d v="2023-08-01T00:00:00"/>
    <s v="2023-24"/>
    <n v="2023"/>
    <n v="8"/>
    <s v="Aug"/>
    <x v="1"/>
    <n v="28"/>
    <s v="State"/>
    <n v="860.78"/>
    <n v="1122.3"/>
    <n v="1196.49"/>
    <n v="299.14999999999998"/>
    <n v="3179.57"/>
    <n v="3478.72"/>
    <m/>
  </r>
  <r>
    <d v="2023-08-01T00:00:00"/>
    <s v="2023-24"/>
    <n v="2023"/>
    <n v="8"/>
    <s v="Aug"/>
    <x v="2"/>
    <n v="12"/>
    <s v="State"/>
    <n v="30.8"/>
    <n v="39.700000000000003"/>
    <n v="11.88"/>
    <n v="0.04"/>
    <n v="82.38"/>
    <n v="82.42"/>
    <m/>
  </r>
  <r>
    <d v="2023-08-01T00:00:00"/>
    <s v="2023-24"/>
    <n v="2023"/>
    <n v="8"/>
    <s v="Aug"/>
    <x v="3"/>
    <n v="18"/>
    <s v="State"/>
    <n v="350.41"/>
    <n v="440.19"/>
    <n v="305.5"/>
    <n v="51.43"/>
    <n v="1096.0999999999999"/>
    <n v="1147.53"/>
    <m/>
  </r>
  <r>
    <d v="2023-08-01T00:00:00"/>
    <s v="2023-24"/>
    <n v="2023"/>
    <n v="8"/>
    <s v="Aug"/>
    <x v="4"/>
    <n v="10"/>
    <s v="State"/>
    <n v="395.43"/>
    <n v="653.58000000000004"/>
    <n v="175.97"/>
    <n v="153.80000000000001"/>
    <n v="1224.98"/>
    <n v="1378.78"/>
    <m/>
  </r>
  <r>
    <d v="2023-08-01T00:00:00"/>
    <s v="2023-24"/>
    <n v="2023"/>
    <n v="8"/>
    <s v="Aug"/>
    <x v="5"/>
    <n v="4"/>
    <s v="Union Territory"/>
    <n v="37.83"/>
    <n v="51.46"/>
    <n v="101.76"/>
    <n v="1.36"/>
    <n v="191.05"/>
    <n v="192.41"/>
    <m/>
  </r>
  <r>
    <d v="2023-08-01T00:00:00"/>
    <s v="2023-24"/>
    <n v="2023"/>
    <n v="8"/>
    <s v="Aug"/>
    <x v="6"/>
    <n v="22"/>
    <s v="State"/>
    <n v="604.91"/>
    <n v="709.86"/>
    <n v="938.64"/>
    <n v="642.49"/>
    <n v="2253.41"/>
    <n v="2895.9"/>
    <m/>
  </r>
  <r>
    <d v="2023-08-01T00:00:00"/>
    <s v="2023-24"/>
    <n v="2023"/>
    <n v="8"/>
    <s v="Aug"/>
    <x v="7"/>
    <n v="38"/>
    <s v="Union Territory"/>
    <n v="39.19"/>
    <n v="50.75"/>
    <n v="233.03"/>
    <n v="1.56"/>
    <n v="322.97000000000003"/>
    <n v="324.52999999999997"/>
    <m/>
  </r>
  <r>
    <d v="2023-08-01T00:00:00"/>
    <s v="2023-24"/>
    <n v="2023"/>
    <n v="8"/>
    <s v="Aug"/>
    <x v="8"/>
    <n v="7"/>
    <s v="Union Territory"/>
    <n v="939.32"/>
    <n v="1113.4000000000001"/>
    <n v="2471.29"/>
    <n v="95.49"/>
    <n v="4524.01"/>
    <n v="4619.5"/>
    <m/>
  </r>
  <r>
    <d v="2023-08-01T00:00:00"/>
    <s v="2023-24"/>
    <n v="2023"/>
    <n v="8"/>
    <s v="Aug"/>
    <x v="9"/>
    <n v="30"/>
    <s v="State"/>
    <n v="137.74"/>
    <n v="173.71"/>
    <n v="195.88"/>
    <n v="1.69"/>
    <n v="507.33"/>
    <n v="509.02"/>
    <m/>
  </r>
  <r>
    <d v="2023-08-01T00:00:00"/>
    <s v="2023-24"/>
    <n v="2023"/>
    <n v="8"/>
    <s v="Aug"/>
    <x v="10"/>
    <n v="24"/>
    <s v="State"/>
    <n v="2617.37"/>
    <n v="3210.74"/>
    <n v="3288.57"/>
    <n v="648.08000000000004"/>
    <n v="9116.68"/>
    <n v="9764.76"/>
    <m/>
  </r>
  <r>
    <d v="2023-08-01T00:00:00"/>
    <s v="2023-24"/>
    <n v="2023"/>
    <n v="8"/>
    <s v="Aug"/>
    <x v="11"/>
    <n v="6"/>
    <s v="State"/>
    <n v="1209.92"/>
    <n v="1584.52"/>
    <n v="4199.0200000000004"/>
    <n v="672.05"/>
    <n v="6993.46"/>
    <n v="7665.51"/>
    <m/>
  </r>
  <r>
    <d v="2023-08-01T00:00:00"/>
    <s v="2023-24"/>
    <n v="2023"/>
    <n v="8"/>
    <s v="Aug"/>
    <x v="12"/>
    <n v="2"/>
    <s v="State"/>
    <n v="132.33000000000001"/>
    <n v="181.75"/>
    <n v="409.73"/>
    <n v="1.35"/>
    <n v="723.81"/>
    <n v="725.16"/>
    <m/>
  </r>
  <r>
    <d v="2023-08-01T00:00:00"/>
    <s v="2023-24"/>
    <n v="2023"/>
    <n v="8"/>
    <s v="Aug"/>
    <x v="13"/>
    <n v="1"/>
    <s v="Union Territory"/>
    <n v="146.52000000000001"/>
    <n v="220.48"/>
    <n v="146.06"/>
    <n v="10.029999999999999"/>
    <n v="513.05999999999995"/>
    <n v="523.09"/>
    <m/>
  </r>
  <r>
    <d v="2023-08-01T00:00:00"/>
    <s v="2023-24"/>
    <n v="2023"/>
    <n v="8"/>
    <s v="Aug"/>
    <x v="14"/>
    <n v="20"/>
    <s v="State"/>
    <n v="523.4"/>
    <n v="801.7"/>
    <n v="829"/>
    <n v="566.73"/>
    <n v="2154.1"/>
    <n v="2720.83"/>
    <m/>
  </r>
  <r>
    <d v="2023-08-01T00:00:00"/>
    <s v="2023-24"/>
    <n v="2023"/>
    <n v="8"/>
    <s v="Aug"/>
    <x v="15"/>
    <n v="29"/>
    <s v="State"/>
    <n v="2479.8000000000002"/>
    <n v="3028.57"/>
    <n v="4193.21"/>
    <n v="1414.19"/>
    <n v="9701.58"/>
    <n v="11115.77"/>
    <m/>
  </r>
  <r>
    <d v="2023-08-01T00:00:00"/>
    <s v="2023-24"/>
    <n v="2023"/>
    <n v="8"/>
    <s v="Aug"/>
    <x v="16"/>
    <n v="32"/>
    <s v="State"/>
    <n v="825.5"/>
    <n v="1035.4000000000001"/>
    <n v="443"/>
    <n v="2.0699999999999998"/>
    <n v="2303.9"/>
    <n v="2305.9699999999998"/>
    <m/>
  </r>
  <r>
    <d v="2023-08-01T00:00:00"/>
    <s v="2023-24"/>
    <n v="2023"/>
    <n v="8"/>
    <s v="Aug"/>
    <x v="35"/>
    <n v="37"/>
    <s v="Union Territory"/>
    <n v="9.6"/>
    <n v="14.35"/>
    <n v="2.67"/>
    <n v="0.05"/>
    <n v="26.62"/>
    <n v="26.67"/>
    <m/>
  </r>
  <r>
    <d v="2023-08-01T00:00:00"/>
    <s v="2023-24"/>
    <n v="2023"/>
    <n v="8"/>
    <s v="Aug"/>
    <x v="17"/>
    <n v="31"/>
    <s v="Union Territory"/>
    <n v="0.5"/>
    <n v="0.45"/>
    <n v="2.4900000000000002"/>
    <n v="0"/>
    <n v="3.44"/>
    <n v="3.44"/>
    <m/>
  </r>
  <r>
    <d v="2023-08-01T00:00:00"/>
    <s v="2023-24"/>
    <n v="2023"/>
    <n v="8"/>
    <s v="Aug"/>
    <x v="18"/>
    <n v="23"/>
    <s v="State"/>
    <n v="765.04"/>
    <n v="978.04"/>
    <n v="734.06"/>
    <n v="586.74"/>
    <n v="2477.14"/>
    <n v="3063.88"/>
    <m/>
  </r>
  <r>
    <d v="2023-08-01T00:00:00"/>
    <s v="2023-24"/>
    <n v="2023"/>
    <n v="8"/>
    <s v="Aug"/>
    <x v="19"/>
    <n v="27"/>
    <s v="State"/>
    <n v="6236.95"/>
    <n v="7629.5"/>
    <n v="7580.58"/>
    <n v="1835.44"/>
    <n v="21447.03"/>
    <n v="23282.47"/>
    <m/>
  </r>
  <r>
    <d v="2023-08-01T00:00:00"/>
    <s v="2023-24"/>
    <n v="2023"/>
    <n v="8"/>
    <s v="Aug"/>
    <x v="20"/>
    <n v="14"/>
    <s v="State"/>
    <n v="13.97"/>
    <n v="20.64"/>
    <n v="5.2"/>
    <n v="0.53"/>
    <n v="39.81"/>
    <n v="40.340000000000003"/>
    <m/>
  </r>
  <r>
    <d v="2023-08-01T00:00:00"/>
    <s v="2023-24"/>
    <n v="2023"/>
    <n v="8"/>
    <s v="Aug"/>
    <x v="21"/>
    <n v="17"/>
    <s v="State"/>
    <n v="42.84"/>
    <n v="49.95"/>
    <n v="88.45"/>
    <n v="7.43"/>
    <n v="181.24"/>
    <n v="188.67"/>
    <m/>
  </r>
  <r>
    <d v="2023-08-01T00:00:00"/>
    <s v="2023-24"/>
    <n v="2023"/>
    <n v="8"/>
    <s v="Aug"/>
    <x v="22"/>
    <n v="15"/>
    <s v="State"/>
    <n v="11.67"/>
    <n v="17.28"/>
    <n v="2.91"/>
    <n v="0.05"/>
    <n v="31.86"/>
    <n v="31.91"/>
    <m/>
  </r>
  <r>
    <d v="2023-08-01T00:00:00"/>
    <s v="2023-24"/>
    <n v="2023"/>
    <n v="8"/>
    <s v="Aug"/>
    <x v="23"/>
    <n v="13"/>
    <s v="State"/>
    <n v="18.899999999999999"/>
    <n v="22.62"/>
    <n v="7.65"/>
    <n v="2.3199999999999998"/>
    <n v="49.17"/>
    <n v="51.49"/>
    <m/>
  </r>
  <r>
    <d v="2023-08-01T00:00:00"/>
    <s v="2023-24"/>
    <n v="2023"/>
    <n v="8"/>
    <s v="Aug"/>
    <x v="24"/>
    <n v="21"/>
    <s v="State"/>
    <n v="1153.31"/>
    <n v="1332.99"/>
    <n v="1205.2"/>
    <n v="716.77"/>
    <n v="3691.5"/>
    <n v="4408.2700000000004"/>
    <m/>
  </r>
  <r>
    <d v="2023-08-01T00:00:00"/>
    <s v="2023-24"/>
    <n v="2023"/>
    <n v="8"/>
    <s v="Aug"/>
    <x v="25"/>
    <n v="34"/>
    <s v="Union Territory"/>
    <n v="27.67"/>
    <n v="43.35"/>
    <n v="159.9"/>
    <n v="0.33"/>
    <n v="230.92"/>
    <n v="231.25"/>
    <m/>
  </r>
  <r>
    <d v="2023-08-01T00:00:00"/>
    <s v="2023-24"/>
    <n v="2023"/>
    <n v="8"/>
    <s v="Aug"/>
    <x v="26"/>
    <n v="3"/>
    <s v="State"/>
    <n v="419.86"/>
    <n v="602.96"/>
    <n v="758.99"/>
    <n v="30.95"/>
    <n v="1781.81"/>
    <n v="1812.76"/>
    <m/>
  </r>
  <r>
    <d v="2023-08-01T00:00:00"/>
    <s v="2023-24"/>
    <n v="2023"/>
    <n v="8"/>
    <s v="Aug"/>
    <x v="27"/>
    <n v="8"/>
    <s v="State"/>
    <n v="1011.96"/>
    <n v="1264.81"/>
    <n v="1250.22"/>
    <n v="99.33"/>
    <n v="3526.99"/>
    <n v="3626.32"/>
    <m/>
  </r>
  <r>
    <d v="2023-08-01T00:00:00"/>
    <s v="2023-24"/>
    <n v="2023"/>
    <n v="8"/>
    <s v="Aug"/>
    <x v="28"/>
    <n v="11"/>
    <s v="State"/>
    <n v="25.52"/>
    <n v="41.79"/>
    <n v="252.16"/>
    <n v="0.02"/>
    <n v="319.47000000000003"/>
    <n v="319.49"/>
    <m/>
  </r>
  <r>
    <d v="2023-08-01T00:00:00"/>
    <s v="2023-24"/>
    <n v="2023"/>
    <n v="8"/>
    <s v="Aug"/>
    <x v="29"/>
    <n v="33"/>
    <s v="State"/>
    <n v="2564.81"/>
    <n v="3300.84"/>
    <n v="2887.98"/>
    <n v="721.1"/>
    <n v="8753.6299999999992"/>
    <n v="9474.73"/>
    <m/>
  </r>
  <r>
    <d v="2023-08-01T00:00:00"/>
    <s v="2023-24"/>
    <n v="2023"/>
    <n v="8"/>
    <s v="Aug"/>
    <x v="30"/>
    <n v="36"/>
    <s v="State"/>
    <n v="1108.72"/>
    <n v="1439.46"/>
    <n v="1369"/>
    <n v="475.56"/>
    <n v="3917.18"/>
    <n v="4392.74"/>
    <m/>
  </r>
  <r>
    <d v="2023-08-01T00:00:00"/>
    <s v="2023-24"/>
    <n v="2023"/>
    <n v="8"/>
    <s v="Aug"/>
    <x v="31"/>
    <n v="16"/>
    <s v="State"/>
    <n v="26.99"/>
    <n v="35.840000000000003"/>
    <n v="15.37"/>
    <n v="0.04"/>
    <n v="78.2"/>
    <n v="78.239999999999995"/>
    <m/>
  </r>
  <r>
    <d v="2023-08-01T00:00:00"/>
    <s v="2023-24"/>
    <n v="2023"/>
    <n v="8"/>
    <s v="Aug"/>
    <x v="32"/>
    <n v="9"/>
    <s v="State"/>
    <n v="1765.56"/>
    <n v="2378.42"/>
    <n v="2059.48"/>
    <n v="1265.01"/>
    <n v="6203.46"/>
    <n v="7468.47"/>
    <m/>
  </r>
  <r>
    <d v="2023-08-01T00:00:00"/>
    <s v="2023-24"/>
    <n v="2023"/>
    <n v="8"/>
    <s v="Aug"/>
    <x v="33"/>
    <n v="5"/>
    <s v="State"/>
    <n v="309.16000000000003"/>
    <n v="382.06"/>
    <n v="653.02"/>
    <n v="8.68"/>
    <n v="1344.24"/>
    <n v="1352.92"/>
    <m/>
  </r>
  <r>
    <d v="2023-08-01T00:00:00"/>
    <s v="2023-24"/>
    <n v="2023"/>
    <n v="8"/>
    <s v="Aug"/>
    <x v="34"/>
    <n v="19"/>
    <s v="State"/>
    <n v="1468.83"/>
    <n v="1797.06"/>
    <n v="1166.79"/>
    <n v="367.33"/>
    <n v="4432.68"/>
    <n v="4800.01"/>
    <m/>
  </r>
  <r>
    <d v="2023-09-01T00:00:00"/>
    <s v="2023-24"/>
    <n v="2023"/>
    <n v="9"/>
    <s v="Sep"/>
    <x v="0"/>
    <n v="35"/>
    <s v="Union Territory"/>
    <n v="7.6"/>
    <n v="12.02"/>
    <n v="3.52"/>
    <n v="0.2"/>
    <n v="23.14"/>
    <n v="23.34"/>
    <m/>
  </r>
  <r>
    <d v="2023-09-01T00:00:00"/>
    <s v="2023-24"/>
    <n v="2023"/>
    <n v="9"/>
    <s v="Sep"/>
    <x v="1"/>
    <n v="28"/>
    <s v="State"/>
    <n v="864.83"/>
    <n v="1123.06"/>
    <n v="1357.77"/>
    <n v="312.19"/>
    <n v="3345.66"/>
    <n v="3657.85"/>
    <m/>
  </r>
  <r>
    <d v="2023-09-01T00:00:00"/>
    <s v="2023-24"/>
    <n v="2023"/>
    <n v="9"/>
    <s v="Sep"/>
    <x v="2"/>
    <n v="12"/>
    <s v="State"/>
    <n v="30.56"/>
    <n v="37.01"/>
    <n v="13.56"/>
    <n v="0.04"/>
    <n v="81.13"/>
    <n v="81.17"/>
    <m/>
  </r>
  <r>
    <d v="2023-09-01T00:00:00"/>
    <s v="2023-24"/>
    <n v="2023"/>
    <n v="9"/>
    <s v="Sep"/>
    <x v="3"/>
    <n v="18"/>
    <s v="State"/>
    <n v="361.25"/>
    <n v="448.69"/>
    <n v="311.43"/>
    <n v="53.42"/>
    <n v="1121.3699999999999"/>
    <n v="1174.79"/>
    <m/>
  </r>
  <r>
    <d v="2023-09-01T00:00:00"/>
    <s v="2023-24"/>
    <n v="2023"/>
    <n v="9"/>
    <s v="Sep"/>
    <x v="4"/>
    <n v="10"/>
    <s v="State"/>
    <n v="383.83"/>
    <n v="647.26"/>
    <n v="175.88"/>
    <n v="189.69"/>
    <n v="1206.97"/>
    <n v="1396.66"/>
    <m/>
  </r>
  <r>
    <d v="2023-09-01T00:00:00"/>
    <s v="2023-24"/>
    <n v="2023"/>
    <n v="9"/>
    <s v="Sep"/>
    <x v="5"/>
    <n v="4"/>
    <s v="Union Territory"/>
    <n v="41.25"/>
    <n v="51.74"/>
    <n v="124.82"/>
    <n v="1.25"/>
    <n v="217.81"/>
    <n v="219.06"/>
    <m/>
  </r>
  <r>
    <d v="2023-09-01T00:00:00"/>
    <s v="2023-24"/>
    <n v="2023"/>
    <n v="9"/>
    <s v="Sep"/>
    <x v="6"/>
    <n v="22"/>
    <s v="State"/>
    <n v="540.97"/>
    <n v="630.91"/>
    <n v="916.16"/>
    <n v="595.63"/>
    <n v="2088.04"/>
    <n v="2683.67"/>
    <m/>
  </r>
  <r>
    <d v="2023-09-01T00:00:00"/>
    <s v="2023-24"/>
    <n v="2023"/>
    <n v="9"/>
    <s v="Sep"/>
    <x v="7"/>
    <n v="38"/>
    <s v="Union Territory"/>
    <n v="37.340000000000003"/>
    <n v="46.81"/>
    <n v="265.35000000000002"/>
    <n v="0.64"/>
    <n v="349.5"/>
    <n v="350.14"/>
    <m/>
  </r>
  <r>
    <d v="2023-09-01T00:00:00"/>
    <s v="2023-24"/>
    <n v="2023"/>
    <n v="9"/>
    <s v="Sep"/>
    <x v="8"/>
    <n v="7"/>
    <s v="Union Territory"/>
    <n v="1040.6099999999999"/>
    <n v="1209.07"/>
    <n v="2490.1999999999998"/>
    <n v="108.67"/>
    <n v="4739.88"/>
    <n v="4848.55"/>
    <m/>
  </r>
  <r>
    <d v="2023-09-01T00:00:00"/>
    <s v="2023-24"/>
    <n v="2023"/>
    <n v="9"/>
    <s v="Sep"/>
    <x v="9"/>
    <n v="30"/>
    <s v="State"/>
    <n v="127.65"/>
    <n v="164.59"/>
    <n v="201.73"/>
    <n v="2.97"/>
    <n v="493.97"/>
    <n v="496.94"/>
    <m/>
  </r>
  <r>
    <d v="2023-09-01T00:00:00"/>
    <s v="2023-24"/>
    <n v="2023"/>
    <n v="9"/>
    <s v="Sep"/>
    <x v="10"/>
    <n v="24"/>
    <s v="State"/>
    <n v="2735.32"/>
    <n v="3399.91"/>
    <n v="3296.54"/>
    <n v="697.27"/>
    <n v="9431.77"/>
    <n v="10129.040000000001"/>
    <m/>
  </r>
  <r>
    <d v="2023-09-01T00:00:00"/>
    <s v="2023-24"/>
    <n v="2023"/>
    <n v="9"/>
    <s v="Sep"/>
    <x v="11"/>
    <n v="6"/>
    <s v="State"/>
    <n v="1187.6300000000001"/>
    <n v="1559.34"/>
    <n v="4645.4799999999996"/>
    <n v="616.53"/>
    <n v="7392.45"/>
    <n v="8008.98"/>
    <m/>
  </r>
  <r>
    <d v="2023-09-01T00:00:00"/>
    <s v="2023-24"/>
    <n v="2023"/>
    <n v="9"/>
    <s v="Sep"/>
    <x v="12"/>
    <n v="2"/>
    <s v="State"/>
    <n v="136.28"/>
    <n v="183.62"/>
    <n v="461.66"/>
    <n v="2.0099999999999998"/>
    <n v="781.56"/>
    <n v="783.57"/>
    <m/>
  </r>
  <r>
    <d v="2023-09-01T00:00:00"/>
    <s v="2023-24"/>
    <n v="2023"/>
    <n v="9"/>
    <s v="Sep"/>
    <x v="13"/>
    <n v="1"/>
    <s v="Union Territory"/>
    <n v="162.28"/>
    <n v="231.32"/>
    <n v="161.05000000000001"/>
    <n v="8.73"/>
    <n v="554.65"/>
    <n v="563.38"/>
    <m/>
  </r>
  <r>
    <d v="2023-09-01T00:00:00"/>
    <s v="2023-24"/>
    <n v="2023"/>
    <n v="9"/>
    <s v="Sep"/>
    <x v="14"/>
    <n v="20"/>
    <s v="State"/>
    <n v="452.34"/>
    <n v="637.25"/>
    <n v="985.7"/>
    <n v="548.15"/>
    <n v="2075.29"/>
    <n v="2623.44"/>
    <m/>
  </r>
  <r>
    <d v="2023-09-01T00:00:00"/>
    <s v="2023-24"/>
    <n v="2023"/>
    <n v="9"/>
    <s v="Sep"/>
    <x v="15"/>
    <n v="29"/>
    <s v="State"/>
    <n v="2613.67"/>
    <n v="3468.48"/>
    <n v="4322.8999999999996"/>
    <n v="1288.02"/>
    <n v="10405.049999999999"/>
    <n v="11693.07"/>
    <m/>
  </r>
  <r>
    <d v="2023-09-01T00:00:00"/>
    <s v="2023-24"/>
    <n v="2023"/>
    <n v="9"/>
    <s v="Sep"/>
    <x v="16"/>
    <n v="32"/>
    <s v="State"/>
    <n v="873.38"/>
    <n v="1167.48"/>
    <n v="460.94"/>
    <n v="3.21"/>
    <n v="2501.8000000000002"/>
    <n v="2505.0100000000002"/>
    <m/>
  </r>
  <r>
    <d v="2023-09-01T00:00:00"/>
    <s v="2023-24"/>
    <n v="2023"/>
    <n v="9"/>
    <s v="Sep"/>
    <x v="35"/>
    <n v="37"/>
    <s v="Union Territory"/>
    <n v="13.1"/>
    <n v="18.39"/>
    <n v="3.38"/>
    <n v="0.11"/>
    <n v="34.869999999999997"/>
    <n v="34.979999999999997"/>
    <m/>
  </r>
  <r>
    <d v="2023-09-01T00:00:00"/>
    <s v="2023-24"/>
    <n v="2023"/>
    <n v="9"/>
    <s v="Sep"/>
    <x v="17"/>
    <n v="31"/>
    <s v="Union Territory"/>
    <n v="0.65"/>
    <n v="0.78"/>
    <n v="0.17"/>
    <n v="0"/>
    <n v="1.6"/>
    <n v="1.6"/>
    <m/>
  </r>
  <r>
    <d v="2023-09-01T00:00:00"/>
    <s v="2023-24"/>
    <n v="2023"/>
    <n v="9"/>
    <s v="Sep"/>
    <x v="18"/>
    <n v="23"/>
    <s v="State"/>
    <n v="788.13"/>
    <n v="989.23"/>
    <n v="722.77"/>
    <n v="617.54"/>
    <n v="2500.13"/>
    <n v="3117.67"/>
    <m/>
  </r>
  <r>
    <d v="2023-09-01T00:00:00"/>
    <s v="2023-24"/>
    <n v="2023"/>
    <n v="9"/>
    <s v="Sep"/>
    <x v="19"/>
    <n v="27"/>
    <s v="State"/>
    <n v="6841.3"/>
    <n v="8008.83"/>
    <n v="8479.33"/>
    <n v="1807.11"/>
    <n v="23329.46"/>
    <n v="25136.57"/>
    <m/>
  </r>
  <r>
    <d v="2023-09-01T00:00:00"/>
    <s v="2023-24"/>
    <n v="2023"/>
    <n v="9"/>
    <s v="Sep"/>
    <x v="20"/>
    <n v="14"/>
    <s v="State"/>
    <n v="23.47"/>
    <n v="29.23"/>
    <n v="3.57"/>
    <n v="0.13"/>
    <n v="56.27"/>
    <n v="56.4"/>
    <m/>
  </r>
  <r>
    <d v="2023-09-01T00:00:00"/>
    <s v="2023-24"/>
    <n v="2023"/>
    <n v="9"/>
    <s v="Sep"/>
    <x v="21"/>
    <n v="17"/>
    <s v="State"/>
    <n v="34.909999999999997"/>
    <n v="41.48"/>
    <n v="85.48"/>
    <n v="2.9"/>
    <n v="161.87"/>
    <n v="164.77"/>
    <m/>
  </r>
  <r>
    <d v="2023-09-01T00:00:00"/>
    <s v="2023-24"/>
    <n v="2023"/>
    <n v="9"/>
    <s v="Sep"/>
    <x v="22"/>
    <n v="15"/>
    <s v="State"/>
    <n v="9.89"/>
    <n v="14.78"/>
    <n v="2.69"/>
    <n v="0.03"/>
    <n v="27.36"/>
    <n v="27.39"/>
    <m/>
  </r>
  <r>
    <d v="2023-09-01T00:00:00"/>
    <s v="2023-24"/>
    <n v="2023"/>
    <n v="9"/>
    <s v="Sep"/>
    <x v="23"/>
    <n v="13"/>
    <s v="State"/>
    <n v="15.06"/>
    <n v="23.26"/>
    <n v="9.51"/>
    <n v="3.75"/>
    <n v="47.83"/>
    <n v="51.58"/>
    <m/>
  </r>
  <r>
    <d v="2023-09-01T00:00:00"/>
    <s v="2023-24"/>
    <n v="2023"/>
    <n v="9"/>
    <s v="Sep"/>
    <x v="24"/>
    <n v="21"/>
    <s v="State"/>
    <n v="1010.47"/>
    <n v="1197.3699999999999"/>
    <n v="1301.31"/>
    <n v="739.97"/>
    <n v="3509.15"/>
    <n v="4249.12"/>
    <m/>
  </r>
  <r>
    <d v="2023-09-01T00:00:00"/>
    <s v="2023-24"/>
    <n v="2023"/>
    <n v="9"/>
    <s v="Sep"/>
    <x v="25"/>
    <n v="34"/>
    <s v="Union Territory"/>
    <n v="26.26"/>
    <n v="41.32"/>
    <n v="127.97"/>
    <n v="1.87"/>
    <n v="195.55"/>
    <n v="197.42"/>
    <m/>
  </r>
  <r>
    <d v="2023-09-01T00:00:00"/>
    <s v="2023-24"/>
    <n v="2023"/>
    <n v="9"/>
    <s v="Sep"/>
    <x v="26"/>
    <n v="3"/>
    <s v="State"/>
    <n v="444.81"/>
    <n v="661.17"/>
    <n v="725.66"/>
    <n v="33.92"/>
    <n v="1831.64"/>
    <n v="1865.56"/>
    <m/>
  </r>
  <r>
    <d v="2023-09-01T00:00:00"/>
    <s v="2023-24"/>
    <n v="2023"/>
    <n v="9"/>
    <s v="Sep"/>
    <x v="27"/>
    <n v="8"/>
    <s v="State"/>
    <n v="1046.2"/>
    <n v="1321.4"/>
    <n v="1346.26"/>
    <n v="155.27000000000001"/>
    <n v="3713.86"/>
    <n v="3869.13"/>
    <m/>
  </r>
  <r>
    <d v="2023-09-01T00:00:00"/>
    <s v="2023-24"/>
    <n v="2023"/>
    <n v="9"/>
    <s v="Sep"/>
    <x v="28"/>
    <n v="11"/>
    <s v="State"/>
    <n v="25.05"/>
    <n v="29.34"/>
    <n v="260.3"/>
    <n v="0.03"/>
    <n v="314.69"/>
    <n v="314.72000000000003"/>
    <m/>
  </r>
  <r>
    <d v="2023-09-01T00:00:00"/>
    <s v="2023-24"/>
    <n v="2023"/>
    <n v="9"/>
    <s v="Sep"/>
    <x v="29"/>
    <n v="33"/>
    <s v="State"/>
    <n v="2689.9"/>
    <n v="3520.58"/>
    <n v="3486.41"/>
    <n v="784.57"/>
    <n v="9696.89"/>
    <n v="10481.459999999999"/>
    <m/>
  </r>
  <r>
    <d v="2023-09-01T00:00:00"/>
    <s v="2023-24"/>
    <n v="2023"/>
    <n v="9"/>
    <s v="Sep"/>
    <x v="30"/>
    <n v="36"/>
    <s v="State"/>
    <n v="1503.13"/>
    <n v="1880.52"/>
    <n v="1330.61"/>
    <n v="511.5"/>
    <n v="4714.26"/>
    <n v="5225.76"/>
    <m/>
  </r>
  <r>
    <d v="2023-09-01T00:00:00"/>
    <s v="2023-24"/>
    <n v="2023"/>
    <n v="9"/>
    <s v="Sep"/>
    <x v="31"/>
    <n v="16"/>
    <s v="State"/>
    <n v="26.96"/>
    <n v="34.770000000000003"/>
    <n v="11.24"/>
    <n v="0.33"/>
    <n v="72.97"/>
    <n v="73.3"/>
    <m/>
  </r>
  <r>
    <d v="2023-09-01T00:00:00"/>
    <s v="2023-24"/>
    <n v="2023"/>
    <n v="9"/>
    <s v="Sep"/>
    <x v="32"/>
    <n v="9"/>
    <s v="State"/>
    <n v="1862.38"/>
    <n v="2517.5500000000002"/>
    <n v="2143.0300000000002"/>
    <n v="1321.48"/>
    <n v="6522.96"/>
    <n v="7844.44"/>
    <m/>
  </r>
  <r>
    <d v="2023-09-01T00:00:00"/>
    <s v="2023-24"/>
    <n v="2023"/>
    <n v="9"/>
    <s v="Sep"/>
    <x v="33"/>
    <n v="5"/>
    <s v="State"/>
    <n v="268.33999999999997"/>
    <n v="387.27"/>
    <n v="725.58"/>
    <n v="11.17"/>
    <n v="1381.19"/>
    <n v="1392.36"/>
    <m/>
  </r>
  <r>
    <d v="2023-09-01T00:00:00"/>
    <s v="2023-24"/>
    <n v="2023"/>
    <n v="9"/>
    <s v="Sep"/>
    <x v="34"/>
    <n v="19"/>
    <s v="State"/>
    <n v="1572.17"/>
    <n v="1897.96"/>
    <n v="1157.8499999999999"/>
    <n v="312.49"/>
    <n v="4627.9799999999996"/>
    <n v="4940.47"/>
    <m/>
  </r>
  <r>
    <d v="2023-10-01T00:00:00"/>
    <s v="2023-24"/>
    <n v="2023"/>
    <n v="10"/>
    <s v="Oct"/>
    <x v="0"/>
    <n v="35"/>
    <s v="Union Territory"/>
    <n v="10.65"/>
    <n v="13.83"/>
    <n v="4.12"/>
    <n v="0.04"/>
    <n v="28.6"/>
    <n v="28.64"/>
    <m/>
  </r>
  <r>
    <d v="2023-10-01T00:00:00"/>
    <s v="2023-24"/>
    <n v="2023"/>
    <n v="10"/>
    <s v="Oct"/>
    <x v="1"/>
    <n v="28"/>
    <s v="State"/>
    <n v="812.35"/>
    <n v="1099.69"/>
    <n v="1178.76"/>
    <n v="312.45999999999998"/>
    <n v="3090.8"/>
    <n v="3403.26"/>
    <m/>
  </r>
  <r>
    <d v="2023-10-01T00:00:00"/>
    <s v="2023-24"/>
    <n v="2023"/>
    <n v="10"/>
    <s v="Oct"/>
    <x v="2"/>
    <n v="12"/>
    <s v="State"/>
    <n v="28.01"/>
    <n v="35.869999999999997"/>
    <n v="22.53"/>
    <n v="0.1"/>
    <n v="86.41"/>
    <n v="86.51"/>
    <m/>
  </r>
  <r>
    <d v="2023-10-01T00:00:00"/>
    <s v="2023-24"/>
    <n v="2023"/>
    <n v="10"/>
    <s v="Oct"/>
    <x v="3"/>
    <n v="18"/>
    <s v="State"/>
    <n v="409.08"/>
    <n v="521.61"/>
    <n v="316.86"/>
    <n v="65.37"/>
    <n v="1247.55"/>
    <n v="1312.92"/>
    <m/>
  </r>
  <r>
    <d v="2023-10-01T00:00:00"/>
    <s v="2023-24"/>
    <n v="2023"/>
    <n v="10"/>
    <s v="Oct"/>
    <x v="4"/>
    <n v="10"/>
    <s v="State"/>
    <n v="380.28"/>
    <n v="639.26"/>
    <n v="190.9"/>
    <n v="195.87"/>
    <n v="1210.44"/>
    <n v="1406.31"/>
    <m/>
  </r>
  <r>
    <d v="2023-10-01T00:00:00"/>
    <s v="2023-24"/>
    <n v="2023"/>
    <n v="10"/>
    <s v="Oct"/>
    <x v="5"/>
    <n v="4"/>
    <s v="Union Territory"/>
    <n v="42.45"/>
    <n v="53.7"/>
    <n v="112.06"/>
    <n v="1.66"/>
    <n v="208.21"/>
    <n v="209.87"/>
    <m/>
  </r>
  <r>
    <d v="2023-10-01T00:00:00"/>
    <s v="2023-24"/>
    <n v="2023"/>
    <n v="10"/>
    <s v="Oct"/>
    <x v="6"/>
    <n v="22"/>
    <s v="State"/>
    <n v="531.34"/>
    <n v="636.66"/>
    <n v="966.89"/>
    <n v="546.48"/>
    <n v="2134.89"/>
    <n v="2681.37"/>
    <m/>
  </r>
  <r>
    <d v="2023-10-01T00:00:00"/>
    <s v="2023-24"/>
    <n v="2023"/>
    <n v="10"/>
    <s v="Oct"/>
    <x v="7"/>
    <n v="38"/>
    <s v="Union Territory"/>
    <n v="42.55"/>
    <n v="56.56"/>
    <n v="273.85000000000002"/>
    <n v="0.28000000000000003"/>
    <n v="372.96"/>
    <n v="373.24"/>
    <m/>
  </r>
  <r>
    <d v="2023-10-01T00:00:00"/>
    <s v="2023-24"/>
    <n v="2023"/>
    <n v="10"/>
    <s v="Oct"/>
    <x v="8"/>
    <n v="7"/>
    <s v="Union Territory"/>
    <n v="1209.78"/>
    <n v="1425.11"/>
    <n v="5006.97"/>
    <n v="111.68"/>
    <n v="7641.86"/>
    <n v="7753.54"/>
    <m/>
  </r>
  <r>
    <d v="2023-10-01T00:00:00"/>
    <s v="2023-24"/>
    <n v="2023"/>
    <n v="10"/>
    <s v="Oct"/>
    <x v="9"/>
    <n v="30"/>
    <s v="State"/>
    <n v="156.24"/>
    <n v="197.55"/>
    <n v="172.67"/>
    <n v="3.47"/>
    <n v="526.46"/>
    <n v="529.92999999999995"/>
    <m/>
  </r>
  <r>
    <d v="2023-10-01T00:00:00"/>
    <s v="2023-24"/>
    <n v="2023"/>
    <n v="10"/>
    <s v="Oct"/>
    <x v="10"/>
    <n v="24"/>
    <s v="State"/>
    <n v="2616.16"/>
    <n v="3165.53"/>
    <n v="3289.85"/>
    <n v="658.64"/>
    <n v="9071.5400000000009"/>
    <n v="9730.18"/>
    <m/>
  </r>
  <r>
    <d v="2023-10-01T00:00:00"/>
    <s v="2023-24"/>
    <n v="2023"/>
    <n v="10"/>
    <s v="Oct"/>
    <x v="11"/>
    <n v="6"/>
    <s v="State"/>
    <n v="1338.39"/>
    <n v="1772.88"/>
    <n v="4907.34"/>
    <n v="697.23"/>
    <n v="8018.61"/>
    <n v="8715.84"/>
    <m/>
  </r>
  <r>
    <d v="2023-10-01T00:00:00"/>
    <s v="2023-24"/>
    <n v="2023"/>
    <n v="10"/>
    <s v="Oct"/>
    <x v="12"/>
    <n v="2"/>
    <s v="State"/>
    <n v="176.15"/>
    <n v="231.7"/>
    <n v="476.15"/>
    <n v="1.25"/>
    <n v="884"/>
    <n v="885.25"/>
    <m/>
  </r>
  <r>
    <d v="2023-10-01T00:00:00"/>
    <s v="2023-24"/>
    <n v="2023"/>
    <n v="10"/>
    <s v="Oct"/>
    <x v="13"/>
    <n v="1"/>
    <s v="Union Territory"/>
    <n v="167.86"/>
    <n v="246.67"/>
    <n v="171.27"/>
    <n v="7.35"/>
    <n v="585.79999999999995"/>
    <n v="593.15"/>
    <m/>
  </r>
  <r>
    <d v="2023-10-01T00:00:00"/>
    <s v="2023-24"/>
    <n v="2023"/>
    <n v="10"/>
    <s v="Oct"/>
    <x v="14"/>
    <n v="20"/>
    <s v="State"/>
    <n v="512.96"/>
    <n v="690.15"/>
    <n v="1164.68"/>
    <n v="518.38"/>
    <n v="2367.79"/>
    <n v="2886.17"/>
    <m/>
  </r>
  <r>
    <d v="2023-10-01T00:00:00"/>
    <s v="2023-24"/>
    <n v="2023"/>
    <n v="10"/>
    <s v="Oct"/>
    <x v="15"/>
    <n v="29"/>
    <s v="State"/>
    <n v="2611.7800000000002"/>
    <n v="3302.93"/>
    <n v="4559.28"/>
    <n v="1496.61"/>
    <n v="10473.99"/>
    <n v="11970.6"/>
    <m/>
  </r>
  <r>
    <d v="2023-10-01T00:00:00"/>
    <s v="2023-24"/>
    <n v="2023"/>
    <n v="10"/>
    <s v="Oct"/>
    <x v="16"/>
    <n v="32"/>
    <s v="State"/>
    <n v="836.91"/>
    <n v="1095.8399999999999"/>
    <n v="481.72"/>
    <n v="3.64"/>
    <n v="2414.4699999999998"/>
    <n v="2418.11"/>
    <m/>
  </r>
  <r>
    <d v="2023-10-01T00:00:00"/>
    <s v="2023-24"/>
    <n v="2023"/>
    <n v="10"/>
    <s v="Oct"/>
    <x v="35"/>
    <n v="37"/>
    <s v="Union Territory"/>
    <n v="14.29"/>
    <n v="23.19"/>
    <n v="5.43"/>
    <n v="0.42"/>
    <n v="42.91"/>
    <n v="43.33"/>
    <m/>
  </r>
  <r>
    <d v="2023-10-01T00:00:00"/>
    <s v="2023-24"/>
    <n v="2023"/>
    <n v="10"/>
    <s v="Oct"/>
    <x v="17"/>
    <n v="31"/>
    <s v="Union Territory"/>
    <n v="0.08"/>
    <n v="1.25"/>
    <n v="0.16"/>
    <n v="0"/>
    <n v="1.49"/>
    <n v="1.49"/>
    <m/>
  </r>
  <r>
    <d v="2023-10-01T00:00:00"/>
    <s v="2023-24"/>
    <n v="2023"/>
    <n v="10"/>
    <s v="Oct"/>
    <x v="18"/>
    <n v="23"/>
    <s v="State"/>
    <n v="828.75"/>
    <n v="1060"/>
    <n v="827.69"/>
    <n v="609.05999999999995"/>
    <n v="2716.44"/>
    <n v="3325.5"/>
    <m/>
  </r>
  <r>
    <d v="2023-10-01T00:00:00"/>
    <s v="2023-24"/>
    <n v="2023"/>
    <n v="10"/>
    <s v="Oct"/>
    <x v="19"/>
    <n v="27"/>
    <s v="State"/>
    <n v="6817.12"/>
    <n v="7994.85"/>
    <n v="10610.6"/>
    <n v="1886.6"/>
    <n v="25422.57"/>
    <n v="27309.17"/>
    <m/>
  </r>
  <r>
    <d v="2023-10-01T00:00:00"/>
    <s v="2023-24"/>
    <n v="2023"/>
    <n v="10"/>
    <s v="Oct"/>
    <x v="20"/>
    <n v="14"/>
    <s v="State"/>
    <n v="28.98"/>
    <n v="32.630000000000003"/>
    <n v="7.63"/>
    <n v="0.57999999999999996"/>
    <n v="69.239999999999995"/>
    <n v="69.819999999999993"/>
    <m/>
  </r>
  <r>
    <d v="2023-10-01T00:00:00"/>
    <s v="2023-24"/>
    <n v="2023"/>
    <n v="10"/>
    <s v="Oct"/>
    <x v="21"/>
    <n v="17"/>
    <s v="State"/>
    <n v="34.229999999999997"/>
    <n v="41.88"/>
    <n v="65.94"/>
    <n v="0.26"/>
    <n v="142.05000000000001"/>
    <n v="142.31"/>
    <m/>
  </r>
  <r>
    <d v="2023-10-01T00:00:00"/>
    <s v="2023-24"/>
    <n v="2023"/>
    <n v="10"/>
    <s v="Oct"/>
    <x v="22"/>
    <n v="15"/>
    <s v="State"/>
    <n v="14.87"/>
    <n v="20.98"/>
    <n v="3.53"/>
    <n v="0.06"/>
    <n v="39.380000000000003"/>
    <n v="39.44"/>
    <m/>
  </r>
  <r>
    <d v="2023-10-01T00:00:00"/>
    <s v="2023-24"/>
    <n v="2023"/>
    <n v="10"/>
    <s v="Oct"/>
    <x v="23"/>
    <n v="13"/>
    <s v="State"/>
    <n v="17.989999999999998"/>
    <n v="21.91"/>
    <n v="6.94"/>
    <n v="2.17"/>
    <n v="46.84"/>
    <n v="49.01"/>
    <m/>
  </r>
  <r>
    <d v="2023-10-01T00:00:00"/>
    <s v="2023-24"/>
    <n v="2023"/>
    <n v="10"/>
    <s v="Oct"/>
    <x v="24"/>
    <n v="21"/>
    <s v="State"/>
    <n v="1051.33"/>
    <n v="1306.47"/>
    <n v="1121.7"/>
    <n v="697.44"/>
    <n v="3479.5"/>
    <n v="4176.9399999999996"/>
    <m/>
  </r>
  <r>
    <d v="2023-10-01T00:00:00"/>
    <s v="2023-24"/>
    <n v="2023"/>
    <n v="10"/>
    <s v="Oct"/>
    <x v="25"/>
    <n v="34"/>
    <s v="Union Territory"/>
    <n v="29"/>
    <n v="41.93"/>
    <n v="139.51"/>
    <n v="1.1299999999999999"/>
    <n v="210.44"/>
    <n v="211.57"/>
    <m/>
  </r>
  <r>
    <d v="2023-10-01T00:00:00"/>
    <s v="2023-24"/>
    <n v="2023"/>
    <n v="10"/>
    <s v="Oct"/>
    <x v="26"/>
    <n v="3"/>
    <s v="State"/>
    <n v="470.96"/>
    <n v="686.86"/>
    <n v="791.37"/>
    <n v="32.08"/>
    <n v="1949.19"/>
    <n v="1981.27"/>
    <m/>
  </r>
  <r>
    <d v="2023-10-01T00:00:00"/>
    <s v="2023-24"/>
    <n v="2023"/>
    <n v="10"/>
    <s v="Oct"/>
    <x v="27"/>
    <n v="8"/>
    <s v="State"/>
    <n v="1075.0999999999999"/>
    <n v="1370.52"/>
    <n v="1407.04"/>
    <n v="193.11"/>
    <n v="3852.66"/>
    <n v="4045.77"/>
    <m/>
  </r>
  <r>
    <d v="2023-10-01T00:00:00"/>
    <s v="2023-24"/>
    <n v="2023"/>
    <n v="10"/>
    <s v="Oct"/>
    <x v="28"/>
    <n v="11"/>
    <s v="State"/>
    <n v="21.97"/>
    <n v="30.75"/>
    <n v="273.35000000000002"/>
    <n v="0.03"/>
    <n v="326.07"/>
    <n v="326.10000000000002"/>
    <m/>
  </r>
  <r>
    <d v="2023-10-01T00:00:00"/>
    <s v="2023-24"/>
    <n v="2023"/>
    <n v="10"/>
    <s v="Oct"/>
    <x v="29"/>
    <n v="33"/>
    <s v="State"/>
    <n v="2633.13"/>
    <n v="3502.19"/>
    <n v="3844.5"/>
    <n v="781.05"/>
    <n v="9979.82"/>
    <n v="10760.87"/>
    <m/>
  </r>
  <r>
    <d v="2023-10-01T00:00:00"/>
    <s v="2023-24"/>
    <n v="2023"/>
    <n v="10"/>
    <s v="Oct"/>
    <x v="30"/>
    <n v="36"/>
    <s v="State"/>
    <n v="1213.17"/>
    <n v="1587.59"/>
    <n v="1525.41"/>
    <n v="541.47"/>
    <n v="4326.17"/>
    <n v="4867.6400000000003"/>
    <m/>
  </r>
  <r>
    <d v="2023-10-01T00:00:00"/>
    <s v="2023-24"/>
    <n v="2023"/>
    <n v="10"/>
    <s v="Oct"/>
    <x v="31"/>
    <n v="16"/>
    <s v="State"/>
    <n v="30.68"/>
    <n v="40.82"/>
    <n v="19.78"/>
    <n v="0.05"/>
    <n v="91.28"/>
    <n v="91.33"/>
    <m/>
  </r>
  <r>
    <d v="2023-10-01T00:00:00"/>
    <s v="2023-24"/>
    <n v="2023"/>
    <n v="10"/>
    <s v="Oct"/>
    <x v="32"/>
    <n v="9"/>
    <s v="State"/>
    <n v="2052.3200000000002"/>
    <n v="2811.1"/>
    <n v="2677.14"/>
    <n v="1423.89"/>
    <n v="7540.56"/>
    <n v="8964.4500000000007"/>
    <m/>
  </r>
  <r>
    <d v="2023-10-01T00:00:00"/>
    <s v="2023-24"/>
    <n v="2023"/>
    <n v="10"/>
    <s v="Oct"/>
    <x v="33"/>
    <n v="5"/>
    <s v="State"/>
    <n v="379.42"/>
    <n v="550.34"/>
    <n v="894.56"/>
    <n v="10.1"/>
    <n v="1824.32"/>
    <n v="1834.42"/>
    <m/>
  </r>
  <r>
    <d v="2023-10-01T00:00:00"/>
    <s v="2023-24"/>
    <n v="2023"/>
    <n v="10"/>
    <s v="Oct"/>
    <x v="34"/>
    <n v="19"/>
    <s v="State"/>
    <n v="1451.71"/>
    <n v="1839.21"/>
    <n v="1200.77"/>
    <n v="361.59"/>
    <n v="4491.6899999999996"/>
    <n v="4853.28"/>
    <m/>
  </r>
  <r>
    <d v="2023-11-01T00:00:00"/>
    <s v="2023-24"/>
    <n v="2023"/>
    <n v="11"/>
    <s v="Nov"/>
    <x v="0"/>
    <n v="35"/>
    <s v="Union Territory"/>
    <n v="11"/>
    <n v="15.31"/>
    <n v="4.58"/>
    <n v="0.14000000000000001"/>
    <n v="30.89"/>
    <n v="31.03"/>
    <m/>
  </r>
  <r>
    <d v="2023-11-01T00:00:00"/>
    <s v="2023-24"/>
    <n v="2023"/>
    <n v="11"/>
    <s v="Nov"/>
    <x v="1"/>
    <n v="28"/>
    <s v="State"/>
    <n v="830.31"/>
    <n v="1163.05"/>
    <n v="1731.79"/>
    <n v="367.97"/>
    <n v="3725.15"/>
    <n v="4093.12"/>
    <m/>
  </r>
  <r>
    <d v="2023-11-01T00:00:00"/>
    <s v="2023-24"/>
    <n v="2023"/>
    <n v="11"/>
    <s v="Nov"/>
    <x v="2"/>
    <n v="12"/>
    <s v="State"/>
    <n v="32.409999999999997"/>
    <n v="39.56"/>
    <n v="19.760000000000002"/>
    <n v="0.5"/>
    <n v="91.73"/>
    <n v="92.23"/>
    <m/>
  </r>
  <r>
    <d v="2023-11-01T00:00:00"/>
    <s v="2023-24"/>
    <n v="2023"/>
    <n v="11"/>
    <s v="Nov"/>
    <x v="3"/>
    <n v="18"/>
    <s v="State"/>
    <n v="365.92"/>
    <n v="457.44"/>
    <n v="331.15"/>
    <n v="77.37"/>
    <n v="1154.51"/>
    <n v="1231.8800000000001"/>
    <m/>
  </r>
  <r>
    <d v="2023-11-01T00:00:00"/>
    <s v="2023-24"/>
    <n v="2023"/>
    <n v="11"/>
    <s v="Nov"/>
    <x v="4"/>
    <n v="10"/>
    <s v="State"/>
    <n v="395.98"/>
    <n v="645.71"/>
    <n v="211.57"/>
    <n v="135.16"/>
    <n v="1253.26"/>
    <n v="1388.42"/>
    <m/>
  </r>
  <r>
    <d v="2023-11-01T00:00:00"/>
    <s v="2023-24"/>
    <n v="2023"/>
    <n v="11"/>
    <s v="Nov"/>
    <x v="5"/>
    <n v="4"/>
    <s v="Union Territory"/>
    <n v="40.08"/>
    <n v="49.67"/>
    <n v="120.1"/>
    <n v="0.45"/>
    <n v="209.85"/>
    <n v="210.3"/>
    <m/>
  </r>
  <r>
    <d v="2023-11-01T00:00:00"/>
    <s v="2023-24"/>
    <n v="2023"/>
    <n v="11"/>
    <s v="Nov"/>
    <x v="6"/>
    <n v="22"/>
    <s v="State"/>
    <n v="536.25"/>
    <n v="625.23"/>
    <n v="1124.17"/>
    <n v="650.05999999999995"/>
    <n v="2285.65"/>
    <n v="2935.71"/>
    <m/>
  </r>
  <r>
    <d v="2023-11-01T00:00:00"/>
    <s v="2023-24"/>
    <n v="2023"/>
    <n v="11"/>
    <s v="Nov"/>
    <x v="7"/>
    <n v="38"/>
    <s v="Union Territory"/>
    <n v="41.49"/>
    <n v="54.6"/>
    <n v="236.41"/>
    <n v="0.15"/>
    <n v="332.5"/>
    <n v="332.65"/>
    <m/>
  </r>
  <r>
    <d v="2023-11-01T00:00:00"/>
    <s v="2023-24"/>
    <n v="2023"/>
    <n v="11"/>
    <s v="Nov"/>
    <x v="8"/>
    <n v="7"/>
    <s v="Union Territory"/>
    <n v="1081.54"/>
    <n v="1275.82"/>
    <n v="2880.33"/>
    <n v="109.38"/>
    <n v="5237.6899999999996"/>
    <n v="5347.07"/>
    <m/>
  </r>
  <r>
    <d v="2023-11-01T00:00:00"/>
    <s v="2023-24"/>
    <n v="2023"/>
    <n v="11"/>
    <s v="Nov"/>
    <x v="9"/>
    <n v="30"/>
    <s v="State"/>
    <n v="140.26"/>
    <n v="180.03"/>
    <n v="180.11"/>
    <n v="2.69"/>
    <n v="500.4"/>
    <n v="503.09"/>
    <m/>
  </r>
  <r>
    <d v="2023-11-01T00:00:00"/>
    <s v="2023-24"/>
    <n v="2023"/>
    <n v="11"/>
    <s v="Nov"/>
    <x v="10"/>
    <n v="24"/>
    <s v="State"/>
    <n v="2981.72"/>
    <n v="3665.77"/>
    <n v="3475.42"/>
    <n v="730.35"/>
    <n v="10122.91"/>
    <n v="10853.26"/>
    <m/>
  </r>
  <r>
    <d v="2023-11-01T00:00:00"/>
    <s v="2023-24"/>
    <n v="2023"/>
    <n v="11"/>
    <s v="Nov"/>
    <x v="11"/>
    <n v="6"/>
    <s v="State"/>
    <n v="1415.4"/>
    <n v="1778.52"/>
    <n v="5868.5"/>
    <n v="669.6"/>
    <n v="9062.42"/>
    <n v="9732.02"/>
    <m/>
  </r>
  <r>
    <d v="2023-11-01T00:00:00"/>
    <s v="2023-24"/>
    <n v="2023"/>
    <n v="11"/>
    <s v="Nov"/>
    <x v="12"/>
    <n v="2"/>
    <s v="State"/>
    <n v="128.63999999999999"/>
    <n v="185.23"/>
    <n v="487.01"/>
    <n v="1.1499999999999999"/>
    <n v="800.88"/>
    <n v="802.03"/>
    <m/>
  </r>
  <r>
    <d v="2023-11-01T00:00:00"/>
    <s v="2023-24"/>
    <n v="2023"/>
    <n v="11"/>
    <s v="Nov"/>
    <x v="13"/>
    <n v="1"/>
    <s v="Union Territory"/>
    <n v="132.65"/>
    <n v="198.39"/>
    <n v="134.83000000000001"/>
    <n v="3.39"/>
    <n v="465.87"/>
    <n v="469.26"/>
    <m/>
  </r>
  <r>
    <d v="2023-11-01T00:00:00"/>
    <s v="2023-24"/>
    <n v="2023"/>
    <n v="11"/>
    <s v="Nov"/>
    <x v="14"/>
    <n v="20"/>
    <s v="State"/>
    <n v="510.25"/>
    <n v="714.13"/>
    <n v="933.25"/>
    <n v="475.07"/>
    <n v="2157.63"/>
    <n v="2632.7"/>
    <m/>
  </r>
  <r>
    <d v="2023-11-01T00:00:00"/>
    <s v="2023-24"/>
    <n v="2023"/>
    <n v="11"/>
    <s v="Nov"/>
    <x v="15"/>
    <n v="29"/>
    <s v="State"/>
    <n v="2745.92"/>
    <n v="3312.81"/>
    <n v="4551.3900000000003"/>
    <n v="1360.03"/>
    <n v="10610.12"/>
    <n v="11970.15"/>
    <m/>
  </r>
  <r>
    <d v="2023-11-01T00:00:00"/>
    <s v="2023-24"/>
    <n v="2023"/>
    <n v="11"/>
    <s v="Nov"/>
    <x v="16"/>
    <n v="32"/>
    <s v="State"/>
    <n v="873.74"/>
    <n v="1089.1500000000001"/>
    <n v="547.94000000000005"/>
    <n v="3.9"/>
    <n v="2510.83"/>
    <n v="2514.73"/>
    <m/>
  </r>
  <r>
    <d v="2023-11-01T00:00:00"/>
    <s v="2023-24"/>
    <n v="2023"/>
    <n v="11"/>
    <s v="Nov"/>
    <x v="35"/>
    <n v="37"/>
    <s v="Union Territory"/>
    <n v="24.54"/>
    <n v="34.06"/>
    <n v="3.67"/>
    <n v="0"/>
    <n v="62.27"/>
    <n v="62.27"/>
    <m/>
  </r>
  <r>
    <d v="2023-11-01T00:00:00"/>
    <s v="2023-24"/>
    <n v="2023"/>
    <n v="11"/>
    <s v="Nov"/>
    <x v="17"/>
    <n v="31"/>
    <s v="Union Territory"/>
    <n v="0.12"/>
    <n v="0.13"/>
    <n v="0.16"/>
    <n v="0"/>
    <n v="0.41"/>
    <n v="0.41"/>
    <m/>
  </r>
  <r>
    <d v="2023-11-01T00:00:00"/>
    <s v="2023-24"/>
    <n v="2023"/>
    <n v="11"/>
    <s v="Nov"/>
    <x v="18"/>
    <n v="23"/>
    <s v="State"/>
    <n v="881.06"/>
    <n v="1112.17"/>
    <n v="1016.85"/>
    <n v="635.96"/>
    <n v="3010.08"/>
    <n v="3646.04"/>
    <m/>
  </r>
  <r>
    <d v="2023-11-01T00:00:00"/>
    <s v="2023-24"/>
    <n v="2023"/>
    <n v="11"/>
    <s v="Nov"/>
    <x v="19"/>
    <n v="27"/>
    <s v="State"/>
    <n v="6813.52"/>
    <n v="7925.71"/>
    <n v="8683.4599999999991"/>
    <n v="2162.08"/>
    <n v="23422.69"/>
    <n v="25584.77"/>
    <m/>
  </r>
  <r>
    <d v="2023-11-01T00:00:00"/>
    <s v="2023-24"/>
    <n v="2023"/>
    <n v="11"/>
    <s v="Nov"/>
    <x v="20"/>
    <n v="14"/>
    <s v="State"/>
    <n v="13.64"/>
    <n v="18.82"/>
    <n v="7.15"/>
    <n v="0.13"/>
    <n v="39.61"/>
    <n v="39.74"/>
    <m/>
  </r>
  <r>
    <d v="2023-11-01T00:00:00"/>
    <s v="2023-24"/>
    <n v="2023"/>
    <n v="11"/>
    <s v="Nov"/>
    <x v="21"/>
    <n v="17"/>
    <s v="State"/>
    <n v="32.159999999999997"/>
    <n v="41.1"/>
    <n v="87.89"/>
    <n v="1.47"/>
    <n v="161.15"/>
    <n v="162.62"/>
    <m/>
  </r>
  <r>
    <d v="2023-11-01T00:00:00"/>
    <s v="2023-24"/>
    <n v="2023"/>
    <n v="11"/>
    <s v="Nov"/>
    <x v="22"/>
    <n v="15"/>
    <s v="State"/>
    <n v="9.1999999999999993"/>
    <n v="14.11"/>
    <n v="9.19"/>
    <n v="0.03"/>
    <n v="32.5"/>
    <n v="32.53"/>
    <m/>
  </r>
  <r>
    <d v="2023-11-01T00:00:00"/>
    <s v="2023-24"/>
    <n v="2023"/>
    <n v="11"/>
    <s v="Nov"/>
    <x v="23"/>
    <n v="13"/>
    <s v="State"/>
    <n v="23.46"/>
    <n v="29.24"/>
    <n v="11.06"/>
    <n v="2.8"/>
    <n v="63.76"/>
    <n v="66.56"/>
    <m/>
  </r>
  <r>
    <d v="2023-11-01T00:00:00"/>
    <s v="2023-24"/>
    <n v="2023"/>
    <n v="11"/>
    <s v="Nov"/>
    <x v="24"/>
    <n v="21"/>
    <s v="State"/>
    <n v="1080.6600000000001"/>
    <n v="1251.5899999999999"/>
    <n v="1161.06"/>
    <n v="801.77"/>
    <n v="3493.31"/>
    <n v="4295.08"/>
    <m/>
  </r>
  <r>
    <d v="2023-11-01T00:00:00"/>
    <s v="2023-24"/>
    <n v="2023"/>
    <n v="11"/>
    <s v="Nov"/>
    <x v="25"/>
    <n v="34"/>
    <s v="Union Territory"/>
    <n v="28.81"/>
    <n v="42.8"/>
    <n v="155.63"/>
    <n v="1.01"/>
    <n v="227.24"/>
    <n v="228.25"/>
    <m/>
  </r>
  <r>
    <d v="2023-11-01T00:00:00"/>
    <s v="2023-24"/>
    <n v="2023"/>
    <n v="11"/>
    <s v="Nov"/>
    <x v="26"/>
    <n v="3"/>
    <s v="State"/>
    <n v="502"/>
    <n v="708.39"/>
    <n v="1032.71"/>
    <n v="21.85"/>
    <n v="2243.1"/>
    <n v="2264.9499999999998"/>
    <m/>
  </r>
  <r>
    <d v="2023-11-01T00:00:00"/>
    <s v="2023-24"/>
    <n v="2023"/>
    <n v="11"/>
    <s v="Nov"/>
    <x v="27"/>
    <n v="8"/>
    <s v="State"/>
    <n v="1161.72"/>
    <n v="1489.09"/>
    <n v="1839.87"/>
    <n v="191.22"/>
    <n v="4490.68"/>
    <n v="4681.8999999999996"/>
    <m/>
  </r>
  <r>
    <d v="2023-11-01T00:00:00"/>
    <s v="2023-24"/>
    <n v="2023"/>
    <n v="11"/>
    <s v="Nov"/>
    <x v="28"/>
    <n v="11"/>
    <s v="State"/>
    <n v="19.399999999999999"/>
    <n v="23.35"/>
    <n v="190.73"/>
    <n v="0.09"/>
    <n v="233.48"/>
    <n v="233.57"/>
    <m/>
  </r>
  <r>
    <d v="2023-11-01T00:00:00"/>
    <s v="2023-24"/>
    <n v="2023"/>
    <n v="11"/>
    <s v="Nov"/>
    <x v="29"/>
    <n v="33"/>
    <s v="State"/>
    <n v="2631.64"/>
    <n v="3385.39"/>
    <n v="3593.44"/>
    <n v="644.26"/>
    <n v="9610.4699999999993"/>
    <n v="10254.73"/>
    <m/>
  </r>
  <r>
    <d v="2023-11-01T00:00:00"/>
    <s v="2023-24"/>
    <n v="2023"/>
    <n v="11"/>
    <s v="Nov"/>
    <x v="30"/>
    <n v="36"/>
    <s v="State"/>
    <n v="1221.71"/>
    <n v="1616.74"/>
    <n v="1630.97"/>
    <n v="516.48"/>
    <n v="4469.42"/>
    <n v="4985.8999999999996"/>
    <m/>
  </r>
  <r>
    <d v="2023-11-01T00:00:00"/>
    <s v="2023-24"/>
    <n v="2023"/>
    <n v="11"/>
    <s v="Nov"/>
    <x v="31"/>
    <n v="16"/>
    <s v="State"/>
    <n v="27.35"/>
    <n v="35.74"/>
    <n v="19.93"/>
    <n v="0.13"/>
    <n v="83.02"/>
    <n v="83.15"/>
    <m/>
  </r>
  <r>
    <d v="2023-11-01T00:00:00"/>
    <s v="2023-24"/>
    <n v="2023"/>
    <n v="11"/>
    <s v="Nov"/>
    <x v="32"/>
    <n v="9"/>
    <s v="State"/>
    <n v="1863.64"/>
    <n v="2744.22"/>
    <n v="3029.79"/>
    <n v="1335.51"/>
    <n v="7637.65"/>
    <n v="8973.16"/>
    <m/>
  </r>
  <r>
    <d v="2023-11-01T00:00:00"/>
    <s v="2023-24"/>
    <n v="2023"/>
    <n v="11"/>
    <s v="Nov"/>
    <x v="33"/>
    <n v="5"/>
    <s v="State"/>
    <n v="313.35000000000002"/>
    <n v="485.55"/>
    <n v="791.52"/>
    <n v="10.210000000000001"/>
    <n v="1590.42"/>
    <n v="1600.63"/>
    <m/>
  </r>
  <r>
    <d v="2023-11-01T00:00:00"/>
    <s v="2023-24"/>
    <n v="2023"/>
    <n v="11"/>
    <s v="Nov"/>
    <x v="34"/>
    <n v="19"/>
    <s v="State"/>
    <n v="1496.83"/>
    <n v="1800.46"/>
    <n v="1290.8900000000001"/>
    <n v="326.32"/>
    <n v="4588.18"/>
    <n v="4914.5"/>
    <m/>
  </r>
  <r>
    <d v="2023-12-01T00:00:00"/>
    <s v="2023-24"/>
    <n v="2023"/>
    <n v="12"/>
    <s v="Dec"/>
    <x v="0"/>
    <n v="35"/>
    <s v="Union Territory"/>
    <n v="10.37"/>
    <n v="14.24"/>
    <n v="3.67"/>
    <n v="0.04"/>
    <n v="28.28"/>
    <n v="28.32"/>
    <m/>
  </r>
  <r>
    <d v="2023-12-01T00:00:00"/>
    <s v="2023-24"/>
    <n v="2023"/>
    <n v="12"/>
    <s v="Dec"/>
    <x v="1"/>
    <n v="28"/>
    <s v="State"/>
    <n v="841.26"/>
    <n v="1116.48"/>
    <n v="1267.97"/>
    <n v="319.02999999999997"/>
    <n v="3225.71"/>
    <n v="3544.74"/>
    <m/>
  </r>
  <r>
    <d v="2023-12-01T00:00:00"/>
    <s v="2023-24"/>
    <n v="2023"/>
    <n v="12"/>
    <s v="Dec"/>
    <x v="2"/>
    <n v="12"/>
    <s v="State"/>
    <n v="38.450000000000003"/>
    <n v="45.85"/>
    <n v="12.17"/>
    <n v="0.21"/>
    <n v="96.47"/>
    <n v="96.68"/>
    <m/>
  </r>
  <r>
    <d v="2023-12-01T00:00:00"/>
    <s v="2023-24"/>
    <n v="2023"/>
    <n v="12"/>
    <s v="Dec"/>
    <x v="3"/>
    <n v="18"/>
    <s v="State"/>
    <n v="363.84"/>
    <n v="461.04"/>
    <n v="337.54"/>
    <n v="140.53"/>
    <n v="1162.42"/>
    <n v="1302.95"/>
    <m/>
  </r>
  <r>
    <d v="2023-12-01T00:00:00"/>
    <s v="2023-24"/>
    <n v="2023"/>
    <n v="12"/>
    <s v="Dec"/>
    <x v="4"/>
    <n v="10"/>
    <s v="State"/>
    <n v="404.35"/>
    <n v="690.78"/>
    <n v="202.77"/>
    <n v="189.27"/>
    <n v="1297.9000000000001"/>
    <n v="1487.17"/>
    <m/>
  </r>
  <r>
    <d v="2023-12-01T00:00:00"/>
    <s v="2023-24"/>
    <n v="2023"/>
    <n v="12"/>
    <s v="Dec"/>
    <x v="5"/>
    <n v="4"/>
    <s v="Union Territory"/>
    <n v="42.3"/>
    <n v="56.61"/>
    <n v="181.57"/>
    <n v="0.3"/>
    <n v="280.48"/>
    <n v="280.77999999999997"/>
    <m/>
  </r>
  <r>
    <d v="2023-12-01T00:00:00"/>
    <s v="2023-24"/>
    <n v="2023"/>
    <n v="12"/>
    <s v="Dec"/>
    <x v="6"/>
    <n v="22"/>
    <s v="State"/>
    <n v="489.65"/>
    <n v="605.82000000000005"/>
    <n v="900.73"/>
    <n v="616.29999999999995"/>
    <n v="1996.2"/>
    <n v="2612.5"/>
    <m/>
  </r>
  <r>
    <d v="2023-12-01T00:00:00"/>
    <s v="2023-24"/>
    <n v="2023"/>
    <n v="12"/>
    <s v="Dec"/>
    <x v="7"/>
    <n v="38"/>
    <s v="Union Territory"/>
    <n v="43.3"/>
    <n v="54.99"/>
    <n v="234.67"/>
    <n v="0.5"/>
    <n v="332.96"/>
    <n v="333.46"/>
    <m/>
  </r>
  <r>
    <d v="2023-12-01T00:00:00"/>
    <s v="2023-24"/>
    <n v="2023"/>
    <n v="12"/>
    <s v="Dec"/>
    <x v="8"/>
    <n v="7"/>
    <s v="Union Territory"/>
    <n v="1012.06"/>
    <n v="1204.79"/>
    <n v="2793.12"/>
    <n v="111.37"/>
    <n v="5009.97"/>
    <n v="5121.34"/>
    <m/>
  </r>
  <r>
    <d v="2023-12-01T00:00:00"/>
    <s v="2023-24"/>
    <n v="2023"/>
    <n v="12"/>
    <s v="Dec"/>
    <x v="9"/>
    <n v="30"/>
    <s v="State"/>
    <n v="152.22"/>
    <n v="197.72"/>
    <n v="199.85"/>
    <n v="2.86"/>
    <n v="549.79"/>
    <n v="552.65"/>
    <m/>
  </r>
  <r>
    <d v="2023-12-01T00:00:00"/>
    <s v="2023-24"/>
    <n v="2023"/>
    <n v="12"/>
    <s v="Dec"/>
    <x v="10"/>
    <n v="24"/>
    <s v="State"/>
    <n v="2801.72"/>
    <n v="3357.84"/>
    <n v="3044.73"/>
    <n v="669.96"/>
    <n v="9204.2900000000009"/>
    <n v="9874.25"/>
    <m/>
  </r>
  <r>
    <d v="2023-12-01T00:00:00"/>
    <s v="2023-24"/>
    <n v="2023"/>
    <n v="12"/>
    <s v="Dec"/>
    <x v="11"/>
    <n v="6"/>
    <s v="State"/>
    <n v="1247.99"/>
    <n v="1577.16"/>
    <n v="4728.68"/>
    <n v="575.72"/>
    <n v="7553.83"/>
    <n v="8129.55"/>
    <m/>
  </r>
  <r>
    <d v="2023-12-01T00:00:00"/>
    <s v="2023-24"/>
    <n v="2023"/>
    <n v="12"/>
    <s v="Dec"/>
    <x v="12"/>
    <n v="2"/>
    <s v="State"/>
    <n v="141.12"/>
    <n v="198.6"/>
    <n v="403.18"/>
    <n v="1.72"/>
    <n v="742.9"/>
    <n v="744.62"/>
    <m/>
  </r>
  <r>
    <d v="2023-12-01T00:00:00"/>
    <s v="2023-24"/>
    <n v="2023"/>
    <n v="12"/>
    <s v="Dec"/>
    <x v="13"/>
    <n v="1"/>
    <s v="Union Territory"/>
    <n v="156.74"/>
    <n v="228.33"/>
    <n v="105.05"/>
    <n v="2.09"/>
    <n v="490.12"/>
    <n v="492.21"/>
    <m/>
  </r>
  <r>
    <d v="2023-12-01T00:00:00"/>
    <s v="2023-24"/>
    <n v="2023"/>
    <n v="12"/>
    <s v="Dec"/>
    <x v="14"/>
    <n v="20"/>
    <s v="State"/>
    <n v="493.99"/>
    <n v="678.71"/>
    <n v="858.75"/>
    <n v="600.08000000000004"/>
    <n v="2031.45"/>
    <n v="2631.53"/>
    <m/>
  </r>
  <r>
    <d v="2023-12-01T00:00:00"/>
    <s v="2023-24"/>
    <n v="2023"/>
    <n v="12"/>
    <s v="Dec"/>
    <x v="15"/>
    <n v="29"/>
    <s v="State"/>
    <n v="2696.45"/>
    <n v="3357.31"/>
    <n v="4371.53"/>
    <n v="1333.48"/>
    <n v="10425.290000000001"/>
    <n v="11758.77"/>
    <m/>
  </r>
  <r>
    <d v="2023-12-01T00:00:00"/>
    <s v="2023-24"/>
    <n v="2023"/>
    <n v="12"/>
    <s v="Dec"/>
    <x v="16"/>
    <n v="32"/>
    <s v="State"/>
    <n v="865.21"/>
    <n v="1121.53"/>
    <n v="465.73"/>
    <n v="5.19"/>
    <n v="2452.4699999999998"/>
    <n v="2457.66"/>
    <m/>
  </r>
  <r>
    <d v="2023-12-01T00:00:00"/>
    <s v="2023-24"/>
    <n v="2023"/>
    <n v="12"/>
    <s v="Dec"/>
    <x v="35"/>
    <n v="37"/>
    <s v="Union Territory"/>
    <n v="21.71"/>
    <n v="30.74"/>
    <n v="5.21"/>
    <n v="0.13"/>
    <n v="57.66"/>
    <n v="57.79"/>
    <m/>
  </r>
  <r>
    <d v="2023-12-01T00:00:00"/>
    <s v="2023-24"/>
    <n v="2023"/>
    <n v="12"/>
    <s v="Dec"/>
    <x v="17"/>
    <n v="31"/>
    <s v="Union Territory"/>
    <n v="0.72"/>
    <n v="0.93"/>
    <n v="2.12"/>
    <n v="0"/>
    <n v="3.77"/>
    <n v="3.77"/>
    <m/>
  </r>
  <r>
    <d v="2023-12-01T00:00:00"/>
    <s v="2023-24"/>
    <n v="2023"/>
    <n v="12"/>
    <s v="Dec"/>
    <x v="18"/>
    <n v="23"/>
    <s v="State"/>
    <n v="867.98"/>
    <n v="1110.45"/>
    <n v="792.36"/>
    <n v="652.07000000000005"/>
    <n v="2770.79"/>
    <n v="3422.86"/>
    <m/>
  </r>
  <r>
    <d v="2023-12-01T00:00:00"/>
    <s v="2023-24"/>
    <n v="2023"/>
    <n v="12"/>
    <s v="Dec"/>
    <x v="19"/>
    <n v="27"/>
    <s v="State"/>
    <n v="7527.61"/>
    <n v="8606.43"/>
    <n v="8655.8700000000008"/>
    <n v="2024.42"/>
    <n v="24789.91"/>
    <n v="26814.33"/>
    <m/>
  </r>
  <r>
    <d v="2023-12-01T00:00:00"/>
    <s v="2023-24"/>
    <n v="2023"/>
    <n v="12"/>
    <s v="Dec"/>
    <x v="20"/>
    <n v="14"/>
    <s v="State"/>
    <n v="18.53"/>
    <n v="25.12"/>
    <n v="6.2"/>
    <n v="0.05"/>
    <n v="49.85"/>
    <n v="49.9"/>
    <m/>
  </r>
  <r>
    <d v="2023-12-01T00:00:00"/>
    <s v="2023-24"/>
    <n v="2023"/>
    <n v="12"/>
    <s v="Dec"/>
    <x v="21"/>
    <n v="17"/>
    <s v="State"/>
    <n v="35.07"/>
    <n v="44.48"/>
    <n v="88.93"/>
    <n v="2.8"/>
    <n v="168.48"/>
    <n v="171.28"/>
    <m/>
  </r>
  <r>
    <d v="2023-12-01T00:00:00"/>
    <s v="2023-24"/>
    <n v="2023"/>
    <n v="12"/>
    <s v="Dec"/>
    <x v="22"/>
    <n v="15"/>
    <s v="State"/>
    <n v="10.02"/>
    <n v="14.7"/>
    <n v="2.02"/>
    <n v="0.1"/>
    <n v="26.74"/>
    <n v="26.84"/>
    <m/>
  </r>
  <r>
    <d v="2023-12-01T00:00:00"/>
    <s v="2023-24"/>
    <n v="2023"/>
    <n v="12"/>
    <s v="Dec"/>
    <x v="23"/>
    <n v="13"/>
    <s v="State"/>
    <n v="15.46"/>
    <n v="19.760000000000002"/>
    <n v="7.43"/>
    <n v="2.96"/>
    <n v="42.65"/>
    <n v="45.61"/>
    <m/>
  </r>
  <r>
    <d v="2023-12-01T00:00:00"/>
    <s v="2023-24"/>
    <n v="2023"/>
    <n v="12"/>
    <s v="Dec"/>
    <x v="24"/>
    <n v="21"/>
    <s v="State"/>
    <n v="1071.42"/>
    <n v="1276.83"/>
    <n v="1207.1099999999999"/>
    <n v="796.06"/>
    <n v="3555.36"/>
    <n v="4351.42"/>
    <m/>
  </r>
  <r>
    <d v="2023-12-01T00:00:00"/>
    <s v="2023-24"/>
    <n v="2023"/>
    <n v="12"/>
    <s v="Dec"/>
    <x v="25"/>
    <n v="34"/>
    <s v="Union Territory"/>
    <n v="28.01"/>
    <n v="41.12"/>
    <n v="162.21"/>
    <n v="0.61"/>
    <n v="231.34"/>
    <n v="231.95"/>
    <m/>
  </r>
  <r>
    <d v="2023-12-01T00:00:00"/>
    <s v="2023-24"/>
    <n v="2023"/>
    <n v="12"/>
    <s v="Dec"/>
    <x v="26"/>
    <n v="3"/>
    <s v="State"/>
    <n v="450.57"/>
    <n v="668.71"/>
    <n v="738.23"/>
    <n v="17.41"/>
    <n v="1857.51"/>
    <n v="1874.92"/>
    <m/>
  </r>
  <r>
    <d v="2023-12-01T00:00:00"/>
    <s v="2023-24"/>
    <n v="2023"/>
    <n v="12"/>
    <s v="Dec"/>
    <x v="27"/>
    <n v="8"/>
    <s v="State"/>
    <n v="1077.08"/>
    <n v="1384.78"/>
    <n v="1191.1099999999999"/>
    <n v="174.56"/>
    <n v="3652.97"/>
    <n v="3827.53"/>
    <m/>
  </r>
  <r>
    <d v="2023-12-01T00:00:00"/>
    <s v="2023-24"/>
    <n v="2023"/>
    <n v="12"/>
    <s v="Dec"/>
    <x v="28"/>
    <n v="11"/>
    <s v="State"/>
    <n v="17.32"/>
    <n v="20.48"/>
    <n v="215.86"/>
    <n v="0.01"/>
    <n v="253.66"/>
    <n v="253.67"/>
    <m/>
  </r>
  <r>
    <d v="2023-12-01T00:00:00"/>
    <s v="2023-24"/>
    <n v="2023"/>
    <n v="12"/>
    <s v="Dec"/>
    <x v="29"/>
    <n v="33"/>
    <s v="State"/>
    <n v="2560.77"/>
    <n v="3283.37"/>
    <n v="3393.7"/>
    <n v="649.72"/>
    <n v="9237.84"/>
    <n v="9887.56"/>
    <m/>
  </r>
  <r>
    <d v="2023-12-01T00:00:00"/>
    <s v="2023-24"/>
    <n v="2023"/>
    <n v="12"/>
    <s v="Dec"/>
    <x v="30"/>
    <n v="36"/>
    <s v="State"/>
    <n v="1246"/>
    <n v="1584.54"/>
    <n v="1365.19"/>
    <n v="557.16"/>
    <n v="4195.7299999999996"/>
    <n v="4752.8900000000003"/>
    <m/>
  </r>
  <r>
    <d v="2023-12-01T00:00:00"/>
    <s v="2023-24"/>
    <n v="2023"/>
    <n v="12"/>
    <s v="Dec"/>
    <x v="31"/>
    <n v="16"/>
    <s v="State"/>
    <n v="29.45"/>
    <n v="40.47"/>
    <n v="9.26"/>
    <n v="0.06"/>
    <n v="79.180000000000007"/>
    <n v="79.239999999999995"/>
    <m/>
  </r>
  <r>
    <d v="2023-12-01T00:00:00"/>
    <s v="2023-24"/>
    <n v="2023"/>
    <n v="12"/>
    <s v="Dec"/>
    <x v="32"/>
    <n v="9"/>
    <s v="State"/>
    <n v="1833.84"/>
    <n v="2539.3200000000002"/>
    <n v="2314.44"/>
    <n v="1323"/>
    <n v="6687.6"/>
    <n v="8010.6"/>
    <m/>
  </r>
  <r>
    <d v="2023-12-01T00:00:00"/>
    <s v="2023-24"/>
    <n v="2023"/>
    <n v="12"/>
    <s v="Dec"/>
    <x v="33"/>
    <n v="5"/>
    <s v="State"/>
    <n v="294.06"/>
    <n v="421.38"/>
    <n v="744.4"/>
    <n v="9.83"/>
    <n v="1459.84"/>
    <n v="1469.67"/>
    <m/>
  </r>
  <r>
    <d v="2023-12-01T00:00:00"/>
    <s v="2023-24"/>
    <n v="2023"/>
    <n v="12"/>
    <s v="Dec"/>
    <x v="34"/>
    <n v="19"/>
    <s v="State"/>
    <n v="1519.56"/>
    <n v="1827.76"/>
    <n v="1281.08"/>
    <n v="390.33"/>
    <n v="4628.3999999999996"/>
    <n v="5018.7299999999996"/>
    <m/>
  </r>
  <r>
    <d v="2024-01-01T00:00:00"/>
    <s v="2023-24"/>
    <n v="2024"/>
    <n v="1"/>
    <s v="Jan"/>
    <x v="0"/>
    <n v="35"/>
    <s v="Union Territory"/>
    <n v="12.67"/>
    <n v="16.489999999999998"/>
    <n v="5.29"/>
    <n v="0.05"/>
    <n v="34.450000000000003"/>
    <n v="34.5"/>
    <m/>
  </r>
  <r>
    <d v="2024-01-01T00:00:00"/>
    <s v="2023-24"/>
    <n v="2024"/>
    <n v="1"/>
    <s v="Jan"/>
    <x v="1"/>
    <n v="28"/>
    <s v="State"/>
    <n v="866.79"/>
    <n v="1143.1199999999999"/>
    <n v="1317.46"/>
    <n v="259.87"/>
    <n v="3327.37"/>
    <n v="3587.24"/>
    <m/>
  </r>
  <r>
    <d v="2024-01-01T00:00:00"/>
    <s v="2023-24"/>
    <n v="2024"/>
    <n v="1"/>
    <s v="Jan"/>
    <x v="2"/>
    <n v="12"/>
    <s v="State"/>
    <n v="28.83"/>
    <n v="35.79"/>
    <n v="12.18"/>
    <n v="0.09"/>
    <n v="76.8"/>
    <n v="76.89"/>
    <m/>
  </r>
  <r>
    <d v="2024-01-01T00:00:00"/>
    <s v="2023-24"/>
    <n v="2024"/>
    <n v="1"/>
    <s v="Jan"/>
    <x v="3"/>
    <n v="18"/>
    <s v="State"/>
    <n v="419.28"/>
    <n v="559.80999999999995"/>
    <n v="296.98"/>
    <n v="96.65"/>
    <n v="1276.07"/>
    <n v="1372.72"/>
    <m/>
  </r>
  <r>
    <d v="2024-01-01T00:00:00"/>
    <s v="2023-24"/>
    <n v="2024"/>
    <n v="1"/>
    <s v="Jan"/>
    <x v="4"/>
    <n v="10"/>
    <s v="State"/>
    <n v="421.19"/>
    <n v="721.14"/>
    <n v="261.39999999999998"/>
    <n v="161.35"/>
    <n v="1403.73"/>
    <n v="1565.08"/>
    <m/>
  </r>
  <r>
    <d v="2024-01-01T00:00:00"/>
    <s v="2023-24"/>
    <n v="2024"/>
    <n v="1"/>
    <s v="Jan"/>
    <x v="5"/>
    <n v="4"/>
    <s v="Union Territory"/>
    <n v="51.96"/>
    <n v="72.16"/>
    <n v="122.36"/>
    <n v="5.09"/>
    <n v="246.48"/>
    <n v="251.57"/>
    <m/>
  </r>
  <r>
    <d v="2024-01-01T00:00:00"/>
    <s v="2023-24"/>
    <n v="2024"/>
    <n v="1"/>
    <s v="Jan"/>
    <x v="6"/>
    <n v="22"/>
    <s v="State"/>
    <n v="587.4"/>
    <n v="700.6"/>
    <n v="1015.21"/>
    <n v="645.33000000000004"/>
    <n v="2303.21"/>
    <n v="2948.54"/>
    <m/>
  </r>
  <r>
    <d v="2024-01-01T00:00:00"/>
    <s v="2023-24"/>
    <n v="2024"/>
    <n v="1"/>
    <s v="Jan"/>
    <x v="7"/>
    <n v="38"/>
    <s v="Union Territory"/>
    <n v="45.57"/>
    <n v="57.35"/>
    <n v="293.48"/>
    <n v="0.1"/>
    <n v="396.4"/>
    <n v="396.5"/>
    <m/>
  </r>
  <r>
    <d v="2024-01-01T00:00:00"/>
    <s v="2023-24"/>
    <n v="2024"/>
    <n v="1"/>
    <s v="Jan"/>
    <x v="8"/>
    <n v="7"/>
    <s v="Union Territory"/>
    <n v="1151.74"/>
    <n v="1389.93"/>
    <n v="3101.1"/>
    <n v="131.4"/>
    <n v="5642.77"/>
    <n v="5774.17"/>
    <m/>
  </r>
  <r>
    <d v="2024-01-01T00:00:00"/>
    <s v="2023-24"/>
    <n v="2024"/>
    <n v="1"/>
    <s v="Jan"/>
    <x v="9"/>
    <n v="30"/>
    <s v="State"/>
    <n v="171.97"/>
    <n v="228.97"/>
    <n v="180.58"/>
    <n v="5.37"/>
    <n v="581.52"/>
    <n v="586.89"/>
    <m/>
  </r>
  <r>
    <d v="2024-01-01T00:00:00"/>
    <s v="2023-24"/>
    <n v="2024"/>
    <n v="1"/>
    <s v="Jan"/>
    <x v="10"/>
    <n v="24"/>
    <s v="State"/>
    <n v="3033.7"/>
    <n v="3627.27"/>
    <n v="3610.59"/>
    <n v="695.9"/>
    <n v="10271.56"/>
    <n v="10967.46"/>
    <m/>
  </r>
  <r>
    <d v="2024-01-01T00:00:00"/>
    <s v="2023-24"/>
    <n v="2024"/>
    <n v="1"/>
    <s v="Jan"/>
    <x v="11"/>
    <n v="6"/>
    <s v="State"/>
    <n v="1466.22"/>
    <n v="1855.13"/>
    <n v="5719.89"/>
    <n v="580.52"/>
    <n v="9041.24"/>
    <n v="9621.76"/>
    <m/>
  </r>
  <r>
    <d v="2024-01-01T00:00:00"/>
    <s v="2023-24"/>
    <n v="2024"/>
    <n v="1"/>
    <s v="Jan"/>
    <x v="12"/>
    <n v="2"/>
    <s v="State"/>
    <n v="168.2"/>
    <n v="238.15"/>
    <n v="466.29"/>
    <n v="1.94"/>
    <n v="872.64"/>
    <n v="874.58"/>
    <m/>
  </r>
  <r>
    <d v="2024-01-01T00:00:00"/>
    <s v="2023-24"/>
    <n v="2024"/>
    <n v="1"/>
    <s v="Jan"/>
    <x v="13"/>
    <n v="1"/>
    <s v="Union Territory"/>
    <n v="175.19"/>
    <n v="260.64"/>
    <n v="127.75"/>
    <n v="3.05"/>
    <n v="563.58000000000004"/>
    <n v="566.63"/>
    <m/>
  </r>
  <r>
    <d v="2024-01-01T00:00:00"/>
    <s v="2023-24"/>
    <n v="2024"/>
    <n v="1"/>
    <s v="Jan"/>
    <x v="14"/>
    <n v="20"/>
    <s v="State"/>
    <n v="504.9"/>
    <n v="682.61"/>
    <n v="1269.6600000000001"/>
    <n v="636.16"/>
    <n v="2457.17"/>
    <n v="3093.33"/>
    <m/>
  </r>
  <r>
    <d v="2024-01-01T00:00:00"/>
    <s v="2023-24"/>
    <n v="2024"/>
    <n v="1"/>
    <s v="Jan"/>
    <x v="15"/>
    <n v="29"/>
    <s v="State"/>
    <n v="3045.55"/>
    <n v="3715.29"/>
    <n v="5234.6099999999997"/>
    <n v="1324.8"/>
    <n v="11995.45"/>
    <n v="13320.25"/>
    <m/>
  </r>
  <r>
    <d v="2024-01-01T00:00:00"/>
    <s v="2023-24"/>
    <n v="2024"/>
    <n v="1"/>
    <s v="Jan"/>
    <x v="16"/>
    <n v="32"/>
    <s v="State"/>
    <n v="958.29"/>
    <n v="1285.5899999999999"/>
    <n v="523.97"/>
    <n v="8.52"/>
    <n v="2767.85"/>
    <n v="2776.37"/>
    <m/>
  </r>
  <r>
    <d v="2024-01-01T00:00:00"/>
    <s v="2023-24"/>
    <n v="2024"/>
    <n v="1"/>
    <s v="Jan"/>
    <x v="35"/>
    <n v="37"/>
    <s v="Union Territory"/>
    <n v="18.84"/>
    <n v="26.05"/>
    <n v="4.22"/>
    <n v="7.0000000000000007E-2"/>
    <n v="49.11"/>
    <n v="49.18"/>
    <m/>
  </r>
  <r>
    <d v="2024-01-01T00:00:00"/>
    <s v="2023-24"/>
    <n v="2024"/>
    <n v="1"/>
    <s v="Jan"/>
    <x v="17"/>
    <n v="31"/>
    <s v="Union Territory"/>
    <n v="0.12"/>
    <n v="0.15"/>
    <n v="1.1399999999999999"/>
    <n v="0"/>
    <n v="1.41"/>
    <n v="1.41"/>
    <m/>
  </r>
  <r>
    <d v="2024-01-01T00:00:00"/>
    <s v="2023-24"/>
    <n v="2024"/>
    <n v="1"/>
    <s v="Jan"/>
    <x v="18"/>
    <n v="23"/>
    <s v="State"/>
    <n v="917.95"/>
    <n v="1152.45"/>
    <n v="989.98"/>
    <n v="633.29999999999995"/>
    <n v="3060.38"/>
    <n v="3693.68"/>
    <m/>
  </r>
  <r>
    <d v="2024-01-01T00:00:00"/>
    <s v="2023-24"/>
    <n v="2024"/>
    <n v="1"/>
    <s v="Jan"/>
    <x v="19"/>
    <n v="27"/>
    <s v="State"/>
    <n v="7415.45"/>
    <n v="8524.74"/>
    <n v="10330.219999999999"/>
    <n v="2071.5700000000002"/>
    <n v="26270.41"/>
    <n v="28341.98"/>
    <m/>
  </r>
  <r>
    <d v="2024-01-01T00:00:00"/>
    <s v="2023-24"/>
    <n v="2024"/>
    <n v="1"/>
    <s v="Jan"/>
    <x v="20"/>
    <n v="14"/>
    <s v="State"/>
    <n v="18.16"/>
    <n v="27.83"/>
    <n v="9.8699999999999992"/>
    <n v="0.56000000000000005"/>
    <n v="55.86"/>
    <n v="56.42"/>
    <m/>
  </r>
  <r>
    <d v="2024-01-01T00:00:00"/>
    <s v="2023-24"/>
    <n v="2024"/>
    <n v="1"/>
    <s v="Jan"/>
    <x v="21"/>
    <n v="17"/>
    <s v="State"/>
    <n v="43.7"/>
    <n v="58.93"/>
    <n v="97.2"/>
    <n v="0.56000000000000005"/>
    <n v="199.83"/>
    <n v="200.39"/>
    <m/>
  </r>
  <r>
    <d v="2024-01-01T00:00:00"/>
    <s v="2023-24"/>
    <n v="2024"/>
    <n v="1"/>
    <s v="Jan"/>
    <x v="22"/>
    <n v="15"/>
    <s v="State"/>
    <n v="15.09"/>
    <n v="20.69"/>
    <n v="2.85"/>
    <n v="0.05"/>
    <n v="38.630000000000003"/>
    <n v="38.68"/>
    <m/>
  </r>
  <r>
    <d v="2024-01-01T00:00:00"/>
    <s v="2023-24"/>
    <n v="2024"/>
    <n v="1"/>
    <s v="Jan"/>
    <x v="23"/>
    <n v="13"/>
    <s v="State"/>
    <n v="16.64"/>
    <n v="22.73"/>
    <n v="8.19"/>
    <n v="3.59"/>
    <n v="47.56"/>
    <n v="51.15"/>
    <m/>
  </r>
  <r>
    <d v="2024-01-01T00:00:00"/>
    <s v="2023-24"/>
    <n v="2024"/>
    <n v="1"/>
    <s v="Jan"/>
    <x v="24"/>
    <n v="21"/>
    <s v="State"/>
    <n v="1186.99"/>
    <n v="1428.72"/>
    <n v="1485.86"/>
    <n v="861.59"/>
    <n v="4101.57"/>
    <n v="4963.16"/>
    <m/>
  </r>
  <r>
    <d v="2024-01-01T00:00:00"/>
    <s v="2023-24"/>
    <n v="2024"/>
    <n v="1"/>
    <s v="Jan"/>
    <x v="25"/>
    <n v="34"/>
    <s v="Union Territory"/>
    <n v="31.45"/>
    <n v="53.7"/>
    <n v="150.21"/>
    <n v="1.93"/>
    <n v="235.36"/>
    <n v="237.29"/>
    <m/>
  </r>
  <r>
    <d v="2024-01-01T00:00:00"/>
    <s v="2023-24"/>
    <n v="2024"/>
    <n v="1"/>
    <s v="Jan"/>
    <x v="26"/>
    <n v="3"/>
    <s v="State"/>
    <n v="539.02"/>
    <n v="777.29"/>
    <n v="847.71"/>
    <n v="25.07"/>
    <n v="2164.02"/>
    <n v="2189.09"/>
    <m/>
  </r>
  <r>
    <d v="2024-01-01T00:00:00"/>
    <s v="2023-24"/>
    <n v="2024"/>
    <n v="1"/>
    <s v="Jan"/>
    <x v="27"/>
    <n v="8"/>
    <s v="State"/>
    <n v="1270.8499999999999"/>
    <n v="1601.07"/>
    <n v="1477.37"/>
    <n v="175.88"/>
    <n v="4349.29"/>
    <n v="4525.17"/>
    <m/>
  </r>
  <r>
    <d v="2024-01-01T00:00:00"/>
    <s v="2023-24"/>
    <n v="2024"/>
    <n v="1"/>
    <s v="Jan"/>
    <x v="28"/>
    <n v="11"/>
    <s v="State"/>
    <n v="19.32"/>
    <n v="22.89"/>
    <n v="252.87"/>
    <n v="0.1"/>
    <n v="295.08"/>
    <n v="295.18"/>
    <m/>
  </r>
  <r>
    <d v="2024-01-01T00:00:00"/>
    <s v="2023-24"/>
    <n v="2024"/>
    <n v="1"/>
    <s v="Jan"/>
    <x v="29"/>
    <n v="33"/>
    <s v="State"/>
    <n v="2495.15"/>
    <n v="3297.6"/>
    <n v="3165.04"/>
    <n v="648.54"/>
    <n v="8957.7900000000009"/>
    <n v="9606.33"/>
    <m/>
  </r>
  <r>
    <d v="2024-01-01T00:00:00"/>
    <s v="2023-24"/>
    <n v="2024"/>
    <n v="1"/>
    <s v="Jan"/>
    <x v="30"/>
    <n v="36"/>
    <s v="State"/>
    <n v="1421.84"/>
    <n v="1853.9"/>
    <n v="1580.23"/>
    <n v="592.25"/>
    <n v="4855.97"/>
    <n v="5448.22"/>
    <m/>
  </r>
  <r>
    <d v="2024-01-01T00:00:00"/>
    <s v="2023-24"/>
    <n v="2024"/>
    <n v="1"/>
    <s v="Jan"/>
    <x v="31"/>
    <n v="16"/>
    <s v="State"/>
    <n v="30.17"/>
    <n v="38.57"/>
    <n v="11.68"/>
    <n v="0.3"/>
    <n v="80.42"/>
    <n v="80.72"/>
    <m/>
  </r>
  <r>
    <d v="2024-01-01T00:00:00"/>
    <s v="2023-24"/>
    <n v="2024"/>
    <n v="1"/>
    <s v="Jan"/>
    <x v="32"/>
    <n v="9"/>
    <s v="State"/>
    <n v="2096.9499999999998"/>
    <n v="2880.7"/>
    <n v="2432.66"/>
    <n v="1185.31"/>
    <n v="7410.31"/>
    <n v="8595.6200000000008"/>
    <m/>
  </r>
  <r>
    <d v="2024-01-01T00:00:00"/>
    <s v="2023-24"/>
    <n v="2024"/>
    <n v="1"/>
    <s v="Jan"/>
    <x v="33"/>
    <n v="5"/>
    <s v="State"/>
    <n v="303.5"/>
    <n v="447.97"/>
    <n v="850.48"/>
    <n v="14.51"/>
    <n v="1601.95"/>
    <n v="1616.46"/>
    <m/>
  </r>
  <r>
    <d v="2024-01-01T00:00:00"/>
    <s v="2023-24"/>
    <n v="2024"/>
    <n v="1"/>
    <s v="Jan"/>
    <x v="34"/>
    <n v="19"/>
    <s v="State"/>
    <n v="1721.71"/>
    <n v="2051.65"/>
    <n v="1290.28"/>
    <n v="401.57"/>
    <n v="5063.6400000000003"/>
    <n v="5465.21"/>
    <m/>
  </r>
  <r>
    <d v="2024-02-01T00:00:00"/>
    <s v="2023-24"/>
    <n v="2024"/>
    <n v="2"/>
    <s v="Feb"/>
    <x v="0"/>
    <n v="35"/>
    <s v="Union Territory"/>
    <n v="15.09"/>
    <n v="19.809999999999999"/>
    <n v="4.04"/>
    <n v="0.23"/>
    <n v="38.94"/>
    <n v="39.17"/>
    <m/>
  </r>
  <r>
    <d v="2024-02-01T00:00:00"/>
    <s v="2023-24"/>
    <n v="2024"/>
    <n v="2"/>
    <s v="Feb"/>
    <x v="1"/>
    <n v="28"/>
    <s v="State"/>
    <n v="884.63"/>
    <n v="1145.21"/>
    <n v="1400.43"/>
    <n v="247.83"/>
    <n v="3430.27"/>
    <n v="3678.1"/>
    <m/>
  </r>
  <r>
    <d v="2024-02-01T00:00:00"/>
    <s v="2023-24"/>
    <n v="2024"/>
    <n v="2"/>
    <s v="Feb"/>
    <x v="2"/>
    <n v="12"/>
    <s v="State"/>
    <n v="36.82"/>
    <n v="48.36"/>
    <n v="15.72"/>
    <n v="0.12"/>
    <n v="100.9"/>
    <n v="101.02"/>
    <m/>
  </r>
  <r>
    <d v="2024-02-01T00:00:00"/>
    <s v="2023-24"/>
    <n v="2024"/>
    <n v="2"/>
    <s v="Feb"/>
    <x v="3"/>
    <n v="18"/>
    <s v="State"/>
    <n v="403"/>
    <n v="507.08"/>
    <n v="292.56"/>
    <n v="186.99"/>
    <n v="1202.6400000000001"/>
    <n v="1389.63"/>
    <m/>
  </r>
  <r>
    <d v="2024-02-01T00:00:00"/>
    <s v="2023-24"/>
    <n v="2024"/>
    <n v="2"/>
    <s v="Feb"/>
    <x v="4"/>
    <n v="10"/>
    <s v="State"/>
    <n v="399.29"/>
    <n v="689.37"/>
    <n v="214.36"/>
    <n v="188.08"/>
    <n v="1303.02"/>
    <n v="1491.1"/>
    <m/>
  </r>
  <r>
    <d v="2024-02-01T00:00:00"/>
    <s v="2023-24"/>
    <n v="2024"/>
    <n v="2"/>
    <s v="Feb"/>
    <x v="5"/>
    <n v="4"/>
    <s v="Union Territory"/>
    <n v="42.95"/>
    <n v="58.94"/>
    <n v="106.97"/>
    <n v="2.11"/>
    <n v="208.86"/>
    <n v="210.97"/>
    <m/>
  </r>
  <r>
    <d v="2024-02-01T00:00:00"/>
    <s v="2023-24"/>
    <n v="2024"/>
    <n v="2"/>
    <s v="Feb"/>
    <x v="6"/>
    <n v="22"/>
    <s v="State"/>
    <n v="597.74"/>
    <n v="712.07"/>
    <n v="1130.32"/>
    <n v="683.74"/>
    <n v="2440.13"/>
    <n v="3123.87"/>
    <m/>
  </r>
  <r>
    <d v="2024-02-01T00:00:00"/>
    <s v="2023-24"/>
    <n v="2024"/>
    <n v="2"/>
    <s v="Feb"/>
    <x v="7"/>
    <n v="38"/>
    <s v="Union Territory"/>
    <n v="46.06"/>
    <n v="60.13"/>
    <n v="248.87"/>
    <n v="0.43"/>
    <n v="355.06"/>
    <n v="355.49"/>
    <m/>
  </r>
  <r>
    <d v="2024-02-01T00:00:00"/>
    <s v="2023-24"/>
    <n v="2024"/>
    <n v="2"/>
    <s v="Feb"/>
    <x v="8"/>
    <n v="7"/>
    <s v="Union Territory"/>
    <n v="1098.07"/>
    <n v="1300.18"/>
    <n v="3025.19"/>
    <n v="120.52"/>
    <n v="5423.44"/>
    <n v="5543.96"/>
    <m/>
  </r>
  <r>
    <d v="2024-02-01T00:00:00"/>
    <s v="2023-24"/>
    <n v="2024"/>
    <n v="2"/>
    <s v="Feb"/>
    <x v="9"/>
    <n v="30"/>
    <s v="State"/>
    <n v="181.24"/>
    <n v="223.63"/>
    <n v="172.3"/>
    <n v="3.53"/>
    <n v="577.16999999999996"/>
    <n v="580.70000000000005"/>
    <m/>
  </r>
  <r>
    <d v="2024-02-01T00:00:00"/>
    <s v="2023-24"/>
    <n v="2024"/>
    <n v="2"/>
    <s v="Feb"/>
    <x v="10"/>
    <n v="24"/>
    <s v="State"/>
    <n v="3103.69"/>
    <n v="3808.84"/>
    <n v="3428.24"/>
    <n v="688.12"/>
    <n v="10340.77"/>
    <n v="11028.89"/>
    <m/>
  </r>
  <r>
    <d v="2024-02-01T00:00:00"/>
    <s v="2023-24"/>
    <n v="2024"/>
    <n v="2"/>
    <s v="Feb"/>
    <x v="11"/>
    <n v="6"/>
    <s v="State"/>
    <n v="1315.33"/>
    <n v="1720.33"/>
    <n v="4642.79"/>
    <n v="590.79"/>
    <n v="7678.45"/>
    <n v="8269.24"/>
    <m/>
  </r>
  <r>
    <d v="2024-02-01T00:00:00"/>
    <s v="2023-24"/>
    <n v="2024"/>
    <n v="2"/>
    <s v="Feb"/>
    <x v="12"/>
    <n v="2"/>
    <s v="State"/>
    <n v="145.6"/>
    <n v="203.86"/>
    <n v="395.82"/>
    <n v="0.81"/>
    <n v="745.28"/>
    <n v="746.09"/>
    <m/>
  </r>
  <r>
    <d v="2024-02-01T00:00:00"/>
    <s v="2023-24"/>
    <n v="2024"/>
    <n v="2"/>
    <s v="Feb"/>
    <x v="13"/>
    <n v="1"/>
    <s v="Union Territory"/>
    <n v="181.07"/>
    <n v="231.34"/>
    <n v="115.7"/>
    <n v="3.91"/>
    <n v="528.11"/>
    <n v="532.02"/>
    <m/>
  </r>
  <r>
    <d v="2024-02-01T00:00:00"/>
    <s v="2023-24"/>
    <n v="2024"/>
    <n v="2"/>
    <s v="Feb"/>
    <x v="14"/>
    <n v="20"/>
    <s v="State"/>
    <n v="532.74"/>
    <n v="740.27"/>
    <n v="1034.6300000000001"/>
    <n v="625.13"/>
    <n v="2307.64"/>
    <n v="2932.77"/>
    <m/>
  </r>
  <r>
    <d v="2024-02-01T00:00:00"/>
    <s v="2023-24"/>
    <n v="2024"/>
    <n v="2"/>
    <s v="Feb"/>
    <x v="15"/>
    <n v="29"/>
    <s v="State"/>
    <n v="2942.2"/>
    <n v="3519.92"/>
    <n v="4670.2700000000004"/>
    <n v="1682.49"/>
    <n v="11132.39"/>
    <n v="12814.88"/>
    <m/>
  </r>
  <r>
    <d v="2024-02-01T00:00:00"/>
    <s v="2023-24"/>
    <n v="2024"/>
    <n v="2"/>
    <s v="Feb"/>
    <x v="16"/>
    <n v="32"/>
    <s v="State"/>
    <n v="939.96"/>
    <n v="1230.52"/>
    <n v="512.44000000000005"/>
    <n v="4.76"/>
    <n v="2682.92"/>
    <n v="2687.68"/>
    <m/>
  </r>
  <r>
    <d v="2024-02-01T00:00:00"/>
    <s v="2023-24"/>
    <n v="2024"/>
    <n v="2"/>
    <s v="Feb"/>
    <x v="35"/>
    <n v="37"/>
    <s v="Union Territory"/>
    <n v="14.85"/>
    <n v="17.91"/>
    <n v="1.93"/>
    <n v="0.01"/>
    <n v="34.69"/>
    <n v="34.700000000000003"/>
    <m/>
  </r>
  <r>
    <d v="2024-02-01T00:00:00"/>
    <s v="2023-24"/>
    <n v="2024"/>
    <n v="2"/>
    <s v="Feb"/>
    <x v="17"/>
    <n v="31"/>
    <s v="Union Territory"/>
    <n v="0.82"/>
    <n v="0.93"/>
    <n v="0.16"/>
    <n v="0"/>
    <n v="1.91"/>
    <n v="1.91"/>
    <m/>
  </r>
  <r>
    <d v="2024-02-01T00:00:00"/>
    <s v="2023-24"/>
    <n v="2024"/>
    <n v="2"/>
    <s v="Feb"/>
    <x v="18"/>
    <n v="23"/>
    <s v="State"/>
    <n v="909.09"/>
    <n v="1105.8900000000001"/>
    <n v="935.93"/>
    <n v="620.66999999999996"/>
    <n v="2950.91"/>
    <n v="3571.58"/>
    <m/>
  </r>
  <r>
    <d v="2024-02-01T00:00:00"/>
    <s v="2023-24"/>
    <n v="2024"/>
    <n v="2"/>
    <s v="Feb"/>
    <x v="19"/>
    <n v="27"/>
    <s v="State"/>
    <n v="7211.31"/>
    <n v="8470.41"/>
    <n v="9310.44"/>
    <n v="2072.5300000000002"/>
    <n v="24992.16"/>
    <n v="27064.69"/>
    <m/>
  </r>
  <r>
    <d v="2024-02-01T00:00:00"/>
    <s v="2023-24"/>
    <n v="2024"/>
    <n v="2"/>
    <s v="Feb"/>
    <x v="20"/>
    <n v="14"/>
    <s v="State"/>
    <n v="18.920000000000002"/>
    <n v="28.4"/>
    <n v="8.08"/>
    <n v="0.15"/>
    <n v="55.4"/>
    <n v="55.55"/>
    <m/>
  </r>
  <r>
    <d v="2024-02-01T00:00:00"/>
    <s v="2023-24"/>
    <n v="2024"/>
    <n v="2"/>
    <s v="Feb"/>
    <x v="21"/>
    <n v="17"/>
    <s v="State"/>
    <n v="44.25"/>
    <n v="53.02"/>
    <n v="95.65"/>
    <n v="0.4"/>
    <n v="192.92"/>
    <n v="193.32"/>
    <m/>
  </r>
  <r>
    <d v="2024-02-01T00:00:00"/>
    <s v="2023-24"/>
    <n v="2024"/>
    <n v="2"/>
    <s v="Feb"/>
    <x v="22"/>
    <n v="15"/>
    <s v="State"/>
    <n v="18.920000000000002"/>
    <n v="27.04"/>
    <n v="3.36"/>
    <n v="0.02"/>
    <n v="49.32"/>
    <n v="49.34"/>
    <m/>
  </r>
  <r>
    <d v="2024-02-01T00:00:00"/>
    <s v="2023-24"/>
    <n v="2024"/>
    <n v="2"/>
    <s v="Feb"/>
    <x v="23"/>
    <n v="13"/>
    <s v="State"/>
    <n v="15.41"/>
    <n v="21.24"/>
    <n v="10.53"/>
    <n v="4.03"/>
    <n v="47.18"/>
    <n v="51.21"/>
    <m/>
  </r>
  <r>
    <d v="2024-02-01T00:00:00"/>
    <s v="2023-24"/>
    <n v="2024"/>
    <n v="2"/>
    <s v="Feb"/>
    <x v="24"/>
    <n v="21"/>
    <s v="State"/>
    <n v="1232.02"/>
    <n v="1464.73"/>
    <n v="1603.46"/>
    <n v="835.6"/>
    <n v="4300.21"/>
    <n v="5135.8100000000004"/>
    <m/>
  </r>
  <r>
    <d v="2024-02-01T00:00:00"/>
    <s v="2023-24"/>
    <n v="2024"/>
    <n v="2"/>
    <s v="Feb"/>
    <x v="25"/>
    <n v="34"/>
    <s v="Union Territory"/>
    <n v="27.5"/>
    <n v="41.54"/>
    <n v="161.47"/>
    <n v="0.26"/>
    <n v="230.51"/>
    <n v="230.77"/>
    <m/>
  </r>
  <r>
    <d v="2024-02-01T00:00:00"/>
    <s v="2023-24"/>
    <n v="2024"/>
    <n v="2"/>
    <s v="Feb"/>
    <x v="26"/>
    <n v="3"/>
    <s v="State"/>
    <n v="468.33"/>
    <n v="631.39"/>
    <n v="834.26"/>
    <n v="21.15"/>
    <n v="1933.98"/>
    <n v="1955.13"/>
    <m/>
  </r>
  <r>
    <d v="2024-02-01T00:00:00"/>
    <s v="2023-24"/>
    <n v="2024"/>
    <n v="2"/>
    <s v="Feb"/>
    <x v="27"/>
    <n v="8"/>
    <s v="State"/>
    <n v="1136.53"/>
    <n v="1428.73"/>
    <n v="1459.46"/>
    <n v="186.53"/>
    <n v="4024.72"/>
    <n v="4211.25"/>
    <m/>
  </r>
  <r>
    <d v="2024-02-01T00:00:00"/>
    <s v="2023-24"/>
    <n v="2024"/>
    <n v="2"/>
    <s v="Feb"/>
    <x v="28"/>
    <n v="11"/>
    <s v="State"/>
    <n v="19.07"/>
    <n v="23.3"/>
    <n v="256.68"/>
    <n v="0.13"/>
    <n v="299.05"/>
    <n v="299.18"/>
    <m/>
  </r>
  <r>
    <d v="2024-02-01T00:00:00"/>
    <s v="2023-24"/>
    <n v="2024"/>
    <n v="2"/>
    <s v="Feb"/>
    <x v="29"/>
    <n v="33"/>
    <s v="State"/>
    <n v="2543.02"/>
    <n v="3396.67"/>
    <n v="3098.21"/>
    <n v="674.6"/>
    <n v="9037.9"/>
    <n v="9712.5"/>
    <m/>
  </r>
  <r>
    <d v="2024-02-01T00:00:00"/>
    <s v="2023-24"/>
    <n v="2024"/>
    <n v="2"/>
    <s v="Feb"/>
    <x v="30"/>
    <n v="36"/>
    <s v="State"/>
    <n v="1418.86"/>
    <n v="1742.76"/>
    <n v="1461.76"/>
    <n v="587.15"/>
    <n v="4623.38"/>
    <n v="5210.53"/>
    <m/>
  </r>
  <r>
    <d v="2024-02-01T00:00:00"/>
    <s v="2023-24"/>
    <n v="2024"/>
    <n v="2"/>
    <s v="Feb"/>
    <x v="31"/>
    <n v="16"/>
    <s v="State"/>
    <n v="33.299999999999997"/>
    <n v="41.57"/>
    <n v="10.26"/>
    <n v="0.14000000000000001"/>
    <n v="85.13"/>
    <n v="85.27"/>
    <m/>
  </r>
  <r>
    <d v="2024-02-01T00:00:00"/>
    <s v="2023-24"/>
    <n v="2024"/>
    <n v="2"/>
    <s v="Feb"/>
    <x v="32"/>
    <n v="9"/>
    <s v="State"/>
    <n v="1889.91"/>
    <n v="2515.0700000000002"/>
    <n v="2321.3000000000002"/>
    <n v="1327.55"/>
    <n v="6726.28"/>
    <n v="8053.83"/>
    <m/>
  </r>
  <r>
    <d v="2024-02-01T00:00:00"/>
    <s v="2023-24"/>
    <n v="2024"/>
    <n v="2"/>
    <s v="Feb"/>
    <x v="33"/>
    <n v="5"/>
    <s v="State"/>
    <n v="298.64999999999998"/>
    <n v="439.69"/>
    <n v="776.22"/>
    <n v="10.61"/>
    <n v="1514.56"/>
    <n v="1525.17"/>
    <m/>
  </r>
  <r>
    <d v="2024-02-01T00:00:00"/>
    <s v="2023-24"/>
    <n v="2024"/>
    <n v="2"/>
    <s v="Feb"/>
    <x v="34"/>
    <n v="19"/>
    <s v="State"/>
    <n v="1604.66"/>
    <n v="1927.33"/>
    <n v="1341.59"/>
    <n v="483.24"/>
    <n v="4873.58"/>
    <n v="5356.82"/>
    <m/>
  </r>
  <r>
    <d v="2024-03-01T00:00:00"/>
    <s v="2023-24"/>
    <n v="2024"/>
    <n v="3"/>
    <s v="Mar"/>
    <x v="0"/>
    <n v="35"/>
    <s v="Union Territory"/>
    <n v="12.37"/>
    <n v="15.35"/>
    <n v="4.43"/>
    <n v="0.06"/>
    <n v="32.15"/>
    <n v="32.21"/>
    <m/>
  </r>
  <r>
    <d v="2024-03-01T00:00:00"/>
    <s v="2023-24"/>
    <n v="2024"/>
    <n v="3"/>
    <s v="Mar"/>
    <x v="1"/>
    <n v="28"/>
    <s v="State"/>
    <n v="1022.48"/>
    <n v="1312.44"/>
    <n v="1501.3"/>
    <n v="245.7"/>
    <n v="3836.22"/>
    <n v="4081.92"/>
    <m/>
  </r>
  <r>
    <d v="2024-03-01T00:00:00"/>
    <s v="2023-24"/>
    <n v="2024"/>
    <n v="3"/>
    <s v="Mar"/>
    <x v="2"/>
    <n v="12"/>
    <s v="State"/>
    <n v="69.45"/>
    <n v="79.58"/>
    <n v="18.440000000000001"/>
    <n v="0.17"/>
    <n v="167.47"/>
    <n v="167.64"/>
    <m/>
  </r>
  <r>
    <d v="2024-03-01T00:00:00"/>
    <s v="2023-24"/>
    <n v="2024"/>
    <n v="3"/>
    <s v="Mar"/>
    <x v="3"/>
    <n v="18"/>
    <s v="State"/>
    <n v="477.95"/>
    <n v="596.96"/>
    <n v="350.79"/>
    <n v="117.62"/>
    <n v="1425.7"/>
    <n v="1543.32"/>
    <m/>
  </r>
  <r>
    <d v="2024-03-01T00:00:00"/>
    <s v="2023-24"/>
    <n v="2024"/>
    <n v="3"/>
    <s v="Mar"/>
    <x v="4"/>
    <n v="10"/>
    <s v="State"/>
    <n v="553.52"/>
    <n v="1057.3900000000001"/>
    <n v="239.56"/>
    <n v="140.93"/>
    <n v="1850.47"/>
    <n v="1991.4"/>
    <m/>
  </r>
  <r>
    <d v="2024-03-01T00:00:00"/>
    <s v="2023-24"/>
    <n v="2024"/>
    <n v="3"/>
    <s v="Mar"/>
    <x v="5"/>
    <n v="4"/>
    <s v="Union Territory"/>
    <n v="51.59"/>
    <n v="62.54"/>
    <n v="121.84"/>
    <n v="2.1800000000000002"/>
    <n v="235.97"/>
    <n v="238.15"/>
    <m/>
  </r>
  <r>
    <d v="2024-03-01T00:00:00"/>
    <s v="2023-24"/>
    <n v="2024"/>
    <n v="3"/>
    <s v="Mar"/>
    <x v="6"/>
    <n v="22"/>
    <s v="State"/>
    <n v="650.44000000000005"/>
    <n v="757.85"/>
    <n v="1056.0999999999999"/>
    <n v="678.55"/>
    <n v="2464.39"/>
    <n v="3142.94"/>
    <m/>
  </r>
  <r>
    <d v="2024-03-01T00:00:00"/>
    <s v="2023-24"/>
    <n v="2024"/>
    <n v="3"/>
    <s v="Mar"/>
    <x v="7"/>
    <n v="38"/>
    <s v="Union Territory"/>
    <n v="49.2"/>
    <n v="62.65"/>
    <n v="340.43"/>
    <n v="0.21"/>
    <n v="452.28"/>
    <n v="452.49"/>
    <m/>
  </r>
  <r>
    <d v="2024-03-01T00:00:00"/>
    <s v="2023-24"/>
    <n v="2024"/>
    <n v="3"/>
    <s v="Mar"/>
    <x v="8"/>
    <n v="7"/>
    <s v="Union Territory"/>
    <n v="1225.07"/>
    <n v="1412.73"/>
    <n v="3057.59"/>
    <n v="124.55"/>
    <n v="5695.39"/>
    <n v="5819.94"/>
    <m/>
  </r>
  <r>
    <d v="2024-03-01T00:00:00"/>
    <s v="2023-24"/>
    <n v="2024"/>
    <n v="3"/>
    <s v="Mar"/>
    <x v="9"/>
    <n v="30"/>
    <s v="State"/>
    <n v="166.5"/>
    <n v="214.37"/>
    <n v="180.55"/>
    <n v="3.71"/>
    <n v="561.41999999999996"/>
    <n v="565.13"/>
    <m/>
  </r>
  <r>
    <d v="2024-03-01T00:00:00"/>
    <s v="2023-24"/>
    <n v="2024"/>
    <n v="3"/>
    <s v="Mar"/>
    <x v="10"/>
    <n v="24"/>
    <s v="State"/>
    <n v="3210.45"/>
    <n v="3905.96"/>
    <n v="3685.87"/>
    <n v="589.96"/>
    <n v="10802.28"/>
    <n v="11392.24"/>
    <m/>
  </r>
  <r>
    <d v="2024-03-01T00:00:00"/>
    <s v="2023-24"/>
    <n v="2024"/>
    <n v="3"/>
    <s v="Mar"/>
    <x v="11"/>
    <n v="6"/>
    <s v="State"/>
    <n v="1428.35"/>
    <n v="1766.53"/>
    <n v="5733.67"/>
    <n v="616.52"/>
    <n v="8928.5499999999993"/>
    <n v="9545.07"/>
    <m/>
  </r>
  <r>
    <d v="2024-03-01T00:00:00"/>
    <s v="2023-24"/>
    <n v="2024"/>
    <n v="3"/>
    <s v="Mar"/>
    <x v="12"/>
    <n v="2"/>
    <s v="State"/>
    <n v="165.61"/>
    <n v="225.35"/>
    <n v="459.77"/>
    <n v="1.05"/>
    <n v="850.73"/>
    <n v="851.78"/>
    <m/>
  </r>
  <r>
    <d v="2024-03-01T00:00:00"/>
    <s v="2023-24"/>
    <n v="2024"/>
    <n v="3"/>
    <s v="Mar"/>
    <x v="13"/>
    <n v="1"/>
    <s v="Union Territory"/>
    <n v="200.79"/>
    <n v="264.52"/>
    <n v="129.96"/>
    <n v="6.13"/>
    <n v="595.27"/>
    <n v="601.4"/>
    <m/>
  </r>
  <r>
    <d v="2024-03-01T00:00:00"/>
    <s v="2023-24"/>
    <n v="2024"/>
    <n v="3"/>
    <s v="Mar"/>
    <x v="14"/>
    <n v="20"/>
    <s v="State"/>
    <n v="574.63"/>
    <n v="872.88"/>
    <n v="1165.68"/>
    <n v="629.67999999999995"/>
    <n v="2613.19"/>
    <n v="3242.87"/>
    <m/>
  </r>
  <r>
    <d v="2024-03-01T00:00:00"/>
    <s v="2023-24"/>
    <n v="2024"/>
    <n v="3"/>
    <s v="Mar"/>
    <x v="15"/>
    <n v="29"/>
    <s v="State"/>
    <n v="3001.22"/>
    <n v="3664.3"/>
    <n v="4916.82"/>
    <n v="1431.37"/>
    <n v="11582.34"/>
    <n v="13013.71"/>
    <m/>
  </r>
  <r>
    <d v="2024-03-01T00:00:00"/>
    <s v="2023-24"/>
    <n v="2024"/>
    <n v="3"/>
    <s v="Mar"/>
    <x v="16"/>
    <n v="32"/>
    <s v="State"/>
    <n v="929.52"/>
    <n v="1158.49"/>
    <n v="506.9"/>
    <n v="3.01"/>
    <n v="2594.91"/>
    <n v="2597.92"/>
    <m/>
  </r>
  <r>
    <d v="2024-03-01T00:00:00"/>
    <s v="2023-24"/>
    <n v="2024"/>
    <n v="3"/>
    <s v="Mar"/>
    <x v="35"/>
    <n v="37"/>
    <s v="Union Territory"/>
    <n v="17.63"/>
    <n v="20.52"/>
    <n v="3.09"/>
    <n v="0.06"/>
    <n v="41.24"/>
    <n v="41.3"/>
    <m/>
  </r>
  <r>
    <d v="2024-03-01T00:00:00"/>
    <s v="2023-24"/>
    <n v="2024"/>
    <n v="3"/>
    <s v="Mar"/>
    <x v="17"/>
    <n v="31"/>
    <s v="Union Territory"/>
    <n v="0.8"/>
    <n v="1.2"/>
    <n v="0.22"/>
    <n v="0"/>
    <n v="2.2200000000000002"/>
    <n v="2.2200000000000002"/>
    <m/>
  </r>
  <r>
    <d v="2024-03-01T00:00:00"/>
    <s v="2023-24"/>
    <n v="2024"/>
    <n v="3"/>
    <s v="Mar"/>
    <x v="18"/>
    <n v="23"/>
    <s v="State"/>
    <n v="994.04"/>
    <n v="1207.56"/>
    <n v="1131.26"/>
    <n v="641.19000000000005"/>
    <n v="3332.86"/>
    <n v="3974.05"/>
    <m/>
  </r>
  <r>
    <d v="2024-03-01T00:00:00"/>
    <s v="2023-24"/>
    <n v="2024"/>
    <n v="3"/>
    <s v="Mar"/>
    <x v="19"/>
    <n v="27"/>
    <s v="State"/>
    <n v="7734.14"/>
    <n v="9259.19"/>
    <n v="8662.98"/>
    <n v="2031.55"/>
    <n v="25656.31"/>
    <n v="27687.86"/>
    <m/>
  </r>
  <r>
    <d v="2024-03-01T00:00:00"/>
    <s v="2023-24"/>
    <n v="2024"/>
    <n v="3"/>
    <s v="Mar"/>
    <x v="20"/>
    <n v="14"/>
    <s v="State"/>
    <n v="26.06"/>
    <n v="35.479999999999997"/>
    <n v="7.51"/>
    <n v="0.15"/>
    <n v="69.05"/>
    <n v="69.2"/>
    <m/>
  </r>
  <r>
    <d v="2024-03-01T00:00:00"/>
    <s v="2023-24"/>
    <n v="2024"/>
    <n v="3"/>
    <s v="Mar"/>
    <x v="21"/>
    <n v="17"/>
    <s v="State"/>
    <n v="48.63"/>
    <n v="57.1"/>
    <n v="106.12"/>
    <n v="1.0900000000000001"/>
    <n v="211.85"/>
    <n v="212.94"/>
    <m/>
  </r>
  <r>
    <d v="2024-03-01T00:00:00"/>
    <s v="2023-24"/>
    <n v="2024"/>
    <n v="3"/>
    <s v="Mar"/>
    <x v="22"/>
    <n v="15"/>
    <s v="State"/>
    <n v="18.25"/>
    <n v="28.71"/>
    <n v="3.21"/>
    <n v="7.0000000000000007E-2"/>
    <n v="50.17"/>
    <n v="50.24"/>
    <m/>
  </r>
  <r>
    <d v="2024-03-01T00:00:00"/>
    <s v="2023-24"/>
    <n v="2024"/>
    <n v="3"/>
    <s v="Mar"/>
    <x v="23"/>
    <n v="13"/>
    <s v="State"/>
    <n v="31.19"/>
    <n v="37.19"/>
    <n v="10.18"/>
    <n v="4.03"/>
    <n v="78.56"/>
    <n v="82.59"/>
    <m/>
  </r>
  <r>
    <d v="2024-03-01T00:00:00"/>
    <s v="2023-24"/>
    <n v="2024"/>
    <n v="3"/>
    <s v="Mar"/>
    <x v="24"/>
    <n v="21"/>
    <s v="State"/>
    <n v="1380.4"/>
    <n v="1659.31"/>
    <n v="1266.47"/>
    <n v="803.15"/>
    <n v="4306.18"/>
    <n v="5109.33"/>
    <m/>
  </r>
  <r>
    <d v="2024-03-01T00:00:00"/>
    <s v="2023-24"/>
    <n v="2024"/>
    <n v="3"/>
    <s v="Mar"/>
    <x v="25"/>
    <n v="34"/>
    <s v="Union Territory"/>
    <n v="29.7"/>
    <n v="42.03"/>
    <n v="149.19999999999999"/>
    <n v="0.56000000000000005"/>
    <n v="220.93"/>
    <n v="221.49"/>
    <m/>
  </r>
  <r>
    <d v="2024-03-01T00:00:00"/>
    <s v="2023-24"/>
    <n v="2024"/>
    <n v="3"/>
    <s v="Mar"/>
    <x v="26"/>
    <n v="3"/>
    <s v="State"/>
    <n v="503.96"/>
    <n v="716.53"/>
    <n v="840.79"/>
    <n v="29.04"/>
    <n v="2061.2800000000002"/>
    <n v="2090.3200000000002"/>
    <m/>
  </r>
  <r>
    <d v="2024-03-01T00:00:00"/>
    <s v="2023-24"/>
    <n v="2024"/>
    <n v="3"/>
    <s v="Mar"/>
    <x v="27"/>
    <n v="8"/>
    <s v="State"/>
    <n v="1291.8599999999999"/>
    <n v="1768.59"/>
    <n v="1565.7"/>
    <n v="171.96"/>
    <n v="4626.1499999999996"/>
    <n v="4798.1099999999997"/>
    <m/>
  </r>
  <r>
    <d v="2024-03-01T00:00:00"/>
    <s v="2023-24"/>
    <n v="2024"/>
    <n v="3"/>
    <s v="Mar"/>
    <x v="28"/>
    <n v="11"/>
    <s v="State"/>
    <n v="22.2"/>
    <n v="32.58"/>
    <n v="248.44"/>
    <n v="0.15"/>
    <n v="303.22000000000003"/>
    <n v="303.37"/>
    <m/>
  </r>
  <r>
    <d v="2024-03-01T00:00:00"/>
    <s v="2023-24"/>
    <n v="2024"/>
    <n v="3"/>
    <s v="Mar"/>
    <x v="29"/>
    <n v="33"/>
    <s v="State"/>
    <n v="2875.4"/>
    <n v="4058.41"/>
    <n v="3302.15"/>
    <n v="780.88"/>
    <n v="10235.959999999999"/>
    <n v="11016.84"/>
    <m/>
  </r>
  <r>
    <d v="2024-03-01T00:00:00"/>
    <s v="2023-24"/>
    <n v="2024"/>
    <n v="3"/>
    <s v="Mar"/>
    <x v="30"/>
    <n v="36"/>
    <s v="State"/>
    <n v="1404.47"/>
    <n v="1837.21"/>
    <n v="1595.58"/>
    <n v="561.96"/>
    <n v="4837.26"/>
    <n v="5399.22"/>
    <m/>
  </r>
  <r>
    <d v="2024-03-01T00:00:00"/>
    <s v="2023-24"/>
    <n v="2024"/>
    <n v="3"/>
    <s v="Mar"/>
    <x v="31"/>
    <n v="16"/>
    <s v="State"/>
    <n v="44.74"/>
    <n v="56.67"/>
    <n v="19.23"/>
    <n v="0.09"/>
    <n v="120.64"/>
    <n v="120.73"/>
    <m/>
  </r>
  <r>
    <d v="2024-03-01T00:00:00"/>
    <s v="2023-24"/>
    <n v="2024"/>
    <n v="3"/>
    <s v="Mar"/>
    <x v="32"/>
    <n v="9"/>
    <s v="State"/>
    <n v="2262.4299999999998"/>
    <n v="2974.26"/>
    <n v="2626.33"/>
    <n v="1224"/>
    <n v="7863.02"/>
    <n v="9087.02"/>
    <m/>
  </r>
  <r>
    <d v="2024-03-01T00:00:00"/>
    <s v="2023-24"/>
    <n v="2024"/>
    <n v="3"/>
    <s v="Mar"/>
    <x v="33"/>
    <n v="5"/>
    <s v="State"/>
    <n v="353.87"/>
    <n v="481.09"/>
    <n v="885.31"/>
    <n v="9.3699999999999992"/>
    <n v="1720.27"/>
    <n v="1729.64"/>
    <m/>
  </r>
  <r>
    <d v="2024-03-01T00:00:00"/>
    <s v="2023-24"/>
    <n v="2024"/>
    <n v="3"/>
    <s v="Mar"/>
    <x v="34"/>
    <n v="19"/>
    <s v="State"/>
    <n v="1691.71"/>
    <n v="2029.51"/>
    <n v="1338.97"/>
    <n v="412.55"/>
    <n v="5060.1899999999996"/>
    <n v="5472.74"/>
    <m/>
  </r>
  <r>
    <d v="2024-04-01T00:00:00"/>
    <s v="2024-25"/>
    <n v="2024"/>
    <n v="4"/>
    <s v="Apr"/>
    <x v="0"/>
    <n v="35"/>
    <s v="Union Territory"/>
    <n v="26.79"/>
    <n v="31.56"/>
    <n v="6.15"/>
    <n v="0.05"/>
    <n v="64.5"/>
    <n v="64.55"/>
    <m/>
  </r>
  <r>
    <d v="2024-04-01T00:00:00"/>
    <s v="2024-25"/>
    <n v="2024"/>
    <n v="4"/>
    <s v="Apr"/>
    <x v="1"/>
    <n v="28"/>
    <s v="State"/>
    <n v="1290.8399999999999"/>
    <n v="1621.08"/>
    <n v="1639.61"/>
    <n v="297.99"/>
    <n v="4551.53"/>
    <n v="4849.5200000000004"/>
    <m/>
  </r>
  <r>
    <d v="2024-04-01T00:00:00"/>
    <s v="2024-25"/>
    <n v="2024"/>
    <n v="4"/>
    <s v="Apr"/>
    <x v="2"/>
    <n v="12"/>
    <s v="State"/>
    <n v="80.92"/>
    <n v="100.91"/>
    <n v="18.149999999999999"/>
    <n v="0.1"/>
    <n v="199.98"/>
    <n v="200.08"/>
    <m/>
  </r>
  <r>
    <d v="2024-04-01T00:00:00"/>
    <s v="2024-25"/>
    <n v="2024"/>
    <n v="4"/>
    <s v="Apr"/>
    <x v="3"/>
    <n v="18"/>
    <s v="State"/>
    <n v="601.58000000000004"/>
    <n v="735.17"/>
    <n v="371.56"/>
    <n v="186.25"/>
    <n v="1708.31"/>
    <n v="1894.56"/>
    <m/>
  </r>
  <r>
    <d v="2024-04-01T00:00:00"/>
    <s v="2024-25"/>
    <n v="2024"/>
    <n v="4"/>
    <s v="Apr"/>
    <x v="4"/>
    <n v="10"/>
    <s v="State"/>
    <n v="616.45000000000005"/>
    <n v="950.72"/>
    <n v="253.01"/>
    <n v="171.6"/>
    <n v="1820.18"/>
    <n v="1991.78"/>
    <m/>
  </r>
  <r>
    <d v="2024-04-01T00:00:00"/>
    <s v="2024-25"/>
    <n v="2024"/>
    <n v="4"/>
    <s v="Apr"/>
    <x v="5"/>
    <n v="4"/>
    <s v="Union Territory"/>
    <n v="54.82"/>
    <n v="75.48"/>
    <n v="178.47"/>
    <n v="4.26"/>
    <n v="308.77"/>
    <n v="313.02999999999997"/>
    <m/>
  </r>
  <r>
    <d v="2024-04-01T00:00:00"/>
    <s v="2024-25"/>
    <n v="2024"/>
    <n v="4"/>
    <s v="Apr"/>
    <x v="6"/>
    <n v="22"/>
    <s v="State"/>
    <n v="810.72"/>
    <n v="929.38"/>
    <n v="1553.54"/>
    <n v="706.94"/>
    <n v="3293.64"/>
    <n v="4000.58"/>
    <m/>
  </r>
  <r>
    <d v="2024-04-01T00:00:00"/>
    <s v="2024-25"/>
    <n v="2024"/>
    <n v="4"/>
    <s v="Apr"/>
    <x v="7"/>
    <n v="38"/>
    <s v="Union Territory"/>
    <n v="59.88"/>
    <n v="75.38"/>
    <n v="312.02999999999997"/>
    <n v="0.13"/>
    <n v="447.29"/>
    <n v="447.42"/>
    <m/>
  </r>
  <r>
    <d v="2024-04-01T00:00:00"/>
    <s v="2024-25"/>
    <n v="2024"/>
    <n v="4"/>
    <s v="Apr"/>
    <x v="8"/>
    <n v="7"/>
    <s v="Union Territory"/>
    <n v="1740.46"/>
    <n v="2026.77"/>
    <n v="3889.72"/>
    <n v="114.71"/>
    <n v="7656.95"/>
    <n v="7771.66"/>
    <m/>
  </r>
  <r>
    <d v="2024-04-01T00:00:00"/>
    <s v="2024-25"/>
    <n v="2024"/>
    <n v="4"/>
    <s v="Apr"/>
    <x v="9"/>
    <n v="30"/>
    <s v="State"/>
    <n v="225.39"/>
    <n v="282.75"/>
    <n v="252.25"/>
    <n v="4.38"/>
    <n v="760.39"/>
    <n v="764.77"/>
    <m/>
  </r>
  <r>
    <d v="2024-04-01T00:00:00"/>
    <s v="2024-25"/>
    <n v="2024"/>
    <n v="4"/>
    <s v="Apr"/>
    <x v="10"/>
    <n v="24"/>
    <s v="State"/>
    <n v="3846.83"/>
    <n v="4537.6499999999996"/>
    <n v="4232.33"/>
    <n v="684.05"/>
    <n v="12616.81"/>
    <n v="13300.86"/>
    <m/>
  </r>
  <r>
    <d v="2024-04-01T00:00:00"/>
    <s v="2024-25"/>
    <n v="2024"/>
    <n v="4"/>
    <s v="Apr"/>
    <x v="11"/>
    <n v="6"/>
    <s v="State"/>
    <n v="1659.64"/>
    <n v="2172.14"/>
    <n v="7725.38"/>
    <n v="610.51"/>
    <n v="11557.16"/>
    <n v="12167.67"/>
    <m/>
  </r>
  <r>
    <d v="2024-04-01T00:00:00"/>
    <s v="2024-25"/>
    <n v="2024"/>
    <n v="4"/>
    <s v="Apr"/>
    <x v="12"/>
    <n v="2"/>
    <s v="State"/>
    <n v="219.7"/>
    <n v="302.64"/>
    <n v="491.19"/>
    <n v="1.59"/>
    <n v="1013.53"/>
    <n v="1015.12"/>
    <m/>
  </r>
  <r>
    <d v="2024-04-01T00:00:00"/>
    <s v="2024-25"/>
    <n v="2024"/>
    <n v="4"/>
    <s v="Apr"/>
    <x v="13"/>
    <n v="1"/>
    <s v="Union Territory"/>
    <n v="269.64"/>
    <n v="362.34"/>
    <n v="149.88"/>
    <n v="7.35"/>
    <n v="781.86"/>
    <n v="789.21"/>
    <m/>
  </r>
  <r>
    <d v="2024-04-01T00:00:00"/>
    <s v="2024-25"/>
    <n v="2024"/>
    <n v="4"/>
    <s v="Apr"/>
    <x v="14"/>
    <n v="20"/>
    <s v="State"/>
    <n v="714.08"/>
    <n v="934.43"/>
    <n v="1492.99"/>
    <n v="687.71"/>
    <n v="3141.5"/>
    <n v="3829.21"/>
    <m/>
  </r>
  <r>
    <d v="2024-04-01T00:00:00"/>
    <s v="2024-25"/>
    <n v="2024"/>
    <n v="4"/>
    <s v="Apr"/>
    <x v="15"/>
    <n v="29"/>
    <s v="State"/>
    <n v="3896.36"/>
    <n v="4715.34"/>
    <n v="5791.48"/>
    <n v="1574.97"/>
    <n v="14403.18"/>
    <n v="15978.15"/>
    <m/>
  </r>
  <r>
    <d v="2024-04-01T00:00:00"/>
    <s v="2024-25"/>
    <n v="2024"/>
    <n v="4"/>
    <s v="Apr"/>
    <x v="16"/>
    <n v="32"/>
    <s v="State"/>
    <n v="1157.1099999999999"/>
    <n v="1456.12"/>
    <n v="652.1"/>
    <n v="6.88"/>
    <n v="3265.33"/>
    <n v="3272.21"/>
    <m/>
  </r>
  <r>
    <d v="2024-04-01T00:00:00"/>
    <s v="2024-25"/>
    <n v="2024"/>
    <n v="4"/>
    <s v="Apr"/>
    <x v="35"/>
    <n v="37"/>
    <s v="Union Territory"/>
    <n v="29.57"/>
    <n v="35.92"/>
    <n v="3.97"/>
    <n v="0.05"/>
    <n v="69.459999999999994"/>
    <n v="69.510000000000005"/>
    <m/>
  </r>
  <r>
    <d v="2024-04-01T00:00:00"/>
    <s v="2024-25"/>
    <n v="2024"/>
    <n v="4"/>
    <s v="Apr"/>
    <x v="17"/>
    <n v="31"/>
    <s v="Union Territory"/>
    <n v="0.18"/>
    <n v="0.22"/>
    <n v="0.81"/>
    <n v="0"/>
    <n v="1.21"/>
    <n v="1.21"/>
    <m/>
  </r>
  <r>
    <d v="2024-04-01T00:00:00"/>
    <s v="2024-25"/>
    <n v="2024"/>
    <n v="4"/>
    <s v="Apr"/>
    <x v="18"/>
    <n v="23"/>
    <s v="State"/>
    <n v="1220.58"/>
    <n v="1519.6"/>
    <n v="1365.12"/>
    <n v="622.53"/>
    <n v="4105.3"/>
    <n v="4727.83"/>
    <m/>
  </r>
  <r>
    <d v="2024-04-01T00:00:00"/>
    <s v="2024-25"/>
    <n v="2024"/>
    <n v="4"/>
    <s v="Apr"/>
    <x v="19"/>
    <n v="27"/>
    <s v="State"/>
    <n v="10263.18"/>
    <n v="11729.43"/>
    <n v="13430.36"/>
    <n v="2247.84"/>
    <n v="35422.97"/>
    <n v="37670.81"/>
    <m/>
  </r>
  <r>
    <d v="2024-04-01T00:00:00"/>
    <s v="2024-25"/>
    <n v="2024"/>
    <n v="4"/>
    <s v="Apr"/>
    <x v="20"/>
    <n v="14"/>
    <s v="State"/>
    <n v="41.34"/>
    <n v="52.61"/>
    <n v="9.9499999999999993"/>
    <n v="0.08"/>
    <n v="103.9"/>
    <n v="103.98"/>
    <m/>
  </r>
  <r>
    <d v="2024-04-01T00:00:00"/>
    <s v="2024-25"/>
    <n v="2024"/>
    <n v="4"/>
    <s v="Apr"/>
    <x v="21"/>
    <n v="17"/>
    <s v="State"/>
    <n v="63.17"/>
    <n v="75.59"/>
    <n v="94.82"/>
    <n v="0.38"/>
    <n v="233.58"/>
    <n v="233.96"/>
    <m/>
  </r>
  <r>
    <d v="2024-04-01T00:00:00"/>
    <s v="2024-25"/>
    <n v="2024"/>
    <n v="4"/>
    <s v="Apr"/>
    <x v="22"/>
    <n v="15"/>
    <s v="State"/>
    <n v="43.71"/>
    <n v="59.38"/>
    <n v="4.9000000000000004"/>
    <n v="0.08"/>
    <n v="107.99"/>
    <n v="108.07"/>
    <m/>
  </r>
  <r>
    <d v="2024-04-01T00:00:00"/>
    <s v="2024-25"/>
    <n v="2024"/>
    <n v="4"/>
    <s v="Apr"/>
    <x v="23"/>
    <n v="13"/>
    <s v="State"/>
    <n v="30.71"/>
    <n v="40.6"/>
    <n v="10.42"/>
    <n v="4.13"/>
    <n v="81.73"/>
    <n v="85.86"/>
    <m/>
  </r>
  <r>
    <d v="2024-04-01T00:00:00"/>
    <s v="2024-25"/>
    <n v="2024"/>
    <n v="4"/>
    <s v="Apr"/>
    <x v="24"/>
    <n v="21"/>
    <s v="State"/>
    <n v="1674.38"/>
    <n v="2081.83"/>
    <n v="1349.66"/>
    <n v="796.38"/>
    <n v="5105.87"/>
    <n v="5902.25"/>
    <m/>
  </r>
  <r>
    <d v="2024-04-01T00:00:00"/>
    <s v="2024-25"/>
    <n v="2024"/>
    <n v="4"/>
    <s v="Apr"/>
    <x v="25"/>
    <n v="34"/>
    <s v="Union Territory"/>
    <n v="35.36"/>
    <n v="54.12"/>
    <n v="154.94999999999999"/>
    <n v="2.2200000000000002"/>
    <n v="244.43"/>
    <n v="246.65"/>
    <m/>
  </r>
  <r>
    <d v="2024-04-01T00:00:00"/>
    <s v="2024-25"/>
    <n v="2024"/>
    <n v="4"/>
    <s v="Apr"/>
    <x v="26"/>
    <n v="3"/>
    <s v="State"/>
    <n v="693.2"/>
    <n v="998.58"/>
    <n v="1068.8599999999999"/>
    <n v="35.159999999999997"/>
    <n v="2760.64"/>
    <n v="2795.8"/>
    <m/>
  </r>
  <r>
    <d v="2024-04-01T00:00:00"/>
    <s v="2024-25"/>
    <n v="2024"/>
    <n v="4"/>
    <s v="Apr"/>
    <x v="27"/>
    <n v="8"/>
    <s v="State"/>
    <n v="1600.9"/>
    <n v="1889.1"/>
    <n v="1890.19"/>
    <n v="177.82"/>
    <n v="5380.19"/>
    <n v="5558.01"/>
    <m/>
  </r>
  <r>
    <d v="2024-04-01T00:00:00"/>
    <s v="2024-25"/>
    <n v="2024"/>
    <n v="4"/>
    <s v="Apr"/>
    <x v="28"/>
    <n v="11"/>
    <s v="State"/>
    <n v="46.69"/>
    <n v="69.2"/>
    <n v="287.54000000000002"/>
    <n v="0.05"/>
    <n v="403.43"/>
    <n v="403.48"/>
    <m/>
  </r>
  <r>
    <d v="2024-04-01T00:00:00"/>
    <s v="2024-25"/>
    <n v="2024"/>
    <n v="4"/>
    <s v="Apr"/>
    <x v="29"/>
    <n v="33"/>
    <s v="State"/>
    <n v="3193.48"/>
    <n v="4066.49"/>
    <n v="4157.6899999999996"/>
    <n v="792.3"/>
    <n v="11417.66"/>
    <n v="12209.96"/>
    <m/>
  </r>
  <r>
    <d v="2024-04-01T00:00:00"/>
    <s v="2024-25"/>
    <n v="2024"/>
    <n v="4"/>
    <s v="Apr"/>
    <x v="30"/>
    <n v="36"/>
    <s v="State"/>
    <n v="1720.73"/>
    <n v="2062.94"/>
    <n v="1890.34"/>
    <n v="561.88"/>
    <n v="5674.01"/>
    <n v="6235.89"/>
    <m/>
  </r>
  <r>
    <d v="2024-04-01T00:00:00"/>
    <s v="2024-25"/>
    <n v="2024"/>
    <n v="4"/>
    <s v="Apr"/>
    <x v="31"/>
    <n v="16"/>
    <s v="State"/>
    <n v="64.34"/>
    <n v="79.81"/>
    <n v="16.43"/>
    <n v="0.04"/>
    <n v="160.58000000000001"/>
    <n v="160.62"/>
    <m/>
  </r>
  <r>
    <d v="2024-04-01T00:00:00"/>
    <s v="2024-25"/>
    <n v="2024"/>
    <n v="4"/>
    <s v="Apr"/>
    <x v="32"/>
    <n v="9"/>
    <s v="State"/>
    <n v="3202.68"/>
    <n v="4120.71"/>
    <n v="3606.43"/>
    <n v="1360.3"/>
    <n v="10929.82"/>
    <n v="12290.12"/>
    <m/>
  </r>
  <r>
    <d v="2024-04-01T00:00:00"/>
    <s v="2024-25"/>
    <n v="2024"/>
    <n v="4"/>
    <s v="Apr"/>
    <x v="33"/>
    <n v="5"/>
    <s v="State"/>
    <n v="460.53"/>
    <n v="636.26"/>
    <n v="1132.22"/>
    <n v="10.02"/>
    <n v="2229.0100000000002"/>
    <n v="2239.0300000000002"/>
    <m/>
  </r>
  <r>
    <d v="2024-04-01T00:00:00"/>
    <s v="2024-25"/>
    <n v="2024"/>
    <n v="4"/>
    <s v="Apr"/>
    <x v="34"/>
    <n v="19"/>
    <s v="State"/>
    <n v="2177.9499999999998"/>
    <n v="2640.03"/>
    <n v="1894.17"/>
    <n v="581.30999999999995"/>
    <n v="6712.15"/>
    <n v="7293.46"/>
    <m/>
  </r>
  <r>
    <d v="2024-05-01T00:00:00"/>
    <s v="2024-25"/>
    <n v="2024"/>
    <n v="5"/>
    <s v="May"/>
    <x v="0"/>
    <n v="35"/>
    <s v="Union Territory"/>
    <n v="13.54"/>
    <n v="17.7"/>
    <n v="5.28"/>
    <n v="0.05"/>
    <n v="36.520000000000003"/>
    <n v="36.57"/>
    <m/>
  </r>
  <r>
    <d v="2024-05-01T00:00:00"/>
    <s v="2024-25"/>
    <n v="2024"/>
    <n v="5"/>
    <s v="May"/>
    <x v="1"/>
    <n v="28"/>
    <s v="State"/>
    <n v="980.51"/>
    <n v="1240.0999999999999"/>
    <n v="1410.08"/>
    <n v="259.77999999999997"/>
    <n v="3630.69"/>
    <n v="3890.47"/>
    <m/>
  </r>
  <r>
    <d v="2024-05-01T00:00:00"/>
    <s v="2024-25"/>
    <n v="2024"/>
    <n v="5"/>
    <s v="May"/>
    <x v="2"/>
    <n v="12"/>
    <s v="State"/>
    <n v="36.31"/>
    <n v="44.52"/>
    <n v="17.23"/>
    <n v="0.21"/>
    <n v="98.06"/>
    <n v="98.27"/>
    <m/>
  </r>
  <r>
    <d v="2024-05-01T00:00:00"/>
    <s v="2024-25"/>
    <n v="2024"/>
    <n v="5"/>
    <s v="May"/>
    <x v="3"/>
    <n v="18"/>
    <s v="State"/>
    <n v="375.64"/>
    <n v="511.47"/>
    <n v="281.93"/>
    <n v="59.42"/>
    <n v="1169.04"/>
    <n v="1228.46"/>
    <m/>
  </r>
  <r>
    <d v="2024-05-01T00:00:00"/>
    <s v="2024-25"/>
    <n v="2024"/>
    <n v="5"/>
    <s v="May"/>
    <x v="4"/>
    <n v="10"/>
    <s v="State"/>
    <n v="425.19"/>
    <n v="694.56"/>
    <n v="210.87"/>
    <n v="190.55"/>
    <n v="1330.62"/>
    <n v="1521.17"/>
    <m/>
  </r>
  <r>
    <d v="2024-05-01T00:00:00"/>
    <s v="2024-25"/>
    <n v="2024"/>
    <n v="5"/>
    <s v="May"/>
    <x v="5"/>
    <n v="4"/>
    <s v="Union Territory"/>
    <n v="41.51"/>
    <n v="54.22"/>
    <n v="138.1"/>
    <n v="3.32"/>
    <n v="233.83"/>
    <n v="237.15"/>
    <m/>
  </r>
  <r>
    <d v="2024-05-01T00:00:00"/>
    <s v="2024-25"/>
    <n v="2024"/>
    <n v="5"/>
    <s v="May"/>
    <x v="6"/>
    <n v="22"/>
    <s v="State"/>
    <n v="556.91999999999996"/>
    <n v="661.49"/>
    <n v="952.81"/>
    <n v="681.79"/>
    <n v="2171.2199999999998"/>
    <n v="2853.01"/>
    <m/>
  </r>
  <r>
    <d v="2024-05-01T00:00:00"/>
    <s v="2024-25"/>
    <n v="2024"/>
    <n v="5"/>
    <s v="May"/>
    <x v="7"/>
    <n v="38"/>
    <s v="Union Territory"/>
    <n v="47.05"/>
    <n v="57.93"/>
    <n v="269.83999999999997"/>
    <n v="0.3"/>
    <n v="374.82"/>
    <n v="375.12"/>
    <m/>
  </r>
  <r>
    <d v="2024-05-01T00:00:00"/>
    <s v="2024-25"/>
    <n v="2024"/>
    <n v="5"/>
    <s v="May"/>
    <x v="8"/>
    <n v="7"/>
    <s v="Union Territory"/>
    <n v="1286.6400000000001"/>
    <n v="1476.93"/>
    <n v="4630.3"/>
    <n v="117.64"/>
    <n v="7393.87"/>
    <n v="7511.51"/>
    <m/>
  </r>
  <r>
    <d v="2024-05-01T00:00:00"/>
    <s v="2024-25"/>
    <n v="2024"/>
    <n v="5"/>
    <s v="May"/>
    <x v="9"/>
    <n v="30"/>
    <s v="State"/>
    <n v="146.32"/>
    <n v="190.01"/>
    <n v="178.83"/>
    <n v="3.99"/>
    <n v="515.16"/>
    <n v="519.15"/>
    <m/>
  </r>
  <r>
    <d v="2024-05-01T00:00:00"/>
    <s v="2024-25"/>
    <n v="2024"/>
    <n v="5"/>
    <s v="May"/>
    <x v="10"/>
    <n v="24"/>
    <s v="State"/>
    <n v="2952.79"/>
    <n v="3525.91"/>
    <n v="4158"/>
    <n v="688"/>
    <n v="10636.7"/>
    <n v="11324.7"/>
    <m/>
  </r>
  <r>
    <d v="2024-05-01T00:00:00"/>
    <s v="2024-25"/>
    <n v="2024"/>
    <n v="5"/>
    <s v="May"/>
    <x v="11"/>
    <n v="6"/>
    <s v="State"/>
    <n v="1518.57"/>
    <n v="1949.86"/>
    <n v="5208.96"/>
    <n v="611.29"/>
    <n v="8677.39"/>
    <n v="9288.68"/>
    <m/>
  </r>
  <r>
    <d v="2024-05-01T00:00:00"/>
    <s v="2024-25"/>
    <n v="2024"/>
    <n v="5"/>
    <s v="May"/>
    <x v="12"/>
    <n v="2"/>
    <s v="State"/>
    <n v="133.83000000000001"/>
    <n v="187.15"/>
    <n v="515.62"/>
    <n v="1.76"/>
    <n v="836.6"/>
    <n v="838.36"/>
    <m/>
  </r>
  <r>
    <d v="2024-05-01T00:00:00"/>
    <s v="2024-25"/>
    <n v="2024"/>
    <n v="5"/>
    <s v="May"/>
    <x v="13"/>
    <n v="1"/>
    <s v="Union Territory"/>
    <n v="153.56"/>
    <n v="224.62"/>
    <n v="135.47999999999999"/>
    <n v="11.48"/>
    <n v="513.66"/>
    <n v="525.14"/>
    <m/>
  </r>
  <r>
    <d v="2024-05-01T00:00:00"/>
    <s v="2024-25"/>
    <n v="2024"/>
    <n v="5"/>
    <s v="May"/>
    <x v="14"/>
    <n v="20"/>
    <s v="State"/>
    <n v="536.82000000000005"/>
    <n v="735.31"/>
    <n v="804.1"/>
    <n v="623.64"/>
    <n v="2076.23"/>
    <n v="2699.87"/>
    <m/>
  </r>
  <r>
    <d v="2024-05-01T00:00:00"/>
    <s v="2024-25"/>
    <n v="2024"/>
    <n v="5"/>
    <s v="May"/>
    <x v="15"/>
    <n v="29"/>
    <s v="State"/>
    <n v="2828.84"/>
    <n v="3440.89"/>
    <n v="4392.13"/>
    <n v="1227.52"/>
    <n v="10661.86"/>
    <n v="11889.38"/>
    <m/>
  </r>
  <r>
    <d v="2024-05-01T00:00:00"/>
    <s v="2024-25"/>
    <n v="2024"/>
    <n v="5"/>
    <s v="May"/>
    <x v="16"/>
    <n v="32"/>
    <s v="State"/>
    <n v="935.92"/>
    <n v="1208.98"/>
    <n v="442.69"/>
    <n v="6.19"/>
    <n v="2587.59"/>
    <n v="2593.7800000000002"/>
    <m/>
  </r>
  <r>
    <d v="2024-05-01T00:00:00"/>
    <s v="2024-25"/>
    <n v="2024"/>
    <n v="5"/>
    <s v="May"/>
    <x v="35"/>
    <n v="37"/>
    <s v="Union Territory"/>
    <n v="5.93"/>
    <n v="7.79"/>
    <n v="1.77"/>
    <n v="0"/>
    <n v="15.49"/>
    <n v="15.49"/>
    <m/>
  </r>
  <r>
    <d v="2024-05-01T00:00:00"/>
    <s v="2024-25"/>
    <n v="2024"/>
    <n v="5"/>
    <s v="May"/>
    <x v="17"/>
    <n v="31"/>
    <s v="Union Territory"/>
    <n v="0.5"/>
    <n v="0.52"/>
    <n v="0.25"/>
    <n v="0"/>
    <n v="1.27"/>
    <n v="1.27"/>
    <m/>
  </r>
  <r>
    <d v="2024-05-01T00:00:00"/>
    <s v="2024-25"/>
    <n v="2024"/>
    <n v="5"/>
    <s v="May"/>
    <x v="18"/>
    <n v="23"/>
    <s v="State"/>
    <n v="801.71"/>
    <n v="1028.1500000000001"/>
    <n v="905.5"/>
    <n v="667.13"/>
    <n v="2735.36"/>
    <n v="3402.49"/>
    <m/>
  </r>
  <r>
    <d v="2024-05-01T00:00:00"/>
    <s v="2024-25"/>
    <n v="2024"/>
    <n v="5"/>
    <s v="May"/>
    <x v="19"/>
    <n v="27"/>
    <s v="State"/>
    <n v="7607.26"/>
    <n v="8710.9699999999993"/>
    <n v="8462.4599999999991"/>
    <n v="2073.13"/>
    <n v="24780.69"/>
    <n v="26853.82"/>
    <m/>
  </r>
  <r>
    <d v="2024-05-01T00:00:00"/>
    <s v="2024-25"/>
    <n v="2024"/>
    <n v="5"/>
    <s v="May"/>
    <x v="20"/>
    <n v="14"/>
    <s v="State"/>
    <n v="19.66"/>
    <n v="31.59"/>
    <n v="7.23"/>
    <n v="0.02"/>
    <n v="58.48"/>
    <n v="58.5"/>
    <m/>
  </r>
  <r>
    <d v="2024-05-01T00:00:00"/>
    <s v="2024-25"/>
    <n v="2024"/>
    <n v="5"/>
    <s v="May"/>
    <x v="21"/>
    <n v="17"/>
    <s v="State"/>
    <n v="37.590000000000003"/>
    <n v="51.64"/>
    <n v="79.8"/>
    <n v="3.05"/>
    <n v="169.03"/>
    <n v="172.08"/>
    <m/>
  </r>
  <r>
    <d v="2024-05-01T00:00:00"/>
    <s v="2024-25"/>
    <n v="2024"/>
    <n v="5"/>
    <s v="May"/>
    <x v="22"/>
    <n v="15"/>
    <s v="State"/>
    <n v="14.85"/>
    <n v="21.61"/>
    <n v="2.4300000000000002"/>
    <n v="0.11"/>
    <n v="38.89"/>
    <n v="39"/>
    <m/>
  </r>
  <r>
    <d v="2024-05-01T00:00:00"/>
    <s v="2024-25"/>
    <n v="2024"/>
    <n v="5"/>
    <s v="May"/>
    <x v="23"/>
    <n v="13"/>
    <s v="State"/>
    <n v="15.71"/>
    <n v="19.25"/>
    <n v="6.38"/>
    <n v="3.35"/>
    <n v="41.34"/>
    <n v="44.69"/>
    <m/>
  </r>
  <r>
    <d v="2024-05-01T00:00:00"/>
    <s v="2024-25"/>
    <n v="2024"/>
    <n v="5"/>
    <s v="May"/>
    <x v="24"/>
    <n v="21"/>
    <s v="State"/>
    <n v="1177.83"/>
    <n v="1415.25"/>
    <n v="1622.67"/>
    <n v="811.04"/>
    <n v="4215.75"/>
    <n v="5026.79"/>
    <m/>
  </r>
  <r>
    <d v="2024-05-01T00:00:00"/>
    <s v="2024-25"/>
    <n v="2024"/>
    <n v="5"/>
    <s v="May"/>
    <x v="25"/>
    <n v="34"/>
    <s v="Union Territory"/>
    <n v="28.73"/>
    <n v="40.65"/>
    <n v="168.77"/>
    <n v="0.81"/>
    <n v="238.15"/>
    <n v="238.96"/>
    <m/>
  </r>
  <r>
    <d v="2024-05-01T00:00:00"/>
    <s v="2024-25"/>
    <n v="2024"/>
    <n v="5"/>
    <s v="May"/>
    <x v="26"/>
    <n v="3"/>
    <s v="State"/>
    <n v="501.05"/>
    <n v="724.42"/>
    <n v="918.32"/>
    <n v="45.77"/>
    <n v="2143.79"/>
    <n v="2189.56"/>
    <m/>
  </r>
  <r>
    <d v="2024-05-01T00:00:00"/>
    <s v="2024-25"/>
    <n v="2024"/>
    <n v="5"/>
    <s v="May"/>
    <x v="27"/>
    <n v="8"/>
    <s v="State"/>
    <n v="1198.5899999999999"/>
    <n v="1505.61"/>
    <n v="1572.9"/>
    <n v="137.18"/>
    <n v="4277.1000000000004"/>
    <n v="4414.28"/>
    <m/>
  </r>
  <r>
    <d v="2024-05-01T00:00:00"/>
    <s v="2024-25"/>
    <n v="2024"/>
    <n v="5"/>
    <s v="May"/>
    <x v="28"/>
    <n v="11"/>
    <s v="State"/>
    <n v="20.94"/>
    <n v="25.95"/>
    <n v="264.61"/>
    <n v="0.33"/>
    <n v="311.5"/>
    <n v="311.83"/>
    <m/>
  </r>
  <r>
    <d v="2024-05-01T00:00:00"/>
    <s v="2024-25"/>
    <n v="2024"/>
    <n v="5"/>
    <s v="May"/>
    <x v="29"/>
    <n v="33"/>
    <s v="State"/>
    <n v="2736.71"/>
    <n v="3529.8"/>
    <n v="2762.21"/>
    <n v="739.13"/>
    <n v="9028.7199999999993"/>
    <n v="9767.85"/>
    <m/>
  </r>
  <r>
    <d v="2024-05-01T00:00:00"/>
    <s v="2024-25"/>
    <n v="2024"/>
    <n v="5"/>
    <s v="May"/>
    <x v="30"/>
    <n v="36"/>
    <s v="State"/>
    <n v="1266.21"/>
    <n v="1635.88"/>
    <n v="1550.39"/>
    <n v="533.67999999999995"/>
    <n v="4452.4799999999996"/>
    <n v="4986.16"/>
    <m/>
  </r>
  <r>
    <d v="2024-05-01T00:00:00"/>
    <s v="2024-25"/>
    <n v="2024"/>
    <n v="5"/>
    <s v="May"/>
    <x v="31"/>
    <n v="16"/>
    <s v="State"/>
    <n v="28.32"/>
    <n v="36.03"/>
    <n v="8.09"/>
    <n v="0.12"/>
    <n v="72.44"/>
    <n v="72.56"/>
    <m/>
  </r>
  <r>
    <d v="2024-05-01T00:00:00"/>
    <s v="2024-25"/>
    <n v="2024"/>
    <n v="5"/>
    <s v="May"/>
    <x v="32"/>
    <n v="9"/>
    <s v="State"/>
    <n v="2020.29"/>
    <n v="2735.6"/>
    <n v="3056.26"/>
    <n v="1279.33"/>
    <n v="7812.15"/>
    <n v="9091.48"/>
    <m/>
  </r>
  <r>
    <d v="2024-05-01T00:00:00"/>
    <s v="2024-25"/>
    <n v="2024"/>
    <n v="5"/>
    <s v="May"/>
    <x v="33"/>
    <n v="5"/>
    <s v="State"/>
    <n v="322.98"/>
    <n v="475.89"/>
    <n v="1025.25"/>
    <n v="12.62"/>
    <n v="1824.12"/>
    <n v="1836.74"/>
    <m/>
  </r>
  <r>
    <d v="2024-05-01T00:00:00"/>
    <s v="2024-25"/>
    <n v="2024"/>
    <n v="5"/>
    <s v="May"/>
    <x v="34"/>
    <n v="19"/>
    <s v="State"/>
    <n v="1619.58"/>
    <n v="2029.96"/>
    <n v="1313.96"/>
    <n v="413.48"/>
    <n v="4963.5"/>
    <n v="5376.98"/>
    <m/>
  </r>
  <r>
    <d v="2024-06-01T00:00:00"/>
    <s v="2024-25"/>
    <n v="2024"/>
    <n v="6"/>
    <s v="Jun"/>
    <x v="0"/>
    <n v="35"/>
    <s v="Union Territory"/>
    <n v="12.05"/>
    <n v="14.05"/>
    <n v="4.75"/>
    <n v="0.09"/>
    <n v="30.85"/>
    <n v="30.94"/>
    <m/>
  </r>
  <r>
    <d v="2024-06-01T00:00:00"/>
    <s v="2024-25"/>
    <n v="2024"/>
    <n v="6"/>
    <s v="Jun"/>
    <x v="1"/>
    <n v="28"/>
    <s v="State"/>
    <n v="894.95"/>
    <n v="1150.42"/>
    <n v="1352.66"/>
    <n v="252.78"/>
    <n v="3398.03"/>
    <n v="3650.81"/>
    <m/>
  </r>
  <r>
    <d v="2024-06-01T00:00:00"/>
    <s v="2024-25"/>
    <n v="2024"/>
    <n v="6"/>
    <s v="Jun"/>
    <x v="2"/>
    <n v="12"/>
    <s v="State"/>
    <n v="38.28"/>
    <n v="45.32"/>
    <n v="7.41"/>
    <n v="0.1"/>
    <n v="91.01"/>
    <n v="91.11"/>
    <m/>
  </r>
  <r>
    <d v="2024-06-01T00:00:00"/>
    <s v="2024-25"/>
    <n v="2024"/>
    <n v="6"/>
    <s v="Jun"/>
    <x v="3"/>
    <n v="18"/>
    <s v="State"/>
    <n v="408.9"/>
    <n v="515.92999999999995"/>
    <n v="364.88"/>
    <n v="158.78"/>
    <n v="1289.71"/>
    <n v="1448.49"/>
    <m/>
  </r>
  <r>
    <d v="2024-06-01T00:00:00"/>
    <s v="2024-25"/>
    <n v="2024"/>
    <n v="6"/>
    <s v="Jun"/>
    <x v="4"/>
    <n v="10"/>
    <s v="State"/>
    <n v="416.93"/>
    <n v="687.97"/>
    <n v="234.5"/>
    <n v="185.57"/>
    <n v="1339.4"/>
    <n v="1524.97"/>
    <m/>
  </r>
  <r>
    <d v="2024-06-01T00:00:00"/>
    <s v="2024-25"/>
    <n v="2024"/>
    <n v="6"/>
    <s v="Jun"/>
    <x v="5"/>
    <n v="4"/>
    <s v="Union Territory"/>
    <n v="44.56"/>
    <n v="59.64"/>
    <n v="115.93"/>
    <n v="3.38"/>
    <n v="220.13"/>
    <n v="223.51"/>
    <m/>
  </r>
  <r>
    <d v="2024-06-01T00:00:00"/>
    <s v="2024-25"/>
    <n v="2024"/>
    <n v="6"/>
    <s v="Jun"/>
    <x v="6"/>
    <n v="22"/>
    <s v="State"/>
    <n v="628.83000000000004"/>
    <n v="730.99"/>
    <n v="1084.3800000000001"/>
    <n v="733.55"/>
    <n v="2444.1999999999998"/>
    <n v="3177.75"/>
    <m/>
  </r>
  <r>
    <d v="2024-06-01T00:00:00"/>
    <s v="2024-25"/>
    <n v="2024"/>
    <n v="6"/>
    <s v="Jun"/>
    <x v="7"/>
    <n v="38"/>
    <s v="Union Territory"/>
    <n v="60.66"/>
    <n v="71.05"/>
    <n v="262.05"/>
    <n v="0.18"/>
    <n v="393.76"/>
    <n v="393.94"/>
    <m/>
  </r>
  <r>
    <d v="2024-06-01T00:00:00"/>
    <s v="2024-25"/>
    <n v="2024"/>
    <n v="6"/>
    <s v="Jun"/>
    <x v="8"/>
    <n v="7"/>
    <s v="Union Territory"/>
    <n v="1060.7"/>
    <n v="1257.03"/>
    <n v="2857.88"/>
    <n v="113.78"/>
    <n v="5175.6099999999997"/>
    <n v="5289.39"/>
    <m/>
  </r>
  <r>
    <d v="2024-06-01T00:00:00"/>
    <s v="2024-25"/>
    <n v="2024"/>
    <n v="6"/>
    <s v="Jun"/>
    <x v="9"/>
    <n v="30"/>
    <s v="State"/>
    <n v="156.84"/>
    <n v="203.52"/>
    <n v="181.11"/>
    <n v="4.6399999999999997"/>
    <n v="541.47"/>
    <n v="546.11"/>
    <m/>
  </r>
  <r>
    <d v="2024-06-01T00:00:00"/>
    <s v="2024-25"/>
    <n v="2024"/>
    <n v="6"/>
    <s v="Jun"/>
    <x v="10"/>
    <n v="24"/>
    <s v="State"/>
    <n v="3042.47"/>
    <n v="3701.91"/>
    <n v="3579.3"/>
    <n v="778.5"/>
    <n v="10323.68"/>
    <n v="11102.18"/>
    <m/>
  </r>
  <r>
    <d v="2024-06-01T00:00:00"/>
    <s v="2024-25"/>
    <n v="2024"/>
    <n v="6"/>
    <s v="Jun"/>
    <x v="11"/>
    <n v="6"/>
    <s v="State"/>
    <n v="1528.78"/>
    <n v="1936.68"/>
    <n v="4977.62"/>
    <n v="595.22"/>
    <n v="8443.08"/>
    <n v="9038.2999999999993"/>
    <m/>
  </r>
  <r>
    <d v="2024-06-01T00:00:00"/>
    <s v="2024-25"/>
    <n v="2024"/>
    <n v="6"/>
    <s v="Jun"/>
    <x v="12"/>
    <n v="2"/>
    <s v="State"/>
    <n v="162.13"/>
    <n v="219.28"/>
    <n v="501.16"/>
    <n v="3.03"/>
    <n v="882.57"/>
    <n v="885.6"/>
    <m/>
  </r>
  <r>
    <d v="2024-06-01T00:00:00"/>
    <s v="2024-25"/>
    <n v="2024"/>
    <n v="6"/>
    <s v="Jun"/>
    <x v="13"/>
    <n v="1"/>
    <s v="Union Territory"/>
    <n v="158.62"/>
    <n v="222.84"/>
    <n v="158.16"/>
    <n v="15.44"/>
    <n v="539.62"/>
    <n v="555.05999999999995"/>
    <m/>
  </r>
  <r>
    <d v="2024-06-01T00:00:00"/>
    <s v="2024-25"/>
    <n v="2024"/>
    <n v="6"/>
    <s v="Jun"/>
    <x v="14"/>
    <n v="20"/>
    <s v="State"/>
    <n v="461.28"/>
    <n v="639.01"/>
    <n v="1008.46"/>
    <n v="704.98"/>
    <n v="2108.75"/>
    <n v="2813.73"/>
    <m/>
  </r>
  <r>
    <d v="2024-06-01T00:00:00"/>
    <s v="2024-25"/>
    <n v="2024"/>
    <n v="6"/>
    <s v="Jun"/>
    <x v="15"/>
    <n v="29"/>
    <s v="State"/>
    <n v="2832.65"/>
    <n v="3501.02"/>
    <n v="4513.95"/>
    <n v="1541.36"/>
    <n v="10847.62"/>
    <n v="12388.98"/>
    <m/>
  </r>
  <r>
    <d v="2024-06-01T00:00:00"/>
    <s v="2024-25"/>
    <n v="2024"/>
    <n v="6"/>
    <s v="Jun"/>
    <x v="16"/>
    <n v="32"/>
    <s v="State"/>
    <n v="925.4"/>
    <n v="1181.24"/>
    <n v="505.18"/>
    <n v="5.87"/>
    <n v="2611.8200000000002"/>
    <n v="2617.69"/>
    <m/>
  </r>
  <r>
    <d v="2024-06-01T00:00:00"/>
    <s v="2024-25"/>
    <n v="2024"/>
    <n v="6"/>
    <s v="Jun"/>
    <x v="35"/>
    <n v="37"/>
    <s v="Union Territory"/>
    <n v="7.41"/>
    <n v="11.54"/>
    <n v="3.31"/>
    <n v="0.67"/>
    <n v="22.26"/>
    <n v="22.93"/>
    <m/>
  </r>
  <r>
    <d v="2024-06-01T00:00:00"/>
    <s v="2024-25"/>
    <n v="2024"/>
    <n v="6"/>
    <s v="Jun"/>
    <x v="17"/>
    <n v="31"/>
    <s v="Union Territory"/>
    <n v="0.17"/>
    <n v="0.49"/>
    <n v="0.13"/>
    <n v="0"/>
    <n v="0.79"/>
    <n v="0.79"/>
    <m/>
  </r>
  <r>
    <d v="2024-06-01T00:00:00"/>
    <s v="2024-25"/>
    <n v="2024"/>
    <n v="6"/>
    <s v="Jun"/>
    <x v="18"/>
    <n v="23"/>
    <s v="State"/>
    <n v="842.38"/>
    <n v="1061.69"/>
    <n v="996.77"/>
    <n v="730.27"/>
    <n v="2900.84"/>
    <n v="3631.11"/>
    <m/>
  </r>
  <r>
    <d v="2024-06-01T00:00:00"/>
    <s v="2024-25"/>
    <n v="2024"/>
    <n v="6"/>
    <s v="Jun"/>
    <x v="19"/>
    <n v="27"/>
    <s v="State"/>
    <n v="7929.96"/>
    <n v="9213.1299999999992"/>
    <n v="9682.98"/>
    <n v="2054.79"/>
    <n v="26826.07"/>
    <n v="28880.86"/>
    <m/>
  </r>
  <r>
    <d v="2024-06-01T00:00:00"/>
    <s v="2024-25"/>
    <n v="2024"/>
    <n v="6"/>
    <s v="Jun"/>
    <x v="20"/>
    <n v="14"/>
    <s v="State"/>
    <n v="21.1"/>
    <n v="33.869999999999997"/>
    <n v="7.05"/>
    <n v="7.0000000000000007E-2"/>
    <n v="62.02"/>
    <n v="62.09"/>
    <m/>
  </r>
  <r>
    <d v="2024-06-01T00:00:00"/>
    <s v="2024-25"/>
    <n v="2024"/>
    <n v="6"/>
    <s v="Jun"/>
    <x v="21"/>
    <n v="17"/>
    <s v="State"/>
    <n v="46.24"/>
    <n v="54.98"/>
    <n v="78"/>
    <n v="1.25"/>
    <n v="179.22"/>
    <n v="180.47"/>
    <m/>
  </r>
  <r>
    <d v="2024-06-01T00:00:00"/>
    <s v="2024-25"/>
    <n v="2024"/>
    <n v="6"/>
    <s v="Jun"/>
    <x v="22"/>
    <n v="15"/>
    <s v="State"/>
    <n v="14.69"/>
    <n v="22.78"/>
    <n v="4.5"/>
    <n v="0.26"/>
    <n v="41.97"/>
    <n v="42.23"/>
    <m/>
  </r>
  <r>
    <d v="2024-06-01T00:00:00"/>
    <s v="2024-25"/>
    <n v="2024"/>
    <n v="6"/>
    <s v="Jun"/>
    <x v="23"/>
    <n v="13"/>
    <s v="State"/>
    <n v="16.66"/>
    <n v="20.63"/>
    <n v="10.14"/>
    <n v="2.0099999999999998"/>
    <n v="47.43"/>
    <n v="49.44"/>
    <m/>
  </r>
  <r>
    <d v="2024-06-01T00:00:00"/>
    <s v="2024-25"/>
    <n v="2024"/>
    <n v="6"/>
    <s v="Jun"/>
    <x v="24"/>
    <n v="21"/>
    <s v="State"/>
    <n v="1242.25"/>
    <n v="1458.96"/>
    <n v="1424.14"/>
    <n v="861.92"/>
    <n v="4125.3500000000004"/>
    <n v="4987.2700000000004"/>
    <m/>
  </r>
  <r>
    <d v="2024-06-01T00:00:00"/>
    <s v="2024-25"/>
    <n v="2024"/>
    <n v="6"/>
    <s v="Jun"/>
    <x v="25"/>
    <n v="34"/>
    <s v="Union Territory"/>
    <n v="28.57"/>
    <n v="42.92"/>
    <n v="171.01"/>
    <n v="0.79"/>
    <n v="242.5"/>
    <n v="243.29"/>
    <m/>
  </r>
  <r>
    <d v="2024-06-01T00:00:00"/>
    <s v="2024-25"/>
    <n v="2024"/>
    <n v="6"/>
    <s v="Jun"/>
    <x v="26"/>
    <n v="3"/>
    <s v="State"/>
    <n v="500.15"/>
    <n v="730.67"/>
    <n v="1022.36"/>
    <n v="53"/>
    <n v="2253.1799999999998"/>
    <n v="2306.1799999999998"/>
    <m/>
  </r>
  <r>
    <d v="2024-06-01T00:00:00"/>
    <s v="2024-25"/>
    <n v="2024"/>
    <n v="6"/>
    <s v="Jun"/>
    <x v="27"/>
    <n v="8"/>
    <s v="State"/>
    <n v="1139.8800000000001"/>
    <n v="1458.24"/>
    <n v="1527.78"/>
    <n v="128.18"/>
    <n v="4125.8999999999996"/>
    <n v="4254.08"/>
    <m/>
  </r>
  <r>
    <d v="2024-06-01T00:00:00"/>
    <s v="2024-25"/>
    <n v="2024"/>
    <n v="6"/>
    <s v="Jun"/>
    <x v="28"/>
    <n v="11"/>
    <s v="State"/>
    <n v="20.68"/>
    <n v="25.73"/>
    <n v="271.16000000000003"/>
    <n v="0.02"/>
    <n v="317.57"/>
    <n v="317.58999999999997"/>
    <m/>
  </r>
  <r>
    <d v="2024-06-01T00:00:00"/>
    <s v="2024-25"/>
    <n v="2024"/>
    <n v="6"/>
    <s v="Jun"/>
    <x v="29"/>
    <n v="33"/>
    <s v="State"/>
    <n v="2674.76"/>
    <n v="3572.88"/>
    <n v="3245.77"/>
    <n v="724.51"/>
    <n v="9493.41"/>
    <n v="10217.92"/>
    <m/>
  </r>
  <r>
    <d v="2024-06-01T00:00:00"/>
    <s v="2024-25"/>
    <n v="2024"/>
    <n v="6"/>
    <s v="Jun"/>
    <x v="30"/>
    <n v="36"/>
    <s v="State"/>
    <n v="1216.6099999999999"/>
    <n v="1567.93"/>
    <n v="1381.23"/>
    <n v="550.46"/>
    <n v="4165.7700000000004"/>
    <n v="4716.2299999999996"/>
    <m/>
  </r>
  <r>
    <d v="2024-06-01T00:00:00"/>
    <s v="2024-25"/>
    <n v="2024"/>
    <n v="6"/>
    <s v="Jun"/>
    <x v="31"/>
    <n v="16"/>
    <s v="State"/>
    <n v="27.03"/>
    <n v="35.619999999999997"/>
    <n v="11.45"/>
    <n v="7.0000000000000007E-2"/>
    <n v="74.099999999999994"/>
    <n v="74.17"/>
    <m/>
  </r>
  <r>
    <d v="2024-06-01T00:00:00"/>
    <s v="2024-25"/>
    <n v="2024"/>
    <n v="6"/>
    <s v="Jun"/>
    <x v="32"/>
    <n v="9"/>
    <s v="State"/>
    <n v="2202.4699999999998"/>
    <n v="2906.73"/>
    <n v="3008.16"/>
    <n v="1483.76"/>
    <n v="8117.36"/>
    <n v="9601.1200000000008"/>
    <m/>
  </r>
  <r>
    <d v="2024-06-01T00:00:00"/>
    <s v="2024-25"/>
    <n v="2024"/>
    <n v="6"/>
    <s v="Jun"/>
    <x v="33"/>
    <n v="5"/>
    <s v="State"/>
    <n v="323.14999999999998"/>
    <n v="472.33"/>
    <n v="897.87"/>
    <n v="11.7"/>
    <n v="1693.35"/>
    <n v="1705.05"/>
    <m/>
  </r>
  <r>
    <d v="2024-06-01T00:00:00"/>
    <s v="2024-25"/>
    <n v="2024"/>
    <n v="6"/>
    <s v="Jun"/>
    <x v="34"/>
    <n v="19"/>
    <s v="State"/>
    <n v="1526.38"/>
    <n v="1870.94"/>
    <n v="1388.06"/>
    <n v="487.32"/>
    <n v="4785.38"/>
    <n v="5272.7"/>
    <m/>
  </r>
  <r>
    <d v="2024-07-01T00:00:00"/>
    <s v="2024-25"/>
    <n v="2024"/>
    <n v="7"/>
    <s v="Jul"/>
    <x v="0"/>
    <n v="35"/>
    <s v="Union Territory"/>
    <n v="15.83"/>
    <n v="18.79"/>
    <n v="4.5"/>
    <n v="0.12"/>
    <n v="39.119999999999997"/>
    <n v="39.24"/>
    <m/>
  </r>
  <r>
    <d v="2024-07-01T00:00:00"/>
    <s v="2024-25"/>
    <n v="2024"/>
    <n v="7"/>
    <s v="Jul"/>
    <x v="1"/>
    <n v="28"/>
    <s v="State"/>
    <n v="839.82"/>
    <n v="1074.17"/>
    <n v="1195.83"/>
    <n v="236.32"/>
    <n v="3109.82"/>
    <n v="3346.14"/>
    <m/>
  </r>
  <r>
    <d v="2024-07-01T00:00:00"/>
    <s v="2024-25"/>
    <n v="2024"/>
    <n v="7"/>
    <s v="Jul"/>
    <x v="2"/>
    <n v="12"/>
    <s v="State"/>
    <n v="31.58"/>
    <n v="36.97"/>
    <n v="12.16"/>
    <n v="0.06"/>
    <n v="80.709999999999994"/>
    <n v="80.77"/>
    <m/>
  </r>
  <r>
    <d v="2024-07-01T00:00:00"/>
    <s v="2024-25"/>
    <n v="2024"/>
    <n v="7"/>
    <s v="Jul"/>
    <x v="3"/>
    <n v="18"/>
    <s v="State"/>
    <n v="379.03"/>
    <n v="463.24"/>
    <n v="371.76"/>
    <n v="155.83000000000001"/>
    <n v="1214.03"/>
    <n v="1369.86"/>
    <m/>
  </r>
  <r>
    <d v="2024-07-01T00:00:00"/>
    <s v="2024-25"/>
    <n v="2024"/>
    <n v="7"/>
    <s v="Jul"/>
    <x v="4"/>
    <n v="10"/>
    <s v="State"/>
    <n v="430.73"/>
    <n v="739.27"/>
    <n v="213.12"/>
    <n v="185.49"/>
    <n v="1383.12"/>
    <n v="1568.61"/>
    <m/>
  </r>
  <r>
    <d v="2024-07-01T00:00:00"/>
    <s v="2024-25"/>
    <n v="2024"/>
    <n v="7"/>
    <s v="Jul"/>
    <x v="5"/>
    <n v="4"/>
    <s v="Union Territory"/>
    <n v="45.25"/>
    <n v="62.84"/>
    <n v="124.37"/>
    <n v="0.91"/>
    <n v="232.46"/>
    <n v="233.37"/>
    <m/>
  </r>
  <r>
    <d v="2024-07-01T00:00:00"/>
    <s v="2024-25"/>
    <n v="2024"/>
    <n v="7"/>
    <s v="Jul"/>
    <x v="6"/>
    <n v="22"/>
    <s v="State"/>
    <n v="608.76"/>
    <n v="722.25"/>
    <n v="1302.6600000000001"/>
    <n v="685.32"/>
    <n v="2633.67"/>
    <n v="3318.99"/>
    <m/>
  </r>
  <r>
    <d v="2024-07-01T00:00:00"/>
    <s v="2024-25"/>
    <n v="2024"/>
    <n v="7"/>
    <s v="Jul"/>
    <x v="7"/>
    <n v="38"/>
    <s v="Union Territory"/>
    <n v="44.7"/>
    <n v="59.64"/>
    <n v="234.43"/>
    <n v="0.1"/>
    <n v="338.77"/>
    <n v="338.87"/>
    <m/>
  </r>
  <r>
    <d v="2024-07-01T00:00:00"/>
    <s v="2024-25"/>
    <n v="2024"/>
    <n v="7"/>
    <s v="Jul"/>
    <x v="8"/>
    <n v="7"/>
    <s v="Union Territory"/>
    <n v="1106.8800000000001"/>
    <n v="1285.1600000000001"/>
    <n v="3457.07"/>
    <n v="114.87"/>
    <n v="5849.11"/>
    <n v="5963.98"/>
    <m/>
  </r>
  <r>
    <d v="2024-07-01T00:00:00"/>
    <s v="2024-25"/>
    <n v="2024"/>
    <n v="7"/>
    <s v="Jul"/>
    <x v="9"/>
    <n v="30"/>
    <s v="State"/>
    <n v="167.16"/>
    <n v="207.32"/>
    <n v="215.75"/>
    <n v="2.82"/>
    <n v="590.23"/>
    <n v="593.04999999999995"/>
    <m/>
  </r>
  <r>
    <d v="2024-07-01T00:00:00"/>
    <s v="2024-25"/>
    <n v="2024"/>
    <n v="7"/>
    <s v="Jul"/>
    <x v="10"/>
    <n v="24"/>
    <s v="State"/>
    <n v="3064.14"/>
    <n v="3736.15"/>
    <n v="3508.88"/>
    <n v="705.55"/>
    <n v="10309.17"/>
    <n v="11014.72"/>
    <m/>
  </r>
  <r>
    <d v="2024-07-01T00:00:00"/>
    <s v="2024-25"/>
    <n v="2024"/>
    <n v="7"/>
    <s v="Jul"/>
    <x v="11"/>
    <n v="6"/>
    <s v="State"/>
    <n v="1363.99"/>
    <n v="1819.54"/>
    <n v="5286.48"/>
    <n v="611.71"/>
    <n v="8470.01"/>
    <n v="9081.7199999999993"/>
    <m/>
  </r>
  <r>
    <d v="2024-07-01T00:00:00"/>
    <s v="2024-25"/>
    <n v="2024"/>
    <n v="7"/>
    <s v="Jul"/>
    <x v="12"/>
    <n v="2"/>
    <s v="State"/>
    <n v="173.13"/>
    <n v="240.16"/>
    <n v="438.3"/>
    <n v="2.9"/>
    <n v="851.59"/>
    <n v="854.49"/>
    <m/>
  </r>
  <r>
    <d v="2024-07-01T00:00:00"/>
    <s v="2024-25"/>
    <n v="2024"/>
    <n v="7"/>
    <s v="Jul"/>
    <x v="13"/>
    <n v="1"/>
    <s v="Union Territory"/>
    <n v="186.25"/>
    <n v="257.39999999999998"/>
    <n v="168.94"/>
    <n v="16.89"/>
    <n v="612.59"/>
    <n v="629.48"/>
    <m/>
  </r>
  <r>
    <d v="2024-07-01T00:00:00"/>
    <s v="2024-25"/>
    <n v="2024"/>
    <n v="7"/>
    <s v="Jul"/>
    <x v="14"/>
    <n v="20"/>
    <s v="State"/>
    <n v="558.54999999999995"/>
    <n v="740.79"/>
    <n v="1166.3800000000001"/>
    <n v="669.18"/>
    <n v="2465.7199999999998"/>
    <n v="3134.9"/>
    <m/>
  </r>
  <r>
    <d v="2024-07-01T00:00:00"/>
    <s v="2024-25"/>
    <n v="2024"/>
    <n v="7"/>
    <s v="Jul"/>
    <x v="15"/>
    <n v="29"/>
    <s v="State"/>
    <n v="2871.8"/>
    <n v="3557.23"/>
    <n v="4948.18"/>
    <n v="1647.32"/>
    <n v="11377.21"/>
    <n v="13024.53"/>
    <m/>
  </r>
  <r>
    <d v="2024-07-01T00:00:00"/>
    <s v="2024-25"/>
    <n v="2024"/>
    <n v="7"/>
    <s v="Jul"/>
    <x v="16"/>
    <n v="32"/>
    <s v="State"/>
    <n v="896.24"/>
    <n v="1100.54"/>
    <n v="491.87"/>
    <n v="3.98"/>
    <n v="2488.65"/>
    <n v="2492.63"/>
    <m/>
  </r>
  <r>
    <d v="2024-07-01T00:00:00"/>
    <s v="2024-25"/>
    <n v="2024"/>
    <n v="7"/>
    <s v="Jul"/>
    <x v="35"/>
    <n v="37"/>
    <s v="Union Territory"/>
    <n v="14.21"/>
    <n v="19.21"/>
    <n v="4.16"/>
    <n v="0.1"/>
    <n v="37.58"/>
    <n v="37.68"/>
    <m/>
  </r>
  <r>
    <d v="2024-07-01T00:00:00"/>
    <s v="2024-25"/>
    <n v="2024"/>
    <n v="7"/>
    <s v="Jul"/>
    <x v="17"/>
    <n v="31"/>
    <s v="Union Territory"/>
    <n v="0.49"/>
    <n v="0.52"/>
    <n v="0.16"/>
    <n v="0"/>
    <n v="1.17"/>
    <n v="1.17"/>
    <m/>
  </r>
  <r>
    <d v="2024-07-01T00:00:00"/>
    <s v="2024-25"/>
    <n v="2024"/>
    <n v="7"/>
    <s v="Jul"/>
    <x v="18"/>
    <n v="23"/>
    <s v="State"/>
    <n v="884.85"/>
    <n v="1118.93"/>
    <n v="1020.77"/>
    <n v="658.46"/>
    <n v="3024.55"/>
    <n v="3683.01"/>
    <m/>
  </r>
  <r>
    <d v="2024-07-01T00:00:00"/>
    <s v="2024-25"/>
    <n v="2024"/>
    <n v="7"/>
    <s v="Jul"/>
    <x v="19"/>
    <n v="27"/>
    <s v="State"/>
    <n v="7538.29"/>
    <n v="8629.8799999999992"/>
    <n v="10835.14"/>
    <n v="1966.59"/>
    <n v="27003.31"/>
    <n v="28969.9"/>
    <m/>
  </r>
  <r>
    <d v="2024-07-01T00:00:00"/>
    <s v="2024-25"/>
    <n v="2024"/>
    <n v="7"/>
    <s v="Jul"/>
    <x v="20"/>
    <n v="14"/>
    <s v="State"/>
    <n v="25.85"/>
    <n v="34.22"/>
    <n v="7.57"/>
    <n v="0.02"/>
    <n v="67.64"/>
    <n v="67.66"/>
    <m/>
  </r>
  <r>
    <d v="2024-07-01T00:00:00"/>
    <s v="2024-25"/>
    <n v="2024"/>
    <n v="7"/>
    <s v="Jul"/>
    <x v="21"/>
    <n v="17"/>
    <s v="State"/>
    <n v="33.72"/>
    <n v="40.159999999999997"/>
    <n v="65.98"/>
    <n v="1.66"/>
    <n v="139.86000000000001"/>
    <n v="141.52000000000001"/>
    <m/>
  </r>
  <r>
    <d v="2024-07-01T00:00:00"/>
    <s v="2024-25"/>
    <n v="2024"/>
    <n v="7"/>
    <s v="Jul"/>
    <x v="22"/>
    <n v="15"/>
    <s v="State"/>
    <n v="13.59"/>
    <n v="21.07"/>
    <n v="4.1100000000000003"/>
    <n v="0.11"/>
    <n v="38.770000000000003"/>
    <n v="38.880000000000003"/>
    <m/>
  </r>
  <r>
    <d v="2024-07-01T00:00:00"/>
    <s v="2024-25"/>
    <n v="2024"/>
    <n v="7"/>
    <s v="Jul"/>
    <x v="23"/>
    <n v="13"/>
    <s v="State"/>
    <n v="20.43"/>
    <n v="25.58"/>
    <n v="9.89"/>
    <n v="1.69"/>
    <n v="55.9"/>
    <n v="57.59"/>
    <m/>
  </r>
  <r>
    <d v="2024-07-01T00:00:00"/>
    <s v="2024-25"/>
    <n v="2024"/>
    <n v="7"/>
    <s v="Jul"/>
    <x v="24"/>
    <n v="21"/>
    <s v="State"/>
    <n v="1237.69"/>
    <n v="1482.22"/>
    <n v="1385.06"/>
    <n v="820.05"/>
    <n v="4104.97"/>
    <n v="4925.0200000000004"/>
    <m/>
  </r>
  <r>
    <d v="2024-07-01T00:00:00"/>
    <s v="2024-25"/>
    <n v="2024"/>
    <n v="7"/>
    <s v="Jul"/>
    <x v="25"/>
    <n v="34"/>
    <s v="Union Territory"/>
    <n v="28.73"/>
    <n v="42.17"/>
    <n v="153.15"/>
    <n v="0.59"/>
    <n v="224.05"/>
    <n v="224.64"/>
    <m/>
  </r>
  <r>
    <d v="2024-07-01T00:00:00"/>
    <s v="2024-25"/>
    <n v="2024"/>
    <n v="7"/>
    <s v="Jul"/>
    <x v="26"/>
    <n v="3"/>
    <s v="State"/>
    <n v="541.75"/>
    <n v="753.19"/>
    <n v="726.03"/>
    <n v="48.11"/>
    <n v="2020.97"/>
    <n v="2069.08"/>
    <m/>
  </r>
  <r>
    <d v="2024-07-01T00:00:00"/>
    <s v="2024-25"/>
    <n v="2024"/>
    <n v="7"/>
    <s v="Jul"/>
    <x v="27"/>
    <n v="8"/>
    <s v="State"/>
    <n v="1119.78"/>
    <n v="1436.33"/>
    <n v="1665.18"/>
    <n v="147.47999999999999"/>
    <n v="4221.29"/>
    <n v="4368.7700000000004"/>
    <m/>
  </r>
  <r>
    <d v="2024-07-01T00:00:00"/>
    <s v="2024-25"/>
    <n v="2024"/>
    <n v="7"/>
    <s v="Jul"/>
    <x v="28"/>
    <n v="11"/>
    <s v="State"/>
    <n v="19.329999999999998"/>
    <n v="25.4"/>
    <n v="280.16000000000003"/>
    <n v="0.11"/>
    <n v="324.89"/>
    <n v="325"/>
    <m/>
  </r>
  <r>
    <d v="2024-07-01T00:00:00"/>
    <s v="2024-25"/>
    <n v="2024"/>
    <n v="7"/>
    <s v="Jul"/>
    <x v="29"/>
    <n v="33"/>
    <s v="State"/>
    <n v="2753.61"/>
    <n v="3637.41"/>
    <n v="3265.9"/>
    <n v="832.89"/>
    <n v="9656.92"/>
    <n v="10489.81"/>
    <m/>
  </r>
  <r>
    <d v="2024-07-01T00:00:00"/>
    <s v="2024-25"/>
    <n v="2024"/>
    <n v="7"/>
    <s v="Jul"/>
    <x v="30"/>
    <n v="36"/>
    <s v="State"/>
    <n v="1290.9000000000001"/>
    <n v="1625.38"/>
    <n v="1484.03"/>
    <n v="539.42999999999995"/>
    <n v="4400.3100000000004"/>
    <n v="4939.74"/>
    <m/>
  </r>
  <r>
    <d v="2024-07-01T00:00:00"/>
    <s v="2024-25"/>
    <n v="2024"/>
    <n v="7"/>
    <s v="Jul"/>
    <x v="31"/>
    <n v="16"/>
    <s v="State"/>
    <n v="25.96"/>
    <n v="34.71"/>
    <n v="11.21"/>
    <n v="0.08"/>
    <n v="71.88"/>
    <n v="71.959999999999994"/>
    <m/>
  </r>
  <r>
    <d v="2024-07-01T00:00:00"/>
    <s v="2024-25"/>
    <n v="2024"/>
    <n v="7"/>
    <s v="Jul"/>
    <x v="32"/>
    <n v="9"/>
    <s v="State"/>
    <n v="2139.65"/>
    <n v="2811.37"/>
    <n v="2782.45"/>
    <n v="1391.55"/>
    <n v="7733.47"/>
    <n v="9125.02"/>
    <m/>
  </r>
  <r>
    <d v="2024-07-01T00:00:00"/>
    <s v="2024-25"/>
    <n v="2024"/>
    <n v="7"/>
    <s v="Jul"/>
    <x v="33"/>
    <n v="5"/>
    <s v="State"/>
    <n v="342.54"/>
    <n v="490.49"/>
    <n v="854.05"/>
    <n v="12.62"/>
    <n v="1687.08"/>
    <n v="1699.7"/>
    <m/>
  </r>
  <r>
    <d v="2024-07-01T00:00:00"/>
    <s v="2024-25"/>
    <n v="2024"/>
    <n v="7"/>
    <s v="Jul"/>
    <x v="34"/>
    <n v="19"/>
    <s v="State"/>
    <n v="1558.83"/>
    <n v="1925.17"/>
    <n v="1310.1199999999999"/>
    <n v="462.46"/>
    <n v="4794.12"/>
    <n v="5256.58"/>
    <m/>
  </r>
  <r>
    <d v="2024-08-01T00:00:00"/>
    <s v="2024-25"/>
    <n v="2024"/>
    <n v="8"/>
    <s v="Aug"/>
    <x v="0"/>
    <n v="35"/>
    <s v="Union Territory"/>
    <n v="9.6"/>
    <n v="13.27"/>
    <n v="4.4000000000000004"/>
    <n v="0.04"/>
    <n v="27.27"/>
    <n v="27.31"/>
    <m/>
  </r>
  <r>
    <d v="2024-08-01T00:00:00"/>
    <s v="2024-25"/>
    <n v="2024"/>
    <n v="8"/>
    <s v="Aug"/>
    <x v="1"/>
    <n v="28"/>
    <s v="State"/>
    <n v="827.59"/>
    <n v="1061.17"/>
    <n v="1195.7"/>
    <n v="213.62"/>
    <n v="3084.46"/>
    <n v="3298.08"/>
    <m/>
  </r>
  <r>
    <d v="2024-08-01T00:00:00"/>
    <s v="2024-25"/>
    <n v="2024"/>
    <n v="8"/>
    <s v="Aug"/>
    <x v="2"/>
    <n v="12"/>
    <s v="State"/>
    <n v="26.63"/>
    <n v="34.85"/>
    <n v="11.92"/>
    <n v="0.4"/>
    <n v="73.400000000000006"/>
    <n v="73.8"/>
    <m/>
  </r>
  <r>
    <d v="2024-08-01T00:00:00"/>
    <s v="2024-25"/>
    <n v="2024"/>
    <n v="8"/>
    <s v="Aug"/>
    <x v="3"/>
    <n v="18"/>
    <s v="State"/>
    <n v="388.73"/>
    <n v="483.02"/>
    <n v="372.99"/>
    <n v="108.66"/>
    <n v="1244.74"/>
    <n v="1353.4"/>
    <m/>
  </r>
  <r>
    <d v="2024-08-01T00:00:00"/>
    <s v="2024-25"/>
    <n v="2024"/>
    <n v="8"/>
    <s v="Aug"/>
    <x v="4"/>
    <n v="10"/>
    <s v="State"/>
    <n v="426.54"/>
    <n v="695.26"/>
    <n v="220.04"/>
    <n v="149.58000000000001"/>
    <n v="1341.84"/>
    <n v="1491.42"/>
    <m/>
  </r>
  <r>
    <d v="2024-08-01T00:00:00"/>
    <s v="2024-25"/>
    <n v="2024"/>
    <n v="8"/>
    <s v="Aug"/>
    <x v="5"/>
    <n v="4"/>
    <s v="Union Territory"/>
    <n v="49.85"/>
    <n v="63.85"/>
    <n v="128.69999999999999"/>
    <n v="1.37"/>
    <n v="242.4"/>
    <n v="243.77"/>
    <m/>
  </r>
  <r>
    <d v="2024-08-01T00:00:00"/>
    <s v="2024-25"/>
    <n v="2024"/>
    <n v="8"/>
    <s v="Aug"/>
    <x v="6"/>
    <n v="22"/>
    <s v="State"/>
    <n v="533.20000000000005"/>
    <n v="630.05999999999995"/>
    <n v="872.39"/>
    <n v="575.15"/>
    <n v="2035.65"/>
    <n v="2610.8000000000002"/>
    <m/>
  </r>
  <r>
    <d v="2024-08-01T00:00:00"/>
    <s v="2024-25"/>
    <n v="2024"/>
    <n v="8"/>
    <s v="Aug"/>
    <x v="7"/>
    <n v="38"/>
    <s v="Union Territory"/>
    <n v="40.229999999999997"/>
    <n v="53.28"/>
    <n v="226.66"/>
    <n v="0.14000000000000001"/>
    <n v="320.17"/>
    <n v="320.31"/>
    <m/>
  </r>
  <r>
    <d v="2024-08-01T00:00:00"/>
    <s v="2024-25"/>
    <n v="2024"/>
    <n v="8"/>
    <s v="Aug"/>
    <x v="8"/>
    <n v="7"/>
    <s v="Union Territory"/>
    <n v="1107"/>
    <n v="1296.18"/>
    <n v="3118.28"/>
    <n v="113.06"/>
    <n v="5521.46"/>
    <n v="5634.52"/>
    <m/>
  </r>
  <r>
    <d v="2024-08-01T00:00:00"/>
    <s v="2024-25"/>
    <n v="2024"/>
    <n v="8"/>
    <s v="Aug"/>
    <x v="9"/>
    <n v="30"/>
    <s v="State"/>
    <n v="147.51"/>
    <n v="184.06"/>
    <n v="196.81"/>
    <n v="2.3199999999999998"/>
    <n v="528.38"/>
    <n v="530.70000000000005"/>
    <m/>
  </r>
  <r>
    <d v="2024-08-01T00:00:00"/>
    <s v="2024-25"/>
    <n v="2024"/>
    <n v="8"/>
    <s v="Aug"/>
    <x v="10"/>
    <n v="24"/>
    <s v="State"/>
    <n v="2834.73"/>
    <n v="3423.52"/>
    <n v="3388.83"/>
    <n v="696.44"/>
    <n v="9647.08"/>
    <n v="10343.52"/>
    <m/>
  </r>
  <r>
    <d v="2024-08-01T00:00:00"/>
    <s v="2024-25"/>
    <n v="2024"/>
    <n v="8"/>
    <s v="Aug"/>
    <x v="11"/>
    <n v="6"/>
    <s v="State"/>
    <n v="1400.61"/>
    <n v="1785.59"/>
    <n v="4770.3100000000004"/>
    <n v="666.48"/>
    <n v="7956.51"/>
    <n v="8622.99"/>
    <m/>
  </r>
  <r>
    <d v="2024-08-01T00:00:00"/>
    <s v="2024-25"/>
    <n v="2024"/>
    <n v="8"/>
    <s v="Aug"/>
    <x v="12"/>
    <n v="2"/>
    <s v="State"/>
    <n v="159.25"/>
    <n v="223.24"/>
    <n v="442.59"/>
    <n v="2.12"/>
    <n v="825.08"/>
    <n v="827.2"/>
    <m/>
  </r>
  <r>
    <d v="2024-08-01T00:00:00"/>
    <s v="2024-25"/>
    <n v="2024"/>
    <n v="8"/>
    <s v="Aug"/>
    <x v="13"/>
    <n v="1"/>
    <s v="Union Territory"/>
    <n v="150.76"/>
    <n v="221.31"/>
    <n v="182.59"/>
    <n v="14.32"/>
    <n v="554.66"/>
    <n v="568.98"/>
    <m/>
  </r>
  <r>
    <d v="2024-08-01T00:00:00"/>
    <s v="2024-25"/>
    <n v="2024"/>
    <n v="8"/>
    <s v="Aug"/>
    <x v="14"/>
    <n v="20"/>
    <s v="State"/>
    <n v="527.16999999999996"/>
    <n v="669.26"/>
    <n v="983.3"/>
    <n v="670.32"/>
    <n v="2179.73"/>
    <n v="2850.05"/>
    <m/>
  </r>
  <r>
    <d v="2024-08-01T00:00:00"/>
    <s v="2024-25"/>
    <n v="2024"/>
    <n v="8"/>
    <s v="Aug"/>
    <x v="15"/>
    <n v="29"/>
    <s v="State"/>
    <n v="2797.93"/>
    <n v="3416.5"/>
    <n v="4675.6899999999996"/>
    <n v="1454.02"/>
    <n v="10890.12"/>
    <n v="12344.14"/>
    <m/>
  </r>
  <r>
    <d v="2024-08-01T00:00:00"/>
    <s v="2024-25"/>
    <n v="2024"/>
    <n v="8"/>
    <s v="Aug"/>
    <x v="16"/>
    <n v="32"/>
    <s v="State"/>
    <n v="892.9"/>
    <n v="1086.78"/>
    <n v="525.6"/>
    <n v="6.05"/>
    <n v="2505.2800000000002"/>
    <n v="2511.33"/>
    <m/>
  </r>
  <r>
    <d v="2024-08-01T00:00:00"/>
    <s v="2024-25"/>
    <n v="2024"/>
    <n v="8"/>
    <s v="Aug"/>
    <x v="35"/>
    <n v="37"/>
    <s v="Union Territory"/>
    <n v="12.49"/>
    <n v="15.35"/>
    <n v="4.83"/>
    <n v="0.25"/>
    <n v="32.67"/>
    <n v="32.92"/>
    <m/>
  </r>
  <r>
    <d v="2024-08-01T00:00:00"/>
    <s v="2024-25"/>
    <n v="2024"/>
    <n v="8"/>
    <s v="Aug"/>
    <x v="17"/>
    <n v="31"/>
    <s v="Union Territory"/>
    <n v="0.4"/>
    <n v="0.75"/>
    <n v="0.76"/>
    <n v="0"/>
    <n v="1.91"/>
    <n v="1.91"/>
    <m/>
  </r>
  <r>
    <d v="2024-08-01T00:00:00"/>
    <s v="2024-25"/>
    <n v="2024"/>
    <n v="8"/>
    <s v="Aug"/>
    <x v="18"/>
    <n v="23"/>
    <s v="State"/>
    <n v="862.49"/>
    <n v="1054.45"/>
    <n v="890.19"/>
    <n v="630.96"/>
    <n v="2807.13"/>
    <n v="3438.09"/>
    <m/>
  </r>
  <r>
    <d v="2024-08-01T00:00:00"/>
    <s v="2024-25"/>
    <n v="2024"/>
    <n v="8"/>
    <s v="Aug"/>
    <x v="19"/>
    <n v="27"/>
    <s v="State"/>
    <n v="7111.78"/>
    <n v="8304.66"/>
    <n v="8938.4599999999991"/>
    <n v="2011.74"/>
    <n v="24354.9"/>
    <n v="26366.639999999999"/>
    <m/>
  </r>
  <r>
    <d v="2024-08-01T00:00:00"/>
    <s v="2024-25"/>
    <n v="2024"/>
    <n v="8"/>
    <s v="Aug"/>
    <x v="20"/>
    <n v="14"/>
    <s v="State"/>
    <n v="18.36"/>
    <n v="29.04"/>
    <n v="8.1199999999999992"/>
    <n v="0.03"/>
    <n v="55.52"/>
    <n v="55.55"/>
    <m/>
  </r>
  <r>
    <d v="2024-08-01T00:00:00"/>
    <s v="2024-25"/>
    <n v="2024"/>
    <n v="8"/>
    <s v="Aug"/>
    <x v="21"/>
    <n v="17"/>
    <s v="State"/>
    <n v="41.27"/>
    <n v="45.9"/>
    <n v="67.87"/>
    <n v="0.11"/>
    <n v="155.04"/>
    <n v="155.15"/>
    <m/>
  </r>
  <r>
    <d v="2024-08-01T00:00:00"/>
    <s v="2024-25"/>
    <n v="2024"/>
    <n v="8"/>
    <s v="Aug"/>
    <x v="22"/>
    <n v="15"/>
    <s v="State"/>
    <n v="10.119999999999999"/>
    <n v="13.57"/>
    <n v="3.75"/>
    <n v="0.22"/>
    <n v="27.44"/>
    <n v="27.66"/>
    <m/>
  </r>
  <r>
    <d v="2024-08-01T00:00:00"/>
    <s v="2024-25"/>
    <n v="2024"/>
    <n v="8"/>
    <s v="Aug"/>
    <x v="23"/>
    <n v="13"/>
    <s v="State"/>
    <n v="14.76"/>
    <n v="19.02"/>
    <n v="7.48"/>
    <n v="1.04"/>
    <n v="41.26"/>
    <n v="42.3"/>
    <m/>
  </r>
  <r>
    <d v="2024-08-01T00:00:00"/>
    <s v="2024-25"/>
    <n v="2024"/>
    <n v="8"/>
    <s v="Aug"/>
    <x v="24"/>
    <n v="21"/>
    <s v="State"/>
    <n v="1181.1300000000001"/>
    <n v="1378.12"/>
    <n v="1515.41"/>
    <n v="803.7"/>
    <n v="4074.66"/>
    <n v="4878.3599999999997"/>
    <m/>
  </r>
  <r>
    <d v="2024-08-01T00:00:00"/>
    <s v="2024-25"/>
    <n v="2024"/>
    <n v="8"/>
    <s v="Aug"/>
    <x v="25"/>
    <n v="34"/>
    <s v="Union Territory"/>
    <n v="28.32"/>
    <n v="45"/>
    <n v="159.93"/>
    <n v="0.46"/>
    <n v="233.25"/>
    <n v="233.71"/>
    <m/>
  </r>
  <r>
    <d v="2024-08-01T00:00:00"/>
    <s v="2024-25"/>
    <n v="2024"/>
    <n v="8"/>
    <s v="Aug"/>
    <x v="26"/>
    <n v="3"/>
    <s v="State"/>
    <n v="484.67"/>
    <n v="682.67"/>
    <n v="731.98"/>
    <n v="36.94"/>
    <n v="1899.32"/>
    <n v="1936.26"/>
    <m/>
  </r>
  <r>
    <d v="2024-08-01T00:00:00"/>
    <s v="2024-25"/>
    <n v="2024"/>
    <n v="8"/>
    <s v="Aug"/>
    <x v="27"/>
    <n v="8"/>
    <s v="State"/>
    <n v="990.13"/>
    <n v="1279.8"/>
    <n v="1429.13"/>
    <n v="121.31"/>
    <n v="3699.06"/>
    <n v="3820.37"/>
    <m/>
  </r>
  <r>
    <d v="2024-08-01T00:00:00"/>
    <s v="2024-25"/>
    <n v="2024"/>
    <n v="8"/>
    <s v="Aug"/>
    <x v="28"/>
    <n v="11"/>
    <s v="State"/>
    <n v="14.2"/>
    <n v="18.46"/>
    <n v="292.98"/>
    <n v="0.11"/>
    <n v="325.64"/>
    <n v="325.75"/>
    <m/>
  </r>
  <r>
    <d v="2024-08-01T00:00:00"/>
    <s v="2024-25"/>
    <n v="2024"/>
    <n v="8"/>
    <s v="Aug"/>
    <x v="29"/>
    <n v="33"/>
    <s v="State"/>
    <n v="2719.72"/>
    <n v="3728.47"/>
    <n v="3030.31"/>
    <n v="702.25"/>
    <n v="9478.5"/>
    <n v="10180.75"/>
    <m/>
  </r>
  <r>
    <d v="2024-08-01T00:00:00"/>
    <s v="2024-25"/>
    <n v="2024"/>
    <n v="8"/>
    <s v="Aug"/>
    <x v="30"/>
    <n v="36"/>
    <s v="State"/>
    <n v="1238.6199999999999"/>
    <n v="1544.62"/>
    <n v="1365.9"/>
    <n v="419.45"/>
    <n v="4149.1400000000003"/>
    <n v="4568.59"/>
    <m/>
  </r>
  <r>
    <d v="2024-08-01T00:00:00"/>
    <s v="2024-25"/>
    <n v="2024"/>
    <n v="8"/>
    <s v="Aug"/>
    <x v="31"/>
    <n v="16"/>
    <s v="State"/>
    <n v="33.369999999999997"/>
    <n v="41.3"/>
    <n v="10.48"/>
    <n v="0.02"/>
    <n v="85.15"/>
    <n v="85.17"/>
    <m/>
  </r>
  <r>
    <d v="2024-08-01T00:00:00"/>
    <s v="2024-25"/>
    <n v="2024"/>
    <n v="8"/>
    <s v="Aug"/>
    <x v="32"/>
    <n v="9"/>
    <s v="State"/>
    <n v="1969.36"/>
    <n v="2571.77"/>
    <n v="2424.5100000000002"/>
    <n v="1303.83"/>
    <n v="6965.64"/>
    <n v="8269.4699999999993"/>
    <m/>
  </r>
  <r>
    <d v="2024-08-01T00:00:00"/>
    <s v="2024-25"/>
    <n v="2024"/>
    <n v="8"/>
    <s v="Aug"/>
    <x v="33"/>
    <n v="5"/>
    <s v="State"/>
    <n v="291.64999999999998"/>
    <n v="432.22"/>
    <n v="617.77"/>
    <n v="9.09"/>
    <n v="1341.64"/>
    <n v="1350.73"/>
    <m/>
  </r>
  <r>
    <d v="2024-08-01T00:00:00"/>
    <s v="2024-25"/>
    <n v="2024"/>
    <n v="8"/>
    <s v="Aug"/>
    <x v="34"/>
    <n v="19"/>
    <s v="State"/>
    <n v="1503.35"/>
    <n v="1846.55"/>
    <n v="1323.32"/>
    <n v="404.05"/>
    <n v="4673.22"/>
    <n v="5077.2700000000004"/>
    <m/>
  </r>
  <r>
    <d v="2024-09-01T00:00:00"/>
    <s v="2024-25"/>
    <n v="2024"/>
    <n v="9"/>
    <s v="Sep"/>
    <x v="0"/>
    <n v="35"/>
    <s v="Union Territory"/>
    <n v="10.75"/>
    <n v="14.18"/>
    <n v="3.66"/>
    <n v="0.08"/>
    <n v="28.59"/>
    <n v="28.67"/>
    <m/>
  </r>
  <r>
    <d v="2024-09-01T00:00:00"/>
    <s v="2024-25"/>
    <n v="2024"/>
    <n v="9"/>
    <s v="Sep"/>
    <x v="1"/>
    <n v="28"/>
    <s v="State"/>
    <n v="857.21"/>
    <n v="1094.17"/>
    <n v="1302.33"/>
    <n v="252.75"/>
    <n v="3253.71"/>
    <n v="3506.46"/>
    <m/>
  </r>
  <r>
    <d v="2024-09-01T00:00:00"/>
    <s v="2024-25"/>
    <n v="2024"/>
    <n v="9"/>
    <s v="Sep"/>
    <x v="2"/>
    <n v="12"/>
    <s v="State"/>
    <n v="34.89"/>
    <n v="41.91"/>
    <n v="15.14"/>
    <n v="0.08"/>
    <n v="91.94"/>
    <n v="92.02"/>
    <m/>
  </r>
  <r>
    <d v="2024-09-01T00:00:00"/>
    <s v="2024-25"/>
    <n v="2024"/>
    <n v="9"/>
    <s v="Sep"/>
    <x v="3"/>
    <n v="18"/>
    <s v="State"/>
    <n v="380.28"/>
    <n v="471.66"/>
    <n v="365.79"/>
    <n v="69.040000000000006"/>
    <n v="1217.73"/>
    <n v="1286.77"/>
    <m/>
  </r>
  <r>
    <d v="2024-09-01T00:00:00"/>
    <s v="2024-25"/>
    <n v="2024"/>
    <n v="9"/>
    <s v="Sep"/>
    <x v="4"/>
    <n v="10"/>
    <s v="State"/>
    <n v="417.22"/>
    <n v="659.53"/>
    <n v="244.41"/>
    <n v="175.62"/>
    <n v="1321.16"/>
    <n v="1496.78"/>
    <m/>
  </r>
  <r>
    <d v="2024-09-01T00:00:00"/>
    <s v="2024-25"/>
    <n v="2024"/>
    <n v="9"/>
    <s v="Sep"/>
    <x v="5"/>
    <n v="4"/>
    <s v="Union Territory"/>
    <n v="41.16"/>
    <n v="53.42"/>
    <n v="99.8"/>
    <n v="2.3199999999999998"/>
    <n v="194.38"/>
    <n v="196.7"/>
    <m/>
  </r>
  <r>
    <d v="2024-09-01T00:00:00"/>
    <s v="2024-25"/>
    <n v="2024"/>
    <n v="9"/>
    <s v="Sep"/>
    <x v="6"/>
    <n v="22"/>
    <s v="State"/>
    <n v="515.49"/>
    <n v="625.21"/>
    <n v="994.98"/>
    <n v="469.41"/>
    <n v="2135.6799999999998"/>
    <n v="2605.09"/>
    <m/>
  </r>
  <r>
    <d v="2024-09-01T00:00:00"/>
    <s v="2024-25"/>
    <n v="2024"/>
    <n v="9"/>
    <s v="Sep"/>
    <x v="7"/>
    <n v="38"/>
    <s v="Union Territory"/>
    <n v="44.14"/>
    <n v="55.44"/>
    <n v="205.57"/>
    <n v="0.08"/>
    <n v="305.14999999999998"/>
    <n v="305.23"/>
    <m/>
  </r>
  <r>
    <d v="2024-09-01T00:00:00"/>
    <s v="2024-25"/>
    <n v="2024"/>
    <n v="9"/>
    <s v="Sep"/>
    <x v="8"/>
    <n v="7"/>
    <s v="Union Territory"/>
    <n v="1165.7"/>
    <n v="1334.27"/>
    <n v="3217.56"/>
    <n v="120.86"/>
    <n v="5717.53"/>
    <n v="5838.39"/>
    <m/>
  </r>
  <r>
    <d v="2024-09-01T00:00:00"/>
    <s v="2024-25"/>
    <n v="2024"/>
    <n v="9"/>
    <s v="Sep"/>
    <x v="9"/>
    <n v="30"/>
    <s v="State"/>
    <n v="150.13"/>
    <n v="191.29"/>
    <n v="174.43"/>
    <n v="3.32"/>
    <n v="515.85"/>
    <n v="519.16999999999996"/>
    <m/>
  </r>
  <r>
    <d v="2024-09-01T00:00:00"/>
    <s v="2024-25"/>
    <n v="2024"/>
    <n v="9"/>
    <s v="Sep"/>
    <x v="10"/>
    <n v="24"/>
    <s v="State"/>
    <n v="2776.9"/>
    <n v="3331.26"/>
    <n v="3469.78"/>
    <n v="574.91"/>
    <n v="9577.94"/>
    <n v="10152.85"/>
    <m/>
  </r>
  <r>
    <d v="2024-09-01T00:00:00"/>
    <s v="2024-25"/>
    <n v="2024"/>
    <n v="9"/>
    <s v="Sep"/>
    <x v="11"/>
    <n v="6"/>
    <s v="State"/>
    <n v="1438.42"/>
    <n v="1852.35"/>
    <n v="5972.72"/>
    <n v="693.87"/>
    <n v="9263.49"/>
    <n v="9957.36"/>
    <m/>
  </r>
  <r>
    <d v="2024-09-01T00:00:00"/>
    <s v="2024-25"/>
    <n v="2024"/>
    <n v="9"/>
    <s v="Sep"/>
    <x v="12"/>
    <n v="2"/>
    <s v="State"/>
    <n v="138.44999999999999"/>
    <n v="193.55"/>
    <n v="522.38"/>
    <n v="1.9"/>
    <n v="854.38"/>
    <n v="856.28"/>
    <m/>
  </r>
  <r>
    <d v="2024-09-01T00:00:00"/>
    <s v="2024-25"/>
    <n v="2024"/>
    <n v="9"/>
    <s v="Sep"/>
    <x v="13"/>
    <n v="1"/>
    <s v="Union Territory"/>
    <n v="169.87"/>
    <n v="236.18"/>
    <n v="182.7"/>
    <n v="10.11"/>
    <n v="588.75"/>
    <n v="598.86"/>
    <m/>
  </r>
  <r>
    <d v="2024-09-01T00:00:00"/>
    <s v="2024-25"/>
    <n v="2024"/>
    <n v="9"/>
    <s v="Sep"/>
    <x v="14"/>
    <n v="20"/>
    <s v="State"/>
    <n v="492.48"/>
    <n v="636.89"/>
    <n v="942.48"/>
    <n v="580.83000000000004"/>
    <n v="2071.85"/>
    <n v="2652.68"/>
    <m/>
  </r>
  <r>
    <d v="2024-09-01T00:00:00"/>
    <s v="2024-25"/>
    <n v="2024"/>
    <n v="9"/>
    <s v="Sep"/>
    <x v="15"/>
    <n v="29"/>
    <s v="State"/>
    <n v="2874.2"/>
    <n v="3556.86"/>
    <n v="4652.5200000000004"/>
    <n v="1558.12"/>
    <n v="11083.58"/>
    <n v="12641.7"/>
    <m/>
  </r>
  <r>
    <d v="2024-09-01T00:00:00"/>
    <s v="2024-25"/>
    <n v="2024"/>
    <n v="9"/>
    <s v="Sep"/>
    <x v="16"/>
    <n v="32"/>
    <s v="State"/>
    <n v="944.2"/>
    <n v="1219.98"/>
    <n v="506.41"/>
    <n v="4.45"/>
    <n v="2670.59"/>
    <n v="2675.04"/>
    <m/>
  </r>
  <r>
    <d v="2024-09-01T00:00:00"/>
    <s v="2024-25"/>
    <n v="2024"/>
    <n v="9"/>
    <s v="Sep"/>
    <x v="35"/>
    <n v="37"/>
    <s v="Union Territory"/>
    <n v="17.809999999999999"/>
    <n v="21.46"/>
    <n v="4.25"/>
    <n v="0.02"/>
    <n v="43.52"/>
    <n v="43.54"/>
    <m/>
  </r>
  <r>
    <d v="2024-09-01T00:00:00"/>
    <s v="2024-25"/>
    <n v="2024"/>
    <n v="9"/>
    <s v="Sep"/>
    <x v="17"/>
    <n v="31"/>
    <s v="Union Territory"/>
    <n v="0.52"/>
    <n v="0.6"/>
    <n v="0.26"/>
    <n v="0"/>
    <n v="1.38"/>
    <n v="1.38"/>
    <m/>
  </r>
  <r>
    <d v="2024-09-01T00:00:00"/>
    <s v="2024-25"/>
    <n v="2024"/>
    <n v="9"/>
    <s v="Sep"/>
    <x v="18"/>
    <n v="23"/>
    <s v="State"/>
    <n v="761.19"/>
    <n v="929.17"/>
    <n v="866.26"/>
    <n v="537.88"/>
    <n v="2556.62"/>
    <n v="3094.5"/>
    <m/>
  </r>
  <r>
    <d v="2024-09-01T00:00:00"/>
    <s v="2024-25"/>
    <n v="2024"/>
    <n v="9"/>
    <s v="Sep"/>
    <x v="19"/>
    <n v="27"/>
    <s v="State"/>
    <n v="7535.79"/>
    <n v="8627.9699999999993"/>
    <n v="8214"/>
    <n v="1990.85"/>
    <n v="24377.759999999998"/>
    <n v="26368.61"/>
    <m/>
  </r>
  <r>
    <d v="2024-09-01T00:00:00"/>
    <s v="2024-25"/>
    <n v="2024"/>
    <n v="9"/>
    <s v="Sep"/>
    <x v="20"/>
    <n v="14"/>
    <s v="State"/>
    <n v="11.62"/>
    <n v="17.5"/>
    <n v="8.69"/>
    <n v="0.01"/>
    <n v="37.81"/>
    <n v="37.82"/>
    <m/>
  </r>
  <r>
    <d v="2024-09-01T00:00:00"/>
    <s v="2024-25"/>
    <n v="2024"/>
    <n v="9"/>
    <s v="Sep"/>
    <x v="21"/>
    <n v="17"/>
    <s v="State"/>
    <n v="35.93"/>
    <n v="42.96"/>
    <n v="73.63"/>
    <n v="0.36"/>
    <n v="152.52000000000001"/>
    <n v="152.88"/>
    <m/>
  </r>
  <r>
    <d v="2024-09-01T00:00:00"/>
    <s v="2024-25"/>
    <n v="2024"/>
    <n v="9"/>
    <s v="Sep"/>
    <x v="22"/>
    <n v="15"/>
    <s v="State"/>
    <n v="9.1300000000000008"/>
    <n v="12.01"/>
    <n v="4.99"/>
    <n v="0.02"/>
    <n v="26.13"/>
    <n v="26.15"/>
    <m/>
  </r>
  <r>
    <d v="2024-09-01T00:00:00"/>
    <s v="2024-25"/>
    <n v="2024"/>
    <n v="9"/>
    <s v="Sep"/>
    <x v="23"/>
    <n v="13"/>
    <s v="State"/>
    <n v="15.95"/>
    <n v="20.28"/>
    <n v="11.37"/>
    <n v="0.91"/>
    <n v="47.6"/>
    <n v="48.51"/>
    <m/>
  </r>
  <r>
    <d v="2024-09-01T00:00:00"/>
    <s v="2024-25"/>
    <n v="2024"/>
    <n v="9"/>
    <s v="Sep"/>
    <x v="24"/>
    <n v="21"/>
    <s v="State"/>
    <n v="1054.1500000000001"/>
    <n v="1272.75"/>
    <n v="1449.38"/>
    <n v="819.89"/>
    <n v="3776.28"/>
    <n v="4596.17"/>
    <m/>
  </r>
  <r>
    <d v="2024-09-01T00:00:00"/>
    <s v="2024-25"/>
    <n v="2024"/>
    <n v="9"/>
    <s v="Sep"/>
    <x v="25"/>
    <n v="34"/>
    <s v="Union Territory"/>
    <n v="28.26"/>
    <n v="44.92"/>
    <n v="151.19"/>
    <n v="0.98"/>
    <n v="224.37"/>
    <n v="225.35"/>
    <m/>
  </r>
  <r>
    <d v="2024-09-01T00:00:00"/>
    <s v="2024-25"/>
    <n v="2024"/>
    <n v="9"/>
    <s v="Sep"/>
    <x v="26"/>
    <n v="3"/>
    <s v="State"/>
    <n v="483.72"/>
    <n v="680.05"/>
    <n v="734.11"/>
    <n v="35.36"/>
    <n v="1897.88"/>
    <n v="1933.24"/>
    <m/>
  </r>
  <r>
    <d v="2024-09-01T00:00:00"/>
    <s v="2024-25"/>
    <n v="2024"/>
    <n v="9"/>
    <s v="Sep"/>
    <x v="27"/>
    <n v="8"/>
    <s v="State"/>
    <n v="1042.8399999999999"/>
    <n v="1343.79"/>
    <n v="1419.14"/>
    <n v="123.22"/>
    <n v="3805.77"/>
    <n v="3928.99"/>
    <m/>
  </r>
  <r>
    <d v="2024-09-01T00:00:00"/>
    <s v="2024-25"/>
    <n v="2024"/>
    <n v="9"/>
    <s v="Sep"/>
    <x v="28"/>
    <n v="11"/>
    <s v="State"/>
    <n v="18.45"/>
    <n v="22.24"/>
    <n v="283.01"/>
    <n v="0.03"/>
    <n v="323.7"/>
    <n v="323.73"/>
    <m/>
  </r>
  <r>
    <d v="2024-09-01T00:00:00"/>
    <s v="2024-25"/>
    <n v="2024"/>
    <n v="9"/>
    <s v="Sep"/>
    <x v="29"/>
    <n v="33"/>
    <s v="State"/>
    <n v="2840.13"/>
    <n v="3932.74"/>
    <n v="3382.94"/>
    <n v="867.76"/>
    <n v="10155.81"/>
    <n v="11023.57"/>
    <m/>
  </r>
  <r>
    <d v="2024-09-01T00:00:00"/>
    <s v="2024-25"/>
    <n v="2024"/>
    <n v="9"/>
    <s v="Sep"/>
    <x v="30"/>
    <n v="36"/>
    <s v="State"/>
    <n v="1364.87"/>
    <n v="1961.32"/>
    <n v="1398.39"/>
    <n v="542.12"/>
    <n v="4724.58"/>
    <n v="5266.7"/>
    <m/>
  </r>
  <r>
    <d v="2024-09-01T00:00:00"/>
    <s v="2024-25"/>
    <n v="2024"/>
    <n v="9"/>
    <s v="Sep"/>
    <x v="31"/>
    <n v="16"/>
    <s v="State"/>
    <n v="26.5"/>
    <n v="33.69"/>
    <n v="18.16"/>
    <n v="0.38"/>
    <n v="78.349999999999994"/>
    <n v="78.73"/>
    <m/>
  </r>
  <r>
    <d v="2024-09-01T00:00:00"/>
    <s v="2024-25"/>
    <n v="2024"/>
    <n v="9"/>
    <s v="Sep"/>
    <x v="32"/>
    <n v="9"/>
    <s v="State"/>
    <n v="1944.85"/>
    <n v="2527.96"/>
    <n v="2392.89"/>
    <n v="1191.1199999999999"/>
    <n v="6865.7"/>
    <n v="8056.82"/>
    <m/>
  </r>
  <r>
    <d v="2024-09-01T00:00:00"/>
    <s v="2024-25"/>
    <n v="2024"/>
    <n v="9"/>
    <s v="Sep"/>
    <x v="33"/>
    <n v="5"/>
    <s v="State"/>
    <n v="273.5"/>
    <n v="399.73"/>
    <n v="900.05"/>
    <n v="8.48"/>
    <n v="1573.28"/>
    <n v="1581.76"/>
    <m/>
  </r>
  <r>
    <d v="2024-09-01T00:00:00"/>
    <s v="2024-25"/>
    <n v="2024"/>
    <n v="9"/>
    <s v="Sep"/>
    <x v="34"/>
    <n v="19"/>
    <s v="State"/>
    <n v="1489.75"/>
    <n v="1805.89"/>
    <n v="1449.56"/>
    <n v="421.51"/>
    <n v="4745.2"/>
    <n v="5166.71"/>
    <m/>
  </r>
  <r>
    <d v="2024-10-01T00:00:00"/>
    <s v="2024-25"/>
    <n v="2024"/>
    <n v="10"/>
    <s v="Oct"/>
    <x v="0"/>
    <n v="35"/>
    <s v="Union Territory"/>
    <n v="10.029999999999999"/>
    <n v="13.67"/>
    <n v="4.0599999999999996"/>
    <n v="0.05"/>
    <n v="27.76"/>
    <n v="27.81"/>
    <m/>
  </r>
  <r>
    <d v="2024-10-01T00:00:00"/>
    <s v="2024-25"/>
    <n v="2024"/>
    <n v="10"/>
    <s v="Oct"/>
    <x v="1"/>
    <n v="28"/>
    <s v="State"/>
    <n v="909.24"/>
    <n v="1174.46"/>
    <n v="1489.98"/>
    <n v="241.36"/>
    <n v="3573.68"/>
    <n v="3815.04"/>
    <m/>
  </r>
  <r>
    <d v="2024-10-01T00:00:00"/>
    <s v="2024-25"/>
    <n v="2024"/>
    <n v="10"/>
    <s v="Oct"/>
    <x v="2"/>
    <n v="12"/>
    <s v="State"/>
    <n v="21.08"/>
    <n v="25.95"/>
    <n v="11.25"/>
    <n v="0.06"/>
    <n v="58.28"/>
    <n v="58.34"/>
    <m/>
  </r>
  <r>
    <d v="2024-10-01T00:00:00"/>
    <s v="2024-25"/>
    <n v="2024"/>
    <n v="10"/>
    <s v="Oct"/>
    <x v="3"/>
    <n v="18"/>
    <s v="State"/>
    <n v="408.39"/>
    <n v="522.35"/>
    <n v="412.2"/>
    <n v="134.62"/>
    <n v="1342.94"/>
    <n v="1477.56"/>
    <m/>
  </r>
  <r>
    <d v="2024-10-01T00:00:00"/>
    <s v="2024-25"/>
    <n v="2024"/>
    <n v="10"/>
    <s v="Oct"/>
    <x v="4"/>
    <n v="10"/>
    <s v="State"/>
    <n v="445.54"/>
    <n v="725.19"/>
    <n v="256.39999999999998"/>
    <n v="177.2"/>
    <n v="1427.13"/>
    <n v="1604.33"/>
    <m/>
  </r>
  <r>
    <d v="2024-10-01T00:00:00"/>
    <s v="2024-25"/>
    <n v="2024"/>
    <n v="10"/>
    <s v="Oct"/>
    <x v="5"/>
    <n v="4"/>
    <s v="Union Territory"/>
    <n v="46.33"/>
    <n v="59.18"/>
    <n v="136.66"/>
    <n v="1.2"/>
    <n v="242.17"/>
    <n v="243.37"/>
    <m/>
  </r>
  <r>
    <d v="2024-10-01T00:00:00"/>
    <s v="2024-25"/>
    <n v="2024"/>
    <n v="10"/>
    <s v="Oct"/>
    <x v="6"/>
    <n v="22"/>
    <s v="State"/>
    <n v="549.71"/>
    <n v="663.72"/>
    <n v="936.49"/>
    <n v="506.49"/>
    <n v="2149.92"/>
    <n v="2656.41"/>
    <m/>
  </r>
  <r>
    <d v="2024-10-01T00:00:00"/>
    <s v="2024-25"/>
    <n v="2024"/>
    <n v="10"/>
    <s v="Oct"/>
    <x v="7"/>
    <n v="38"/>
    <s v="Union Territory"/>
    <n v="46.52"/>
    <n v="61.09"/>
    <n v="260.95"/>
    <n v="0.19"/>
    <n v="368.56"/>
    <n v="368.75"/>
    <m/>
  </r>
  <r>
    <d v="2024-10-01T00:00:00"/>
    <s v="2024-25"/>
    <n v="2024"/>
    <n v="10"/>
    <s v="Oct"/>
    <x v="8"/>
    <n v="7"/>
    <s v="Union Territory"/>
    <n v="1521.51"/>
    <n v="1738.92"/>
    <n v="5278.16"/>
    <n v="121.03"/>
    <n v="8538.59"/>
    <n v="8659.6200000000008"/>
    <m/>
  </r>
  <r>
    <d v="2024-10-01T00:00:00"/>
    <s v="2024-25"/>
    <n v="2024"/>
    <n v="10"/>
    <s v="Oct"/>
    <x v="9"/>
    <n v="30"/>
    <s v="State"/>
    <n v="154.61000000000001"/>
    <n v="191.97"/>
    <n v="208.37"/>
    <n v="3.88"/>
    <n v="554.95000000000005"/>
    <n v="558.83000000000004"/>
    <m/>
  </r>
  <r>
    <d v="2024-10-01T00:00:00"/>
    <s v="2024-25"/>
    <n v="2024"/>
    <n v="10"/>
    <s v="Oct"/>
    <x v="10"/>
    <n v="24"/>
    <s v="State"/>
    <n v="3138.21"/>
    <n v="3641.89"/>
    <n v="3913.53"/>
    <n v="713"/>
    <n v="10693.63"/>
    <n v="11406.63"/>
    <m/>
  </r>
  <r>
    <d v="2024-10-01T00:00:00"/>
    <s v="2024-25"/>
    <n v="2024"/>
    <n v="10"/>
    <s v="Oct"/>
    <x v="11"/>
    <n v="6"/>
    <s v="State"/>
    <n v="1536.29"/>
    <n v="1956.07"/>
    <n v="5864.27"/>
    <n v="688.19"/>
    <n v="9356.6299999999992"/>
    <n v="10044.82"/>
    <m/>
  </r>
  <r>
    <d v="2024-10-01T00:00:00"/>
    <s v="2024-25"/>
    <n v="2024"/>
    <n v="10"/>
    <s v="Oct"/>
    <x v="12"/>
    <n v="2"/>
    <s v="State"/>
    <n v="160.52000000000001"/>
    <n v="230.58"/>
    <n v="473.91"/>
    <n v="1.9"/>
    <n v="865.01"/>
    <n v="866.91"/>
    <m/>
  </r>
  <r>
    <d v="2024-10-01T00:00:00"/>
    <s v="2024-25"/>
    <n v="2024"/>
    <n v="10"/>
    <s v="Oct"/>
    <x v="13"/>
    <n v="1"/>
    <s v="Union Territory"/>
    <n v="166.66"/>
    <n v="240.77"/>
    <n v="192.74"/>
    <n v="7.67"/>
    <n v="600.16999999999996"/>
    <n v="607.84"/>
    <m/>
  </r>
  <r>
    <d v="2024-10-01T00:00:00"/>
    <s v="2024-25"/>
    <n v="2024"/>
    <n v="10"/>
    <s v="Oct"/>
    <x v="14"/>
    <n v="20"/>
    <s v="State"/>
    <n v="553.94000000000005"/>
    <n v="718.96"/>
    <n v="1114.31"/>
    <n v="586.83000000000004"/>
    <n v="2387.21"/>
    <n v="2974.04"/>
    <m/>
  </r>
  <r>
    <d v="2024-10-01T00:00:00"/>
    <s v="2024-25"/>
    <n v="2024"/>
    <n v="10"/>
    <s v="Oct"/>
    <x v="15"/>
    <n v="29"/>
    <s v="State"/>
    <n v="2922.4"/>
    <n v="3634.38"/>
    <n v="5073.53"/>
    <n v="1451.12"/>
    <n v="11630.31"/>
    <n v="13081.43"/>
    <m/>
  </r>
  <r>
    <d v="2024-10-01T00:00:00"/>
    <s v="2024-25"/>
    <n v="2024"/>
    <n v="10"/>
    <s v="Oct"/>
    <x v="16"/>
    <n v="32"/>
    <s v="State"/>
    <n v="993.26"/>
    <n v="1275.31"/>
    <n v="624.08000000000004"/>
    <n v="3.34"/>
    <n v="2892.65"/>
    <n v="2895.99"/>
    <m/>
  </r>
  <r>
    <d v="2024-10-01T00:00:00"/>
    <s v="2024-25"/>
    <n v="2024"/>
    <n v="10"/>
    <s v="Oct"/>
    <x v="35"/>
    <n v="37"/>
    <s v="Union Territory"/>
    <n v="20.79"/>
    <n v="30.77"/>
    <n v="4.6100000000000003"/>
    <n v="0.18"/>
    <n v="56.17"/>
    <n v="56.35"/>
    <m/>
  </r>
  <r>
    <d v="2024-10-01T00:00:00"/>
    <s v="2024-25"/>
    <n v="2024"/>
    <n v="10"/>
    <s v="Oct"/>
    <x v="17"/>
    <n v="31"/>
    <s v="Union Territory"/>
    <n v="0.28999999999999998"/>
    <n v="0.84"/>
    <n v="0.16"/>
    <n v="0"/>
    <n v="1.29"/>
    <n v="1.29"/>
    <m/>
  </r>
  <r>
    <d v="2024-10-01T00:00:00"/>
    <s v="2024-25"/>
    <n v="2024"/>
    <n v="10"/>
    <s v="Oct"/>
    <x v="18"/>
    <n v="23"/>
    <s v="State"/>
    <n v="873.82"/>
    <n v="1108.48"/>
    <n v="1052.93"/>
    <n v="613.72"/>
    <n v="3035.23"/>
    <n v="3648.95"/>
    <m/>
  </r>
  <r>
    <d v="2024-10-01T00:00:00"/>
    <s v="2024-25"/>
    <n v="2024"/>
    <n v="10"/>
    <s v="Oct"/>
    <x v="19"/>
    <n v="27"/>
    <s v="State"/>
    <n v="8048.03"/>
    <n v="9107.5"/>
    <n v="11664.76"/>
    <n v="2209.7600000000002"/>
    <n v="28820.29"/>
    <n v="31030.05"/>
    <m/>
  </r>
  <r>
    <d v="2024-10-01T00:00:00"/>
    <s v="2024-25"/>
    <n v="2024"/>
    <n v="10"/>
    <s v="Oct"/>
    <x v="20"/>
    <n v="14"/>
    <s v="State"/>
    <n v="26.84"/>
    <n v="32.75"/>
    <n v="6.99"/>
    <n v="0.02"/>
    <n v="66.58"/>
    <n v="66.599999999999994"/>
    <m/>
  </r>
  <r>
    <d v="2024-10-01T00:00:00"/>
    <s v="2024-25"/>
    <n v="2024"/>
    <n v="10"/>
    <s v="Oct"/>
    <x v="21"/>
    <n v="17"/>
    <s v="State"/>
    <n v="40.81"/>
    <n v="51.68"/>
    <n v="71.209999999999994"/>
    <n v="0.06"/>
    <n v="163.69999999999999"/>
    <n v="163.76"/>
    <m/>
  </r>
  <r>
    <d v="2024-10-01T00:00:00"/>
    <s v="2024-25"/>
    <n v="2024"/>
    <n v="10"/>
    <s v="Oct"/>
    <x v="22"/>
    <n v="15"/>
    <s v="State"/>
    <n v="18.079999999999998"/>
    <n v="20.03"/>
    <n v="3.28"/>
    <n v="0.03"/>
    <n v="41.39"/>
    <n v="41.42"/>
    <m/>
  </r>
  <r>
    <d v="2024-10-01T00:00:00"/>
    <s v="2024-25"/>
    <n v="2024"/>
    <n v="10"/>
    <s v="Oct"/>
    <x v="23"/>
    <n v="13"/>
    <s v="State"/>
    <n v="15.8"/>
    <n v="19.45"/>
    <n v="8.4700000000000006"/>
    <n v="1.61"/>
    <n v="43.72"/>
    <n v="45.33"/>
    <m/>
  </r>
  <r>
    <d v="2024-10-01T00:00:00"/>
    <s v="2024-25"/>
    <n v="2024"/>
    <n v="10"/>
    <s v="Oct"/>
    <x v="24"/>
    <n v="21"/>
    <s v="State"/>
    <n v="1043.07"/>
    <n v="1288.0999999999999"/>
    <n v="1431.23"/>
    <n v="829.58"/>
    <n v="3762.4"/>
    <n v="4591.9799999999996"/>
    <m/>
  </r>
  <r>
    <d v="2024-10-01T00:00:00"/>
    <s v="2024-25"/>
    <n v="2024"/>
    <n v="10"/>
    <s v="Oct"/>
    <x v="25"/>
    <n v="34"/>
    <s v="Union Territory"/>
    <n v="29.4"/>
    <n v="46.53"/>
    <n v="175.18"/>
    <n v="0.59"/>
    <n v="251.11"/>
    <n v="251.7"/>
    <m/>
  </r>
  <r>
    <d v="2024-10-01T00:00:00"/>
    <s v="2024-25"/>
    <n v="2024"/>
    <n v="10"/>
    <s v="Oct"/>
    <x v="26"/>
    <n v="3"/>
    <s v="State"/>
    <n v="524.16999999999996"/>
    <n v="772.5"/>
    <n v="878.57"/>
    <n v="36.03"/>
    <n v="2175.2399999999998"/>
    <n v="2211.27"/>
    <m/>
  </r>
  <r>
    <d v="2024-10-01T00:00:00"/>
    <s v="2024-25"/>
    <n v="2024"/>
    <n v="10"/>
    <s v="Oct"/>
    <x v="27"/>
    <n v="8"/>
    <s v="State"/>
    <n v="1175.25"/>
    <n v="1504.72"/>
    <n v="1585.8"/>
    <n v="203.04"/>
    <n v="4265.7700000000004"/>
    <n v="4468.8100000000004"/>
    <m/>
  </r>
  <r>
    <d v="2024-10-01T00:00:00"/>
    <s v="2024-25"/>
    <n v="2024"/>
    <n v="10"/>
    <s v="Oct"/>
    <x v="28"/>
    <n v="11"/>
    <s v="State"/>
    <n v="23.52"/>
    <n v="30.22"/>
    <n v="279.05"/>
    <n v="7.0000000000000007E-2"/>
    <n v="332.79"/>
    <n v="332.86"/>
    <m/>
  </r>
  <r>
    <d v="2024-10-01T00:00:00"/>
    <s v="2024-25"/>
    <n v="2024"/>
    <n v="10"/>
    <s v="Oct"/>
    <x v="29"/>
    <n v="33"/>
    <s v="State"/>
    <n v="2754.58"/>
    <n v="3891.47"/>
    <n v="3671.48"/>
    <n v="870.26"/>
    <n v="10317.530000000001"/>
    <n v="11187.79"/>
    <m/>
  </r>
  <r>
    <d v="2024-10-01T00:00:00"/>
    <s v="2024-25"/>
    <n v="2024"/>
    <n v="10"/>
    <s v="Oct"/>
    <x v="30"/>
    <n v="36"/>
    <s v="State"/>
    <n v="1483.27"/>
    <n v="1690.98"/>
    <n v="1568.87"/>
    <n v="467.54"/>
    <n v="4743.12"/>
    <n v="5210.66"/>
    <m/>
  </r>
  <r>
    <d v="2024-10-01T00:00:00"/>
    <s v="2024-25"/>
    <n v="2024"/>
    <n v="10"/>
    <s v="Oct"/>
    <x v="31"/>
    <n v="16"/>
    <s v="State"/>
    <n v="42.83"/>
    <n v="50.36"/>
    <n v="10.46"/>
    <n v="1.34"/>
    <n v="103.65"/>
    <n v="104.99"/>
    <m/>
  </r>
  <r>
    <d v="2024-10-01T00:00:00"/>
    <s v="2024-25"/>
    <n v="2024"/>
    <n v="10"/>
    <s v="Oct"/>
    <x v="32"/>
    <n v="9"/>
    <s v="State"/>
    <n v="2136.61"/>
    <n v="2834.2"/>
    <n v="3257.72"/>
    <n v="1373.48"/>
    <n v="8228.5300000000007"/>
    <n v="9602.01"/>
    <m/>
  </r>
  <r>
    <d v="2024-10-01T00:00:00"/>
    <s v="2024-25"/>
    <n v="2024"/>
    <n v="10"/>
    <s v="Oct"/>
    <x v="33"/>
    <n v="5"/>
    <s v="State"/>
    <n v="343.01"/>
    <n v="485.96"/>
    <n v="995.35"/>
    <n v="9.42"/>
    <n v="1824.32"/>
    <n v="1833.74"/>
    <m/>
  </r>
  <r>
    <d v="2024-10-01T00:00:00"/>
    <s v="2024-25"/>
    <n v="2024"/>
    <n v="10"/>
    <s v="Oct"/>
    <x v="34"/>
    <n v="19"/>
    <s v="State"/>
    <n v="1624.13"/>
    <n v="2009.07"/>
    <n v="1530.67"/>
    <n v="432.96"/>
    <n v="5163.87"/>
    <n v="5596.83"/>
    <m/>
  </r>
  <r>
    <d v="2024-11-01T00:00:00"/>
    <s v="2024-25"/>
    <n v="2024"/>
    <n v="11"/>
    <s v="Nov"/>
    <x v="0"/>
    <n v="35"/>
    <s v="Union Territory"/>
    <n v="11.55"/>
    <n v="16.57"/>
    <n v="3.86"/>
    <n v="0.09"/>
    <n v="31.98"/>
    <n v="32.07"/>
    <m/>
  </r>
  <r>
    <d v="2024-11-01T00:00:00"/>
    <s v="2024-25"/>
    <n v="2024"/>
    <n v="11"/>
    <s v="Nov"/>
    <x v="1"/>
    <n v="28"/>
    <s v="State"/>
    <n v="879.67"/>
    <n v="1197.47"/>
    <n v="1346.1"/>
    <n v="276.18"/>
    <n v="3423.24"/>
    <n v="3699.42"/>
    <m/>
  </r>
  <r>
    <d v="2024-11-01T00:00:00"/>
    <s v="2024-25"/>
    <n v="2024"/>
    <n v="11"/>
    <s v="Nov"/>
    <x v="2"/>
    <n v="12"/>
    <s v="State"/>
    <n v="24.33"/>
    <n v="30.88"/>
    <n v="15.54"/>
    <n v="0.15"/>
    <n v="70.75"/>
    <n v="70.900000000000006"/>
    <m/>
  </r>
  <r>
    <d v="2024-11-01T00:00:00"/>
    <s v="2024-25"/>
    <n v="2024"/>
    <n v="11"/>
    <s v="Nov"/>
    <x v="3"/>
    <n v="18"/>
    <s v="State"/>
    <n v="392.05"/>
    <n v="503.43"/>
    <n v="358.61"/>
    <n v="103.51"/>
    <n v="1254.0899999999999"/>
    <n v="1357.6"/>
    <m/>
  </r>
  <r>
    <d v="2024-11-01T00:00:00"/>
    <s v="2024-25"/>
    <n v="2024"/>
    <n v="11"/>
    <s v="Nov"/>
    <x v="4"/>
    <n v="10"/>
    <s v="State"/>
    <n v="417.05"/>
    <n v="760.37"/>
    <n v="214.44"/>
    <n v="168.65"/>
    <n v="1391.86"/>
    <n v="1560.51"/>
    <m/>
  </r>
  <r>
    <d v="2024-11-01T00:00:00"/>
    <s v="2024-25"/>
    <n v="2024"/>
    <n v="11"/>
    <s v="Nov"/>
    <x v="5"/>
    <n v="4"/>
    <s v="Union Territory"/>
    <n v="52.26"/>
    <n v="73.14"/>
    <n v="121.26"/>
    <n v="6.12"/>
    <n v="246.66"/>
    <n v="252.78"/>
    <m/>
  </r>
  <r>
    <d v="2024-11-01T00:00:00"/>
    <s v="2024-25"/>
    <n v="2024"/>
    <n v="11"/>
    <s v="Nov"/>
    <x v="6"/>
    <n v="22"/>
    <s v="State"/>
    <n v="590.41999999999996"/>
    <n v="728.8"/>
    <n v="969.39"/>
    <n v="607.97"/>
    <n v="2288.61"/>
    <n v="2896.58"/>
    <m/>
  </r>
  <r>
    <d v="2024-11-01T00:00:00"/>
    <s v="2024-25"/>
    <n v="2024"/>
    <n v="11"/>
    <s v="Nov"/>
    <x v="7"/>
    <n v="38"/>
    <s v="Union Territory"/>
    <n v="48.04"/>
    <n v="63.4"/>
    <n v="236.22"/>
    <n v="0.49"/>
    <n v="347.66"/>
    <n v="348.15"/>
    <m/>
  </r>
  <r>
    <d v="2024-11-01T00:00:00"/>
    <s v="2024-25"/>
    <n v="2024"/>
    <n v="11"/>
    <s v="Nov"/>
    <x v="8"/>
    <n v="7"/>
    <s v="Union Territory"/>
    <n v="1187.31"/>
    <n v="1432.1"/>
    <n v="3565.01"/>
    <n v="126.26"/>
    <n v="6184.42"/>
    <n v="6310.68"/>
    <m/>
  </r>
  <r>
    <d v="2024-11-01T00:00:00"/>
    <s v="2024-25"/>
    <n v="2024"/>
    <n v="11"/>
    <s v="Nov"/>
    <x v="9"/>
    <n v="30"/>
    <s v="State"/>
    <n v="163.13999999999999"/>
    <n v="207.59"/>
    <n v="185.6"/>
    <n v="4.1100000000000003"/>
    <n v="556.33000000000004"/>
    <n v="560.44000000000005"/>
    <m/>
  </r>
  <r>
    <d v="2024-11-01T00:00:00"/>
    <s v="2024-25"/>
    <n v="2024"/>
    <n v="11"/>
    <s v="Nov"/>
    <x v="10"/>
    <n v="24"/>
    <s v="State"/>
    <n v="3362.76"/>
    <n v="4101.3100000000004"/>
    <n v="3894.44"/>
    <n v="833.62"/>
    <n v="11358.51"/>
    <n v="12192.13"/>
    <m/>
  </r>
  <r>
    <d v="2024-11-01T00:00:00"/>
    <s v="2024-25"/>
    <n v="2024"/>
    <n v="11"/>
    <s v="Nov"/>
    <x v="11"/>
    <n v="6"/>
    <s v="State"/>
    <n v="1512.02"/>
    <n v="1995.5"/>
    <n v="5592.06"/>
    <n v="800.65"/>
    <n v="9099.58"/>
    <n v="9900.23"/>
    <m/>
  </r>
  <r>
    <d v="2024-11-01T00:00:00"/>
    <s v="2024-25"/>
    <n v="2024"/>
    <n v="11"/>
    <s v="Nov"/>
    <x v="12"/>
    <n v="2"/>
    <s v="State"/>
    <n v="166.47"/>
    <n v="244.83"/>
    <n v="463.05"/>
    <n v="3.17"/>
    <n v="874.35"/>
    <n v="877.52"/>
    <m/>
  </r>
  <r>
    <d v="2024-11-01T00:00:00"/>
    <s v="2024-25"/>
    <n v="2024"/>
    <n v="11"/>
    <s v="Nov"/>
    <x v="13"/>
    <n v="1"/>
    <s v="Union Territory"/>
    <n v="169.06"/>
    <n v="247.16"/>
    <n v="164.26"/>
    <n v="5.82"/>
    <n v="580.48"/>
    <n v="586.29999999999995"/>
    <m/>
  </r>
  <r>
    <d v="2024-11-01T00:00:00"/>
    <s v="2024-25"/>
    <n v="2024"/>
    <n v="11"/>
    <s v="Nov"/>
    <x v="14"/>
    <n v="20"/>
    <s v="State"/>
    <n v="547.04999999999995"/>
    <n v="701.59"/>
    <n v="1078.69"/>
    <n v="623.12"/>
    <n v="2327.33"/>
    <n v="2950.45"/>
    <m/>
  </r>
  <r>
    <d v="2024-11-01T00:00:00"/>
    <s v="2024-25"/>
    <n v="2024"/>
    <n v="11"/>
    <s v="Nov"/>
    <x v="15"/>
    <n v="29"/>
    <s v="State"/>
    <n v="2992.9"/>
    <n v="3692.27"/>
    <n v="5524.34"/>
    <n v="1512.66"/>
    <n v="12209.51"/>
    <n v="13722.17"/>
    <m/>
  </r>
  <r>
    <d v="2024-11-01T00:00:00"/>
    <s v="2024-25"/>
    <n v="2024"/>
    <n v="11"/>
    <s v="Nov"/>
    <x v="16"/>
    <n v="32"/>
    <s v="State"/>
    <n v="960.1"/>
    <n v="1213.76"/>
    <n v="583.45000000000005"/>
    <n v="5.98"/>
    <n v="2757.31"/>
    <n v="2763.29"/>
    <m/>
  </r>
  <r>
    <d v="2024-11-01T00:00:00"/>
    <s v="2024-25"/>
    <n v="2024"/>
    <n v="11"/>
    <s v="Nov"/>
    <x v="35"/>
    <n v="37"/>
    <s v="Union Territory"/>
    <n v="25.48"/>
    <n v="34.11"/>
    <n v="6.76"/>
    <n v="0.38"/>
    <n v="66.349999999999994"/>
    <n v="66.73"/>
    <m/>
  </r>
  <r>
    <d v="2024-11-01T00:00:00"/>
    <s v="2024-25"/>
    <n v="2024"/>
    <n v="11"/>
    <s v="Nov"/>
    <x v="17"/>
    <n v="31"/>
    <s v="Union Territory"/>
    <n v="2.3199999999999998"/>
    <n v="2.39"/>
    <n v="0.28999999999999998"/>
    <n v="0"/>
    <n v="5"/>
    <n v="5"/>
    <m/>
  </r>
  <r>
    <d v="2024-11-01T00:00:00"/>
    <s v="2024-25"/>
    <n v="2024"/>
    <n v="11"/>
    <s v="Nov"/>
    <x v="18"/>
    <n v="23"/>
    <s v="State"/>
    <n v="984.31"/>
    <n v="1222.1600000000001"/>
    <n v="916.51"/>
    <n v="688.97"/>
    <n v="3122.98"/>
    <n v="3811.95"/>
    <m/>
  </r>
  <r>
    <d v="2024-11-01T00:00:00"/>
    <s v="2024-25"/>
    <n v="2024"/>
    <n v="11"/>
    <s v="Nov"/>
    <x v="19"/>
    <n v="27"/>
    <s v="State"/>
    <n v="8313.7099999999991"/>
    <n v="9617.2999999999993"/>
    <n v="9602.31"/>
    <n v="2414.8200000000002"/>
    <n v="27533.32"/>
    <n v="29948.14"/>
    <m/>
  </r>
  <r>
    <d v="2024-11-01T00:00:00"/>
    <s v="2024-25"/>
    <n v="2024"/>
    <n v="11"/>
    <s v="Nov"/>
    <x v="20"/>
    <n v="14"/>
    <s v="State"/>
    <n v="13.3"/>
    <n v="17.64"/>
    <n v="7.24"/>
    <n v="0.04"/>
    <n v="38.18"/>
    <n v="38.22"/>
    <m/>
  </r>
  <r>
    <d v="2024-11-01T00:00:00"/>
    <s v="2024-25"/>
    <n v="2024"/>
    <n v="11"/>
    <s v="Nov"/>
    <x v="21"/>
    <n v="17"/>
    <s v="State"/>
    <n v="37.44"/>
    <n v="44.21"/>
    <n v="61.93"/>
    <n v="0.1"/>
    <n v="143.58000000000001"/>
    <n v="143.68"/>
    <m/>
  </r>
  <r>
    <d v="2024-11-01T00:00:00"/>
    <s v="2024-25"/>
    <n v="2024"/>
    <n v="11"/>
    <s v="Nov"/>
    <x v="22"/>
    <n v="15"/>
    <s v="State"/>
    <n v="13.64"/>
    <n v="18.489999999999998"/>
    <n v="5.73"/>
    <n v="0.02"/>
    <n v="37.86"/>
    <n v="37.880000000000003"/>
    <m/>
  </r>
  <r>
    <d v="2024-11-01T00:00:00"/>
    <s v="2024-25"/>
    <n v="2024"/>
    <n v="11"/>
    <s v="Nov"/>
    <x v="23"/>
    <n v="13"/>
    <s v="State"/>
    <n v="18.91"/>
    <n v="21.38"/>
    <n v="10.039999999999999"/>
    <n v="1.52"/>
    <n v="50.33"/>
    <n v="51.85"/>
    <m/>
  </r>
  <r>
    <d v="2024-11-01T00:00:00"/>
    <s v="2024-25"/>
    <n v="2024"/>
    <n v="11"/>
    <s v="Nov"/>
    <x v="24"/>
    <n v="21"/>
    <s v="State"/>
    <n v="1094.2"/>
    <n v="1345.42"/>
    <n v="1353.73"/>
    <n v="910.9"/>
    <n v="3793.35"/>
    <n v="4704.25"/>
    <m/>
  </r>
  <r>
    <d v="2024-11-01T00:00:00"/>
    <s v="2024-25"/>
    <n v="2024"/>
    <n v="11"/>
    <s v="Nov"/>
    <x v="25"/>
    <n v="34"/>
    <s v="Union Territory"/>
    <n v="29.45"/>
    <n v="46.53"/>
    <n v="152.65"/>
    <n v="0.44"/>
    <n v="228.63"/>
    <n v="229.07"/>
    <m/>
  </r>
  <r>
    <d v="2024-11-01T00:00:00"/>
    <s v="2024-25"/>
    <n v="2024"/>
    <n v="11"/>
    <s v="Nov"/>
    <x v="26"/>
    <n v="3"/>
    <s v="State"/>
    <n v="539.51"/>
    <n v="787.29"/>
    <n v="964.82"/>
    <n v="35.56"/>
    <n v="2291.62"/>
    <n v="2327.1799999999998"/>
    <m/>
  </r>
  <r>
    <d v="2024-11-01T00:00:00"/>
    <s v="2024-25"/>
    <n v="2024"/>
    <n v="11"/>
    <s v="Nov"/>
    <x v="27"/>
    <n v="8"/>
    <s v="State"/>
    <n v="1219.69"/>
    <n v="1599.86"/>
    <n v="1592.32"/>
    <n v="210.36"/>
    <n v="4411.87"/>
    <n v="4622.2299999999996"/>
    <m/>
  </r>
  <r>
    <d v="2024-11-01T00:00:00"/>
    <s v="2024-25"/>
    <n v="2024"/>
    <n v="11"/>
    <s v="Nov"/>
    <x v="28"/>
    <n v="11"/>
    <s v="State"/>
    <n v="37.51"/>
    <n v="47.22"/>
    <n v="270.70999999999998"/>
    <n v="7.0000000000000007E-2"/>
    <n v="355.44"/>
    <n v="355.51"/>
    <m/>
  </r>
  <r>
    <d v="2024-11-01T00:00:00"/>
    <s v="2024-25"/>
    <n v="2024"/>
    <n v="11"/>
    <s v="Nov"/>
    <x v="29"/>
    <n v="33"/>
    <s v="State"/>
    <n v="2941.23"/>
    <n v="3923.18"/>
    <n v="3462.05"/>
    <n v="769.35"/>
    <n v="10326.459999999999"/>
    <n v="11095.81"/>
    <m/>
  </r>
  <r>
    <d v="2024-11-01T00:00:00"/>
    <s v="2024-25"/>
    <n v="2024"/>
    <n v="11"/>
    <s v="Nov"/>
    <x v="30"/>
    <n v="36"/>
    <s v="State"/>
    <n v="1373.93"/>
    <n v="1769.45"/>
    <n v="1521.15"/>
    <n v="476.65"/>
    <n v="4664.53"/>
    <n v="5141.18"/>
    <m/>
  </r>
  <r>
    <d v="2024-11-01T00:00:00"/>
    <s v="2024-25"/>
    <n v="2024"/>
    <n v="11"/>
    <s v="Nov"/>
    <x v="31"/>
    <n v="16"/>
    <s v="State"/>
    <n v="30.43"/>
    <n v="40"/>
    <n v="27.87"/>
    <n v="0.03"/>
    <n v="98.3"/>
    <n v="98.33"/>
    <m/>
  </r>
  <r>
    <d v="2024-11-01T00:00:00"/>
    <s v="2024-25"/>
    <n v="2024"/>
    <n v="11"/>
    <s v="Nov"/>
    <x v="32"/>
    <n v="9"/>
    <s v="State"/>
    <n v="2072.73"/>
    <n v="2867.65"/>
    <n v="3056.22"/>
    <n v="1435.24"/>
    <n v="7996.6"/>
    <n v="9431.84"/>
    <m/>
  </r>
  <r>
    <d v="2024-11-01T00:00:00"/>
    <s v="2024-25"/>
    <n v="2024"/>
    <n v="11"/>
    <s v="Nov"/>
    <x v="33"/>
    <n v="5"/>
    <s v="State"/>
    <n v="337.15"/>
    <n v="521.66999999999996"/>
    <n v="951.34"/>
    <n v="13.44"/>
    <n v="1810.16"/>
    <n v="1823.6"/>
    <m/>
  </r>
  <r>
    <d v="2024-11-01T00:00:00"/>
    <s v="2024-25"/>
    <n v="2024"/>
    <n v="11"/>
    <s v="Nov"/>
    <x v="34"/>
    <n v="19"/>
    <s v="State"/>
    <n v="1568.77"/>
    <n v="1897.28"/>
    <n v="1378.52"/>
    <n v="361.19"/>
    <n v="4844.57"/>
    <n v="5205.76"/>
    <m/>
  </r>
  <r>
    <d v="2024-12-01T00:00:00"/>
    <s v="2024-25"/>
    <n v="2024"/>
    <n v="12"/>
    <s v="Dec"/>
    <x v="0"/>
    <n v="35"/>
    <s v="Union Territory"/>
    <n v="18"/>
    <n v="23.8"/>
    <n v="6.36"/>
    <n v="0.46"/>
    <n v="48.16"/>
    <n v="48.62"/>
    <m/>
  </r>
  <r>
    <d v="2024-12-01T00:00:00"/>
    <s v="2024-25"/>
    <n v="2024"/>
    <n v="12"/>
    <s v="Dec"/>
    <x v="1"/>
    <n v="28"/>
    <s v="State"/>
    <n v="849.12"/>
    <n v="1076"/>
    <n v="1181.9000000000001"/>
    <n v="208.04"/>
    <n v="3107.02"/>
    <n v="3315.06"/>
    <m/>
  </r>
  <r>
    <d v="2024-12-01T00:00:00"/>
    <s v="2024-25"/>
    <n v="2024"/>
    <n v="12"/>
    <s v="Dec"/>
    <x v="2"/>
    <n v="12"/>
    <s v="State"/>
    <n v="25.91"/>
    <n v="31.83"/>
    <n v="12.46"/>
    <n v="0.22"/>
    <n v="70.2"/>
    <n v="70.42"/>
    <m/>
  </r>
  <r>
    <d v="2024-12-01T00:00:00"/>
    <s v="2024-25"/>
    <n v="2024"/>
    <n v="12"/>
    <s v="Dec"/>
    <x v="3"/>
    <n v="18"/>
    <s v="State"/>
    <n v="396.2"/>
    <n v="505.45"/>
    <n v="377.11"/>
    <n v="94.87"/>
    <n v="1278.76"/>
    <n v="1373.63"/>
    <m/>
  </r>
  <r>
    <d v="2024-12-01T00:00:00"/>
    <s v="2024-25"/>
    <n v="2024"/>
    <n v="12"/>
    <s v="Dec"/>
    <x v="4"/>
    <n v="10"/>
    <s v="State"/>
    <n v="407.54"/>
    <n v="768.34"/>
    <n v="193.66"/>
    <n v="151.43"/>
    <n v="1369.54"/>
    <n v="1520.97"/>
    <m/>
  </r>
  <r>
    <d v="2024-12-01T00:00:00"/>
    <s v="2024-25"/>
    <n v="2024"/>
    <n v="12"/>
    <s v="Dec"/>
    <x v="5"/>
    <n v="4"/>
    <s v="Union Territory"/>
    <n v="49.32"/>
    <n v="65.599999999999994"/>
    <n v="103.17"/>
    <n v="6.06"/>
    <n v="218.09"/>
    <n v="224.15"/>
    <m/>
  </r>
  <r>
    <d v="2024-12-01T00:00:00"/>
    <s v="2024-25"/>
    <n v="2024"/>
    <n v="12"/>
    <s v="Dec"/>
    <x v="6"/>
    <n v="22"/>
    <s v="State"/>
    <n v="580.11"/>
    <n v="696.58"/>
    <n v="1029.3800000000001"/>
    <n v="575.98"/>
    <n v="2306.0700000000002"/>
    <n v="2882.05"/>
    <m/>
  </r>
  <r>
    <d v="2024-12-01T00:00:00"/>
    <s v="2024-25"/>
    <n v="2024"/>
    <n v="12"/>
    <s v="Dec"/>
    <x v="7"/>
    <n v="38"/>
    <s v="Union Territory"/>
    <n v="45.51"/>
    <n v="55.35"/>
    <n v="229.98"/>
    <n v="1.5"/>
    <n v="330.84"/>
    <n v="332.34"/>
    <m/>
  </r>
  <r>
    <d v="2024-12-01T00:00:00"/>
    <s v="2024-25"/>
    <n v="2024"/>
    <n v="12"/>
    <s v="Dec"/>
    <x v="8"/>
    <n v="7"/>
    <s v="Union Territory"/>
    <n v="1158.23"/>
    <n v="1352.77"/>
    <n v="2989.91"/>
    <n v="92.36"/>
    <n v="5500.91"/>
    <n v="5593.27"/>
    <m/>
  </r>
  <r>
    <d v="2024-12-01T00:00:00"/>
    <s v="2024-25"/>
    <n v="2024"/>
    <n v="12"/>
    <s v="Dec"/>
    <x v="9"/>
    <n v="30"/>
    <s v="State"/>
    <n v="177.55"/>
    <n v="219.41"/>
    <n v="178.07"/>
    <n v="3.28"/>
    <n v="575.03"/>
    <n v="578.30999999999995"/>
    <m/>
  </r>
  <r>
    <d v="2024-12-01T00:00:00"/>
    <s v="2024-25"/>
    <n v="2024"/>
    <n v="12"/>
    <s v="Dec"/>
    <x v="10"/>
    <n v="24"/>
    <s v="State"/>
    <n v="2785.75"/>
    <n v="3328.49"/>
    <n v="3501.67"/>
    <n v="663.45"/>
    <n v="9615.91"/>
    <n v="10279.36"/>
    <m/>
  </r>
  <r>
    <d v="2024-12-01T00:00:00"/>
    <s v="2024-25"/>
    <n v="2024"/>
    <n v="12"/>
    <s v="Dec"/>
    <x v="11"/>
    <n v="6"/>
    <s v="State"/>
    <n v="1469.32"/>
    <n v="1810.99"/>
    <n v="6495.48"/>
    <n v="627.6"/>
    <n v="9775.7900000000009"/>
    <n v="10403.39"/>
    <m/>
  </r>
  <r>
    <d v="2024-12-01T00:00:00"/>
    <s v="2024-25"/>
    <n v="2024"/>
    <n v="12"/>
    <s v="Dec"/>
    <x v="12"/>
    <n v="2"/>
    <s v="State"/>
    <n v="145.33000000000001"/>
    <n v="200.51"/>
    <n v="468"/>
    <n v="1.78"/>
    <n v="813.84"/>
    <n v="815.62"/>
    <m/>
  </r>
  <r>
    <d v="2024-12-01T00:00:00"/>
    <s v="2024-25"/>
    <n v="2024"/>
    <n v="12"/>
    <s v="Dec"/>
    <x v="13"/>
    <n v="1"/>
    <s v="Union Territory"/>
    <n v="153.41999999999999"/>
    <n v="221.49"/>
    <n v="167.62"/>
    <n v="4.3099999999999996"/>
    <n v="542.53"/>
    <n v="546.84"/>
    <m/>
  </r>
  <r>
    <d v="2024-12-01T00:00:00"/>
    <s v="2024-25"/>
    <n v="2024"/>
    <n v="12"/>
    <s v="Dec"/>
    <x v="14"/>
    <n v="20"/>
    <s v="State"/>
    <n v="548.53"/>
    <n v="704.9"/>
    <n v="1074.6300000000001"/>
    <n v="653.36"/>
    <n v="2328.06"/>
    <n v="2981.42"/>
    <m/>
  </r>
  <r>
    <d v="2024-12-01T00:00:00"/>
    <s v="2024-25"/>
    <n v="2024"/>
    <n v="12"/>
    <s v="Dec"/>
    <x v="15"/>
    <n v="29"/>
    <s v="State"/>
    <n v="2947.4"/>
    <n v="3651.44"/>
    <n v="4551.2299999999996"/>
    <n v="1376.17"/>
    <n v="11150.07"/>
    <n v="12526.24"/>
    <m/>
  </r>
  <r>
    <d v="2024-12-01T00:00:00"/>
    <s v="2024-25"/>
    <n v="2024"/>
    <n v="12"/>
    <s v="Dec"/>
    <x v="16"/>
    <n v="32"/>
    <s v="State"/>
    <n v="928.58"/>
    <n v="1183.93"/>
    <n v="455.94"/>
    <n v="6.6"/>
    <n v="2568.4499999999998"/>
    <n v="2575.0500000000002"/>
    <m/>
  </r>
  <r>
    <d v="2024-12-01T00:00:00"/>
    <s v="2024-25"/>
    <n v="2024"/>
    <n v="12"/>
    <s v="Dec"/>
    <x v="35"/>
    <n v="37"/>
    <s v="Union Territory"/>
    <n v="25.66"/>
    <n v="32.85"/>
    <n v="6.16"/>
    <n v="0.21"/>
    <n v="64.67"/>
    <n v="64.88"/>
    <m/>
  </r>
  <r>
    <d v="2024-12-01T00:00:00"/>
    <s v="2024-25"/>
    <n v="2024"/>
    <n v="12"/>
    <s v="Dec"/>
    <x v="17"/>
    <n v="31"/>
    <s v="Union Territory"/>
    <n v="0.3"/>
    <n v="0.35"/>
    <n v="1.0900000000000001"/>
    <n v="0"/>
    <n v="1.74"/>
    <n v="1.74"/>
    <m/>
  </r>
  <r>
    <d v="2024-12-01T00:00:00"/>
    <s v="2024-25"/>
    <n v="2024"/>
    <n v="12"/>
    <s v="Dec"/>
    <x v="18"/>
    <n v="23"/>
    <s v="State"/>
    <n v="858.78"/>
    <n v="1064.53"/>
    <n v="843.67"/>
    <n v="693.2"/>
    <n v="2766.98"/>
    <n v="3460.18"/>
    <m/>
  </r>
  <r>
    <d v="2024-12-01T00:00:00"/>
    <s v="2024-25"/>
    <n v="2024"/>
    <n v="12"/>
    <s v="Dec"/>
    <x v="19"/>
    <n v="27"/>
    <s v="State"/>
    <n v="8342.31"/>
    <n v="9465.08"/>
    <n v="9386.69"/>
    <n v="2066.34"/>
    <n v="27194.080000000002"/>
    <n v="29260.42"/>
    <m/>
  </r>
  <r>
    <d v="2024-12-01T00:00:00"/>
    <s v="2024-25"/>
    <n v="2024"/>
    <n v="12"/>
    <s v="Dec"/>
    <x v="20"/>
    <n v="14"/>
    <s v="State"/>
    <n v="14.9"/>
    <n v="21.28"/>
    <n v="9.5500000000000007"/>
    <n v="0.12"/>
    <n v="45.73"/>
    <n v="45.85"/>
    <m/>
  </r>
  <r>
    <d v="2024-12-01T00:00:00"/>
    <s v="2024-25"/>
    <n v="2024"/>
    <n v="12"/>
    <s v="Dec"/>
    <x v="21"/>
    <n v="17"/>
    <s v="State"/>
    <n v="30.47"/>
    <n v="36.630000000000003"/>
    <n v="79.14"/>
    <n v="3.98"/>
    <n v="146.24"/>
    <n v="150.22"/>
    <m/>
  </r>
  <r>
    <d v="2024-12-01T00:00:00"/>
    <s v="2024-25"/>
    <n v="2024"/>
    <n v="12"/>
    <s v="Dec"/>
    <x v="22"/>
    <n v="15"/>
    <s v="State"/>
    <n v="10.95"/>
    <n v="13.55"/>
    <n v="3.74"/>
    <n v="0.03"/>
    <n v="28.24"/>
    <n v="28.27"/>
    <m/>
  </r>
  <r>
    <d v="2024-12-01T00:00:00"/>
    <s v="2024-25"/>
    <n v="2024"/>
    <n v="12"/>
    <s v="Dec"/>
    <x v="23"/>
    <n v="13"/>
    <s v="State"/>
    <n v="17.36"/>
    <n v="21.51"/>
    <n v="9.5500000000000007"/>
    <n v="2.42"/>
    <n v="48.42"/>
    <n v="50.84"/>
    <m/>
  </r>
  <r>
    <d v="2024-12-01T00:00:00"/>
    <s v="2024-25"/>
    <n v="2024"/>
    <n v="12"/>
    <s v="Dec"/>
    <x v="24"/>
    <n v="21"/>
    <s v="State"/>
    <n v="1136.3800000000001"/>
    <n v="1354.02"/>
    <n v="1488.43"/>
    <n v="862.44"/>
    <n v="3978.83"/>
    <n v="4841.2700000000004"/>
    <m/>
  </r>
  <r>
    <d v="2024-12-01T00:00:00"/>
    <s v="2024-25"/>
    <n v="2024"/>
    <n v="12"/>
    <s v="Dec"/>
    <x v="25"/>
    <n v="34"/>
    <s v="Union Territory"/>
    <n v="29.54"/>
    <n v="44.22"/>
    <n v="151.72"/>
    <n v="2.4900000000000002"/>
    <n v="225.48"/>
    <n v="227.97"/>
    <m/>
  </r>
  <r>
    <d v="2024-12-01T00:00:00"/>
    <s v="2024-25"/>
    <n v="2024"/>
    <n v="12"/>
    <s v="Dec"/>
    <x v="26"/>
    <n v="3"/>
    <s v="State"/>
    <n v="537.38"/>
    <n v="728.01"/>
    <n v="1001.9"/>
    <n v="26.32"/>
    <n v="2267.29"/>
    <n v="2293.61"/>
    <m/>
  </r>
  <r>
    <d v="2024-12-01T00:00:00"/>
    <s v="2024-25"/>
    <n v="2024"/>
    <n v="12"/>
    <s v="Dec"/>
    <x v="27"/>
    <n v="8"/>
    <s v="State"/>
    <n v="1134.0999999999999"/>
    <n v="1419.19"/>
    <n v="1418.32"/>
    <n v="174.87"/>
    <n v="3971.61"/>
    <n v="4146.4799999999996"/>
    <m/>
  </r>
  <r>
    <d v="2024-12-01T00:00:00"/>
    <s v="2024-25"/>
    <n v="2024"/>
    <n v="12"/>
    <s v="Dec"/>
    <x v="28"/>
    <n v="11"/>
    <s v="State"/>
    <n v="29.21"/>
    <n v="37.79"/>
    <n v="262.37"/>
    <n v="0.12"/>
    <n v="329.37"/>
    <n v="329.49"/>
    <m/>
  </r>
  <r>
    <d v="2024-12-01T00:00:00"/>
    <s v="2024-25"/>
    <n v="2024"/>
    <n v="12"/>
    <s v="Dec"/>
    <x v="29"/>
    <n v="33"/>
    <s v="State"/>
    <n v="2797.99"/>
    <n v="3707.16"/>
    <n v="3653.33"/>
    <n v="797.52"/>
    <n v="10158.48"/>
    <n v="10956"/>
    <m/>
  </r>
  <r>
    <d v="2024-12-01T00:00:00"/>
    <s v="2024-25"/>
    <n v="2024"/>
    <n v="12"/>
    <s v="Dec"/>
    <x v="30"/>
    <n v="36"/>
    <s v="State"/>
    <n v="1442.23"/>
    <n v="1816.51"/>
    <n v="1422.47"/>
    <n v="542.41999999999996"/>
    <n v="4681.21"/>
    <n v="5223.63"/>
    <m/>
  </r>
  <r>
    <d v="2024-12-01T00:00:00"/>
    <s v="2024-25"/>
    <n v="2024"/>
    <n v="12"/>
    <s v="Dec"/>
    <x v="31"/>
    <n v="16"/>
    <s v="State"/>
    <n v="32.479999999999997"/>
    <n v="39.840000000000003"/>
    <n v="10.63"/>
    <n v="0.11"/>
    <n v="82.95"/>
    <n v="83.06"/>
    <m/>
  </r>
  <r>
    <d v="2024-12-01T00:00:00"/>
    <s v="2024-25"/>
    <n v="2024"/>
    <n v="12"/>
    <s v="Dec"/>
    <x v="32"/>
    <n v="9"/>
    <s v="State"/>
    <n v="1881.8"/>
    <n v="2535.19"/>
    <n v="2340.5"/>
    <n v="1359.5"/>
    <n v="6757.49"/>
    <n v="8116.99"/>
    <m/>
  </r>
  <r>
    <d v="2024-12-01T00:00:00"/>
    <s v="2024-25"/>
    <n v="2024"/>
    <n v="12"/>
    <s v="Dec"/>
    <x v="33"/>
    <n v="5"/>
    <s v="State"/>
    <n v="295.68"/>
    <n v="439.24"/>
    <n v="803.69"/>
    <n v="8.7799999999999994"/>
    <n v="1538.61"/>
    <n v="1547.39"/>
    <m/>
  </r>
  <r>
    <d v="2024-12-01T00:00:00"/>
    <s v="2024-25"/>
    <n v="2024"/>
    <n v="12"/>
    <s v="Dec"/>
    <x v="34"/>
    <n v="19"/>
    <s v="State"/>
    <n v="1518.15"/>
    <n v="1809.4"/>
    <n v="1399.52"/>
    <n v="462.46"/>
    <n v="4727.07"/>
    <n v="5189.53"/>
    <m/>
  </r>
  <r>
    <d v="2025-01-01T00:00:00"/>
    <s v="2024-25"/>
    <n v="2025"/>
    <n v="1"/>
    <s v="Jan"/>
    <x v="0"/>
    <n v="35"/>
    <s v="Union Territory"/>
    <n v="17.72"/>
    <n v="21.57"/>
    <n v="4.13"/>
    <n v="0.06"/>
    <n v="43.42"/>
    <n v="43.48"/>
    <m/>
  </r>
  <r>
    <d v="2025-01-01T00:00:00"/>
    <s v="2024-25"/>
    <n v="2025"/>
    <n v="1"/>
    <s v="Jan"/>
    <x v="1"/>
    <n v="28"/>
    <s v="State"/>
    <n v="919.18"/>
    <n v="1184.57"/>
    <n v="1378.31"/>
    <n v="121.45"/>
    <n v="3482.06"/>
    <n v="3603.51"/>
    <m/>
  </r>
  <r>
    <d v="2025-01-01T00:00:00"/>
    <s v="2024-25"/>
    <n v="2025"/>
    <n v="1"/>
    <s v="Jan"/>
    <x v="2"/>
    <n v="12"/>
    <s v="State"/>
    <n v="34.53"/>
    <n v="41.2"/>
    <n v="12.84"/>
    <n v="0.17"/>
    <n v="88.57"/>
    <n v="88.74"/>
    <m/>
  </r>
  <r>
    <d v="2025-01-01T00:00:00"/>
    <s v="2024-25"/>
    <n v="2025"/>
    <n v="1"/>
    <s v="Jan"/>
    <x v="3"/>
    <n v="18"/>
    <s v="State"/>
    <n v="424.57"/>
    <n v="562.75"/>
    <n v="372.59"/>
    <n v="106.11"/>
    <n v="1359.91"/>
    <n v="1466.02"/>
    <m/>
  </r>
  <r>
    <d v="2025-01-01T00:00:00"/>
    <s v="2024-25"/>
    <n v="2025"/>
    <n v="1"/>
    <s v="Jan"/>
    <x v="4"/>
    <n v="10"/>
    <s v="State"/>
    <n v="422.33"/>
    <n v="866.25"/>
    <n v="229.57"/>
    <n v="166.21"/>
    <n v="1518.15"/>
    <n v="1684.36"/>
    <m/>
  </r>
  <r>
    <d v="2025-01-01T00:00:00"/>
    <s v="2024-25"/>
    <n v="2025"/>
    <n v="1"/>
    <s v="Jan"/>
    <x v="5"/>
    <n v="4"/>
    <s v="Union Territory"/>
    <n v="58"/>
    <n v="81.86"/>
    <n v="122.62"/>
    <n v="8.56"/>
    <n v="262.48"/>
    <n v="271.04000000000002"/>
    <m/>
  </r>
  <r>
    <d v="2025-01-01T00:00:00"/>
    <s v="2024-25"/>
    <n v="2025"/>
    <n v="1"/>
    <s v="Jan"/>
    <x v="6"/>
    <n v="22"/>
    <s v="State"/>
    <n v="638.09"/>
    <n v="767.2"/>
    <n v="1022.82"/>
    <n v="681.2"/>
    <n v="2428.11"/>
    <n v="3109.31"/>
    <m/>
  </r>
  <r>
    <d v="2025-01-01T00:00:00"/>
    <s v="2024-25"/>
    <n v="2025"/>
    <n v="1"/>
    <s v="Jan"/>
    <x v="7"/>
    <n v="38"/>
    <s v="Union Territory"/>
    <n v="50.57"/>
    <n v="61.13"/>
    <n v="296.56"/>
    <n v="0.25"/>
    <n v="408.26"/>
    <n v="408.51"/>
    <m/>
  </r>
  <r>
    <d v="2025-01-01T00:00:00"/>
    <s v="2024-25"/>
    <n v="2025"/>
    <n v="1"/>
    <s v="Jan"/>
    <x v="8"/>
    <n v="7"/>
    <s v="Union Territory"/>
    <n v="1299.71"/>
    <n v="1592.39"/>
    <n v="3204.09"/>
    <n v="119.59"/>
    <n v="6096.19"/>
    <n v="6215.78"/>
    <m/>
  </r>
  <r>
    <d v="2025-01-01T00:00:00"/>
    <s v="2024-25"/>
    <n v="2025"/>
    <n v="1"/>
    <s v="Jan"/>
    <x v="9"/>
    <n v="30"/>
    <s v="State"/>
    <n v="214.98"/>
    <n v="275.19"/>
    <n v="199.54"/>
    <n v="5.1100000000000003"/>
    <n v="689.71"/>
    <n v="694.82"/>
    <m/>
  </r>
  <r>
    <d v="2025-01-01T00:00:00"/>
    <s v="2024-25"/>
    <n v="2025"/>
    <n v="1"/>
    <s v="Jan"/>
    <x v="10"/>
    <n v="24"/>
    <s v="State"/>
    <n v="3369.03"/>
    <n v="4025.16"/>
    <n v="3918.66"/>
    <n v="822.25"/>
    <n v="11312.85"/>
    <n v="12135.1"/>
    <m/>
  </r>
  <r>
    <d v="2025-01-01T00:00:00"/>
    <s v="2024-25"/>
    <n v="2025"/>
    <n v="1"/>
    <s v="Jan"/>
    <x v="11"/>
    <n v="6"/>
    <s v="State"/>
    <n v="1596.53"/>
    <n v="2074.4699999999998"/>
    <n v="5899.77"/>
    <n v="713.05"/>
    <n v="9570.77"/>
    <n v="10283.82"/>
    <m/>
  </r>
  <r>
    <d v="2025-01-01T00:00:00"/>
    <s v="2024-25"/>
    <n v="2025"/>
    <n v="1"/>
    <s v="Jan"/>
    <x v="12"/>
    <n v="2"/>
    <s v="State"/>
    <n v="162.25"/>
    <n v="225.02"/>
    <n v="426.92"/>
    <n v="2.4700000000000002"/>
    <n v="814.19"/>
    <n v="816.66"/>
    <m/>
  </r>
  <r>
    <d v="2025-01-01T00:00:00"/>
    <s v="2024-25"/>
    <n v="2025"/>
    <n v="1"/>
    <s v="Jan"/>
    <x v="13"/>
    <n v="1"/>
    <s v="Union Territory"/>
    <n v="199.36"/>
    <n v="290.75"/>
    <n v="153.1"/>
    <n v="6.63"/>
    <n v="643.21"/>
    <n v="649.84"/>
    <m/>
  </r>
  <r>
    <d v="2025-01-01T00:00:00"/>
    <s v="2024-25"/>
    <n v="2025"/>
    <n v="1"/>
    <s v="Jan"/>
    <x v="14"/>
    <n v="20"/>
    <s v="State"/>
    <n v="590.87"/>
    <n v="752.58"/>
    <n v="1287.3499999999999"/>
    <n v="696.43"/>
    <n v="2630.8"/>
    <n v="3327.23"/>
    <m/>
  </r>
  <r>
    <d v="2025-01-01T00:00:00"/>
    <s v="2024-25"/>
    <n v="2025"/>
    <n v="1"/>
    <s v="Jan"/>
    <x v="15"/>
    <n v="29"/>
    <s v="State"/>
    <n v="3328.73"/>
    <n v="4063.13"/>
    <n v="5521.01"/>
    <n v="1439.7"/>
    <n v="12912.87"/>
    <n v="14352.57"/>
    <m/>
  </r>
  <r>
    <d v="2025-01-01T00:00:00"/>
    <s v="2024-25"/>
    <n v="2025"/>
    <n v="1"/>
    <s v="Jan"/>
    <x v="16"/>
    <n v="32"/>
    <s v="State"/>
    <n v="1066.8499999999999"/>
    <n v="1380.49"/>
    <n v="522.98"/>
    <n v="18.420000000000002"/>
    <n v="2970.32"/>
    <n v="2988.74"/>
    <m/>
  </r>
  <r>
    <d v="2025-01-01T00:00:00"/>
    <s v="2024-25"/>
    <n v="2025"/>
    <n v="1"/>
    <s v="Jan"/>
    <x v="35"/>
    <n v="37"/>
    <s v="Union Territory"/>
    <n v="25.3"/>
    <n v="35.15"/>
    <n v="7.63"/>
    <n v="0.18"/>
    <n v="68.08"/>
    <n v="68.260000000000005"/>
    <m/>
  </r>
  <r>
    <d v="2025-01-01T00:00:00"/>
    <s v="2024-25"/>
    <n v="2025"/>
    <n v="1"/>
    <s v="Jan"/>
    <x v="17"/>
    <n v="31"/>
    <s v="Union Territory"/>
    <n v="0.47"/>
    <n v="0.62"/>
    <n v="0.26"/>
    <n v="0"/>
    <n v="1.35"/>
    <n v="1.35"/>
    <m/>
  </r>
  <r>
    <d v="2025-01-01T00:00:00"/>
    <s v="2024-25"/>
    <n v="2025"/>
    <n v="1"/>
    <s v="Jan"/>
    <x v="18"/>
    <n v="23"/>
    <s v="State"/>
    <n v="982.19"/>
    <n v="1220.06"/>
    <n v="1020.6"/>
    <n v="687.83"/>
    <n v="3222.85"/>
    <n v="3910.68"/>
    <m/>
  </r>
  <r>
    <d v="2025-01-01T00:00:00"/>
    <s v="2024-25"/>
    <n v="2025"/>
    <n v="1"/>
    <s v="Jan"/>
    <x v="19"/>
    <n v="27"/>
    <s v="State"/>
    <n v="8584.7800000000007"/>
    <n v="9755.4699999999993"/>
    <n v="11639.01"/>
    <n v="2356.1"/>
    <n v="29979.26"/>
    <n v="32335.360000000001"/>
    <m/>
  </r>
  <r>
    <d v="2025-01-01T00:00:00"/>
    <s v="2024-25"/>
    <n v="2025"/>
    <n v="1"/>
    <s v="Jan"/>
    <x v="20"/>
    <n v="14"/>
    <s v="State"/>
    <n v="18.54"/>
    <n v="25.46"/>
    <n v="11.44"/>
    <n v="0.14000000000000001"/>
    <n v="55.44"/>
    <n v="55.58"/>
    <m/>
  </r>
  <r>
    <d v="2025-01-01T00:00:00"/>
    <s v="2024-25"/>
    <n v="2025"/>
    <n v="1"/>
    <s v="Jan"/>
    <x v="21"/>
    <n v="17"/>
    <s v="State"/>
    <n v="48.59"/>
    <n v="62.87"/>
    <n v="103.09"/>
    <n v="1.56"/>
    <n v="214.55"/>
    <n v="216.11"/>
    <m/>
  </r>
  <r>
    <d v="2025-01-01T00:00:00"/>
    <s v="2024-25"/>
    <n v="2025"/>
    <n v="1"/>
    <s v="Jan"/>
    <x v="22"/>
    <n v="15"/>
    <s v="State"/>
    <n v="12.22"/>
    <n v="16.54"/>
    <n v="5.86"/>
    <n v="0.03"/>
    <n v="34.619999999999997"/>
    <n v="34.65"/>
    <m/>
  </r>
  <r>
    <d v="2025-01-01T00:00:00"/>
    <s v="2024-25"/>
    <n v="2025"/>
    <n v="1"/>
    <s v="Jan"/>
    <x v="23"/>
    <n v="13"/>
    <s v="State"/>
    <n v="22.52"/>
    <n v="27.58"/>
    <n v="12.37"/>
    <n v="2.15"/>
    <n v="62.47"/>
    <n v="64.62"/>
    <m/>
  </r>
  <r>
    <d v="2025-01-01T00:00:00"/>
    <s v="2024-25"/>
    <n v="2025"/>
    <n v="1"/>
    <s v="Jan"/>
    <x v="24"/>
    <n v="21"/>
    <s v="State"/>
    <n v="1206.24"/>
    <n v="1478.56"/>
    <n v="1687.73"/>
    <n v="948.66"/>
    <n v="4372.53"/>
    <n v="5321.19"/>
    <m/>
  </r>
  <r>
    <d v="2025-01-01T00:00:00"/>
    <s v="2024-25"/>
    <n v="2025"/>
    <n v="1"/>
    <s v="Jan"/>
    <x v="25"/>
    <n v="34"/>
    <s v="Union Territory"/>
    <n v="31.02"/>
    <n v="51.8"/>
    <n v="156.56"/>
    <n v="2.4700000000000002"/>
    <n v="239.38"/>
    <n v="241.85"/>
    <m/>
  </r>
  <r>
    <d v="2025-01-01T00:00:00"/>
    <s v="2024-25"/>
    <n v="2025"/>
    <n v="1"/>
    <s v="Jan"/>
    <x v="26"/>
    <n v="3"/>
    <s v="State"/>
    <n v="592.86"/>
    <n v="820.49"/>
    <n v="914.75"/>
    <n v="34.549999999999997"/>
    <n v="2328.1"/>
    <n v="2362.65"/>
    <m/>
  </r>
  <r>
    <d v="2025-01-01T00:00:00"/>
    <s v="2024-25"/>
    <n v="2025"/>
    <n v="1"/>
    <s v="Jan"/>
    <x v="27"/>
    <n v="8"/>
    <s v="State"/>
    <n v="1313.28"/>
    <n v="1631.59"/>
    <n v="1777.7"/>
    <n v="195.02"/>
    <n v="4722.57"/>
    <n v="4917.59"/>
    <m/>
  </r>
  <r>
    <d v="2025-01-01T00:00:00"/>
    <s v="2024-25"/>
    <n v="2025"/>
    <n v="1"/>
    <s v="Jan"/>
    <x v="28"/>
    <n v="11"/>
    <s v="State"/>
    <n v="27.16"/>
    <n v="36.58"/>
    <n v="292.89"/>
    <n v="0.13"/>
    <n v="356.63"/>
    <n v="356.76"/>
    <m/>
  </r>
  <r>
    <d v="2025-01-01T00:00:00"/>
    <s v="2024-25"/>
    <n v="2025"/>
    <n v="1"/>
    <s v="Jan"/>
    <x v="29"/>
    <n v="33"/>
    <s v="State"/>
    <n v="2873.93"/>
    <n v="3832.43"/>
    <n v="4018.62"/>
    <n v="771.31"/>
    <n v="10724.98"/>
    <n v="11496.29"/>
    <m/>
  </r>
  <r>
    <d v="2025-01-01T00:00:00"/>
    <s v="2024-25"/>
    <n v="2025"/>
    <n v="1"/>
    <s v="Jan"/>
    <x v="30"/>
    <n v="36"/>
    <s v="State"/>
    <n v="1613.75"/>
    <n v="2047.4"/>
    <n v="1754.28"/>
    <n v="601.35"/>
    <n v="5415.43"/>
    <n v="6016.78"/>
    <m/>
  </r>
  <r>
    <d v="2025-01-01T00:00:00"/>
    <s v="2024-25"/>
    <n v="2025"/>
    <n v="1"/>
    <s v="Jan"/>
    <x v="31"/>
    <n v="16"/>
    <s v="State"/>
    <n v="38.090000000000003"/>
    <n v="50.51"/>
    <n v="11.8"/>
    <n v="0.48"/>
    <n v="100.4"/>
    <n v="100.88"/>
    <m/>
  </r>
  <r>
    <d v="2025-01-01T00:00:00"/>
    <s v="2024-25"/>
    <n v="2025"/>
    <n v="1"/>
    <s v="Jan"/>
    <x v="32"/>
    <n v="9"/>
    <s v="State"/>
    <n v="2221.64"/>
    <n v="2995.11"/>
    <n v="2792.88"/>
    <n v="1505.94"/>
    <n v="8009.63"/>
    <n v="9515.57"/>
    <m/>
  </r>
  <r>
    <d v="2025-01-01T00:00:00"/>
    <s v="2024-25"/>
    <n v="2025"/>
    <n v="1"/>
    <s v="Jan"/>
    <x v="33"/>
    <n v="5"/>
    <s v="State"/>
    <n v="343.2"/>
    <n v="493.63"/>
    <n v="807.55"/>
    <n v="10.210000000000001"/>
    <n v="1644.38"/>
    <n v="1654.59"/>
    <m/>
  </r>
  <r>
    <d v="2025-01-01T00:00:00"/>
    <s v="2024-25"/>
    <n v="2025"/>
    <n v="1"/>
    <s v="Jan"/>
    <x v="34"/>
    <n v="19"/>
    <s v="State"/>
    <n v="1709.45"/>
    <n v="2074.13"/>
    <n v="1591.92"/>
    <n v="457.15"/>
    <n v="5375.5"/>
    <n v="5832.65"/>
    <m/>
  </r>
  <r>
    <d v="2025-02-01T00:00:00"/>
    <s v="2024-25"/>
    <n v="2025"/>
    <n v="2"/>
    <s v="Feb"/>
    <x v="0"/>
    <n v="35"/>
    <s v="Union Territory"/>
    <n v="18.420000000000002"/>
    <n v="22.74"/>
    <n v="10.3"/>
    <n v="0.23"/>
    <n v="51.46"/>
    <n v="51.69"/>
    <m/>
  </r>
  <r>
    <d v="2025-02-01T00:00:00"/>
    <s v="2024-25"/>
    <n v="2025"/>
    <n v="2"/>
    <s v="Feb"/>
    <x v="1"/>
    <n v="28"/>
    <s v="State"/>
    <n v="967.45"/>
    <n v="1214.8599999999999"/>
    <n v="1387.05"/>
    <n v="247.39"/>
    <n v="3569.36"/>
    <n v="3816.75"/>
    <m/>
  </r>
  <r>
    <d v="2025-02-01T00:00:00"/>
    <s v="2024-25"/>
    <n v="2025"/>
    <n v="2"/>
    <s v="Feb"/>
    <x v="2"/>
    <n v="12"/>
    <s v="State"/>
    <n v="39.28"/>
    <n v="49.39"/>
    <n v="12.78"/>
    <n v="0.67"/>
    <n v="101.45"/>
    <n v="102.12"/>
    <m/>
  </r>
  <r>
    <d v="2025-02-01T00:00:00"/>
    <s v="2024-25"/>
    <n v="2025"/>
    <n v="2"/>
    <s v="Feb"/>
    <x v="3"/>
    <n v="18"/>
    <s v="State"/>
    <n v="432.61"/>
    <n v="564.63"/>
    <n v="334.02"/>
    <n v="119.68"/>
    <n v="1331.26"/>
    <n v="1450.94"/>
    <m/>
  </r>
  <r>
    <d v="2025-02-01T00:00:00"/>
    <s v="2024-25"/>
    <n v="2025"/>
    <n v="2"/>
    <s v="Feb"/>
    <x v="4"/>
    <n v="10"/>
    <s v="State"/>
    <n v="398.73"/>
    <n v="802.67"/>
    <n v="256.37"/>
    <n v="186.55"/>
    <n v="1457.77"/>
    <n v="1644.32"/>
    <m/>
  </r>
  <r>
    <d v="2025-02-01T00:00:00"/>
    <s v="2024-25"/>
    <n v="2025"/>
    <n v="2"/>
    <s v="Feb"/>
    <x v="5"/>
    <n v="4"/>
    <s v="Union Territory"/>
    <n v="47.59"/>
    <n v="60.66"/>
    <n v="122.2"/>
    <n v="5.25"/>
    <n v="230.45"/>
    <n v="235.7"/>
    <m/>
  </r>
  <r>
    <d v="2025-02-01T00:00:00"/>
    <s v="2024-25"/>
    <n v="2025"/>
    <n v="2"/>
    <s v="Feb"/>
    <x v="6"/>
    <n v="22"/>
    <s v="State"/>
    <n v="715.94"/>
    <n v="884.35"/>
    <n v="1054.26"/>
    <n v="696.81"/>
    <n v="2654.55"/>
    <n v="3351.36"/>
    <m/>
  </r>
  <r>
    <d v="2025-02-01T00:00:00"/>
    <s v="2024-25"/>
    <n v="2025"/>
    <n v="2"/>
    <s v="Feb"/>
    <x v="7"/>
    <n v="38"/>
    <s v="Union Territory"/>
    <n v="47.5"/>
    <n v="63.48"/>
    <n v="274.56"/>
    <n v="0.08"/>
    <n v="385.54"/>
    <n v="385.62"/>
    <m/>
  </r>
  <r>
    <d v="2025-02-01T00:00:00"/>
    <s v="2024-25"/>
    <n v="2025"/>
    <n v="2"/>
    <s v="Feb"/>
    <x v="8"/>
    <n v="7"/>
    <s v="Union Territory"/>
    <n v="1233.81"/>
    <n v="1454.51"/>
    <n v="3285.79"/>
    <n v="100.19"/>
    <n v="5974.11"/>
    <n v="6074.3"/>
    <m/>
  </r>
  <r>
    <d v="2025-02-01T00:00:00"/>
    <s v="2024-25"/>
    <n v="2025"/>
    <n v="2"/>
    <s v="Feb"/>
    <x v="9"/>
    <n v="30"/>
    <s v="State"/>
    <n v="184.79"/>
    <n v="227.54"/>
    <n v="183.9"/>
    <n v="4.3099999999999996"/>
    <n v="596.23"/>
    <n v="600.54"/>
    <m/>
  </r>
  <r>
    <d v="2025-02-01T00:00:00"/>
    <s v="2024-25"/>
    <n v="2025"/>
    <n v="2"/>
    <s v="Feb"/>
    <x v="10"/>
    <n v="24"/>
    <s v="State"/>
    <n v="3334.34"/>
    <n v="3941"/>
    <n v="3400.91"/>
    <n v="725.37"/>
    <n v="10676.25"/>
    <n v="11401.62"/>
    <m/>
  </r>
  <r>
    <d v="2025-02-01T00:00:00"/>
    <s v="2024-25"/>
    <n v="2025"/>
    <n v="2"/>
    <s v="Feb"/>
    <x v="11"/>
    <n v="6"/>
    <s v="State"/>
    <n v="1508.54"/>
    <n v="1921.14"/>
    <n v="5833.46"/>
    <n v="662.1"/>
    <n v="9263.14"/>
    <n v="9925.24"/>
    <m/>
  </r>
  <r>
    <d v="2025-02-01T00:00:00"/>
    <s v="2024-25"/>
    <n v="2025"/>
    <n v="2"/>
    <s v="Feb"/>
    <x v="12"/>
    <n v="2"/>
    <s v="State"/>
    <n v="156.69999999999999"/>
    <n v="217.23"/>
    <n v="490.77"/>
    <n v="4.1100000000000003"/>
    <n v="864.7"/>
    <n v="868.81"/>
    <m/>
  </r>
  <r>
    <d v="2025-02-01T00:00:00"/>
    <s v="2024-25"/>
    <n v="2025"/>
    <n v="2"/>
    <s v="Feb"/>
    <x v="13"/>
    <n v="1"/>
    <s v="Union Territory"/>
    <n v="143.47999999999999"/>
    <n v="209.81"/>
    <n v="161.94999999999999"/>
    <n v="7.29"/>
    <n v="515.24"/>
    <n v="522.53"/>
    <m/>
  </r>
  <r>
    <d v="2025-02-01T00:00:00"/>
    <s v="2024-25"/>
    <n v="2025"/>
    <n v="2"/>
    <s v="Feb"/>
    <x v="14"/>
    <n v="20"/>
    <s v="State"/>
    <n v="598.20000000000005"/>
    <n v="787.04"/>
    <n v="1237.96"/>
    <n v="695.72"/>
    <n v="2623.2"/>
    <n v="3318.92"/>
    <m/>
  </r>
  <r>
    <d v="2025-02-01T00:00:00"/>
    <s v="2024-25"/>
    <n v="2025"/>
    <n v="2"/>
    <s v="Feb"/>
    <x v="15"/>
    <n v="29"/>
    <s v="State"/>
    <n v="3259.05"/>
    <n v="3907.15"/>
    <n v="5236.5600000000004"/>
    <n v="1714.31"/>
    <n v="12402.76"/>
    <n v="14117.07"/>
    <m/>
  </r>
  <r>
    <d v="2025-02-01T00:00:00"/>
    <s v="2024-25"/>
    <n v="2025"/>
    <n v="2"/>
    <s v="Feb"/>
    <x v="16"/>
    <n v="32"/>
    <s v="State"/>
    <n v="1023.01"/>
    <n v="1312.42"/>
    <n v="545.98"/>
    <n v="12.43"/>
    <n v="2881.41"/>
    <n v="2893.84"/>
    <m/>
  </r>
  <r>
    <d v="2025-02-01T00:00:00"/>
    <s v="2024-25"/>
    <n v="2025"/>
    <n v="2"/>
    <s v="Feb"/>
    <x v="35"/>
    <n v="37"/>
    <s v="Union Territory"/>
    <n v="6.96"/>
    <n v="9.69"/>
    <n v="2.11"/>
    <n v="0.05"/>
    <n v="18.760000000000002"/>
    <n v="18.809999999999999"/>
    <m/>
  </r>
  <r>
    <d v="2025-02-01T00:00:00"/>
    <s v="2024-25"/>
    <n v="2025"/>
    <n v="2"/>
    <s v="Feb"/>
    <x v="17"/>
    <n v="31"/>
    <s v="Union Territory"/>
    <n v="0.36"/>
    <n v="0.39"/>
    <n v="0.11"/>
    <n v="0"/>
    <n v="0.86"/>
    <n v="0.86"/>
    <m/>
  </r>
  <r>
    <d v="2025-02-01T00:00:00"/>
    <s v="2024-25"/>
    <n v="2025"/>
    <n v="2"/>
    <s v="Feb"/>
    <x v="18"/>
    <n v="23"/>
    <s v="State"/>
    <n v="1088.53"/>
    <n v="1286.6199999999999"/>
    <n v="999.42"/>
    <n v="715.24"/>
    <n v="3374.57"/>
    <n v="4089.81"/>
    <m/>
  </r>
  <r>
    <d v="2025-02-01T00:00:00"/>
    <s v="2024-25"/>
    <n v="2025"/>
    <n v="2"/>
    <s v="Feb"/>
    <x v="19"/>
    <n v="27"/>
    <s v="State"/>
    <n v="8396.01"/>
    <n v="9682.19"/>
    <n v="10195.24"/>
    <n v="2363.13"/>
    <n v="28273.439999999999"/>
    <n v="30636.57"/>
    <m/>
  </r>
  <r>
    <d v="2025-02-01T00:00:00"/>
    <s v="2024-25"/>
    <n v="2025"/>
    <n v="2"/>
    <s v="Feb"/>
    <x v="20"/>
    <n v="14"/>
    <s v="State"/>
    <n v="17.37"/>
    <n v="24"/>
    <n v="8.9600000000000009"/>
    <n v="0.06"/>
    <n v="50.33"/>
    <n v="50.39"/>
    <m/>
  </r>
  <r>
    <d v="2025-02-01T00:00:00"/>
    <s v="2024-25"/>
    <n v="2025"/>
    <n v="2"/>
    <s v="Feb"/>
    <x v="21"/>
    <n v="17"/>
    <s v="State"/>
    <n v="42.48"/>
    <n v="53.89"/>
    <n v="117.54"/>
    <n v="0.4"/>
    <n v="213.91"/>
    <n v="214.31"/>
    <m/>
  </r>
  <r>
    <d v="2025-02-01T00:00:00"/>
    <s v="2024-25"/>
    <n v="2025"/>
    <n v="2"/>
    <s v="Feb"/>
    <x v="22"/>
    <n v="15"/>
    <s v="State"/>
    <n v="15.22"/>
    <n v="22"/>
    <n v="4.4000000000000004"/>
    <n v="0.02"/>
    <n v="41.62"/>
    <n v="41.64"/>
    <m/>
  </r>
  <r>
    <d v="2025-02-01T00:00:00"/>
    <s v="2024-25"/>
    <n v="2025"/>
    <n v="2"/>
    <s v="Feb"/>
    <x v="23"/>
    <n v="13"/>
    <s v="State"/>
    <n v="19.440000000000001"/>
    <n v="24.85"/>
    <n v="10.25"/>
    <n v="1.38"/>
    <n v="54.54"/>
    <n v="55.92"/>
    <m/>
  </r>
  <r>
    <d v="2025-02-01T00:00:00"/>
    <s v="2024-25"/>
    <n v="2025"/>
    <n v="2"/>
    <s v="Feb"/>
    <x v="24"/>
    <n v="21"/>
    <s v="State"/>
    <n v="1221.6600000000001"/>
    <n v="1513.44"/>
    <n v="1688.63"/>
    <n v="920.75"/>
    <n v="4423.7299999999996"/>
    <n v="5344.48"/>
    <m/>
  </r>
  <r>
    <d v="2025-02-01T00:00:00"/>
    <s v="2024-25"/>
    <n v="2025"/>
    <n v="2"/>
    <s v="Feb"/>
    <x v="25"/>
    <n v="34"/>
    <s v="Union Territory"/>
    <n v="31.84"/>
    <n v="45.83"/>
    <n v="172.38"/>
    <n v="0.57999999999999996"/>
    <n v="250.05"/>
    <n v="250.63"/>
    <m/>
  </r>
  <r>
    <d v="2025-02-01T00:00:00"/>
    <s v="2024-25"/>
    <n v="2025"/>
    <n v="2"/>
    <s v="Feb"/>
    <x v="26"/>
    <n v="3"/>
    <s v="State"/>
    <n v="534.53"/>
    <n v="762.61"/>
    <n v="798.13"/>
    <n v="29.63"/>
    <n v="2095.27"/>
    <n v="2124.9"/>
    <m/>
  </r>
  <r>
    <d v="2025-02-01T00:00:00"/>
    <s v="2024-25"/>
    <n v="2025"/>
    <n v="2"/>
    <s v="Feb"/>
    <x v="27"/>
    <n v="8"/>
    <s v="State"/>
    <n v="1284.3"/>
    <n v="1619.47"/>
    <n v="1671.1"/>
    <n v="211.89"/>
    <n v="4574.87"/>
    <n v="4786.76"/>
    <m/>
  </r>
  <r>
    <d v="2025-02-01T00:00:00"/>
    <s v="2024-25"/>
    <n v="2025"/>
    <n v="2"/>
    <s v="Feb"/>
    <x v="28"/>
    <n v="11"/>
    <s v="State"/>
    <n v="22.42"/>
    <n v="27.15"/>
    <n v="281.93"/>
    <n v="0.19"/>
    <n v="331.5"/>
    <n v="331.69"/>
    <m/>
  </r>
  <r>
    <d v="2025-02-01T00:00:00"/>
    <s v="2024-25"/>
    <n v="2025"/>
    <n v="2"/>
    <s v="Feb"/>
    <x v="29"/>
    <n v="33"/>
    <s v="State"/>
    <n v="2845.11"/>
    <n v="3930.95"/>
    <n v="3244.8"/>
    <n v="673.62"/>
    <n v="10020.86"/>
    <n v="10694.48"/>
    <m/>
  </r>
  <r>
    <d v="2025-02-01T00:00:00"/>
    <s v="2024-25"/>
    <n v="2025"/>
    <n v="2"/>
    <s v="Feb"/>
    <x v="30"/>
    <n v="36"/>
    <s v="State"/>
    <n v="1401.63"/>
    <n v="1747.72"/>
    <n v="1552.22"/>
    <n v="578.47"/>
    <n v="4701.57"/>
    <n v="5280.04"/>
    <m/>
  </r>
  <r>
    <d v="2025-02-01T00:00:00"/>
    <s v="2024-25"/>
    <n v="2025"/>
    <n v="2"/>
    <s v="Feb"/>
    <x v="31"/>
    <n v="16"/>
    <s v="State"/>
    <n v="38.83"/>
    <n v="52.27"/>
    <n v="12.1"/>
    <n v="0.13"/>
    <n v="103.2"/>
    <n v="103.33"/>
    <m/>
  </r>
  <r>
    <d v="2025-02-01T00:00:00"/>
    <s v="2024-25"/>
    <n v="2025"/>
    <n v="2"/>
    <s v="Feb"/>
    <x v="32"/>
    <n v="9"/>
    <s v="State"/>
    <n v="2081.0700000000002"/>
    <n v="2731.75"/>
    <n v="2612.1999999999998"/>
    <n v="1730.45"/>
    <n v="7425.02"/>
    <n v="9155.4699999999993"/>
    <m/>
  </r>
  <r>
    <d v="2025-02-01T00:00:00"/>
    <s v="2024-25"/>
    <n v="2025"/>
    <n v="2"/>
    <s v="Feb"/>
    <x v="33"/>
    <n v="5"/>
    <s v="State"/>
    <n v="330.65"/>
    <n v="473.15"/>
    <n v="839.7"/>
    <n v="12.19"/>
    <n v="1643.5"/>
    <n v="1655.69"/>
    <m/>
  </r>
  <r>
    <d v="2025-02-01T00:00:00"/>
    <s v="2024-25"/>
    <n v="2025"/>
    <n v="2"/>
    <s v="Feb"/>
    <x v="34"/>
    <n v="19"/>
    <s v="State"/>
    <n v="1694.4"/>
    <n v="2029.4"/>
    <n v="1506.2"/>
    <n v="566.79"/>
    <n v="5230"/>
    <n v="5796.79"/>
    <m/>
  </r>
  <r>
    <d v="2025-03-01T00:00:00"/>
    <s v="2024-25"/>
    <n v="2025"/>
    <n v="3"/>
    <s v="Mar"/>
    <x v="0"/>
    <n v="35"/>
    <s v="Union Territory"/>
    <n v="16.04"/>
    <n v="20.5"/>
    <n v="14.71"/>
    <n v="0.2"/>
    <n v="51.25"/>
    <n v="51.45"/>
    <m/>
  </r>
  <r>
    <d v="2025-03-01T00:00:00"/>
    <s v="2024-25"/>
    <n v="2025"/>
    <n v="3"/>
    <s v="Mar"/>
    <x v="1"/>
    <n v="28"/>
    <s v="State"/>
    <n v="985.07"/>
    <n v="1399.46"/>
    <n v="1413.21"/>
    <n v="235.51"/>
    <n v="3797.74"/>
    <n v="4033.25"/>
    <m/>
  </r>
  <r>
    <d v="2025-03-01T00:00:00"/>
    <s v="2024-25"/>
    <n v="2025"/>
    <n v="3"/>
    <s v="Mar"/>
    <x v="2"/>
    <n v="12"/>
    <s v="State"/>
    <n v="71.099999999999994"/>
    <n v="82.86"/>
    <n v="20.03"/>
    <n v="0.2"/>
    <n v="173.99"/>
    <n v="174.19"/>
    <m/>
  </r>
  <r>
    <d v="2025-03-01T00:00:00"/>
    <s v="2024-25"/>
    <n v="2025"/>
    <n v="3"/>
    <s v="Mar"/>
    <x v="3"/>
    <n v="18"/>
    <s v="State"/>
    <n v="530.07000000000005"/>
    <n v="693.54"/>
    <n v="362.86"/>
    <n v="121.45"/>
    <n v="1586.47"/>
    <n v="1707.92"/>
    <m/>
  </r>
  <r>
    <d v="2025-03-01T00:00:00"/>
    <s v="2024-25"/>
    <n v="2025"/>
    <n v="3"/>
    <s v="Mar"/>
    <x v="4"/>
    <n v="10"/>
    <s v="State"/>
    <n v="606.4"/>
    <n v="1574.37"/>
    <n v="247.88"/>
    <n v="169.99"/>
    <n v="2428.65"/>
    <n v="2598.64"/>
    <m/>
  </r>
  <r>
    <d v="2025-03-01T00:00:00"/>
    <s v="2024-25"/>
    <n v="2025"/>
    <n v="3"/>
    <s v="Mar"/>
    <x v="5"/>
    <n v="4"/>
    <s v="Union Territory"/>
    <n v="51.76"/>
    <n v="67.290000000000006"/>
    <n v="118.58"/>
    <n v="2.92"/>
    <n v="237.63"/>
    <n v="240.55"/>
    <m/>
  </r>
  <r>
    <d v="2025-03-01T00:00:00"/>
    <s v="2024-25"/>
    <n v="2025"/>
    <n v="3"/>
    <s v="Mar"/>
    <x v="6"/>
    <n v="22"/>
    <s v="State"/>
    <n v="770.12"/>
    <n v="1304.32"/>
    <n v="1002.41"/>
    <n v="644.05999999999995"/>
    <n v="3076.85"/>
    <n v="3720.91"/>
    <m/>
  </r>
  <r>
    <d v="2025-03-01T00:00:00"/>
    <s v="2024-25"/>
    <n v="2025"/>
    <n v="3"/>
    <s v="Mar"/>
    <x v="7"/>
    <n v="38"/>
    <s v="Union Territory"/>
    <n v="49.63"/>
    <n v="60.45"/>
    <n v="275.27999999999997"/>
    <n v="0.2"/>
    <n v="385.36"/>
    <n v="385.56"/>
    <m/>
  </r>
  <r>
    <d v="2025-03-01T00:00:00"/>
    <s v="2024-25"/>
    <n v="2025"/>
    <n v="3"/>
    <s v="Mar"/>
    <x v="8"/>
    <n v="7"/>
    <s v="Union Territory"/>
    <n v="1288.3599999999999"/>
    <n v="1541.12"/>
    <n v="3211.94"/>
    <n v="97.82"/>
    <n v="6041.42"/>
    <n v="6139.24"/>
    <m/>
  </r>
  <r>
    <d v="2025-03-01T00:00:00"/>
    <s v="2024-25"/>
    <n v="2025"/>
    <n v="3"/>
    <s v="Mar"/>
    <x v="9"/>
    <n v="30"/>
    <s v="State"/>
    <n v="185.06"/>
    <n v="228.71"/>
    <n v="262.64999999999998"/>
    <n v="3.62"/>
    <n v="676.42"/>
    <n v="680.04"/>
    <m/>
  </r>
  <r>
    <d v="2025-03-01T00:00:00"/>
    <s v="2024-25"/>
    <n v="2025"/>
    <n v="3"/>
    <s v="Mar"/>
    <x v="10"/>
    <n v="24"/>
    <s v="State"/>
    <n v="3423.3"/>
    <n v="4246.16"/>
    <n v="3898.2"/>
    <n v="526.88"/>
    <n v="11567.66"/>
    <n v="12094.54"/>
    <m/>
  </r>
  <r>
    <d v="2025-03-01T00:00:00"/>
    <s v="2024-25"/>
    <n v="2025"/>
    <n v="3"/>
    <s v="Mar"/>
    <x v="11"/>
    <n v="6"/>
    <s v="State"/>
    <n v="1632.47"/>
    <n v="2010.72"/>
    <n v="6407.97"/>
    <n v="596.86"/>
    <n v="10051.16"/>
    <n v="10648.02"/>
    <m/>
  </r>
  <r>
    <d v="2025-03-01T00:00:00"/>
    <s v="2024-25"/>
    <n v="2025"/>
    <n v="3"/>
    <s v="Mar"/>
    <x v="12"/>
    <n v="2"/>
    <s v="State"/>
    <n v="166.76"/>
    <n v="225.2"/>
    <n v="435.45"/>
    <n v="2.0099999999999998"/>
    <n v="827.41"/>
    <n v="829.42"/>
    <m/>
  </r>
  <r>
    <d v="2025-03-01T00:00:00"/>
    <s v="2024-25"/>
    <n v="2025"/>
    <n v="3"/>
    <s v="Mar"/>
    <x v="13"/>
    <n v="1"/>
    <s v="Union Territory"/>
    <n v="192.47"/>
    <n v="256.56"/>
    <n v="137.06"/>
    <n v="8.83"/>
    <n v="586.09"/>
    <n v="594.91999999999996"/>
    <m/>
  </r>
  <r>
    <d v="2025-03-01T00:00:00"/>
    <s v="2024-25"/>
    <n v="2025"/>
    <n v="3"/>
    <s v="Mar"/>
    <x v="14"/>
    <n v="20"/>
    <s v="State"/>
    <n v="650.86"/>
    <n v="902.31"/>
    <n v="1129.54"/>
    <n v="626.02"/>
    <n v="2682.71"/>
    <n v="3308.73"/>
    <m/>
  </r>
  <r>
    <d v="2025-03-01T00:00:00"/>
    <s v="2024-25"/>
    <n v="2025"/>
    <n v="3"/>
    <s v="Mar"/>
    <x v="15"/>
    <n v="29"/>
    <s v="State"/>
    <n v="3352.87"/>
    <n v="4178.0200000000004"/>
    <n v="4669.58"/>
    <n v="1296.97"/>
    <n v="12200.47"/>
    <n v="13497.44"/>
    <m/>
  </r>
  <r>
    <d v="2025-03-01T00:00:00"/>
    <s v="2024-25"/>
    <n v="2025"/>
    <n v="3"/>
    <s v="Mar"/>
    <x v="16"/>
    <n v="32"/>
    <s v="State"/>
    <n v="1039.8900000000001"/>
    <n v="1265.2"/>
    <n v="518.71"/>
    <n v="5.23"/>
    <n v="2823.8"/>
    <n v="2829.03"/>
    <m/>
  </r>
  <r>
    <d v="2025-03-01T00:00:00"/>
    <s v="2024-25"/>
    <n v="2025"/>
    <n v="3"/>
    <s v="Mar"/>
    <x v="35"/>
    <n v="37"/>
    <s v="Union Territory"/>
    <n v="19.87"/>
    <n v="21.79"/>
    <n v="6.57"/>
    <n v="0.23"/>
    <n v="48.23"/>
    <n v="48.46"/>
    <m/>
  </r>
  <r>
    <d v="2025-03-01T00:00:00"/>
    <s v="2024-25"/>
    <n v="2025"/>
    <n v="3"/>
    <s v="Mar"/>
    <x v="17"/>
    <n v="31"/>
    <s v="Union Territory"/>
    <n v="0.67"/>
    <n v="1.2"/>
    <n v="0.96"/>
    <n v="0"/>
    <n v="2.83"/>
    <n v="2.83"/>
    <m/>
  </r>
  <r>
    <d v="2025-03-01T00:00:00"/>
    <s v="2024-25"/>
    <n v="2025"/>
    <n v="3"/>
    <s v="Mar"/>
    <x v="18"/>
    <n v="23"/>
    <s v="State"/>
    <n v="1116.6099999999999"/>
    <n v="1417.07"/>
    <n v="944.95"/>
    <n v="694.85"/>
    <n v="3478.63"/>
    <n v="4173.4799999999996"/>
    <m/>
  </r>
  <r>
    <d v="2025-03-01T00:00:00"/>
    <s v="2024-25"/>
    <n v="2025"/>
    <n v="3"/>
    <s v="Mar"/>
    <x v="19"/>
    <n v="27"/>
    <s v="State"/>
    <n v="9057.7199999999993"/>
    <n v="10925.59"/>
    <n v="9363.1200000000008"/>
    <n v="2187.09"/>
    <n v="29346.43"/>
    <n v="31533.52"/>
    <m/>
  </r>
  <r>
    <d v="2025-03-01T00:00:00"/>
    <s v="2024-25"/>
    <n v="2025"/>
    <n v="3"/>
    <s v="Mar"/>
    <x v="20"/>
    <n v="14"/>
    <s v="State"/>
    <n v="19.07"/>
    <n v="28.07"/>
    <n v="9.6999999999999993"/>
    <n v="0.15"/>
    <n v="56.84"/>
    <n v="56.99"/>
    <m/>
  </r>
  <r>
    <d v="2025-03-01T00:00:00"/>
    <s v="2024-25"/>
    <n v="2025"/>
    <n v="3"/>
    <s v="Mar"/>
    <x v="21"/>
    <n v="17"/>
    <s v="State"/>
    <n v="71.709999999999994"/>
    <n v="85.42"/>
    <n v="109.89"/>
    <n v="0.67"/>
    <n v="267.02"/>
    <n v="267.69"/>
    <m/>
  </r>
  <r>
    <d v="2025-03-01T00:00:00"/>
    <s v="2024-25"/>
    <n v="2025"/>
    <n v="3"/>
    <s v="Mar"/>
    <x v="22"/>
    <n v="15"/>
    <s v="State"/>
    <n v="17.239999999999998"/>
    <n v="23.44"/>
    <n v="5.59"/>
    <n v="0.04"/>
    <n v="46.27"/>
    <n v="46.31"/>
    <m/>
  </r>
  <r>
    <d v="2025-03-01T00:00:00"/>
    <s v="2024-25"/>
    <n v="2025"/>
    <n v="3"/>
    <s v="Mar"/>
    <x v="23"/>
    <n v="13"/>
    <s v="State"/>
    <n v="29.71"/>
    <n v="35.72"/>
    <n v="17.760000000000002"/>
    <n v="1.46"/>
    <n v="83.19"/>
    <n v="84.65"/>
    <m/>
  </r>
  <r>
    <d v="2025-03-01T00:00:00"/>
    <s v="2024-25"/>
    <n v="2025"/>
    <n v="3"/>
    <s v="Mar"/>
    <x v="24"/>
    <n v="21"/>
    <s v="State"/>
    <n v="1408.5"/>
    <n v="2039.43"/>
    <n v="1561.29"/>
    <n v="800.19"/>
    <n v="5009.22"/>
    <n v="5809.41"/>
    <m/>
  </r>
  <r>
    <d v="2025-03-01T00:00:00"/>
    <s v="2024-25"/>
    <n v="2025"/>
    <n v="3"/>
    <s v="Mar"/>
    <x v="25"/>
    <n v="34"/>
    <s v="Union Territory"/>
    <n v="34.44"/>
    <n v="48.6"/>
    <n v="167.56"/>
    <n v="0.86"/>
    <n v="250.6"/>
    <n v="251.46"/>
    <m/>
  </r>
  <r>
    <d v="2025-03-01T00:00:00"/>
    <s v="2024-25"/>
    <n v="2025"/>
    <n v="3"/>
    <s v="Mar"/>
    <x v="26"/>
    <n v="3"/>
    <s v="State"/>
    <n v="561.85"/>
    <n v="752.4"/>
    <n v="819.28"/>
    <n v="38.21"/>
    <n v="2133.5300000000002"/>
    <n v="2171.7399999999998"/>
    <m/>
  </r>
  <r>
    <d v="2025-03-01T00:00:00"/>
    <s v="2024-25"/>
    <n v="2025"/>
    <n v="3"/>
    <s v="Mar"/>
    <x v="27"/>
    <n v="8"/>
    <s v="State"/>
    <n v="1419.83"/>
    <n v="2048.73"/>
    <n v="1827.73"/>
    <n v="202.01"/>
    <n v="5296.29"/>
    <n v="5498.3"/>
    <m/>
  </r>
  <r>
    <d v="2025-03-01T00:00:00"/>
    <s v="2024-25"/>
    <n v="2025"/>
    <n v="3"/>
    <s v="Mar"/>
    <x v="28"/>
    <n v="11"/>
    <s v="State"/>
    <n v="26.61"/>
    <n v="33.159999999999997"/>
    <n v="289.35000000000002"/>
    <n v="0.28999999999999998"/>
    <n v="349.12"/>
    <n v="349.41"/>
    <m/>
  </r>
  <r>
    <d v="2025-03-01T00:00:00"/>
    <s v="2024-25"/>
    <n v="2025"/>
    <n v="3"/>
    <s v="Mar"/>
    <x v="29"/>
    <n v="33"/>
    <s v="State"/>
    <n v="3152.02"/>
    <n v="4565.37"/>
    <n v="3349.24"/>
    <n v="728.57"/>
    <n v="11066.63"/>
    <n v="11795.2"/>
    <m/>
  </r>
  <r>
    <d v="2025-03-01T00:00:00"/>
    <s v="2024-25"/>
    <n v="2025"/>
    <n v="3"/>
    <s v="Mar"/>
    <x v="30"/>
    <n v="36"/>
    <s v="State"/>
    <n v="1479.76"/>
    <n v="1821.92"/>
    <n v="1564.3"/>
    <n v="535.04999999999995"/>
    <n v="4865.9799999999996"/>
    <n v="5401.03"/>
    <m/>
  </r>
  <r>
    <d v="2025-03-01T00:00:00"/>
    <s v="2024-25"/>
    <n v="2025"/>
    <n v="3"/>
    <s v="Mar"/>
    <x v="31"/>
    <n v="16"/>
    <s v="State"/>
    <n v="62.24"/>
    <n v="83.9"/>
    <n v="13.24"/>
    <n v="0.12"/>
    <n v="159.38"/>
    <n v="159.5"/>
    <m/>
  </r>
  <r>
    <d v="2025-03-01T00:00:00"/>
    <s v="2024-25"/>
    <n v="2025"/>
    <n v="3"/>
    <s v="Mar"/>
    <x v="32"/>
    <n v="9"/>
    <s v="State"/>
    <n v="2454.6999999999998"/>
    <n v="3207.19"/>
    <n v="3131.53"/>
    <n v="1162.9000000000001"/>
    <n v="8793.42"/>
    <n v="9956.32"/>
    <m/>
  </r>
  <r>
    <d v="2025-03-01T00:00:00"/>
    <s v="2024-25"/>
    <n v="2025"/>
    <n v="3"/>
    <s v="Mar"/>
    <x v="33"/>
    <n v="5"/>
    <s v="State"/>
    <n v="382.24"/>
    <n v="526.80999999999995"/>
    <n v="823.01"/>
    <n v="10.26"/>
    <n v="1732.06"/>
    <n v="1742.32"/>
    <m/>
  </r>
  <r>
    <d v="2025-03-01T00:00:00"/>
    <s v="2024-25"/>
    <n v="2025"/>
    <n v="3"/>
    <s v="Mar"/>
    <x v="34"/>
    <n v="19"/>
    <s v="State"/>
    <n v="1799.47"/>
    <n v="2147.4"/>
    <n v="1466"/>
    <n v="414.15"/>
    <n v="5412.87"/>
    <n v="5827.02"/>
    <m/>
  </r>
  <r>
    <d v="2025-08-01T00:00:00"/>
    <s v="2025-26"/>
    <n v="2025"/>
    <n v="8"/>
    <s v="Aug"/>
    <x v="0"/>
    <n v="35"/>
    <s v="Union Territory"/>
    <n v="12.28"/>
    <n v="15.08"/>
    <n v="9.44"/>
    <m/>
    <n v="36.799999999999997"/>
    <m/>
    <s v="Cess removed - suspected data error"/>
  </r>
  <r>
    <d v="2025-08-01T00:00:00"/>
    <s v="2025-26"/>
    <n v="2025"/>
    <n v="8"/>
    <s v="Aug"/>
    <x v="1"/>
    <n v="28"/>
    <s v="State"/>
    <n v="1048.75"/>
    <n v="1364.26"/>
    <n v="1297.05"/>
    <m/>
    <n v="3710.06"/>
    <m/>
    <s v="Cess removed - suspected data error"/>
  </r>
  <r>
    <d v="2025-08-01T00:00:00"/>
    <s v="2025-26"/>
    <n v="2025"/>
    <n v="8"/>
    <s v="Aug"/>
    <x v="2"/>
    <n v="12"/>
    <s v="State"/>
    <n v="35.53"/>
    <n v="41.08"/>
    <n v="11.62"/>
    <m/>
    <n v="88.23"/>
    <m/>
    <s v="Cess removed - suspected data error"/>
  </r>
  <r>
    <d v="2025-08-01T00:00:00"/>
    <s v="2025-26"/>
    <n v="2025"/>
    <n v="8"/>
    <s v="Aug"/>
    <x v="3"/>
    <n v="18"/>
    <s v="State"/>
    <n v="444.29"/>
    <n v="562.42999999999995"/>
    <n v="396.72"/>
    <m/>
    <n v="1403.44"/>
    <m/>
    <s v="Cess removed - suspected data error"/>
  </r>
  <r>
    <d v="2025-08-01T00:00:00"/>
    <s v="2025-26"/>
    <n v="2025"/>
    <n v="8"/>
    <s v="Aug"/>
    <x v="4"/>
    <n v="10"/>
    <s v="State"/>
    <n v="464.74"/>
    <n v="840.52"/>
    <n v="245.5"/>
    <m/>
    <n v="1550.76"/>
    <m/>
    <s v="Cess removed - suspected data error"/>
  </r>
  <r>
    <d v="2025-08-01T00:00:00"/>
    <s v="2025-26"/>
    <n v="2025"/>
    <n v="8"/>
    <s v="Aug"/>
    <x v="5"/>
    <n v="4"/>
    <s v="Union Territory"/>
    <n v="46.09"/>
    <n v="60.54"/>
    <n v="105.49"/>
    <m/>
    <n v="212.12"/>
    <m/>
    <s v="Cess removed - suspected data error"/>
  </r>
  <r>
    <d v="2025-08-01T00:00:00"/>
    <s v="2025-26"/>
    <n v="2025"/>
    <n v="8"/>
    <s v="Aug"/>
    <x v="6"/>
    <n v="22"/>
    <s v="State"/>
    <n v="573.78"/>
    <n v="720.33"/>
    <n v="943.6"/>
    <m/>
    <n v="2237.71"/>
    <m/>
    <s v="Cess removed - suspected data error"/>
  </r>
  <r>
    <d v="2025-08-01T00:00:00"/>
    <s v="2025-26"/>
    <n v="2025"/>
    <n v="8"/>
    <s v="Aug"/>
    <x v="7"/>
    <n v="38"/>
    <s v="Union Territory"/>
    <n v="49.7"/>
    <n v="61.66"/>
    <n v="251.13"/>
    <m/>
    <n v="362.49"/>
    <m/>
    <s v="Cess removed - suspected data error"/>
  </r>
  <r>
    <d v="2025-08-01T00:00:00"/>
    <s v="2025-26"/>
    <n v="2025"/>
    <n v="8"/>
    <s v="Aug"/>
    <x v="8"/>
    <n v="7"/>
    <s v="Union Territory"/>
    <n v="1182.58"/>
    <n v="1360.68"/>
    <n v="3095.8"/>
    <m/>
    <n v="5639.06"/>
    <m/>
    <s v="Cess removed - suspected data error"/>
  </r>
  <r>
    <d v="2025-08-01T00:00:00"/>
    <s v="2025-26"/>
    <n v="2025"/>
    <n v="8"/>
    <s v="Aug"/>
    <x v="9"/>
    <n v="30"/>
    <s v="State"/>
    <n v="158.44"/>
    <n v="193.19"/>
    <n v="191.61"/>
    <m/>
    <n v="543.24"/>
    <m/>
    <s v="Cess removed - suspected data error"/>
  </r>
  <r>
    <d v="2025-08-01T00:00:00"/>
    <s v="2025-26"/>
    <n v="2025"/>
    <n v="8"/>
    <s v="Aug"/>
    <x v="10"/>
    <n v="24"/>
    <s v="State"/>
    <n v="3130.42"/>
    <n v="3881.59"/>
    <n v="3470.11"/>
    <m/>
    <n v="10482.120000000001"/>
    <m/>
    <s v="Cess removed - suspected data error"/>
  </r>
  <r>
    <d v="2025-08-01T00:00:00"/>
    <s v="2025-26"/>
    <n v="2025"/>
    <n v="8"/>
    <s v="Aug"/>
    <x v="11"/>
    <n v="6"/>
    <s v="State"/>
    <n v="1547.11"/>
    <n v="1997.51"/>
    <n v="5531.81"/>
    <m/>
    <n v="9076.43"/>
    <m/>
    <s v="Cess removed - suspected data error"/>
  </r>
  <r>
    <d v="2025-08-01T00:00:00"/>
    <s v="2025-26"/>
    <n v="2025"/>
    <n v="8"/>
    <s v="Aug"/>
    <x v="12"/>
    <n v="2"/>
    <s v="State"/>
    <n v="147.9"/>
    <n v="210.38"/>
    <n v="506.56"/>
    <m/>
    <n v="864.84"/>
    <m/>
    <s v="Cess removed - suspected data error"/>
  </r>
  <r>
    <d v="2025-08-01T00:00:00"/>
    <s v="2025-26"/>
    <n v="2025"/>
    <n v="8"/>
    <s v="Aug"/>
    <x v="13"/>
    <n v="1"/>
    <s v="Union Territory"/>
    <n v="162.30000000000001"/>
    <n v="235.04"/>
    <n v="171.11"/>
    <m/>
    <n v="568.45000000000005"/>
    <m/>
    <s v="Cess removed - suspected data error"/>
  </r>
  <r>
    <d v="2025-08-01T00:00:00"/>
    <s v="2025-26"/>
    <n v="2025"/>
    <n v="8"/>
    <s v="Aug"/>
    <x v="14"/>
    <n v="20"/>
    <s v="State"/>
    <n v="586.84"/>
    <n v="751.67"/>
    <n v="1005.1"/>
    <m/>
    <n v="2343.61"/>
    <m/>
    <s v="Cess removed - suspected data error"/>
  </r>
  <r>
    <d v="2025-08-01T00:00:00"/>
    <s v="2025-26"/>
    <n v="2025"/>
    <n v="8"/>
    <s v="Aug"/>
    <x v="15"/>
    <n v="29"/>
    <s v="State"/>
    <n v="3308.49"/>
    <n v="3958.77"/>
    <n v="5244.97"/>
    <m/>
    <n v="12512.23"/>
    <m/>
    <s v="Cess removed - suspected data error"/>
  </r>
  <r>
    <d v="2025-08-01T00:00:00"/>
    <s v="2025-26"/>
    <n v="2025"/>
    <n v="8"/>
    <s v="Aug"/>
    <x v="16"/>
    <n v="32"/>
    <s v="State"/>
    <n v="991.22"/>
    <n v="1220.93"/>
    <n v="504.63"/>
    <m/>
    <n v="2716.78"/>
    <m/>
    <s v="Cess removed - suspected data error"/>
  </r>
  <r>
    <d v="2025-08-01T00:00:00"/>
    <s v="2025-26"/>
    <n v="2025"/>
    <n v="8"/>
    <s v="Aug"/>
    <x v="35"/>
    <n v="37"/>
    <s v="Union Territory"/>
    <n v="13.25"/>
    <n v="18.11"/>
    <n v="3.58"/>
    <m/>
    <n v="34.94"/>
    <m/>
    <s v="Cess removed - suspected data error"/>
  </r>
  <r>
    <d v="2025-08-01T00:00:00"/>
    <s v="2025-26"/>
    <n v="2025"/>
    <n v="8"/>
    <s v="Aug"/>
    <x v="17"/>
    <n v="31"/>
    <s v="Union Territory"/>
    <n v="0.17"/>
    <n v="0.27"/>
    <n v="0.21"/>
    <m/>
    <n v="0.65"/>
    <m/>
    <s v="Cess removed - suspected data error"/>
  </r>
  <r>
    <d v="2025-08-01T00:00:00"/>
    <s v="2025-26"/>
    <n v="2025"/>
    <n v="8"/>
    <s v="Aug"/>
    <x v="18"/>
    <n v="23"/>
    <s v="State"/>
    <n v="904.58"/>
    <n v="1129.1300000000001"/>
    <n v="1052.99"/>
    <m/>
    <n v="3086.7"/>
    <m/>
    <s v="Cess removed - suspected data error"/>
  </r>
  <r>
    <d v="2025-08-01T00:00:00"/>
    <s v="2025-26"/>
    <n v="2025"/>
    <n v="8"/>
    <s v="Aug"/>
    <x v="19"/>
    <n v="27"/>
    <s v="State"/>
    <n v="7840.27"/>
    <n v="9400"/>
    <n v="9505.44"/>
    <m/>
    <n v="26745.71"/>
    <m/>
    <s v="Cess removed - suspected data error"/>
  </r>
  <r>
    <d v="2025-08-01T00:00:00"/>
    <s v="2025-26"/>
    <n v="2025"/>
    <n v="8"/>
    <s v="Aug"/>
    <x v="20"/>
    <n v="14"/>
    <s v="State"/>
    <n v="15"/>
    <n v="19.02"/>
    <n v="8.01"/>
    <m/>
    <n v="42.03"/>
    <m/>
    <s v="Cess removed - suspected data error"/>
  </r>
  <r>
    <d v="2025-08-01T00:00:00"/>
    <s v="2025-26"/>
    <n v="2025"/>
    <n v="8"/>
    <s v="Aug"/>
    <x v="21"/>
    <n v="17"/>
    <s v="State"/>
    <n v="39.75"/>
    <n v="47.21"/>
    <n v="119.82"/>
    <m/>
    <n v="206.78"/>
    <m/>
    <s v="Cess removed - suspected data error"/>
  </r>
  <r>
    <d v="2025-08-01T00:00:00"/>
    <s v="2025-26"/>
    <n v="2025"/>
    <n v="8"/>
    <s v="Aug"/>
    <x v="22"/>
    <n v="15"/>
    <s v="State"/>
    <n v="9.36"/>
    <n v="13"/>
    <n v="7.46"/>
    <m/>
    <n v="29.82"/>
    <m/>
    <s v="Cess removed - suspected data error"/>
  </r>
  <r>
    <d v="2025-08-01T00:00:00"/>
    <s v="2025-26"/>
    <n v="2025"/>
    <n v="8"/>
    <s v="Aug"/>
    <x v="23"/>
    <n v="13"/>
    <s v="State"/>
    <n v="20.03"/>
    <n v="24.09"/>
    <n v="10.23"/>
    <m/>
    <n v="54.35"/>
    <m/>
    <s v="Cess removed - suspected data error"/>
  </r>
  <r>
    <d v="2025-08-01T00:00:00"/>
    <s v="2025-26"/>
    <n v="2025"/>
    <n v="8"/>
    <s v="Aug"/>
    <x v="24"/>
    <n v="21"/>
    <s v="State"/>
    <n v="1095.8399999999999"/>
    <n v="1452.2"/>
    <n v="1658.54"/>
    <m/>
    <n v="4206.58"/>
    <m/>
    <s v="Cess removed - suspected data error"/>
  </r>
  <r>
    <d v="2025-08-01T00:00:00"/>
    <s v="2025-26"/>
    <n v="2025"/>
    <n v="8"/>
    <s v="Aug"/>
    <x v="25"/>
    <n v="34"/>
    <s v="Union Territory"/>
    <n v="31.16"/>
    <n v="46.8"/>
    <n v="147.1"/>
    <m/>
    <n v="225.06"/>
    <m/>
    <s v="Cess removed - suspected data error"/>
  </r>
  <r>
    <d v="2025-08-01T00:00:00"/>
    <s v="2025-26"/>
    <n v="2025"/>
    <n v="8"/>
    <s v="Aug"/>
    <x v="26"/>
    <n v="3"/>
    <s v="State"/>
    <n v="535.62"/>
    <n v="750.37"/>
    <n v="882.11"/>
    <m/>
    <n v="2168.1"/>
    <m/>
    <s v="Cess removed - suspected data error"/>
  </r>
  <r>
    <d v="2025-08-01T00:00:00"/>
    <s v="2025-26"/>
    <n v="2025"/>
    <n v="8"/>
    <s v="Aug"/>
    <x v="27"/>
    <n v="8"/>
    <s v="State"/>
    <n v="1122.8599999999999"/>
    <n v="1480.05"/>
    <n v="1619.22"/>
    <m/>
    <n v="4222.13"/>
    <m/>
    <s v="Cess removed - suspected data error"/>
  </r>
  <r>
    <d v="2025-08-01T00:00:00"/>
    <s v="2025-26"/>
    <n v="2025"/>
    <n v="8"/>
    <s v="Aug"/>
    <x v="28"/>
    <n v="11"/>
    <s v="State"/>
    <n v="30.14"/>
    <n v="47.41"/>
    <n v="376.61"/>
    <m/>
    <n v="454.16"/>
    <m/>
    <s v="Cess removed - suspected data error"/>
  </r>
  <r>
    <d v="2025-08-01T00:00:00"/>
    <s v="2025-26"/>
    <n v="2025"/>
    <n v="8"/>
    <s v="Aug"/>
    <x v="29"/>
    <n v="33"/>
    <s v="State"/>
    <n v="3105.19"/>
    <n v="4038.01"/>
    <n v="3185.78"/>
    <m/>
    <n v="10328.98"/>
    <m/>
    <s v="Cess removed - suspected data error"/>
  </r>
  <r>
    <d v="2025-08-01T00:00:00"/>
    <s v="2025-26"/>
    <n v="2025"/>
    <n v="8"/>
    <s v="Aug"/>
    <x v="30"/>
    <n v="36"/>
    <s v="State"/>
    <n v="1335.67"/>
    <n v="1688.75"/>
    <n v="1587.69"/>
    <m/>
    <n v="4612.1099999999997"/>
    <m/>
    <s v="Cess removed - suspected data error"/>
  </r>
  <r>
    <d v="2025-08-01T00:00:00"/>
    <s v="2025-26"/>
    <n v="2025"/>
    <n v="8"/>
    <s v="Aug"/>
    <x v="31"/>
    <n v="16"/>
    <s v="State"/>
    <n v="32.74"/>
    <n v="40.42"/>
    <n v="13.3"/>
    <m/>
    <n v="86.46"/>
    <m/>
    <s v="Cess removed - suspected data error"/>
  </r>
  <r>
    <d v="2025-08-01T00:00:00"/>
    <s v="2025-26"/>
    <n v="2025"/>
    <n v="8"/>
    <s v="Aug"/>
    <x v="32"/>
    <n v="9"/>
    <s v="State"/>
    <n v="2125.94"/>
    <n v="2735.7"/>
    <n v="2785.79"/>
    <m/>
    <n v="7647.43"/>
    <m/>
    <s v="Cess removed - suspected data error"/>
  </r>
  <r>
    <d v="2025-08-01T00:00:00"/>
    <s v="2025-26"/>
    <n v="2025"/>
    <n v="8"/>
    <s v="Aug"/>
    <x v="33"/>
    <n v="5"/>
    <s v="State"/>
    <n v="295.42"/>
    <n v="493.37"/>
    <n v="647.38"/>
    <m/>
    <n v="1436.17"/>
    <m/>
    <s v="Cess removed - suspected data error"/>
  </r>
  <r>
    <d v="2025-08-01T00:00:00"/>
    <s v="2025-26"/>
    <n v="2025"/>
    <n v="8"/>
    <s v="Aug"/>
    <x v="34"/>
    <n v="19"/>
    <s v="State"/>
    <n v="1615.47"/>
    <n v="1931"/>
    <n v="1491"/>
    <m/>
    <n v="5037.47"/>
    <m/>
    <s v="Cess removed - suspected data error"/>
  </r>
  <r>
    <d v="2026-01-01T00:00:00"/>
    <s v="2025-26"/>
    <n v="2026"/>
    <n v="1"/>
    <s v="Jan"/>
    <x v="0"/>
    <n v="35"/>
    <s v="Union Territory"/>
    <n v="17.100000000000001"/>
    <n v="20.54"/>
    <n v="8.9700000000000006"/>
    <m/>
    <n v="46.61"/>
    <m/>
    <s v="Cess removed - suspected data error"/>
  </r>
  <r>
    <d v="2026-01-01T00:00:00"/>
    <s v="2025-26"/>
    <n v="2026"/>
    <n v="1"/>
    <s v="Jan"/>
    <x v="1"/>
    <n v="28"/>
    <s v="State"/>
    <n v="1007.68"/>
    <n v="1283.73"/>
    <n v="1183.23"/>
    <m/>
    <n v="3474.64"/>
    <m/>
    <s v="Cess removed - suspected data error"/>
  </r>
  <r>
    <d v="2026-01-01T00:00:00"/>
    <s v="2025-26"/>
    <n v="2026"/>
    <n v="1"/>
    <s v="Jan"/>
    <x v="2"/>
    <n v="12"/>
    <s v="State"/>
    <n v="43.95"/>
    <n v="51.23"/>
    <n v="15.54"/>
    <m/>
    <n v="110.72"/>
    <m/>
    <s v="Cess removed - suspected data error"/>
  </r>
  <r>
    <d v="2026-01-01T00:00:00"/>
    <s v="2025-26"/>
    <n v="2026"/>
    <n v="1"/>
    <s v="Jan"/>
    <x v="3"/>
    <n v="18"/>
    <s v="State"/>
    <n v="414.71"/>
    <n v="571.9"/>
    <n v="298"/>
    <m/>
    <n v="1284.6099999999999"/>
    <m/>
    <s v="Cess removed - suspected data error"/>
  </r>
  <r>
    <d v="2026-01-01T00:00:00"/>
    <s v="2025-26"/>
    <n v="2026"/>
    <n v="1"/>
    <s v="Jan"/>
    <x v="4"/>
    <n v="10"/>
    <s v="State"/>
    <n v="421.28"/>
    <n v="926.21"/>
    <n v="238.05"/>
    <m/>
    <n v="1585.54"/>
    <m/>
    <s v="Cess removed - suspected data error"/>
  </r>
  <r>
    <d v="2026-01-01T00:00:00"/>
    <s v="2025-26"/>
    <n v="2026"/>
    <n v="1"/>
    <s v="Jan"/>
    <x v="5"/>
    <n v="4"/>
    <s v="Union Territory"/>
    <n v="63.84"/>
    <n v="89.45"/>
    <n v="136.46"/>
    <m/>
    <n v="289.75"/>
    <m/>
    <s v="Cess removed - suspected data error"/>
  </r>
  <r>
    <d v="2026-01-01T00:00:00"/>
    <s v="2025-26"/>
    <n v="2026"/>
    <n v="1"/>
    <s v="Jan"/>
    <x v="6"/>
    <n v="22"/>
    <s v="State"/>
    <n v="706.66"/>
    <n v="815.18"/>
    <n v="897.08"/>
    <m/>
    <n v="2418.92"/>
    <m/>
    <s v="Cess removed - suspected data error"/>
  </r>
  <r>
    <d v="2026-01-01T00:00:00"/>
    <s v="2025-26"/>
    <n v="2026"/>
    <n v="1"/>
    <s v="Jan"/>
    <x v="7"/>
    <n v="38"/>
    <s v="Union Territory"/>
    <n v="53.07"/>
    <n v="67.63"/>
    <n v="306.58"/>
    <m/>
    <n v="427.28"/>
    <m/>
    <s v="Cess removed - suspected data error"/>
  </r>
  <r>
    <d v="2026-01-01T00:00:00"/>
    <s v="2025-26"/>
    <n v="2026"/>
    <n v="1"/>
    <s v="Jan"/>
    <x v="8"/>
    <n v="7"/>
    <s v="Union Territory"/>
    <n v="1334.94"/>
    <n v="1609.34"/>
    <n v="3553.91"/>
    <m/>
    <n v="6498.19"/>
    <m/>
    <s v="Cess removed - suspected data error"/>
  </r>
  <r>
    <d v="2026-01-01T00:00:00"/>
    <s v="2025-26"/>
    <n v="2026"/>
    <n v="1"/>
    <s v="Jan"/>
    <x v="9"/>
    <n v="30"/>
    <s v="State"/>
    <n v="205.66"/>
    <n v="261.25"/>
    <n v="150.11000000000001"/>
    <m/>
    <n v="617.02"/>
    <m/>
    <s v="Cess removed - suspected data error"/>
  </r>
  <r>
    <d v="2026-01-01T00:00:00"/>
    <s v="2025-26"/>
    <n v="2026"/>
    <n v="1"/>
    <s v="Jan"/>
    <x v="10"/>
    <n v="24"/>
    <s v="State"/>
    <n v="3682.32"/>
    <n v="4338.1099999999997"/>
    <n v="3965.65"/>
    <m/>
    <n v="11986.08"/>
    <m/>
    <s v="Cess removed - suspected data error"/>
  </r>
  <r>
    <d v="2026-01-01T00:00:00"/>
    <s v="2025-26"/>
    <n v="2026"/>
    <n v="1"/>
    <s v="Jan"/>
    <x v="11"/>
    <n v="6"/>
    <s v="State"/>
    <n v="1654"/>
    <n v="2173.85"/>
    <n v="6651.92"/>
    <m/>
    <n v="10479.77"/>
    <m/>
    <s v="Cess removed - suspected data error"/>
  </r>
  <r>
    <d v="2026-01-01T00:00:00"/>
    <s v="2025-26"/>
    <n v="2026"/>
    <n v="1"/>
    <s v="Jan"/>
    <x v="12"/>
    <n v="2"/>
    <s v="State"/>
    <n v="172.88"/>
    <n v="239.18"/>
    <n v="268.66000000000003"/>
    <m/>
    <n v="680.72"/>
    <m/>
    <s v="Cess removed - suspected data error"/>
  </r>
  <r>
    <d v="2026-01-01T00:00:00"/>
    <s v="2025-26"/>
    <n v="2026"/>
    <n v="1"/>
    <s v="Jan"/>
    <x v="13"/>
    <n v="1"/>
    <s v="Union Territory"/>
    <n v="224.97"/>
    <n v="292.60000000000002"/>
    <n v="101.94"/>
    <m/>
    <n v="619.51"/>
    <m/>
    <s v="Cess removed - suspected data error"/>
  </r>
  <r>
    <d v="2026-01-01T00:00:00"/>
    <s v="2025-26"/>
    <n v="2026"/>
    <n v="1"/>
    <s v="Jan"/>
    <x v="14"/>
    <n v="20"/>
    <s v="State"/>
    <n v="602.52"/>
    <n v="766.37"/>
    <n v="1056.8"/>
    <m/>
    <n v="2425.69"/>
    <m/>
    <s v="Cess removed - suspected data error"/>
  </r>
  <r>
    <d v="2026-01-01T00:00:00"/>
    <s v="2025-26"/>
    <n v="2026"/>
    <n v="1"/>
    <s v="Jan"/>
    <x v="15"/>
    <n v="29"/>
    <s v="State"/>
    <n v="3656.2"/>
    <n v="4425.49"/>
    <n v="6094.15"/>
    <m/>
    <n v="14175.84"/>
    <m/>
    <s v="Cess removed - suspected data error"/>
  </r>
  <r>
    <d v="2026-01-01T00:00:00"/>
    <s v="2025-26"/>
    <n v="2026"/>
    <n v="1"/>
    <s v="Jan"/>
    <x v="16"/>
    <n v="32"/>
    <s v="State"/>
    <n v="1239.28"/>
    <n v="1488.5"/>
    <n v="532.61"/>
    <m/>
    <n v="3260.39"/>
    <m/>
    <s v="Cess removed - suspected data error"/>
  </r>
  <r>
    <d v="2026-01-01T00:00:00"/>
    <s v="2025-26"/>
    <n v="2026"/>
    <n v="1"/>
    <s v="Jan"/>
    <x v="35"/>
    <n v="37"/>
    <s v="Union Territory"/>
    <n v="24.04"/>
    <n v="30.94"/>
    <n v="8.25"/>
    <m/>
    <n v="63.23"/>
    <m/>
    <s v="Cess removed - suspected data error"/>
  </r>
  <r>
    <d v="2026-01-01T00:00:00"/>
    <s v="2025-26"/>
    <n v="2026"/>
    <n v="1"/>
    <s v="Jan"/>
    <x v="17"/>
    <n v="31"/>
    <s v="Union Territory"/>
    <n v="0.38"/>
    <n v="0.5"/>
    <n v="0.62"/>
    <m/>
    <n v="1.5"/>
    <m/>
    <s v="Cess removed - suspected data error"/>
  </r>
  <r>
    <d v="2026-01-01T00:00:00"/>
    <s v="2025-26"/>
    <n v="2026"/>
    <n v="1"/>
    <s v="Jan"/>
    <x v="18"/>
    <n v="23"/>
    <s v="State"/>
    <n v="1039.48"/>
    <n v="1280.19"/>
    <n v="920.09"/>
    <m/>
    <n v="3239.76"/>
    <m/>
    <s v="Cess removed - suspected data error"/>
  </r>
  <r>
    <d v="2026-01-01T00:00:00"/>
    <s v="2025-26"/>
    <n v="2026"/>
    <n v="1"/>
    <s v="Jan"/>
    <x v="19"/>
    <n v="27"/>
    <s v="State"/>
    <n v="9353.92"/>
    <n v="10571.83"/>
    <n v="12902.61"/>
    <m/>
    <n v="32828.36"/>
    <m/>
    <s v="Cess removed - suspected data error"/>
  </r>
  <r>
    <d v="2026-01-01T00:00:00"/>
    <s v="2025-26"/>
    <n v="2026"/>
    <n v="1"/>
    <s v="Jan"/>
    <x v="20"/>
    <n v="14"/>
    <s v="State"/>
    <n v="19.77"/>
    <n v="26.61"/>
    <n v="8.61"/>
    <m/>
    <n v="54.99"/>
    <m/>
    <s v="Cess removed - suspected data error"/>
  </r>
  <r>
    <d v="2026-01-01T00:00:00"/>
    <s v="2025-26"/>
    <n v="2026"/>
    <n v="1"/>
    <s v="Jan"/>
    <x v="21"/>
    <n v="17"/>
    <s v="State"/>
    <n v="54.06"/>
    <n v="69.599999999999994"/>
    <n v="70.67"/>
    <m/>
    <n v="194.33"/>
    <m/>
    <s v="Cess removed - suspected data error"/>
  </r>
  <r>
    <d v="2026-01-01T00:00:00"/>
    <s v="2025-26"/>
    <n v="2026"/>
    <n v="1"/>
    <s v="Jan"/>
    <x v="22"/>
    <n v="15"/>
    <s v="State"/>
    <n v="11.43"/>
    <n v="16.61"/>
    <n v="5"/>
    <m/>
    <n v="33.04"/>
    <m/>
    <s v="Cess removed - suspected data error"/>
  </r>
  <r>
    <d v="2026-01-01T00:00:00"/>
    <s v="2025-26"/>
    <n v="2026"/>
    <n v="1"/>
    <s v="Jan"/>
    <x v="23"/>
    <n v="13"/>
    <s v="State"/>
    <n v="21.36"/>
    <n v="25.96"/>
    <n v="14.41"/>
    <m/>
    <n v="61.73"/>
    <m/>
    <s v="Cess removed - suspected data error"/>
  </r>
  <r>
    <d v="2026-01-01T00:00:00"/>
    <s v="2025-26"/>
    <n v="2026"/>
    <n v="1"/>
    <s v="Jan"/>
    <x v="24"/>
    <n v="21"/>
    <s v="State"/>
    <n v="1313.93"/>
    <n v="1668.52"/>
    <n v="1157.08"/>
    <m/>
    <n v="4139.53"/>
    <m/>
    <s v="Cess removed - suspected data error"/>
  </r>
  <r>
    <d v="2026-01-01T00:00:00"/>
    <s v="2025-26"/>
    <n v="2026"/>
    <n v="1"/>
    <s v="Jan"/>
    <x v="25"/>
    <n v="34"/>
    <s v="Union Territory"/>
    <n v="38.33"/>
    <n v="59.36"/>
    <n v="119.46"/>
    <m/>
    <n v="217.15"/>
    <m/>
    <s v="Cess removed - suspected data error"/>
  </r>
  <r>
    <d v="2026-01-01T00:00:00"/>
    <s v="2025-26"/>
    <n v="2026"/>
    <n v="1"/>
    <s v="Jan"/>
    <x v="26"/>
    <n v="3"/>
    <s v="State"/>
    <n v="634.04"/>
    <n v="938.46"/>
    <n v="822.76"/>
    <m/>
    <n v="2395.2600000000002"/>
    <m/>
    <s v="Cess removed - suspected data error"/>
  </r>
  <r>
    <d v="2026-01-01T00:00:00"/>
    <s v="2025-26"/>
    <n v="2026"/>
    <n v="1"/>
    <s v="Jan"/>
    <x v="27"/>
    <n v="8"/>
    <s v="State"/>
    <n v="1370.56"/>
    <n v="1807.52"/>
    <n v="1464.17"/>
    <m/>
    <n v="4642.25"/>
    <m/>
    <s v="Cess removed - suspected data error"/>
  </r>
  <r>
    <d v="2026-01-01T00:00:00"/>
    <s v="2025-26"/>
    <n v="2026"/>
    <n v="1"/>
    <s v="Jan"/>
    <x v="28"/>
    <n v="11"/>
    <s v="State"/>
    <n v="28.66"/>
    <n v="34.83"/>
    <n v="88.21"/>
    <m/>
    <n v="151.69999999999999"/>
    <m/>
    <s v="Cess removed - suspected data error"/>
  </r>
  <r>
    <d v="2026-01-01T00:00:00"/>
    <s v="2025-26"/>
    <n v="2026"/>
    <n v="1"/>
    <s v="Jan"/>
    <x v="29"/>
    <n v="33"/>
    <s v="State"/>
    <n v="3066.33"/>
    <n v="3947.34"/>
    <n v="3893.34"/>
    <m/>
    <n v="10907.01"/>
    <m/>
    <s v="Cess removed - suspected data error"/>
  </r>
  <r>
    <d v="2026-01-01T00:00:00"/>
    <s v="2025-26"/>
    <n v="2026"/>
    <n v="1"/>
    <s v="Jan"/>
    <x v="30"/>
    <n v="36"/>
    <s v="State"/>
    <n v="1760.95"/>
    <n v="2189.96"/>
    <n v="1753.26"/>
    <m/>
    <n v="5704.17"/>
    <m/>
    <s v="Cess removed - suspected data error"/>
  </r>
  <r>
    <d v="2026-01-01T00:00:00"/>
    <s v="2025-26"/>
    <n v="2026"/>
    <n v="1"/>
    <s v="Jan"/>
    <x v="31"/>
    <n v="16"/>
    <s v="State"/>
    <n v="41.25"/>
    <n v="55.09"/>
    <n v="16.78"/>
    <m/>
    <n v="113.12"/>
    <m/>
    <s v="Cess removed - suspected data error"/>
  </r>
  <r>
    <d v="2026-01-01T00:00:00"/>
    <s v="2025-26"/>
    <n v="2026"/>
    <n v="1"/>
    <s v="Jan"/>
    <x v="32"/>
    <n v="9"/>
    <s v="State"/>
    <n v="2294.85"/>
    <n v="3003.33"/>
    <n v="3080.54"/>
    <m/>
    <n v="8378.7199999999993"/>
    <m/>
    <s v="Cess removed - suspected data error"/>
  </r>
  <r>
    <d v="2026-01-01T00:00:00"/>
    <s v="2025-26"/>
    <n v="2026"/>
    <n v="1"/>
    <s v="Jan"/>
    <x v="33"/>
    <n v="5"/>
    <s v="State"/>
    <n v="311.86"/>
    <n v="470.4"/>
    <n v="687.53"/>
    <m/>
    <n v="1469.79"/>
    <m/>
    <s v="Cess removed - suspected data error"/>
  </r>
  <r>
    <d v="2026-01-01T00:00:00"/>
    <s v="2025-26"/>
    <n v="2026"/>
    <n v="1"/>
    <s v="Jan"/>
    <x v="34"/>
    <n v="19"/>
    <s v="State"/>
    <n v="1872.17"/>
    <n v="2150.6"/>
    <n v="1482.96"/>
    <m/>
    <n v="5505.73"/>
    <m/>
    <s v="Cess removed - suspected data erro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4">
  <r>
    <d v="2017-08-01T00:00:00"/>
    <s v="2017-18"/>
    <n v="2017"/>
    <x v="0"/>
    <x v="0"/>
    <s v="Andaman and Nicobar Islands"/>
    <n v="35"/>
    <s v="Union Territory"/>
    <n v="3.33"/>
    <n v="3.98"/>
    <n v="0.37"/>
    <n v="0.02"/>
    <n v="7.68"/>
    <n v="7.7"/>
    <m/>
  </r>
  <r>
    <d v="2017-08-01T00:00:00"/>
    <s v="2017-18"/>
    <n v="2017"/>
    <x v="0"/>
    <x v="0"/>
    <s v="Andhra Pradesh"/>
    <n v="28"/>
    <s v="State"/>
    <n v="448.07"/>
    <n v="660.89"/>
    <n v="755.96"/>
    <n v="24.43"/>
    <n v="1864.92"/>
    <n v="1889.35"/>
    <m/>
  </r>
  <r>
    <d v="2017-08-01T00:00:00"/>
    <s v="2017-18"/>
    <n v="2017"/>
    <x v="0"/>
    <x v="0"/>
    <s v="Arunachal Pradesh"/>
    <n v="12"/>
    <s v="State"/>
    <n v="3.45"/>
    <n v="6.17"/>
    <n v="3.21"/>
    <n v="0.02"/>
    <n v="12.83"/>
    <n v="12.85"/>
    <m/>
  </r>
  <r>
    <d v="2017-08-01T00:00:00"/>
    <s v="2017-18"/>
    <n v="2017"/>
    <x v="0"/>
    <x v="0"/>
    <s v="Assam"/>
    <n v="18"/>
    <s v="State"/>
    <n v="161.79"/>
    <n v="270.70999999999998"/>
    <n v="244.51"/>
    <n v="26.22"/>
    <n v="677.01"/>
    <n v="703.23"/>
    <m/>
  </r>
  <r>
    <d v="2017-08-01T00:00:00"/>
    <s v="2017-18"/>
    <n v="2017"/>
    <x v="0"/>
    <x v="0"/>
    <s v="Bihar"/>
    <n v="10"/>
    <s v="State"/>
    <n v="180.5"/>
    <n v="378.96"/>
    <n v="85.84"/>
    <n v="141.03"/>
    <n v="645.29999999999995"/>
    <n v="786.33"/>
    <m/>
  </r>
  <r>
    <d v="2017-08-01T00:00:00"/>
    <s v="2017-18"/>
    <n v="2017"/>
    <x v="0"/>
    <x v="0"/>
    <s v="Chandigarh"/>
    <n v="4"/>
    <s v="Union Territory"/>
    <n v="39.65"/>
    <n v="58.89"/>
    <n v="76.150000000000006"/>
    <n v="0.28999999999999998"/>
    <n v="174.69"/>
    <n v="174.98"/>
    <m/>
  </r>
  <r>
    <d v="2017-08-01T00:00:00"/>
    <s v="2017-18"/>
    <n v="2017"/>
    <x v="0"/>
    <x v="0"/>
    <s v="Chhattisgarh"/>
    <n v="22"/>
    <s v="State"/>
    <n v="246.72"/>
    <n v="328.39"/>
    <n v="473.24"/>
    <n v="581.67999999999995"/>
    <n v="1048.3499999999999"/>
    <n v="1630.03"/>
    <m/>
  </r>
  <r>
    <d v="2017-08-01T00:00:00"/>
    <s v="2017-18"/>
    <n v="2017"/>
    <x v="0"/>
    <x v="0"/>
    <s v="Dadra and Nagar Haveli and Daman and Diu"/>
    <n v="38"/>
    <s v="Union Territory"/>
    <n v="17.940000000000001"/>
    <n v="32.81"/>
    <n v="231.94"/>
    <n v="0.28000000000000003"/>
    <n v="282.69"/>
    <n v="282.97000000000003"/>
    <m/>
  </r>
  <r>
    <d v="2017-08-01T00:00:00"/>
    <s v="2017-18"/>
    <n v="2017"/>
    <x v="0"/>
    <x v="0"/>
    <s v="Delhi"/>
    <n v="7"/>
    <s v="Union Territory"/>
    <n v="732.5"/>
    <n v="1050.58"/>
    <n v="1381.49"/>
    <n v="90.11"/>
    <n v="3164.57"/>
    <n v="3254.68"/>
    <m/>
  </r>
  <r>
    <d v="2017-08-01T00:00:00"/>
    <s v="2017-18"/>
    <n v="2017"/>
    <x v="0"/>
    <x v="0"/>
    <s v="Goa"/>
    <n v="30"/>
    <s v="State"/>
    <n v="76.05"/>
    <n v="105.54"/>
    <n v="221.43"/>
    <n v="1.75"/>
    <n v="403.02"/>
    <n v="404.77"/>
    <m/>
  </r>
  <r>
    <d v="2017-08-01T00:00:00"/>
    <s v="2017-18"/>
    <n v="2017"/>
    <x v="0"/>
    <x v="0"/>
    <s v="Gujarat"/>
    <n v="24"/>
    <s v="State"/>
    <n v="1330.26"/>
    <n v="1868.47"/>
    <n v="2602.87"/>
    <n v="213.3"/>
    <n v="5801.6"/>
    <n v="6014.9"/>
    <m/>
  </r>
  <r>
    <d v="2017-08-01T00:00:00"/>
    <s v="2017-18"/>
    <n v="2017"/>
    <x v="0"/>
    <x v="0"/>
    <s v="Haryana"/>
    <n v="6"/>
    <s v="State"/>
    <n v="799.75"/>
    <n v="1271.55"/>
    <n v="2256.54"/>
    <n v="342.68"/>
    <n v="4327.84"/>
    <n v="4670.5200000000004"/>
    <m/>
  </r>
  <r>
    <d v="2017-08-01T00:00:00"/>
    <s v="2017-18"/>
    <n v="2017"/>
    <x v="0"/>
    <x v="0"/>
    <s v="Himachal Pradesh"/>
    <n v="2"/>
    <s v="State"/>
    <n v="88.06"/>
    <n v="133.75"/>
    <n v="600.59"/>
    <n v="1.1000000000000001"/>
    <n v="822.4"/>
    <n v="823.5"/>
    <m/>
  </r>
  <r>
    <d v="2017-08-01T00:00:00"/>
    <s v="2017-18"/>
    <n v="2017"/>
    <x v="0"/>
    <x v="0"/>
    <s v="Jammu and Kashmir"/>
    <n v="1"/>
    <s v="Union Territory"/>
    <n v="49.55"/>
    <n v="103.16"/>
    <n v="95.47"/>
    <n v="17.149999999999999"/>
    <n v="248.18"/>
    <n v="265.33"/>
    <m/>
  </r>
  <r>
    <d v="2017-08-01T00:00:00"/>
    <s v="2017-18"/>
    <n v="2017"/>
    <x v="0"/>
    <x v="0"/>
    <s v="Jharkhand"/>
    <n v="20"/>
    <s v="State"/>
    <n v="202.52"/>
    <n v="334.11"/>
    <n v="685.69"/>
    <n v="359.61"/>
    <n v="1222.32"/>
    <n v="1581.93"/>
    <m/>
  </r>
  <r>
    <d v="2017-08-01T00:00:00"/>
    <s v="2017-18"/>
    <n v="2017"/>
    <x v="0"/>
    <x v="0"/>
    <s v="Karnataka"/>
    <n v="29"/>
    <s v="State"/>
    <n v="1398.26"/>
    <n v="2107.27"/>
    <n v="2590.31"/>
    <n v="880.37"/>
    <n v="6095.84"/>
    <n v="6976.21"/>
    <m/>
  </r>
  <r>
    <d v="2017-08-01T00:00:00"/>
    <s v="2017-18"/>
    <n v="2017"/>
    <x v="0"/>
    <x v="0"/>
    <s v="Kerala"/>
    <n v="32"/>
    <s v="State"/>
    <n v="474.65"/>
    <n v="799.13"/>
    <n v="249.93"/>
    <n v="10.050000000000001"/>
    <n v="1523.71"/>
    <n v="1533.76"/>
    <m/>
  </r>
  <r>
    <d v="2017-08-01T00:00:00"/>
    <s v="2017-18"/>
    <n v="2017"/>
    <x v="0"/>
    <x v="0"/>
    <s v="Lakshadweep"/>
    <n v="31"/>
    <s v="Union Territory"/>
    <n v="0.17"/>
    <n v="0.17"/>
    <n v="0.01"/>
    <n v="0"/>
    <n v="0.35"/>
    <n v="0.35"/>
    <m/>
  </r>
  <r>
    <d v="2017-08-01T00:00:00"/>
    <s v="2017-18"/>
    <n v="2017"/>
    <x v="0"/>
    <x v="0"/>
    <s v="Madhya Pradesh"/>
    <n v="23"/>
    <s v="State"/>
    <n v="404.15"/>
    <n v="626.25"/>
    <n v="655.27"/>
    <n v="426.32"/>
    <n v="1685.67"/>
    <n v="2111.9899999999998"/>
    <m/>
  </r>
  <r>
    <d v="2017-08-01T00:00:00"/>
    <s v="2017-18"/>
    <n v="2017"/>
    <x v="0"/>
    <x v="0"/>
    <s v="Maharashtra"/>
    <n v="27"/>
    <s v="State"/>
    <n v="3504.23"/>
    <n v="4855.67"/>
    <n v="4383.49"/>
    <n v="847.19"/>
    <n v="12743.39"/>
    <n v="13590.58"/>
    <m/>
  </r>
  <r>
    <d v="2017-08-01T00:00:00"/>
    <s v="2017-18"/>
    <n v="2017"/>
    <x v="0"/>
    <x v="0"/>
    <s v="Manipur"/>
    <n v="14"/>
    <s v="State"/>
    <n v="3.66"/>
    <n v="8.9700000000000006"/>
    <n v="0.89"/>
    <n v="0.16"/>
    <n v="13.52"/>
    <n v="13.68"/>
    <m/>
  </r>
  <r>
    <d v="2017-08-01T00:00:00"/>
    <s v="2017-18"/>
    <n v="2017"/>
    <x v="0"/>
    <x v="0"/>
    <s v="Meghalaya"/>
    <n v="17"/>
    <s v="State"/>
    <n v="12.1"/>
    <n v="20.59"/>
    <n v="37.93"/>
    <n v="6.86"/>
    <n v="70.62"/>
    <n v="77.48"/>
    <m/>
  </r>
  <r>
    <d v="2017-08-01T00:00:00"/>
    <s v="2017-18"/>
    <n v="2017"/>
    <x v="0"/>
    <x v="0"/>
    <s v="Mizoram"/>
    <n v="15"/>
    <s v="State"/>
    <n v="1.59"/>
    <n v="4.17"/>
    <n v="0.26"/>
    <n v="0.03"/>
    <n v="6.02"/>
    <n v="6.05"/>
    <m/>
  </r>
  <r>
    <d v="2017-08-01T00:00:00"/>
    <s v="2017-18"/>
    <n v="2017"/>
    <x v="0"/>
    <x v="0"/>
    <s v="Nagaland"/>
    <n v="13"/>
    <s v="State"/>
    <n v="2.65"/>
    <n v="5.57"/>
    <n v="5.41"/>
    <n v="0.1"/>
    <n v="13.63"/>
    <n v="13.73"/>
    <m/>
  </r>
  <r>
    <d v="2017-08-01T00:00:00"/>
    <s v="2017-18"/>
    <n v="2017"/>
    <x v="0"/>
    <x v="0"/>
    <s v="Odisha"/>
    <n v="21"/>
    <s v="State"/>
    <n v="317.68"/>
    <n v="471.37"/>
    <n v="555.89"/>
    <n v="564.80999999999995"/>
    <n v="1344.94"/>
    <n v="1909.75"/>
    <m/>
  </r>
  <r>
    <d v="2017-08-01T00:00:00"/>
    <s v="2017-18"/>
    <n v="2017"/>
    <x v="0"/>
    <x v="0"/>
    <s v="Puducherry"/>
    <n v="34"/>
    <s v="Union Territory"/>
    <n v="19.690000000000001"/>
    <n v="35.549999999999997"/>
    <n v="152.16"/>
    <n v="0.54"/>
    <n v="207.4"/>
    <n v="207.94"/>
    <m/>
  </r>
  <r>
    <d v="2017-08-01T00:00:00"/>
    <s v="2017-18"/>
    <n v="2017"/>
    <x v="0"/>
    <x v="0"/>
    <s v="Punjab"/>
    <n v="3"/>
    <s v="State"/>
    <n v="313.45"/>
    <n v="577.38"/>
    <n v="618.5"/>
    <n v="12.5"/>
    <n v="1509.33"/>
    <n v="1521.83"/>
    <m/>
  </r>
  <r>
    <d v="2017-08-01T00:00:00"/>
    <s v="2017-18"/>
    <n v="2017"/>
    <x v="0"/>
    <x v="0"/>
    <s v="Rajasthan"/>
    <n v="8"/>
    <s v="State"/>
    <n v="522.29"/>
    <n v="806.2"/>
    <n v="1084.97"/>
    <n v="126.74"/>
    <n v="2413.46"/>
    <n v="2540.1999999999998"/>
    <m/>
  </r>
  <r>
    <d v="2017-08-01T00:00:00"/>
    <s v="2017-18"/>
    <n v="2017"/>
    <x v="0"/>
    <x v="0"/>
    <s v="Sikkim"/>
    <n v="11"/>
    <s v="State"/>
    <n v="5.09"/>
    <n v="24.81"/>
    <n v="130.09"/>
    <n v="0.04"/>
    <n v="159.99"/>
    <n v="160.03"/>
    <m/>
  </r>
  <r>
    <d v="2017-08-01T00:00:00"/>
    <s v="2017-18"/>
    <n v="2017"/>
    <x v="0"/>
    <x v="0"/>
    <s v="Tamil Nadu"/>
    <n v="33"/>
    <s v="State"/>
    <n v="1505.14"/>
    <n v="2472.9299999999998"/>
    <n v="2218.65"/>
    <n v="429.37"/>
    <n v="6196.72"/>
    <n v="6626.09"/>
    <m/>
  </r>
  <r>
    <d v="2017-08-01T00:00:00"/>
    <s v="2017-18"/>
    <n v="2017"/>
    <x v="0"/>
    <x v="0"/>
    <s v="Telangana"/>
    <n v="36"/>
    <s v="State"/>
    <n v="543.29"/>
    <n v="840.53"/>
    <n v="929.76"/>
    <n v="445.13"/>
    <n v="2313.58"/>
    <n v="2758.71"/>
    <m/>
  </r>
  <r>
    <d v="2017-08-01T00:00:00"/>
    <s v="2017-18"/>
    <n v="2017"/>
    <x v="0"/>
    <x v="0"/>
    <s v="Tripura"/>
    <n v="16"/>
    <s v="State"/>
    <n v="11.34"/>
    <n v="18.71"/>
    <n v="2.8"/>
    <n v="4.24"/>
    <n v="32.85"/>
    <n v="37.090000000000003"/>
    <m/>
  </r>
  <r>
    <d v="2017-08-01T00:00:00"/>
    <s v="2017-18"/>
    <n v="2017"/>
    <x v="0"/>
    <x v="0"/>
    <s v="Uttar Pradesh"/>
    <n v="9"/>
    <s v="State"/>
    <n v="931.02"/>
    <n v="1569.63"/>
    <n v="1468.42"/>
    <n v="757.93"/>
    <n v="3969.07"/>
    <n v="4727"/>
    <m/>
  </r>
  <r>
    <d v="2017-08-01T00:00:00"/>
    <s v="2017-18"/>
    <n v="2017"/>
    <x v="0"/>
    <x v="0"/>
    <s v="Uttarakhand"/>
    <n v="5"/>
    <s v="State"/>
    <n v="150.38"/>
    <n v="285.43"/>
    <n v="1241.9100000000001"/>
    <n v="15.13"/>
    <n v="1677.72"/>
    <n v="1692.85"/>
    <m/>
  </r>
  <r>
    <d v="2017-08-01T00:00:00"/>
    <s v="2017-18"/>
    <n v="2017"/>
    <x v="0"/>
    <x v="0"/>
    <s v="West Bengal"/>
    <n v="19"/>
    <s v="State"/>
    <n v="751.01"/>
    <n v="1118.82"/>
    <n v="858.65"/>
    <n v="280.42"/>
    <n v="2728.48"/>
    <n v="3008.9"/>
    <m/>
  </r>
  <r>
    <d v="2017-09-01T00:00:00"/>
    <s v="2017-18"/>
    <n v="2017"/>
    <x v="1"/>
    <x v="1"/>
    <s v="Andaman and Nicobar Islands"/>
    <n v="35"/>
    <s v="Union Territory"/>
    <n v="12.07"/>
    <n v="13.37"/>
    <n v="0.74"/>
    <n v="0"/>
    <n v="26.18"/>
    <n v="26.18"/>
    <m/>
  </r>
  <r>
    <d v="2017-09-01T00:00:00"/>
    <s v="2017-18"/>
    <n v="2017"/>
    <x v="1"/>
    <x v="1"/>
    <s v="Andhra Pradesh"/>
    <n v="28"/>
    <s v="State"/>
    <n v="428.46"/>
    <n v="634.91999999999996"/>
    <n v="718.73"/>
    <n v="19.93"/>
    <n v="1782.11"/>
    <n v="1802.04"/>
    <m/>
  </r>
  <r>
    <d v="2017-09-01T00:00:00"/>
    <s v="2017-18"/>
    <n v="2017"/>
    <x v="1"/>
    <x v="1"/>
    <s v="Arunachal Pradesh"/>
    <n v="12"/>
    <s v="State"/>
    <n v="2.5499999999999998"/>
    <n v="4.29"/>
    <n v="2.5"/>
    <n v="0.03"/>
    <n v="9.34"/>
    <n v="9.3699999999999992"/>
    <m/>
  </r>
  <r>
    <d v="2017-09-01T00:00:00"/>
    <s v="2017-18"/>
    <n v="2017"/>
    <x v="1"/>
    <x v="1"/>
    <s v="Assam"/>
    <n v="18"/>
    <s v="State"/>
    <n v="155.97"/>
    <n v="250.95"/>
    <n v="234.04"/>
    <n v="31.81"/>
    <n v="640.96"/>
    <n v="672.77"/>
    <m/>
  </r>
  <r>
    <d v="2017-09-01T00:00:00"/>
    <s v="2017-18"/>
    <n v="2017"/>
    <x v="1"/>
    <x v="1"/>
    <s v="Bihar"/>
    <n v="10"/>
    <s v="State"/>
    <n v="130.25"/>
    <n v="260.97000000000003"/>
    <n v="79.17"/>
    <n v="203.85"/>
    <n v="470.39"/>
    <n v="674.24"/>
    <m/>
  </r>
  <r>
    <d v="2017-09-01T00:00:00"/>
    <s v="2017-18"/>
    <n v="2017"/>
    <x v="1"/>
    <x v="1"/>
    <s v="Chandigarh"/>
    <n v="4"/>
    <s v="Union Territory"/>
    <n v="31.94"/>
    <n v="43.68"/>
    <n v="70.989999999999995"/>
    <n v="1.03"/>
    <n v="146.61000000000001"/>
    <n v="147.63999999999999"/>
    <m/>
  </r>
  <r>
    <d v="2017-09-01T00:00:00"/>
    <s v="2017-18"/>
    <n v="2017"/>
    <x v="1"/>
    <x v="1"/>
    <s v="Chhattisgarh"/>
    <n v="22"/>
    <s v="State"/>
    <n v="237.28"/>
    <n v="330.84"/>
    <n v="396.97"/>
    <n v="634.34"/>
    <n v="965.09"/>
    <n v="1599.43"/>
    <m/>
  </r>
  <r>
    <d v="2017-09-01T00:00:00"/>
    <s v="2017-18"/>
    <n v="2017"/>
    <x v="1"/>
    <x v="1"/>
    <s v="Dadra and Nagar Haveli and Daman and Diu"/>
    <n v="38"/>
    <s v="Union Territory"/>
    <n v="20.61"/>
    <n v="32.74"/>
    <n v="238.98"/>
    <n v="0.21"/>
    <n v="292.33"/>
    <n v="292.54000000000002"/>
    <m/>
  </r>
  <r>
    <d v="2017-09-01T00:00:00"/>
    <s v="2017-18"/>
    <n v="2017"/>
    <x v="1"/>
    <x v="1"/>
    <s v="Delhi"/>
    <n v="7"/>
    <s v="Union Territory"/>
    <n v="745.28"/>
    <n v="1021.16"/>
    <n v="1535.08"/>
    <n v="103.21"/>
    <n v="3301.52"/>
    <n v="3404.73"/>
    <m/>
  </r>
  <r>
    <d v="2017-09-01T00:00:00"/>
    <s v="2017-18"/>
    <n v="2017"/>
    <x v="1"/>
    <x v="1"/>
    <s v="Goa"/>
    <n v="30"/>
    <s v="State"/>
    <n v="76.39"/>
    <n v="109.27"/>
    <n v="163.56"/>
    <n v="2.58"/>
    <n v="349.22"/>
    <n v="351.8"/>
    <m/>
  </r>
  <r>
    <d v="2017-09-01T00:00:00"/>
    <s v="2017-18"/>
    <n v="2017"/>
    <x v="1"/>
    <x v="1"/>
    <s v="Gujarat"/>
    <n v="24"/>
    <s v="State"/>
    <n v="1401.94"/>
    <n v="1877.44"/>
    <n v="2143.73"/>
    <n v="298.11"/>
    <n v="5423.11"/>
    <n v="5721.22"/>
    <m/>
  </r>
  <r>
    <d v="2017-09-01T00:00:00"/>
    <s v="2017-18"/>
    <n v="2017"/>
    <x v="1"/>
    <x v="1"/>
    <s v="Haryana"/>
    <n v="6"/>
    <s v="State"/>
    <n v="747.89"/>
    <n v="1147.96"/>
    <n v="3181.07"/>
    <n v="363.26"/>
    <n v="5076.92"/>
    <n v="5440.18"/>
    <m/>
  </r>
  <r>
    <d v="2017-09-01T00:00:00"/>
    <s v="2017-18"/>
    <n v="2017"/>
    <x v="1"/>
    <x v="1"/>
    <s v="Himachal Pradesh"/>
    <n v="2"/>
    <s v="State"/>
    <n v="90.25"/>
    <n v="134.94"/>
    <n v="518.72"/>
    <n v="1.67"/>
    <n v="743.91"/>
    <n v="745.58"/>
    <m/>
  </r>
  <r>
    <d v="2017-09-01T00:00:00"/>
    <s v="2017-18"/>
    <n v="2017"/>
    <x v="1"/>
    <x v="1"/>
    <s v="Jammu and Kashmir"/>
    <n v="1"/>
    <s v="Union Territory"/>
    <n v="71.31"/>
    <n v="136.54"/>
    <n v="107"/>
    <n v="4.92"/>
    <n v="314.85000000000002"/>
    <n v="319.77"/>
    <m/>
  </r>
  <r>
    <d v="2017-09-01T00:00:00"/>
    <s v="2017-18"/>
    <n v="2017"/>
    <x v="1"/>
    <x v="1"/>
    <s v="Jharkhand"/>
    <n v="20"/>
    <s v="State"/>
    <n v="210.01"/>
    <n v="295.25"/>
    <n v="697.34"/>
    <n v="437.86"/>
    <n v="1202.5999999999999"/>
    <n v="1640.46"/>
    <m/>
  </r>
  <r>
    <d v="2017-09-01T00:00:00"/>
    <s v="2017-18"/>
    <n v="2017"/>
    <x v="1"/>
    <x v="1"/>
    <s v="Karnataka"/>
    <n v="29"/>
    <s v="State"/>
    <n v="1363.58"/>
    <n v="1996.53"/>
    <n v="1941.17"/>
    <n v="838.44"/>
    <n v="5301.28"/>
    <n v="6139.72"/>
    <m/>
  </r>
  <r>
    <d v="2017-09-01T00:00:00"/>
    <s v="2017-18"/>
    <n v="2017"/>
    <x v="1"/>
    <x v="1"/>
    <s v="Kerala"/>
    <n v="32"/>
    <s v="State"/>
    <n v="483.3"/>
    <n v="802.58"/>
    <n v="243.71"/>
    <n v="13.55"/>
    <n v="1529.59"/>
    <n v="1543.14"/>
    <m/>
  </r>
  <r>
    <d v="2017-09-01T00:00:00"/>
    <s v="2017-18"/>
    <n v="2017"/>
    <x v="1"/>
    <x v="1"/>
    <s v="Lakshadweep"/>
    <n v="31"/>
    <s v="Union Territory"/>
    <n v="0.4"/>
    <n v="0.4"/>
    <n v="0.03"/>
    <n v="0"/>
    <n v="0.83"/>
    <n v="0.83"/>
    <m/>
  </r>
  <r>
    <d v="2017-09-01T00:00:00"/>
    <s v="2017-18"/>
    <n v="2017"/>
    <x v="1"/>
    <x v="1"/>
    <s v="Madhya Pradesh"/>
    <n v="23"/>
    <s v="State"/>
    <n v="391.63"/>
    <n v="567.30999999999995"/>
    <n v="533.07000000000005"/>
    <n v="414.14"/>
    <n v="1492.01"/>
    <n v="1906.15"/>
    <m/>
  </r>
  <r>
    <d v="2017-09-01T00:00:00"/>
    <s v="2017-18"/>
    <n v="2017"/>
    <x v="1"/>
    <x v="1"/>
    <s v="Maharashtra"/>
    <n v="27"/>
    <s v="State"/>
    <n v="3381.9"/>
    <n v="4557.62"/>
    <n v="4162.2700000000004"/>
    <n v="945.88"/>
    <n v="12101.79"/>
    <n v="13047.67"/>
    <m/>
  </r>
  <r>
    <d v="2017-09-01T00:00:00"/>
    <s v="2017-18"/>
    <n v="2017"/>
    <x v="1"/>
    <x v="1"/>
    <s v="Manipur"/>
    <n v="14"/>
    <s v="State"/>
    <n v="4.5999999999999996"/>
    <n v="7.91"/>
    <n v="1.03"/>
    <n v="0.18"/>
    <n v="13.54"/>
    <n v="13.72"/>
    <m/>
  </r>
  <r>
    <d v="2017-09-01T00:00:00"/>
    <s v="2017-18"/>
    <n v="2017"/>
    <x v="1"/>
    <x v="1"/>
    <s v="Meghalaya"/>
    <n v="17"/>
    <s v="State"/>
    <n v="8.4600000000000009"/>
    <n v="14.05"/>
    <n v="39.94"/>
    <n v="0.09"/>
    <n v="62.45"/>
    <n v="62.54"/>
    <m/>
  </r>
  <r>
    <d v="2017-09-01T00:00:00"/>
    <s v="2017-18"/>
    <n v="2017"/>
    <x v="1"/>
    <x v="1"/>
    <s v="Mizoram"/>
    <n v="15"/>
    <s v="State"/>
    <n v="2.46"/>
    <n v="4.46"/>
    <n v="0.6"/>
    <n v="0"/>
    <n v="7.52"/>
    <n v="7.52"/>
    <m/>
  </r>
  <r>
    <d v="2017-09-01T00:00:00"/>
    <s v="2017-18"/>
    <n v="2017"/>
    <x v="1"/>
    <x v="1"/>
    <s v="Nagaland"/>
    <n v="13"/>
    <s v="State"/>
    <n v="2.97"/>
    <n v="5.67"/>
    <n v="4.4000000000000004"/>
    <n v="0.13"/>
    <n v="13.04"/>
    <n v="13.17"/>
    <m/>
  </r>
  <r>
    <d v="2017-09-01T00:00:00"/>
    <s v="2017-18"/>
    <n v="2017"/>
    <x v="1"/>
    <x v="1"/>
    <s v="Odisha"/>
    <n v="21"/>
    <s v="State"/>
    <n v="332"/>
    <n v="450.53"/>
    <n v="468.11"/>
    <n v="465.56"/>
    <n v="1250.6400000000001"/>
    <n v="1716.2"/>
    <m/>
  </r>
  <r>
    <d v="2017-09-01T00:00:00"/>
    <s v="2017-18"/>
    <n v="2017"/>
    <x v="1"/>
    <x v="1"/>
    <s v="Puducherry"/>
    <n v="34"/>
    <s v="Union Territory"/>
    <n v="19.829999999999998"/>
    <n v="32.57"/>
    <n v="131.51"/>
    <n v="0.41"/>
    <n v="183.91"/>
    <n v="184.32"/>
    <m/>
  </r>
  <r>
    <d v="2017-09-01T00:00:00"/>
    <s v="2017-18"/>
    <n v="2017"/>
    <x v="1"/>
    <x v="1"/>
    <s v="Punjab"/>
    <n v="3"/>
    <s v="State"/>
    <n v="276.49"/>
    <n v="491.65"/>
    <n v="507.03"/>
    <n v="13.87"/>
    <n v="1275.17"/>
    <n v="1289.04"/>
    <m/>
  </r>
  <r>
    <d v="2017-09-01T00:00:00"/>
    <s v="2017-18"/>
    <n v="2017"/>
    <x v="1"/>
    <x v="1"/>
    <s v="Rajasthan"/>
    <n v="8"/>
    <s v="State"/>
    <n v="518.84"/>
    <n v="774.14"/>
    <n v="833.47"/>
    <n v="157.78"/>
    <n v="2126.4499999999998"/>
    <n v="2284.23"/>
    <m/>
  </r>
  <r>
    <d v="2017-09-01T00:00:00"/>
    <s v="2017-18"/>
    <n v="2017"/>
    <x v="1"/>
    <x v="1"/>
    <s v="Sikkim"/>
    <n v="11"/>
    <s v="State"/>
    <n v="4.09"/>
    <n v="7.18"/>
    <n v="144.99"/>
    <n v="0.02"/>
    <n v="156.26"/>
    <n v="156.28"/>
    <m/>
  </r>
  <r>
    <d v="2017-09-01T00:00:00"/>
    <s v="2017-18"/>
    <n v="2017"/>
    <x v="1"/>
    <x v="1"/>
    <s v="Tamil Nadu"/>
    <n v="33"/>
    <s v="State"/>
    <n v="1487.85"/>
    <n v="2220.66"/>
    <n v="1972.8"/>
    <n v="503.27"/>
    <n v="5681.31"/>
    <n v="6184.58"/>
    <m/>
  </r>
  <r>
    <d v="2017-09-01T00:00:00"/>
    <s v="2017-18"/>
    <n v="2017"/>
    <x v="1"/>
    <x v="1"/>
    <s v="Telangana"/>
    <n v="36"/>
    <s v="State"/>
    <n v="565.52"/>
    <n v="803.39"/>
    <n v="863.21"/>
    <n v="484.68"/>
    <n v="2232.12"/>
    <n v="2716.8"/>
    <m/>
  </r>
  <r>
    <d v="2017-09-01T00:00:00"/>
    <s v="2017-18"/>
    <n v="2017"/>
    <x v="1"/>
    <x v="1"/>
    <s v="Tripura"/>
    <n v="16"/>
    <s v="State"/>
    <n v="11.13"/>
    <n v="19.079999999999998"/>
    <n v="3.29"/>
    <n v="0.49"/>
    <n v="33.5"/>
    <n v="33.99"/>
    <m/>
  </r>
  <r>
    <d v="2017-09-01T00:00:00"/>
    <s v="2017-18"/>
    <n v="2017"/>
    <x v="1"/>
    <x v="1"/>
    <s v="Uttar Pradesh"/>
    <n v="9"/>
    <s v="State"/>
    <n v="933.99"/>
    <n v="1438.64"/>
    <n v="1381.1"/>
    <n v="1085.93"/>
    <n v="3753.73"/>
    <n v="4839.66"/>
    <m/>
  </r>
  <r>
    <d v="2017-09-01T00:00:00"/>
    <s v="2017-18"/>
    <n v="2017"/>
    <x v="1"/>
    <x v="1"/>
    <s v="Uttarakhand"/>
    <n v="5"/>
    <s v="State"/>
    <n v="150.13"/>
    <n v="307.52999999999997"/>
    <n v="998.81"/>
    <n v="14.95"/>
    <n v="1456.47"/>
    <n v="1471.42"/>
    <m/>
  </r>
  <r>
    <d v="2017-09-01T00:00:00"/>
    <s v="2017-18"/>
    <n v="2017"/>
    <x v="1"/>
    <x v="1"/>
    <s v="West Bengal"/>
    <n v="19"/>
    <s v="State"/>
    <n v="829.96"/>
    <n v="1183.08"/>
    <n v="670.45"/>
    <n v="259.31"/>
    <n v="2683.49"/>
    <n v="2942.8"/>
    <m/>
  </r>
  <r>
    <d v="2017-10-01T00:00:00"/>
    <s v="2017-18"/>
    <n v="2017"/>
    <x v="2"/>
    <x v="2"/>
    <s v="Andaman and Nicobar Islands"/>
    <n v="35"/>
    <s v="Union Territory"/>
    <n v="8"/>
    <n v="9.85"/>
    <n v="0.7"/>
    <n v="0.04"/>
    <n v="18.55"/>
    <n v="18.59"/>
    <m/>
  </r>
  <r>
    <d v="2017-10-01T00:00:00"/>
    <s v="2017-18"/>
    <n v="2017"/>
    <x v="2"/>
    <x v="2"/>
    <s v="Andhra Pradesh"/>
    <n v="28"/>
    <s v="State"/>
    <n v="435.16"/>
    <n v="701.86"/>
    <n v="670.84"/>
    <n v="20.72"/>
    <n v="1807.86"/>
    <n v="1828.58"/>
    <m/>
  </r>
  <r>
    <d v="2017-10-01T00:00:00"/>
    <s v="2017-18"/>
    <n v="2017"/>
    <x v="2"/>
    <x v="2"/>
    <s v="Arunachal Pradesh"/>
    <n v="12"/>
    <s v="State"/>
    <n v="4.16"/>
    <n v="6.05"/>
    <n v="2.2200000000000002"/>
    <n v="0.21"/>
    <n v="12.43"/>
    <n v="12.64"/>
    <m/>
  </r>
  <r>
    <d v="2017-10-01T00:00:00"/>
    <s v="2017-18"/>
    <n v="2017"/>
    <x v="2"/>
    <x v="2"/>
    <s v="Assam"/>
    <n v="18"/>
    <s v="State"/>
    <n v="147.93"/>
    <n v="237.68"/>
    <n v="200.29"/>
    <n v="38.659999999999997"/>
    <n v="585.9"/>
    <n v="624.55999999999995"/>
    <m/>
  </r>
  <r>
    <d v="2017-10-01T00:00:00"/>
    <s v="2017-18"/>
    <n v="2017"/>
    <x v="2"/>
    <x v="2"/>
    <s v="Bihar"/>
    <n v="10"/>
    <s v="State"/>
    <n v="140.80000000000001"/>
    <n v="307.70999999999998"/>
    <n v="65.02"/>
    <n v="131.63"/>
    <n v="513.53"/>
    <n v="645.16"/>
    <m/>
  </r>
  <r>
    <d v="2017-10-01T00:00:00"/>
    <s v="2017-18"/>
    <n v="2017"/>
    <x v="2"/>
    <x v="2"/>
    <s v="Chandigarh"/>
    <n v="4"/>
    <s v="Union Territory"/>
    <n v="29.25"/>
    <n v="42.09"/>
    <n v="72.23"/>
    <n v="1.03"/>
    <n v="143.57"/>
    <n v="144.6"/>
    <m/>
  </r>
  <r>
    <d v="2017-10-01T00:00:00"/>
    <s v="2017-18"/>
    <n v="2017"/>
    <x v="2"/>
    <x v="2"/>
    <s v="Chhattisgarh"/>
    <n v="22"/>
    <s v="State"/>
    <n v="220.93"/>
    <n v="306.23"/>
    <n v="479.93"/>
    <n v="547.99"/>
    <n v="1007.09"/>
    <n v="1555.08"/>
    <m/>
  </r>
  <r>
    <d v="2017-10-01T00:00:00"/>
    <s v="2017-18"/>
    <n v="2017"/>
    <x v="2"/>
    <x v="2"/>
    <s v="Dadra and Nagar Haveli and Daman and Diu"/>
    <n v="38"/>
    <s v="Union Territory"/>
    <n v="22.11"/>
    <n v="34.409999999999997"/>
    <n v="236.14"/>
    <n v="0.21"/>
    <n v="292.66000000000003"/>
    <n v="292.87"/>
    <m/>
  </r>
  <r>
    <d v="2017-10-01T00:00:00"/>
    <s v="2017-18"/>
    <n v="2017"/>
    <x v="2"/>
    <x v="2"/>
    <s v="Delhi"/>
    <n v="7"/>
    <s v="Union Territory"/>
    <n v="760.16"/>
    <n v="1069.1500000000001"/>
    <n v="1588.95"/>
    <n v="108.57"/>
    <n v="3418.26"/>
    <n v="3526.83"/>
    <m/>
  </r>
  <r>
    <d v="2017-10-01T00:00:00"/>
    <s v="2017-18"/>
    <n v="2017"/>
    <x v="2"/>
    <x v="2"/>
    <s v="Goa"/>
    <n v="30"/>
    <s v="State"/>
    <n v="69.239999999999995"/>
    <n v="105.51"/>
    <n v="168.52"/>
    <n v="2.94"/>
    <n v="343.27"/>
    <n v="346.21"/>
    <m/>
  </r>
  <r>
    <d v="2017-10-01T00:00:00"/>
    <s v="2017-18"/>
    <n v="2017"/>
    <x v="2"/>
    <x v="2"/>
    <s v="Gujarat"/>
    <n v="24"/>
    <s v="State"/>
    <n v="1400.77"/>
    <n v="1880.76"/>
    <n v="2286.6799999999998"/>
    <n v="314.58"/>
    <n v="5568.21"/>
    <n v="5882.79"/>
    <m/>
  </r>
  <r>
    <d v="2017-10-01T00:00:00"/>
    <s v="2017-18"/>
    <n v="2017"/>
    <x v="2"/>
    <x v="2"/>
    <s v="Haryana"/>
    <n v="6"/>
    <s v="State"/>
    <n v="700.03"/>
    <n v="1144.46"/>
    <n v="2849.56"/>
    <n v="369.15"/>
    <n v="4694.05"/>
    <n v="5063.2"/>
    <m/>
  </r>
  <r>
    <d v="2017-10-01T00:00:00"/>
    <s v="2017-18"/>
    <n v="2017"/>
    <x v="2"/>
    <x v="2"/>
    <s v="Himachal Pradesh"/>
    <n v="2"/>
    <s v="State"/>
    <n v="70.77"/>
    <n v="133.41999999999999"/>
    <n v="494.68"/>
    <n v="1.53"/>
    <n v="698.87"/>
    <n v="700.4"/>
    <m/>
  </r>
  <r>
    <d v="2017-10-01T00:00:00"/>
    <s v="2017-18"/>
    <n v="2017"/>
    <x v="2"/>
    <x v="2"/>
    <s v="Jammu and Kashmir"/>
    <n v="1"/>
    <s v="Union Territory"/>
    <n v="63.39"/>
    <n v="113.18"/>
    <n v="108.06"/>
    <n v="3.09"/>
    <n v="284.63"/>
    <n v="287.72000000000003"/>
    <m/>
  </r>
  <r>
    <d v="2017-10-01T00:00:00"/>
    <s v="2017-18"/>
    <n v="2017"/>
    <x v="2"/>
    <x v="2"/>
    <s v="Jharkhand"/>
    <n v="20"/>
    <s v="State"/>
    <n v="230.02"/>
    <n v="347.48"/>
    <n v="715.45"/>
    <n v="453.73"/>
    <n v="1292.95"/>
    <n v="1746.68"/>
    <m/>
  </r>
  <r>
    <d v="2017-10-01T00:00:00"/>
    <s v="2017-18"/>
    <n v="2017"/>
    <x v="2"/>
    <x v="2"/>
    <s v="Karnataka"/>
    <n v="29"/>
    <s v="State"/>
    <n v="1283.33"/>
    <n v="1921.92"/>
    <n v="2232.16"/>
    <n v="811.09"/>
    <n v="5437.41"/>
    <n v="6248.5"/>
    <m/>
  </r>
  <r>
    <d v="2017-10-01T00:00:00"/>
    <s v="2017-18"/>
    <n v="2017"/>
    <x v="2"/>
    <x v="2"/>
    <s v="Kerala"/>
    <n v="32"/>
    <s v="State"/>
    <n v="458.24"/>
    <n v="736.9"/>
    <n v="254.35"/>
    <n v="7.65"/>
    <n v="1449.49"/>
    <n v="1457.14"/>
    <m/>
  </r>
  <r>
    <d v="2017-10-01T00:00:00"/>
    <s v="2017-18"/>
    <n v="2017"/>
    <x v="2"/>
    <x v="2"/>
    <s v="Lakshadweep"/>
    <n v="31"/>
    <s v="Union Territory"/>
    <n v="0.28000000000000003"/>
    <n v="0.3"/>
    <n v="0.02"/>
    <n v="0"/>
    <n v="0.6"/>
    <n v="0.6"/>
    <m/>
  </r>
  <r>
    <d v="2017-10-01T00:00:00"/>
    <s v="2017-18"/>
    <n v="2017"/>
    <x v="2"/>
    <x v="2"/>
    <s v="Madhya Pradesh"/>
    <n v="23"/>
    <s v="State"/>
    <n v="355.14"/>
    <n v="577.07000000000005"/>
    <n v="587.78"/>
    <n v="407.24"/>
    <n v="1519.99"/>
    <n v="1927.23"/>
    <m/>
  </r>
  <r>
    <d v="2017-10-01T00:00:00"/>
    <s v="2017-18"/>
    <n v="2017"/>
    <x v="2"/>
    <x v="2"/>
    <s v="Maharashtra"/>
    <n v="27"/>
    <s v="State"/>
    <n v="3559.82"/>
    <n v="4938.8999999999996"/>
    <n v="4765.38"/>
    <n v="1056.3699999999999"/>
    <n v="13264.1"/>
    <n v="14320.47"/>
    <m/>
  </r>
  <r>
    <d v="2017-10-01T00:00:00"/>
    <s v="2017-18"/>
    <n v="2017"/>
    <x v="2"/>
    <x v="2"/>
    <s v="Manipur"/>
    <n v="14"/>
    <s v="State"/>
    <n v="6.31"/>
    <n v="12.26"/>
    <n v="0.92"/>
    <n v="0.01"/>
    <n v="19.489999999999998"/>
    <n v="19.5"/>
    <m/>
  </r>
  <r>
    <d v="2017-10-01T00:00:00"/>
    <s v="2017-18"/>
    <n v="2017"/>
    <x v="2"/>
    <x v="2"/>
    <s v="Meghalaya"/>
    <n v="17"/>
    <s v="State"/>
    <n v="10.6"/>
    <n v="16.690000000000001"/>
    <n v="38.04"/>
    <n v="0.1"/>
    <n v="65.33"/>
    <n v="65.430000000000007"/>
    <m/>
  </r>
  <r>
    <d v="2017-10-01T00:00:00"/>
    <s v="2017-18"/>
    <n v="2017"/>
    <x v="2"/>
    <x v="2"/>
    <s v="Mizoram"/>
    <n v="15"/>
    <s v="State"/>
    <n v="3.93"/>
    <n v="5.55"/>
    <n v="0.99"/>
    <n v="0"/>
    <n v="10.47"/>
    <n v="10.47"/>
    <m/>
  </r>
  <r>
    <d v="2017-10-01T00:00:00"/>
    <s v="2017-18"/>
    <n v="2017"/>
    <x v="2"/>
    <x v="2"/>
    <s v="Nagaland"/>
    <n v="13"/>
    <s v="State"/>
    <n v="3.73"/>
    <n v="5.69"/>
    <n v="5.17"/>
    <n v="0.12"/>
    <n v="14.59"/>
    <n v="14.71"/>
    <m/>
  </r>
  <r>
    <d v="2017-10-01T00:00:00"/>
    <s v="2017-18"/>
    <n v="2017"/>
    <x v="2"/>
    <x v="2"/>
    <s v="Odisha"/>
    <n v="21"/>
    <s v="State"/>
    <n v="321.88"/>
    <n v="529.86"/>
    <n v="481.14"/>
    <n v="468.05"/>
    <n v="1332.88"/>
    <n v="1800.93"/>
    <m/>
  </r>
  <r>
    <d v="2017-10-01T00:00:00"/>
    <s v="2017-18"/>
    <n v="2017"/>
    <x v="2"/>
    <x v="2"/>
    <s v="Puducherry"/>
    <n v="34"/>
    <s v="Union Territory"/>
    <n v="19.87"/>
    <n v="31.53"/>
    <n v="91.34"/>
    <n v="1.49"/>
    <n v="142.74"/>
    <n v="144.22999999999999"/>
    <m/>
  </r>
  <r>
    <d v="2017-10-01T00:00:00"/>
    <s v="2017-18"/>
    <n v="2017"/>
    <x v="2"/>
    <x v="2"/>
    <s v="Punjab"/>
    <n v="3"/>
    <s v="State"/>
    <n v="263.8"/>
    <n v="477.63"/>
    <n v="522.09"/>
    <n v="13.49"/>
    <n v="1263.52"/>
    <n v="1277.01"/>
    <m/>
  </r>
  <r>
    <d v="2017-10-01T00:00:00"/>
    <s v="2017-18"/>
    <n v="2017"/>
    <x v="2"/>
    <x v="2"/>
    <s v="Rajasthan"/>
    <n v="8"/>
    <s v="State"/>
    <n v="530.78"/>
    <n v="808.66"/>
    <n v="759.75"/>
    <n v="156.55000000000001"/>
    <n v="2099.19"/>
    <n v="2255.7399999999998"/>
    <m/>
  </r>
  <r>
    <d v="2017-10-01T00:00:00"/>
    <s v="2017-18"/>
    <n v="2017"/>
    <x v="2"/>
    <x v="2"/>
    <s v="Sikkim"/>
    <n v="11"/>
    <s v="State"/>
    <n v="10.16"/>
    <n v="13.36"/>
    <n v="116.72"/>
    <n v="0.08"/>
    <n v="140.24"/>
    <n v="140.32"/>
    <m/>
  </r>
  <r>
    <d v="2017-10-01T00:00:00"/>
    <s v="2017-18"/>
    <n v="2017"/>
    <x v="2"/>
    <x v="2"/>
    <s v="Tamil Nadu"/>
    <n v="33"/>
    <s v="State"/>
    <n v="1457.13"/>
    <n v="2132.29"/>
    <n v="1913.92"/>
    <n v="589.61"/>
    <n v="5503.34"/>
    <n v="6092.95"/>
    <m/>
  </r>
  <r>
    <d v="2017-10-01T00:00:00"/>
    <s v="2017-18"/>
    <n v="2017"/>
    <x v="2"/>
    <x v="2"/>
    <s v="Telangana"/>
    <n v="36"/>
    <s v="State"/>
    <n v="565.15"/>
    <n v="847.61"/>
    <n v="853.96"/>
    <n v="492.04"/>
    <n v="2266.7199999999998"/>
    <n v="2758.76"/>
    <m/>
  </r>
  <r>
    <d v="2017-10-01T00:00:00"/>
    <s v="2017-18"/>
    <n v="2017"/>
    <x v="2"/>
    <x v="2"/>
    <s v="Tripura"/>
    <n v="16"/>
    <s v="State"/>
    <n v="23.62"/>
    <n v="30.54"/>
    <n v="2.89"/>
    <n v="0.16"/>
    <n v="57.05"/>
    <n v="57.21"/>
    <m/>
  </r>
  <r>
    <d v="2017-10-01T00:00:00"/>
    <s v="2017-18"/>
    <n v="2017"/>
    <x v="2"/>
    <x v="2"/>
    <s v="Uttar Pradesh"/>
    <n v="9"/>
    <s v="State"/>
    <n v="928.42"/>
    <n v="1477.13"/>
    <n v="1340.51"/>
    <n v="930.65"/>
    <n v="3746.06"/>
    <n v="4676.71"/>
    <m/>
  </r>
  <r>
    <d v="2017-10-01T00:00:00"/>
    <s v="2017-18"/>
    <n v="2017"/>
    <x v="2"/>
    <x v="2"/>
    <s v="Uttarakhand"/>
    <n v="5"/>
    <s v="State"/>
    <n v="143.5"/>
    <n v="278.72000000000003"/>
    <n v="1240.6199999999999"/>
    <n v="22.97"/>
    <n v="1662.84"/>
    <n v="1685.81"/>
    <m/>
  </r>
  <r>
    <d v="2017-10-01T00:00:00"/>
    <s v="2017-18"/>
    <n v="2017"/>
    <x v="2"/>
    <x v="2"/>
    <s v="West Bengal"/>
    <n v="19"/>
    <s v="State"/>
    <n v="693.87"/>
    <n v="1042.51"/>
    <n v="708.67"/>
    <n v="339.52"/>
    <n v="2445.0500000000002"/>
    <n v="2784.57"/>
    <m/>
  </r>
  <r>
    <d v="2017-11-01T00:00:00"/>
    <s v="2017-18"/>
    <n v="2017"/>
    <x v="3"/>
    <x v="3"/>
    <s v="Andaman and Nicobar Islands"/>
    <n v="35"/>
    <s v="Union Territory"/>
    <n v="10.199999999999999"/>
    <n v="11.63"/>
    <n v="1.27"/>
    <n v="0.03"/>
    <n v="23.1"/>
    <n v="23.13"/>
    <m/>
  </r>
  <r>
    <d v="2017-11-01T00:00:00"/>
    <s v="2017-18"/>
    <n v="2017"/>
    <x v="3"/>
    <x v="3"/>
    <s v="Andhra Pradesh"/>
    <n v="28"/>
    <s v="State"/>
    <n v="389.38"/>
    <n v="588.89"/>
    <n v="669.29"/>
    <n v="20.010000000000002"/>
    <n v="1647.56"/>
    <n v="1667.57"/>
    <m/>
  </r>
  <r>
    <d v="2017-11-01T00:00:00"/>
    <s v="2017-18"/>
    <n v="2017"/>
    <x v="3"/>
    <x v="3"/>
    <s v="Arunachal Pradesh"/>
    <n v="12"/>
    <s v="State"/>
    <n v="2.98"/>
    <n v="4.8600000000000003"/>
    <n v="3.37"/>
    <n v="0"/>
    <n v="11.21"/>
    <n v="11.21"/>
    <m/>
  </r>
  <r>
    <d v="2017-11-01T00:00:00"/>
    <s v="2017-18"/>
    <n v="2017"/>
    <x v="3"/>
    <x v="3"/>
    <s v="Assam"/>
    <n v="18"/>
    <s v="State"/>
    <n v="150.31"/>
    <n v="227.85"/>
    <n v="226.84"/>
    <n v="49.07"/>
    <n v="605"/>
    <n v="654.07000000000005"/>
    <m/>
  </r>
  <r>
    <d v="2017-11-01T00:00:00"/>
    <s v="2017-18"/>
    <n v="2017"/>
    <x v="3"/>
    <x v="3"/>
    <s v="Bihar"/>
    <n v="10"/>
    <s v="State"/>
    <n v="142.18"/>
    <n v="285.17"/>
    <n v="76.03"/>
    <n v="88.93"/>
    <n v="503.38"/>
    <n v="592.30999999999995"/>
    <m/>
  </r>
  <r>
    <d v="2017-11-01T00:00:00"/>
    <s v="2017-18"/>
    <n v="2017"/>
    <x v="3"/>
    <x v="3"/>
    <s v="Chandigarh"/>
    <n v="4"/>
    <s v="Union Territory"/>
    <n v="30.33"/>
    <n v="45.77"/>
    <n v="68.62"/>
    <n v="0.57999999999999996"/>
    <n v="144.72"/>
    <n v="145.30000000000001"/>
    <m/>
  </r>
  <r>
    <d v="2017-11-01T00:00:00"/>
    <s v="2017-18"/>
    <n v="2017"/>
    <x v="3"/>
    <x v="3"/>
    <s v="Chhattisgarh"/>
    <n v="22"/>
    <s v="State"/>
    <n v="209.82"/>
    <n v="302.39999999999998"/>
    <n v="467.79"/>
    <n v="523.72"/>
    <n v="980.01"/>
    <n v="1503.73"/>
    <m/>
  </r>
  <r>
    <d v="2017-11-01T00:00:00"/>
    <s v="2017-18"/>
    <n v="2017"/>
    <x v="3"/>
    <x v="3"/>
    <s v="Dadra and Nagar Haveli and Daman and Diu"/>
    <n v="38"/>
    <s v="Union Territory"/>
    <n v="20.03"/>
    <n v="31.32"/>
    <n v="233.46"/>
    <n v="0.27"/>
    <n v="284.81"/>
    <n v="285.08"/>
    <m/>
  </r>
  <r>
    <d v="2017-11-01T00:00:00"/>
    <s v="2017-18"/>
    <n v="2017"/>
    <x v="3"/>
    <x v="3"/>
    <s v="Delhi"/>
    <n v="7"/>
    <s v="Union Territory"/>
    <n v="678.45"/>
    <n v="951.49"/>
    <n v="1489.96"/>
    <n v="111.64"/>
    <n v="3119.9"/>
    <n v="3231.54"/>
    <m/>
  </r>
  <r>
    <d v="2017-11-01T00:00:00"/>
    <s v="2017-18"/>
    <n v="2017"/>
    <x v="3"/>
    <x v="3"/>
    <s v="Goa"/>
    <n v="30"/>
    <s v="State"/>
    <n v="81.77"/>
    <n v="114.97"/>
    <n v="145.41"/>
    <n v="2.48"/>
    <n v="342.15"/>
    <n v="344.63"/>
    <m/>
  </r>
  <r>
    <d v="2017-11-01T00:00:00"/>
    <s v="2017-18"/>
    <n v="2017"/>
    <x v="3"/>
    <x v="3"/>
    <s v="Gujarat"/>
    <n v="24"/>
    <s v="State"/>
    <n v="1330.45"/>
    <n v="1748.09"/>
    <n v="1984.66"/>
    <n v="324.13"/>
    <n v="5063.2"/>
    <n v="5387.33"/>
    <m/>
  </r>
  <r>
    <d v="2017-11-01T00:00:00"/>
    <s v="2017-18"/>
    <n v="2017"/>
    <x v="3"/>
    <x v="3"/>
    <s v="Haryana"/>
    <n v="6"/>
    <s v="State"/>
    <n v="641.97"/>
    <n v="1063.17"/>
    <n v="2589.71"/>
    <n v="373.72"/>
    <n v="4294.8500000000004"/>
    <n v="4668.57"/>
    <m/>
  </r>
  <r>
    <d v="2017-11-01T00:00:00"/>
    <s v="2017-18"/>
    <n v="2017"/>
    <x v="3"/>
    <x v="3"/>
    <s v="Himachal Pradesh"/>
    <n v="2"/>
    <s v="State"/>
    <n v="70.489999999999995"/>
    <n v="117.78"/>
    <n v="460.08"/>
    <n v="1.05"/>
    <n v="648.35"/>
    <n v="649.4"/>
    <m/>
  </r>
  <r>
    <d v="2017-11-01T00:00:00"/>
    <s v="2017-18"/>
    <n v="2017"/>
    <x v="3"/>
    <x v="3"/>
    <s v="Jammu and Kashmir"/>
    <n v="1"/>
    <s v="Union Territory"/>
    <n v="66.27"/>
    <n v="120.32"/>
    <n v="99.53"/>
    <n v="12.83"/>
    <n v="286.12"/>
    <n v="298.95"/>
    <m/>
  </r>
  <r>
    <d v="2017-11-01T00:00:00"/>
    <s v="2017-18"/>
    <n v="2017"/>
    <x v="3"/>
    <x v="3"/>
    <s v="Jharkhand"/>
    <n v="20"/>
    <s v="State"/>
    <n v="206.72"/>
    <n v="333.96"/>
    <n v="830.19"/>
    <n v="437.43"/>
    <n v="1370.87"/>
    <n v="1808.3"/>
    <m/>
  </r>
  <r>
    <d v="2017-11-01T00:00:00"/>
    <s v="2017-18"/>
    <n v="2017"/>
    <x v="3"/>
    <x v="3"/>
    <s v="Karnataka"/>
    <n v="29"/>
    <s v="State"/>
    <n v="1151.04"/>
    <n v="1709.72"/>
    <n v="1755.08"/>
    <n v="580.25"/>
    <n v="4615.84"/>
    <n v="5196.09"/>
    <m/>
  </r>
  <r>
    <d v="2017-11-01T00:00:00"/>
    <s v="2017-18"/>
    <n v="2017"/>
    <x v="3"/>
    <x v="3"/>
    <s v="Kerala"/>
    <n v="32"/>
    <s v="State"/>
    <n v="410.37"/>
    <n v="611.52"/>
    <n v="215.74"/>
    <n v="11.9"/>
    <n v="1237.6300000000001"/>
    <n v="1249.53"/>
    <m/>
  </r>
  <r>
    <d v="2017-11-01T00:00:00"/>
    <s v="2017-18"/>
    <n v="2017"/>
    <x v="3"/>
    <x v="3"/>
    <s v="Lakshadweep"/>
    <n v="31"/>
    <s v="Union Territory"/>
    <n v="0.79"/>
    <n v="0.8"/>
    <n v="0.06"/>
    <n v="0"/>
    <n v="1.65"/>
    <n v="1.65"/>
    <m/>
  </r>
  <r>
    <d v="2017-11-01T00:00:00"/>
    <s v="2017-18"/>
    <n v="2017"/>
    <x v="3"/>
    <x v="3"/>
    <s v="Madhya Pradesh"/>
    <n v="23"/>
    <s v="State"/>
    <n v="363.71"/>
    <n v="586.45000000000005"/>
    <n v="498.79"/>
    <n v="425"/>
    <n v="1448.95"/>
    <n v="1873.95"/>
    <m/>
  </r>
  <r>
    <d v="2017-11-01T00:00:00"/>
    <s v="2017-18"/>
    <n v="2017"/>
    <x v="3"/>
    <x v="3"/>
    <s v="Maharashtra"/>
    <n v="27"/>
    <s v="State"/>
    <n v="3206.99"/>
    <n v="4347.12"/>
    <n v="3866.25"/>
    <n v="852.76"/>
    <n v="11420.36"/>
    <n v="12273.12"/>
    <m/>
  </r>
  <r>
    <d v="2017-11-01T00:00:00"/>
    <s v="2017-18"/>
    <n v="2017"/>
    <x v="3"/>
    <x v="3"/>
    <s v="Manipur"/>
    <n v="14"/>
    <s v="State"/>
    <n v="4.1399999999999997"/>
    <n v="6.37"/>
    <n v="0.92"/>
    <n v="0.01"/>
    <n v="11.43"/>
    <n v="11.44"/>
    <m/>
  </r>
  <r>
    <d v="2017-11-01T00:00:00"/>
    <s v="2017-18"/>
    <n v="2017"/>
    <x v="3"/>
    <x v="3"/>
    <s v="Meghalaya"/>
    <n v="17"/>
    <s v="State"/>
    <n v="11.9"/>
    <n v="16.32"/>
    <n v="32.72"/>
    <n v="0.09"/>
    <n v="60.94"/>
    <n v="61.03"/>
    <m/>
  </r>
  <r>
    <d v="2017-11-01T00:00:00"/>
    <s v="2017-18"/>
    <n v="2017"/>
    <x v="3"/>
    <x v="3"/>
    <s v="Mizoram"/>
    <n v="15"/>
    <s v="State"/>
    <n v="2.87"/>
    <n v="4.83"/>
    <n v="0.74"/>
    <n v="0.04"/>
    <n v="8.44"/>
    <n v="8.48"/>
    <m/>
  </r>
  <r>
    <d v="2017-11-01T00:00:00"/>
    <s v="2017-18"/>
    <n v="2017"/>
    <x v="3"/>
    <x v="3"/>
    <s v="Nagaland"/>
    <n v="13"/>
    <s v="State"/>
    <n v="3.48"/>
    <n v="5.46"/>
    <n v="3.44"/>
    <n v="0.06"/>
    <n v="12.38"/>
    <n v="12.44"/>
    <m/>
  </r>
  <r>
    <d v="2017-11-01T00:00:00"/>
    <s v="2017-18"/>
    <n v="2017"/>
    <x v="3"/>
    <x v="3"/>
    <s v="Odisha"/>
    <n v="21"/>
    <s v="State"/>
    <n v="308.62"/>
    <n v="444.02"/>
    <n v="523.61"/>
    <n v="508.13"/>
    <n v="1276.25"/>
    <n v="1784.38"/>
    <m/>
  </r>
  <r>
    <d v="2017-11-01T00:00:00"/>
    <s v="2017-18"/>
    <n v="2017"/>
    <x v="3"/>
    <x v="3"/>
    <s v="Puducherry"/>
    <n v="34"/>
    <s v="Union Territory"/>
    <n v="20.59"/>
    <n v="31.73"/>
    <n v="121.94"/>
    <n v="0.15"/>
    <n v="174.26"/>
    <n v="174.41"/>
    <m/>
  </r>
  <r>
    <d v="2017-11-01T00:00:00"/>
    <s v="2017-18"/>
    <n v="2017"/>
    <x v="3"/>
    <x v="3"/>
    <s v="Punjab"/>
    <n v="3"/>
    <s v="State"/>
    <n v="245.96"/>
    <n v="442.91"/>
    <n v="504.93"/>
    <n v="11.14"/>
    <n v="1193.8"/>
    <n v="1204.94"/>
    <m/>
  </r>
  <r>
    <d v="2017-11-01T00:00:00"/>
    <s v="2017-18"/>
    <n v="2017"/>
    <x v="3"/>
    <x v="3"/>
    <s v="Rajasthan"/>
    <n v="8"/>
    <s v="State"/>
    <n v="537.63"/>
    <n v="764.66"/>
    <n v="738.85"/>
    <n v="141.36000000000001"/>
    <n v="2041.14"/>
    <n v="2182.5"/>
    <m/>
  </r>
  <r>
    <d v="2017-11-01T00:00:00"/>
    <s v="2017-18"/>
    <n v="2017"/>
    <x v="3"/>
    <x v="3"/>
    <s v="Sikkim"/>
    <n v="11"/>
    <s v="State"/>
    <n v="10.36"/>
    <n v="13.75"/>
    <n v="121.74"/>
    <n v="0.1"/>
    <n v="145.85"/>
    <n v="145.94999999999999"/>
    <m/>
  </r>
  <r>
    <d v="2017-11-01T00:00:00"/>
    <s v="2017-18"/>
    <n v="2017"/>
    <x v="3"/>
    <x v="3"/>
    <s v="Tamil Nadu"/>
    <n v="33"/>
    <s v="State"/>
    <n v="1288.1600000000001"/>
    <n v="1912.97"/>
    <n v="1494.64"/>
    <n v="539.94000000000005"/>
    <n v="4695.7700000000004"/>
    <n v="5235.71"/>
    <m/>
  </r>
  <r>
    <d v="2017-11-01T00:00:00"/>
    <s v="2017-18"/>
    <n v="2017"/>
    <x v="3"/>
    <x v="3"/>
    <s v="Telangana"/>
    <n v="36"/>
    <s v="State"/>
    <n v="496.81"/>
    <n v="750.62"/>
    <n v="801.86"/>
    <n v="394.1"/>
    <n v="2049.29"/>
    <n v="2443.39"/>
    <m/>
  </r>
  <r>
    <d v="2017-11-01T00:00:00"/>
    <s v="2017-18"/>
    <n v="2017"/>
    <x v="3"/>
    <x v="3"/>
    <s v="Tripura"/>
    <n v="16"/>
    <s v="State"/>
    <n v="12.88"/>
    <n v="19.43"/>
    <n v="2.7"/>
    <n v="0.28000000000000003"/>
    <n v="35.01"/>
    <n v="35.29"/>
    <m/>
  </r>
  <r>
    <d v="2017-11-01T00:00:00"/>
    <s v="2017-18"/>
    <n v="2017"/>
    <x v="3"/>
    <x v="3"/>
    <s v="Uttar Pradesh"/>
    <n v="9"/>
    <s v="State"/>
    <n v="838.12"/>
    <n v="1358.37"/>
    <n v="1197.47"/>
    <n v="774.11"/>
    <n v="3393.96"/>
    <n v="4168.07"/>
    <m/>
  </r>
  <r>
    <d v="2017-11-01T00:00:00"/>
    <s v="2017-18"/>
    <n v="2017"/>
    <x v="3"/>
    <x v="3"/>
    <s v="Uttarakhand"/>
    <n v="5"/>
    <s v="State"/>
    <n v="143.53"/>
    <n v="306.87"/>
    <n v="763.45"/>
    <n v="24.27"/>
    <n v="1213.8499999999999"/>
    <n v="1238.1199999999999"/>
    <m/>
  </r>
  <r>
    <d v="2017-11-01T00:00:00"/>
    <s v="2017-18"/>
    <n v="2017"/>
    <x v="3"/>
    <x v="3"/>
    <s v="West Bengal"/>
    <n v="19"/>
    <s v="State"/>
    <n v="592.9"/>
    <n v="1000.51"/>
    <n v="654.30999999999995"/>
    <n v="210.19"/>
    <n v="2247.7199999999998"/>
    <n v="2457.91"/>
    <m/>
  </r>
  <r>
    <d v="2017-12-01T00:00:00"/>
    <s v="2017-18"/>
    <n v="2017"/>
    <x v="4"/>
    <x v="4"/>
    <s v="Andaman and Nicobar Islands"/>
    <n v="35"/>
    <s v="Union Territory"/>
    <n v="5.59"/>
    <n v="8.15"/>
    <n v="1.02"/>
    <n v="0.05"/>
    <n v="14.76"/>
    <n v="14.81"/>
    <m/>
  </r>
  <r>
    <d v="2017-12-01T00:00:00"/>
    <s v="2017-18"/>
    <n v="2017"/>
    <x v="4"/>
    <x v="4"/>
    <s v="Andhra Pradesh"/>
    <n v="28"/>
    <s v="State"/>
    <n v="390.48"/>
    <n v="572.87"/>
    <n v="608.72"/>
    <n v="12.84"/>
    <n v="1572.07"/>
    <n v="1584.91"/>
    <m/>
  </r>
  <r>
    <d v="2017-12-01T00:00:00"/>
    <s v="2017-18"/>
    <n v="2017"/>
    <x v="4"/>
    <x v="4"/>
    <s v="Arunachal Pradesh"/>
    <n v="12"/>
    <s v="State"/>
    <n v="3.33"/>
    <n v="6.27"/>
    <n v="2.14"/>
    <n v="0.15"/>
    <n v="11.74"/>
    <n v="11.89"/>
    <m/>
  </r>
  <r>
    <d v="2017-12-01T00:00:00"/>
    <s v="2017-18"/>
    <n v="2017"/>
    <x v="4"/>
    <x v="4"/>
    <s v="Assam"/>
    <n v="18"/>
    <s v="State"/>
    <n v="135.81"/>
    <n v="196.87"/>
    <n v="207.13"/>
    <n v="49.7"/>
    <n v="539.80999999999995"/>
    <n v="589.51"/>
    <m/>
  </r>
  <r>
    <d v="2017-12-01T00:00:00"/>
    <s v="2017-18"/>
    <n v="2017"/>
    <x v="4"/>
    <x v="4"/>
    <s v="Bihar"/>
    <n v="10"/>
    <s v="State"/>
    <n v="139.57"/>
    <n v="264.52"/>
    <n v="87.8"/>
    <n v="174.71"/>
    <n v="491.89"/>
    <n v="666.6"/>
    <m/>
  </r>
  <r>
    <d v="2017-12-01T00:00:00"/>
    <s v="2017-18"/>
    <n v="2017"/>
    <x v="4"/>
    <x v="4"/>
    <s v="Chandigarh"/>
    <n v="4"/>
    <s v="Union Territory"/>
    <n v="26.78"/>
    <n v="37.6"/>
    <n v="67.459999999999994"/>
    <n v="0.62"/>
    <n v="131.84"/>
    <n v="132.46"/>
    <m/>
  </r>
  <r>
    <d v="2017-12-01T00:00:00"/>
    <s v="2017-18"/>
    <n v="2017"/>
    <x v="4"/>
    <x v="4"/>
    <s v="Chhattisgarh"/>
    <n v="22"/>
    <s v="State"/>
    <n v="233.07"/>
    <n v="303.7"/>
    <n v="445.13"/>
    <n v="600.4"/>
    <n v="981.9"/>
    <n v="1582.3"/>
    <m/>
  </r>
  <r>
    <d v="2017-12-01T00:00:00"/>
    <s v="2017-18"/>
    <n v="2017"/>
    <x v="4"/>
    <x v="4"/>
    <s v="Dadra and Nagar Haveli and Daman and Diu"/>
    <n v="38"/>
    <s v="Union Territory"/>
    <n v="20"/>
    <n v="31.03"/>
    <n v="182.31"/>
    <n v="0.06"/>
    <n v="233.34"/>
    <n v="233.4"/>
    <m/>
  </r>
  <r>
    <d v="2017-12-01T00:00:00"/>
    <s v="2017-18"/>
    <n v="2017"/>
    <x v="4"/>
    <x v="4"/>
    <s v="Delhi"/>
    <n v="7"/>
    <s v="Union Territory"/>
    <n v="646.27"/>
    <n v="859.81"/>
    <n v="1450.77"/>
    <n v="93.61"/>
    <n v="2956.85"/>
    <n v="3050.46"/>
    <m/>
  </r>
  <r>
    <d v="2017-12-01T00:00:00"/>
    <s v="2017-18"/>
    <n v="2017"/>
    <x v="4"/>
    <x v="4"/>
    <s v="Goa"/>
    <n v="30"/>
    <s v="State"/>
    <n v="73.48"/>
    <n v="111.94"/>
    <n v="128.19"/>
    <n v="1.72"/>
    <n v="313.61"/>
    <n v="315.33"/>
    <m/>
  </r>
  <r>
    <d v="2017-12-01T00:00:00"/>
    <s v="2017-18"/>
    <n v="2017"/>
    <x v="4"/>
    <x v="4"/>
    <s v="Gujarat"/>
    <n v="24"/>
    <s v="State"/>
    <n v="1386.71"/>
    <n v="1790.21"/>
    <n v="1894.13"/>
    <n v="301.14"/>
    <n v="5071.05"/>
    <n v="5372.19"/>
    <m/>
  </r>
  <r>
    <d v="2017-12-01T00:00:00"/>
    <s v="2017-18"/>
    <n v="2017"/>
    <x v="4"/>
    <x v="4"/>
    <s v="Haryana"/>
    <n v="6"/>
    <s v="State"/>
    <n v="603.42999999999995"/>
    <n v="968.19"/>
    <n v="2168.4899999999998"/>
    <n v="340.26"/>
    <n v="3740.11"/>
    <n v="4080.37"/>
    <m/>
  </r>
  <r>
    <d v="2017-12-01T00:00:00"/>
    <s v="2017-18"/>
    <n v="2017"/>
    <x v="4"/>
    <x v="4"/>
    <s v="Himachal Pradesh"/>
    <n v="2"/>
    <s v="State"/>
    <n v="74.239999999999995"/>
    <n v="109.68"/>
    <n v="432.62"/>
    <n v="1.27"/>
    <n v="616.54"/>
    <n v="617.80999999999995"/>
    <m/>
  </r>
  <r>
    <d v="2017-12-01T00:00:00"/>
    <s v="2017-18"/>
    <n v="2017"/>
    <x v="4"/>
    <x v="4"/>
    <s v="Jammu and Kashmir"/>
    <n v="1"/>
    <s v="Union Territory"/>
    <n v="86.14"/>
    <n v="143.66999999999999"/>
    <n v="83.97"/>
    <n v="0.92"/>
    <n v="313.77999999999997"/>
    <n v="314.7"/>
    <m/>
  </r>
  <r>
    <d v="2017-12-01T00:00:00"/>
    <s v="2017-18"/>
    <n v="2017"/>
    <x v="4"/>
    <x v="4"/>
    <s v="Jharkhand"/>
    <n v="20"/>
    <s v="State"/>
    <n v="216.83"/>
    <n v="328.45"/>
    <n v="739.07"/>
    <n v="425.18"/>
    <n v="1284.3499999999999"/>
    <n v="1709.53"/>
    <m/>
  </r>
  <r>
    <d v="2017-12-01T00:00:00"/>
    <s v="2017-18"/>
    <n v="2017"/>
    <x v="4"/>
    <x v="4"/>
    <s v="Karnataka"/>
    <n v="29"/>
    <s v="State"/>
    <n v="1219.43"/>
    <n v="1684.99"/>
    <n v="1760.64"/>
    <n v="903.43"/>
    <n v="4665.0600000000004"/>
    <n v="5568.49"/>
    <m/>
  </r>
  <r>
    <d v="2017-12-01T00:00:00"/>
    <s v="2017-18"/>
    <n v="2017"/>
    <x v="4"/>
    <x v="4"/>
    <s v="Kerala"/>
    <n v="32"/>
    <s v="State"/>
    <n v="395.67"/>
    <n v="608.44000000000005"/>
    <n v="238.66"/>
    <n v="6.28"/>
    <n v="1242.77"/>
    <n v="1249.05"/>
    <m/>
  </r>
  <r>
    <d v="2017-12-01T00:00:00"/>
    <s v="2017-18"/>
    <n v="2017"/>
    <x v="4"/>
    <x v="4"/>
    <s v="Lakshadweep"/>
    <n v="31"/>
    <s v="Union Territory"/>
    <n v="0.37"/>
    <n v="0.38"/>
    <n v="0.05"/>
    <n v="0"/>
    <n v="0.8"/>
    <n v="0.8"/>
    <m/>
  </r>
  <r>
    <d v="2017-12-01T00:00:00"/>
    <s v="2017-18"/>
    <n v="2017"/>
    <x v="4"/>
    <x v="4"/>
    <s v="Madhya Pradesh"/>
    <n v="23"/>
    <s v="State"/>
    <n v="416.88"/>
    <n v="599.09"/>
    <n v="491.69"/>
    <n v="365.85"/>
    <n v="1507.66"/>
    <n v="1873.51"/>
    <m/>
  </r>
  <r>
    <d v="2017-12-01T00:00:00"/>
    <s v="2017-18"/>
    <n v="2017"/>
    <x v="4"/>
    <x v="4"/>
    <s v="Maharashtra"/>
    <n v="27"/>
    <s v="State"/>
    <n v="3359.82"/>
    <n v="4361.38"/>
    <n v="4151.0600000000004"/>
    <n v="937.74"/>
    <n v="11872.26"/>
    <n v="12810"/>
    <m/>
  </r>
  <r>
    <d v="2017-12-01T00:00:00"/>
    <s v="2017-18"/>
    <n v="2017"/>
    <x v="4"/>
    <x v="4"/>
    <s v="Manipur"/>
    <n v="14"/>
    <s v="State"/>
    <n v="4.3899999999999997"/>
    <n v="8.52"/>
    <n v="0.73"/>
    <n v="0.08"/>
    <n v="13.64"/>
    <n v="13.72"/>
    <m/>
  </r>
  <r>
    <d v="2017-12-01T00:00:00"/>
    <s v="2017-18"/>
    <n v="2017"/>
    <x v="4"/>
    <x v="4"/>
    <s v="Meghalaya"/>
    <n v="17"/>
    <s v="State"/>
    <n v="8.82"/>
    <n v="15.12"/>
    <n v="46.26"/>
    <n v="0.18"/>
    <n v="70.2"/>
    <n v="70.38"/>
    <m/>
  </r>
  <r>
    <d v="2017-12-01T00:00:00"/>
    <s v="2017-18"/>
    <n v="2017"/>
    <x v="4"/>
    <x v="4"/>
    <s v="Mizoram"/>
    <n v="15"/>
    <s v="State"/>
    <n v="2.04"/>
    <n v="3.55"/>
    <n v="0.91"/>
    <n v="0.08"/>
    <n v="6.5"/>
    <n v="6.58"/>
    <m/>
  </r>
  <r>
    <d v="2017-12-01T00:00:00"/>
    <s v="2017-18"/>
    <n v="2017"/>
    <x v="4"/>
    <x v="4"/>
    <s v="Nagaland"/>
    <n v="13"/>
    <s v="State"/>
    <n v="2.62"/>
    <n v="4.2699999999999996"/>
    <n v="3"/>
    <n v="0.44"/>
    <n v="9.89"/>
    <n v="10.33"/>
    <m/>
  </r>
  <r>
    <d v="2017-12-01T00:00:00"/>
    <s v="2017-18"/>
    <n v="2017"/>
    <x v="4"/>
    <x v="4"/>
    <s v="Odisha"/>
    <n v="21"/>
    <s v="State"/>
    <n v="301.57"/>
    <n v="400.68"/>
    <n v="505.74"/>
    <n v="496.85"/>
    <n v="1207.99"/>
    <n v="1704.84"/>
    <m/>
  </r>
  <r>
    <d v="2017-12-01T00:00:00"/>
    <s v="2017-18"/>
    <n v="2017"/>
    <x v="4"/>
    <x v="4"/>
    <s v="Puducherry"/>
    <n v="34"/>
    <s v="Union Territory"/>
    <n v="16.899999999999999"/>
    <n v="27.79"/>
    <n v="116.37"/>
    <n v="0.09"/>
    <n v="161.06"/>
    <n v="161.15"/>
    <m/>
  </r>
  <r>
    <d v="2017-12-01T00:00:00"/>
    <s v="2017-18"/>
    <n v="2017"/>
    <x v="4"/>
    <x v="4"/>
    <s v="Punjab"/>
    <n v="3"/>
    <s v="State"/>
    <n v="225.83"/>
    <n v="390.35"/>
    <n v="455.67"/>
    <n v="5.62"/>
    <n v="1071.8499999999999"/>
    <n v="1077.47"/>
    <m/>
  </r>
  <r>
    <d v="2017-12-01T00:00:00"/>
    <s v="2017-18"/>
    <n v="2017"/>
    <x v="4"/>
    <x v="4"/>
    <s v="Rajasthan"/>
    <n v="8"/>
    <s v="State"/>
    <n v="546.29"/>
    <n v="746.48"/>
    <n v="723.17"/>
    <n v="132.05000000000001"/>
    <n v="2015.94"/>
    <n v="2147.9899999999998"/>
    <m/>
  </r>
  <r>
    <d v="2017-12-01T00:00:00"/>
    <s v="2017-18"/>
    <n v="2017"/>
    <x v="4"/>
    <x v="4"/>
    <s v="Sikkim"/>
    <n v="11"/>
    <s v="State"/>
    <n v="6.53"/>
    <n v="10.19"/>
    <n v="147"/>
    <n v="0.02"/>
    <n v="163.72"/>
    <n v="163.74"/>
    <m/>
  </r>
  <r>
    <d v="2017-12-01T00:00:00"/>
    <s v="2017-18"/>
    <n v="2017"/>
    <x v="4"/>
    <x v="4"/>
    <s v="Tamil Nadu"/>
    <n v="33"/>
    <s v="State"/>
    <n v="1229.68"/>
    <n v="1796.28"/>
    <n v="1460.74"/>
    <n v="527.75"/>
    <n v="4486.7"/>
    <n v="5014.45"/>
    <m/>
  </r>
  <r>
    <d v="2017-12-01T00:00:00"/>
    <s v="2017-18"/>
    <n v="2017"/>
    <x v="4"/>
    <x v="4"/>
    <s v="Telangana"/>
    <n v="36"/>
    <s v="State"/>
    <n v="520.44000000000005"/>
    <n v="741.2"/>
    <n v="714.8"/>
    <n v="513.29"/>
    <n v="1976.44"/>
    <n v="2489.73"/>
    <m/>
  </r>
  <r>
    <d v="2017-12-01T00:00:00"/>
    <s v="2017-18"/>
    <n v="2017"/>
    <x v="4"/>
    <x v="4"/>
    <s v="Tripura"/>
    <n v="16"/>
    <s v="State"/>
    <n v="9.91"/>
    <n v="16.66"/>
    <n v="2.79"/>
    <n v="0.44"/>
    <n v="29.36"/>
    <n v="29.8"/>
    <m/>
  </r>
  <r>
    <d v="2017-12-01T00:00:00"/>
    <s v="2017-18"/>
    <n v="2017"/>
    <x v="4"/>
    <x v="4"/>
    <s v="Uttar Pradesh"/>
    <n v="9"/>
    <s v="State"/>
    <n v="842.9"/>
    <n v="1317.77"/>
    <n v="1220.74"/>
    <n v="1007.36"/>
    <n v="3381.41"/>
    <n v="4388.7700000000004"/>
    <m/>
  </r>
  <r>
    <d v="2017-12-01T00:00:00"/>
    <s v="2017-18"/>
    <n v="2017"/>
    <x v="4"/>
    <x v="4"/>
    <s v="Uttarakhand"/>
    <n v="5"/>
    <s v="State"/>
    <n v="132.38999999999999"/>
    <n v="263.5"/>
    <n v="778.49"/>
    <n v="11.8"/>
    <n v="1174.3800000000001"/>
    <n v="1186.18"/>
    <m/>
  </r>
  <r>
    <d v="2017-12-01T00:00:00"/>
    <s v="2017-18"/>
    <n v="2017"/>
    <x v="4"/>
    <x v="4"/>
    <s v="West Bengal"/>
    <n v="19"/>
    <s v="State"/>
    <n v="635.11"/>
    <n v="957.5"/>
    <n v="703.87"/>
    <n v="252.01"/>
    <n v="2296.48"/>
    <n v="2548.4899999999998"/>
    <m/>
  </r>
  <r>
    <d v="2018-01-01T00:00:00"/>
    <s v="2017-18"/>
    <n v="2018"/>
    <x v="5"/>
    <x v="5"/>
    <s v="Andaman and Nicobar Islands"/>
    <n v="35"/>
    <s v="Union Territory"/>
    <n v="5.66"/>
    <n v="7.95"/>
    <n v="0.87"/>
    <n v="0.03"/>
    <n v="14.48"/>
    <n v="14.51"/>
    <m/>
  </r>
  <r>
    <d v="2018-01-01T00:00:00"/>
    <s v="2017-18"/>
    <n v="2018"/>
    <x v="5"/>
    <x v="5"/>
    <s v="Andhra Pradesh"/>
    <n v="28"/>
    <s v="State"/>
    <n v="489.06"/>
    <n v="713.84"/>
    <n v="697.32"/>
    <n v="20.58"/>
    <n v="1900.22"/>
    <n v="1920.8"/>
    <m/>
  </r>
  <r>
    <d v="2018-01-01T00:00:00"/>
    <s v="2017-18"/>
    <n v="2018"/>
    <x v="5"/>
    <x v="5"/>
    <s v="Arunachal Pradesh"/>
    <n v="12"/>
    <s v="State"/>
    <n v="4.72"/>
    <n v="8.57"/>
    <n v="3.03"/>
    <n v="0.14000000000000001"/>
    <n v="16.32"/>
    <n v="16.46"/>
    <m/>
  </r>
  <r>
    <d v="2018-01-01T00:00:00"/>
    <s v="2017-18"/>
    <n v="2018"/>
    <x v="5"/>
    <x v="5"/>
    <s v="Assam"/>
    <n v="18"/>
    <s v="State"/>
    <n v="141.38999999999999"/>
    <n v="222.14"/>
    <n v="175.96"/>
    <n v="38.46"/>
    <n v="539.49"/>
    <n v="577.95000000000005"/>
    <m/>
  </r>
  <r>
    <d v="2018-01-01T00:00:00"/>
    <s v="2017-18"/>
    <n v="2018"/>
    <x v="5"/>
    <x v="5"/>
    <s v="Bihar"/>
    <n v="10"/>
    <s v="State"/>
    <n v="136.37"/>
    <n v="280.74"/>
    <n v="78.45"/>
    <n v="146"/>
    <n v="495.56"/>
    <n v="641.55999999999995"/>
    <m/>
  </r>
  <r>
    <d v="2018-01-01T00:00:00"/>
    <s v="2017-18"/>
    <n v="2018"/>
    <x v="5"/>
    <x v="5"/>
    <s v="Chandigarh"/>
    <n v="4"/>
    <s v="Union Territory"/>
    <n v="27.01"/>
    <n v="41.53"/>
    <n v="77.64"/>
    <n v="1.35"/>
    <n v="146.18"/>
    <n v="147.53"/>
    <m/>
  </r>
  <r>
    <d v="2018-01-01T00:00:00"/>
    <s v="2017-18"/>
    <n v="2018"/>
    <x v="5"/>
    <x v="5"/>
    <s v="Chhattisgarh"/>
    <n v="22"/>
    <s v="State"/>
    <n v="279.02999999999997"/>
    <n v="367.35"/>
    <n v="530.4"/>
    <n v="597.23"/>
    <n v="1176.78"/>
    <n v="1774.01"/>
    <m/>
  </r>
  <r>
    <d v="2018-01-01T00:00:00"/>
    <s v="2017-18"/>
    <n v="2018"/>
    <x v="5"/>
    <x v="5"/>
    <s v="Dadra and Nagar Haveli and Daman and Diu"/>
    <n v="38"/>
    <s v="Union Territory"/>
    <n v="24.41"/>
    <n v="33.9"/>
    <n v="193.01"/>
    <n v="0.28999999999999998"/>
    <n v="251.32"/>
    <n v="251.61"/>
    <m/>
  </r>
  <r>
    <d v="2018-01-01T00:00:00"/>
    <s v="2017-18"/>
    <n v="2018"/>
    <x v="5"/>
    <x v="5"/>
    <s v="Delhi"/>
    <n v="7"/>
    <s v="Union Territory"/>
    <n v="825.37"/>
    <n v="1099.6199999999999"/>
    <n v="1596.28"/>
    <n v="81.45"/>
    <n v="3521.27"/>
    <n v="3602.72"/>
    <m/>
  </r>
  <r>
    <d v="2018-01-01T00:00:00"/>
    <s v="2017-18"/>
    <n v="2018"/>
    <x v="5"/>
    <x v="5"/>
    <s v="Goa"/>
    <n v="30"/>
    <s v="State"/>
    <n v="82.76"/>
    <n v="116.78"/>
    <n v="103.7"/>
    <n v="2.27"/>
    <n v="303.24"/>
    <n v="305.51"/>
    <m/>
  </r>
  <r>
    <d v="2018-01-01T00:00:00"/>
    <s v="2017-18"/>
    <n v="2018"/>
    <x v="5"/>
    <x v="5"/>
    <s v="Gujarat"/>
    <n v="24"/>
    <s v="State"/>
    <n v="1532.26"/>
    <n v="2060.8000000000002"/>
    <n v="1876.07"/>
    <n v="309.57"/>
    <n v="5469.13"/>
    <n v="5778.7"/>
    <m/>
  </r>
  <r>
    <d v="2018-01-01T00:00:00"/>
    <s v="2017-18"/>
    <n v="2018"/>
    <x v="5"/>
    <x v="5"/>
    <s v="Haryana"/>
    <n v="6"/>
    <s v="State"/>
    <n v="609.78"/>
    <n v="965.79"/>
    <n v="2376.42"/>
    <n v="310.94"/>
    <n v="3951.99"/>
    <n v="4262.93"/>
    <m/>
  </r>
  <r>
    <d v="2018-01-01T00:00:00"/>
    <s v="2017-18"/>
    <n v="2018"/>
    <x v="5"/>
    <x v="5"/>
    <s v="Himachal Pradesh"/>
    <n v="2"/>
    <s v="State"/>
    <n v="78.44"/>
    <n v="125.25"/>
    <n v="394.38"/>
    <n v="1.59"/>
    <n v="598.07000000000005"/>
    <n v="599.66"/>
    <m/>
  </r>
  <r>
    <d v="2018-01-01T00:00:00"/>
    <s v="2017-18"/>
    <n v="2018"/>
    <x v="5"/>
    <x v="5"/>
    <s v="Jammu and Kashmir"/>
    <n v="1"/>
    <s v="Union Territory"/>
    <n v="92.21"/>
    <n v="144.58000000000001"/>
    <n v="65.209999999999994"/>
    <n v="4.37"/>
    <n v="302"/>
    <n v="306.37"/>
    <m/>
  </r>
  <r>
    <d v="2018-01-01T00:00:00"/>
    <s v="2017-18"/>
    <n v="2018"/>
    <x v="5"/>
    <x v="5"/>
    <s v="Jharkhand"/>
    <n v="20"/>
    <s v="State"/>
    <n v="242.19"/>
    <n v="354.26"/>
    <n v="883.4"/>
    <n v="394.44"/>
    <n v="1479.85"/>
    <n v="1874.29"/>
    <m/>
  </r>
  <r>
    <d v="2018-01-01T00:00:00"/>
    <s v="2017-18"/>
    <n v="2018"/>
    <x v="5"/>
    <x v="5"/>
    <s v="Karnataka"/>
    <n v="29"/>
    <s v="State"/>
    <n v="1257.76"/>
    <n v="1810.44"/>
    <n v="2049.0100000000002"/>
    <n v="873.84"/>
    <n v="5117.21"/>
    <n v="5991.05"/>
    <m/>
  </r>
  <r>
    <d v="2018-01-01T00:00:00"/>
    <s v="2017-18"/>
    <n v="2018"/>
    <x v="5"/>
    <x v="5"/>
    <s v="Kerala"/>
    <n v="32"/>
    <s v="State"/>
    <n v="413.66"/>
    <n v="698.46"/>
    <n v="244.36"/>
    <n v="11.29"/>
    <n v="1356.48"/>
    <n v="1367.77"/>
    <m/>
  </r>
  <r>
    <d v="2018-01-01T00:00:00"/>
    <s v="2017-18"/>
    <n v="2018"/>
    <x v="5"/>
    <x v="5"/>
    <s v="Lakshadweep"/>
    <n v="31"/>
    <s v="Union Territory"/>
    <n v="0.3"/>
    <n v="0.35"/>
    <n v="0.03"/>
    <n v="0"/>
    <n v="0.68"/>
    <n v="0.68"/>
    <m/>
  </r>
  <r>
    <d v="2018-01-01T00:00:00"/>
    <s v="2017-18"/>
    <n v="2018"/>
    <x v="5"/>
    <x v="5"/>
    <s v="Madhya Pradesh"/>
    <n v="23"/>
    <s v="State"/>
    <n v="416.18"/>
    <n v="613.79999999999995"/>
    <n v="489.92"/>
    <n v="369.97"/>
    <n v="1519.9"/>
    <n v="1889.87"/>
    <m/>
  </r>
  <r>
    <d v="2018-01-01T00:00:00"/>
    <s v="2017-18"/>
    <n v="2018"/>
    <x v="5"/>
    <x v="5"/>
    <s v="Maharashtra"/>
    <n v="27"/>
    <s v="State"/>
    <n v="3263.95"/>
    <n v="4450.34"/>
    <n v="4657.3900000000003"/>
    <n v="984.98"/>
    <n v="12371.68"/>
    <n v="13356.66"/>
    <m/>
  </r>
  <r>
    <d v="2018-01-01T00:00:00"/>
    <s v="2017-18"/>
    <n v="2018"/>
    <x v="5"/>
    <x v="5"/>
    <s v="Manipur"/>
    <n v="14"/>
    <s v="State"/>
    <n v="3.71"/>
    <n v="7.59"/>
    <n v="0.84"/>
    <n v="0.16"/>
    <n v="12.14"/>
    <n v="12.3"/>
    <m/>
  </r>
  <r>
    <d v="2018-01-01T00:00:00"/>
    <s v="2017-18"/>
    <n v="2018"/>
    <x v="5"/>
    <x v="5"/>
    <s v="Meghalaya"/>
    <n v="17"/>
    <s v="State"/>
    <n v="12.89"/>
    <n v="21.25"/>
    <n v="51.61"/>
    <n v="4.72"/>
    <n v="85.75"/>
    <n v="90.47"/>
    <m/>
  </r>
  <r>
    <d v="2018-01-01T00:00:00"/>
    <s v="2017-18"/>
    <n v="2018"/>
    <x v="5"/>
    <x v="5"/>
    <s v="Mizoram"/>
    <n v="15"/>
    <s v="State"/>
    <n v="2.1"/>
    <n v="3.69"/>
    <n v="2.0299999999999998"/>
    <n v="0.02"/>
    <n v="7.82"/>
    <n v="7.84"/>
    <m/>
  </r>
  <r>
    <d v="2018-01-01T00:00:00"/>
    <s v="2017-18"/>
    <n v="2018"/>
    <x v="5"/>
    <x v="5"/>
    <s v="Nagaland"/>
    <n v="13"/>
    <s v="State"/>
    <n v="4.04"/>
    <n v="6.19"/>
    <n v="4.82"/>
    <n v="0.38"/>
    <n v="15.05"/>
    <n v="15.43"/>
    <m/>
  </r>
  <r>
    <d v="2018-01-01T00:00:00"/>
    <s v="2017-18"/>
    <n v="2018"/>
    <x v="5"/>
    <x v="5"/>
    <s v="Odisha"/>
    <n v="21"/>
    <s v="State"/>
    <n v="355.36"/>
    <n v="470.56"/>
    <n v="542.25"/>
    <n v="590.33000000000004"/>
    <n v="1368.17"/>
    <n v="1958.5"/>
    <m/>
  </r>
  <r>
    <d v="2018-01-01T00:00:00"/>
    <s v="2017-18"/>
    <n v="2018"/>
    <x v="5"/>
    <x v="5"/>
    <s v="Puducherry"/>
    <n v="34"/>
    <s v="Union Territory"/>
    <n v="20.57"/>
    <n v="30.9"/>
    <n v="109.73"/>
    <n v="1.57"/>
    <n v="161.19999999999999"/>
    <n v="162.77000000000001"/>
    <m/>
  </r>
  <r>
    <d v="2018-01-01T00:00:00"/>
    <s v="2017-18"/>
    <n v="2018"/>
    <x v="5"/>
    <x v="5"/>
    <s v="Punjab"/>
    <n v="3"/>
    <s v="State"/>
    <n v="239.73"/>
    <n v="424.34"/>
    <n v="410.81"/>
    <n v="12.64"/>
    <n v="1074.8800000000001"/>
    <n v="1087.52"/>
    <m/>
  </r>
  <r>
    <d v="2018-01-01T00:00:00"/>
    <s v="2017-18"/>
    <n v="2018"/>
    <x v="5"/>
    <x v="5"/>
    <s v="Rajasthan"/>
    <n v="8"/>
    <s v="State"/>
    <n v="599.42999999999995"/>
    <n v="858.55"/>
    <n v="781.42"/>
    <n v="154.81"/>
    <n v="2239.4"/>
    <n v="2394.21"/>
    <m/>
  </r>
  <r>
    <d v="2018-01-01T00:00:00"/>
    <s v="2017-18"/>
    <n v="2018"/>
    <x v="5"/>
    <x v="5"/>
    <s v="Sikkim"/>
    <n v="11"/>
    <s v="State"/>
    <n v="6.67"/>
    <n v="11.45"/>
    <n v="133.58000000000001"/>
    <n v="0.01"/>
    <n v="151.69999999999999"/>
    <n v="151.71"/>
    <m/>
  </r>
  <r>
    <d v="2018-01-01T00:00:00"/>
    <s v="2017-18"/>
    <n v="2018"/>
    <x v="5"/>
    <x v="5"/>
    <s v="Tamil Nadu"/>
    <n v="33"/>
    <s v="State"/>
    <n v="1282.27"/>
    <n v="1889.36"/>
    <n v="1555.99"/>
    <n v="588.30999999999995"/>
    <n v="4727.62"/>
    <n v="5315.93"/>
    <m/>
  </r>
  <r>
    <d v="2018-01-01T00:00:00"/>
    <s v="2017-18"/>
    <n v="2018"/>
    <x v="5"/>
    <x v="5"/>
    <s v="Telangana"/>
    <n v="36"/>
    <s v="State"/>
    <n v="586.35"/>
    <n v="856.59"/>
    <n v="768.04"/>
    <n v="525.74"/>
    <n v="2210.98"/>
    <n v="2736.72"/>
    <m/>
  </r>
  <r>
    <d v="2018-01-01T00:00:00"/>
    <s v="2017-18"/>
    <n v="2018"/>
    <x v="5"/>
    <x v="5"/>
    <s v="Tripura"/>
    <n v="16"/>
    <s v="State"/>
    <n v="11.45"/>
    <n v="16.95"/>
    <n v="3.66"/>
    <n v="0.17"/>
    <n v="32.06"/>
    <n v="32.229999999999997"/>
    <m/>
  </r>
  <r>
    <d v="2018-01-01T00:00:00"/>
    <s v="2017-18"/>
    <n v="2018"/>
    <x v="5"/>
    <x v="5"/>
    <s v="Uttar Pradesh"/>
    <n v="9"/>
    <s v="State"/>
    <n v="926.94"/>
    <n v="1450.58"/>
    <n v="1339.6"/>
    <n v="957.3"/>
    <n v="3717.12"/>
    <n v="4674.42"/>
    <m/>
  </r>
  <r>
    <d v="2018-01-01T00:00:00"/>
    <s v="2017-18"/>
    <n v="2018"/>
    <x v="5"/>
    <x v="5"/>
    <s v="Uttarakhand"/>
    <n v="5"/>
    <s v="State"/>
    <n v="153.59"/>
    <n v="268.70999999999998"/>
    <n v="825.16"/>
    <n v="14.27"/>
    <n v="1247.46"/>
    <n v="1261.73"/>
    <m/>
  </r>
  <r>
    <d v="2018-01-01T00:00:00"/>
    <s v="2017-18"/>
    <n v="2018"/>
    <x v="5"/>
    <x v="5"/>
    <s v="West Bengal"/>
    <n v="19"/>
    <s v="State"/>
    <n v="669.53"/>
    <n v="990.88"/>
    <n v="714.51"/>
    <n v="282.95999999999998"/>
    <n v="2374.92"/>
    <n v="2657.88"/>
    <m/>
  </r>
  <r>
    <d v="2018-02-01T00:00:00"/>
    <s v="2017-18"/>
    <n v="2018"/>
    <x v="6"/>
    <x v="6"/>
    <s v="Andaman and Nicobar Islands"/>
    <n v="35"/>
    <s v="Union Territory"/>
    <n v="8.25"/>
    <n v="11.07"/>
    <n v="0.9"/>
    <n v="0.02"/>
    <n v="20.22"/>
    <n v="20.239999999999998"/>
    <m/>
  </r>
  <r>
    <d v="2018-02-01T00:00:00"/>
    <s v="2017-18"/>
    <n v="2018"/>
    <x v="6"/>
    <x v="6"/>
    <s v="Andhra Pradesh"/>
    <n v="28"/>
    <s v="State"/>
    <n v="415.89"/>
    <n v="581.44000000000005"/>
    <n v="742.9"/>
    <n v="18.25"/>
    <n v="1740.23"/>
    <n v="1758.48"/>
    <m/>
  </r>
  <r>
    <d v="2018-02-01T00:00:00"/>
    <s v="2017-18"/>
    <n v="2018"/>
    <x v="6"/>
    <x v="6"/>
    <s v="Arunachal Pradesh"/>
    <n v="12"/>
    <s v="State"/>
    <n v="3.98"/>
    <n v="6.59"/>
    <n v="2.4900000000000002"/>
    <n v="0.4"/>
    <n v="13.06"/>
    <n v="13.46"/>
    <m/>
  </r>
  <r>
    <d v="2018-02-01T00:00:00"/>
    <s v="2017-18"/>
    <n v="2018"/>
    <x v="6"/>
    <x v="6"/>
    <s v="Assam"/>
    <n v="18"/>
    <s v="State"/>
    <n v="132.62"/>
    <n v="203.23"/>
    <n v="164.07"/>
    <n v="27.94"/>
    <n v="499.92"/>
    <n v="527.86"/>
    <m/>
  </r>
  <r>
    <d v="2018-02-01T00:00:00"/>
    <s v="2017-18"/>
    <n v="2018"/>
    <x v="6"/>
    <x v="6"/>
    <s v="Bihar"/>
    <n v="10"/>
    <s v="State"/>
    <n v="145.59"/>
    <n v="270.19"/>
    <n v="127.62"/>
    <n v="223.39"/>
    <n v="543.4"/>
    <n v="766.79"/>
    <m/>
  </r>
  <r>
    <d v="2018-02-01T00:00:00"/>
    <s v="2017-18"/>
    <n v="2018"/>
    <x v="6"/>
    <x v="6"/>
    <s v="Chandigarh"/>
    <n v="4"/>
    <s v="Union Territory"/>
    <n v="28.06"/>
    <n v="40.630000000000003"/>
    <n v="71.95"/>
    <n v="0.42"/>
    <n v="140.63999999999999"/>
    <n v="141.06"/>
    <m/>
  </r>
  <r>
    <d v="2018-02-01T00:00:00"/>
    <s v="2017-18"/>
    <n v="2018"/>
    <x v="6"/>
    <x v="6"/>
    <s v="Chhattisgarh"/>
    <n v="22"/>
    <s v="State"/>
    <n v="307.61"/>
    <n v="389.14"/>
    <n v="546.64"/>
    <n v="290.24"/>
    <n v="1243.3900000000001"/>
    <n v="1533.63"/>
    <m/>
  </r>
  <r>
    <d v="2018-02-01T00:00:00"/>
    <s v="2017-18"/>
    <n v="2018"/>
    <x v="6"/>
    <x v="6"/>
    <s v="Dadra and Nagar Haveli and Daman and Diu"/>
    <n v="38"/>
    <s v="Union Territory"/>
    <n v="19.22"/>
    <n v="29.18"/>
    <n v="185.33"/>
    <n v="0.18"/>
    <n v="233.73"/>
    <n v="233.91"/>
    <m/>
  </r>
  <r>
    <d v="2018-02-01T00:00:00"/>
    <s v="2017-18"/>
    <n v="2018"/>
    <x v="6"/>
    <x v="6"/>
    <s v="Delhi"/>
    <n v="7"/>
    <s v="Union Territory"/>
    <n v="703.34"/>
    <n v="930.12"/>
    <n v="1402.38"/>
    <n v="85.14"/>
    <n v="3035.84"/>
    <n v="3120.98"/>
    <m/>
  </r>
  <r>
    <d v="2018-02-01T00:00:00"/>
    <s v="2017-18"/>
    <n v="2018"/>
    <x v="6"/>
    <x v="6"/>
    <s v="Goa"/>
    <n v="30"/>
    <s v="State"/>
    <n v="93.29"/>
    <n v="127.22"/>
    <n v="134.43"/>
    <n v="2.31"/>
    <n v="354.94"/>
    <n v="357.25"/>
    <m/>
  </r>
  <r>
    <d v="2018-02-01T00:00:00"/>
    <s v="2017-18"/>
    <n v="2018"/>
    <x v="6"/>
    <x v="6"/>
    <s v="Gujarat"/>
    <n v="24"/>
    <s v="State"/>
    <n v="1590.6"/>
    <n v="2030.58"/>
    <n v="1808.78"/>
    <n v="392.78"/>
    <n v="5429.96"/>
    <n v="5822.74"/>
    <m/>
  </r>
  <r>
    <d v="2018-02-01T00:00:00"/>
    <s v="2017-18"/>
    <n v="2018"/>
    <x v="6"/>
    <x v="6"/>
    <s v="Haryana"/>
    <n v="6"/>
    <s v="State"/>
    <n v="602.16999999999996"/>
    <n v="942.47"/>
    <n v="2471.39"/>
    <n v="340.46"/>
    <n v="4016.03"/>
    <n v="4356.49"/>
    <m/>
  </r>
  <r>
    <d v="2018-02-01T00:00:00"/>
    <s v="2017-18"/>
    <n v="2018"/>
    <x v="6"/>
    <x v="6"/>
    <s v="Himachal Pradesh"/>
    <n v="2"/>
    <s v="State"/>
    <n v="70.64"/>
    <n v="106.8"/>
    <n v="382.8"/>
    <n v="1.45"/>
    <n v="560.24"/>
    <n v="561.69000000000005"/>
    <m/>
  </r>
  <r>
    <d v="2018-02-01T00:00:00"/>
    <s v="2017-18"/>
    <n v="2018"/>
    <x v="6"/>
    <x v="6"/>
    <s v="Jammu and Kashmir"/>
    <n v="1"/>
    <s v="Union Territory"/>
    <n v="71.58"/>
    <n v="124.99"/>
    <n v="71.13"/>
    <n v="1.59"/>
    <n v="267.7"/>
    <n v="269.29000000000002"/>
    <m/>
  </r>
  <r>
    <d v="2018-02-01T00:00:00"/>
    <s v="2017-18"/>
    <n v="2018"/>
    <x v="6"/>
    <x v="6"/>
    <s v="Jharkhand"/>
    <n v="20"/>
    <s v="State"/>
    <n v="260.05"/>
    <n v="341.26"/>
    <n v="795.16"/>
    <n v="360.7"/>
    <n v="1396.47"/>
    <n v="1757.17"/>
    <m/>
  </r>
  <r>
    <d v="2018-02-01T00:00:00"/>
    <s v="2017-18"/>
    <n v="2018"/>
    <x v="6"/>
    <x v="6"/>
    <s v="Karnataka"/>
    <n v="29"/>
    <s v="State"/>
    <n v="1252.8599999999999"/>
    <n v="1713.99"/>
    <n v="2063.63"/>
    <n v="988.01"/>
    <n v="5030.4799999999996"/>
    <n v="6018.49"/>
    <m/>
  </r>
  <r>
    <d v="2018-02-01T00:00:00"/>
    <s v="2017-18"/>
    <n v="2018"/>
    <x v="6"/>
    <x v="6"/>
    <s v="Kerala"/>
    <n v="32"/>
    <s v="State"/>
    <n v="388.95"/>
    <n v="621.16"/>
    <n v="191.15"/>
    <n v="5.6"/>
    <n v="1201.26"/>
    <n v="1206.8599999999999"/>
    <m/>
  </r>
  <r>
    <d v="2018-02-01T00:00:00"/>
    <s v="2017-18"/>
    <n v="2018"/>
    <x v="6"/>
    <x v="6"/>
    <s v="Lakshadweep"/>
    <n v="31"/>
    <s v="Union Territory"/>
    <n v="0.56999999999999995"/>
    <n v="0.59"/>
    <n v="0.13"/>
    <n v="0"/>
    <n v="1.29"/>
    <n v="1.29"/>
    <m/>
  </r>
  <r>
    <d v="2018-02-01T00:00:00"/>
    <s v="2017-18"/>
    <n v="2018"/>
    <x v="6"/>
    <x v="6"/>
    <s v="Madhya Pradesh"/>
    <n v="23"/>
    <s v="State"/>
    <n v="424.06"/>
    <n v="578"/>
    <n v="560.63"/>
    <n v="397.57"/>
    <n v="1562.69"/>
    <n v="1960.26"/>
    <m/>
  </r>
  <r>
    <d v="2018-02-01T00:00:00"/>
    <s v="2017-18"/>
    <n v="2018"/>
    <x v="6"/>
    <x v="6"/>
    <s v="Maharashtra"/>
    <n v="27"/>
    <s v="State"/>
    <n v="3265.82"/>
    <n v="4296.96"/>
    <n v="3849.35"/>
    <n v="1036.79"/>
    <n v="11412.13"/>
    <n v="12448.92"/>
    <m/>
  </r>
  <r>
    <d v="2018-02-01T00:00:00"/>
    <s v="2017-18"/>
    <n v="2018"/>
    <x v="6"/>
    <x v="6"/>
    <s v="Manipur"/>
    <n v="14"/>
    <s v="State"/>
    <n v="3.71"/>
    <n v="7.59"/>
    <n v="1.23"/>
    <n v="0.32"/>
    <n v="12.53"/>
    <n v="12.85"/>
    <m/>
  </r>
  <r>
    <d v="2018-02-01T00:00:00"/>
    <s v="2017-18"/>
    <n v="2018"/>
    <x v="6"/>
    <x v="6"/>
    <s v="Meghalaya"/>
    <n v="17"/>
    <s v="State"/>
    <n v="12.66"/>
    <n v="18.41"/>
    <n v="74.72"/>
    <n v="9.4499999999999993"/>
    <n v="105.79"/>
    <n v="115.24"/>
    <m/>
  </r>
  <r>
    <d v="2018-02-01T00:00:00"/>
    <s v="2017-18"/>
    <n v="2018"/>
    <x v="6"/>
    <x v="6"/>
    <s v="Mizoram"/>
    <n v="15"/>
    <s v="State"/>
    <n v="2.1800000000000002"/>
    <n v="4.72"/>
    <n v="1.1399999999999999"/>
    <n v="0.17"/>
    <n v="8.0399999999999991"/>
    <n v="8.2100000000000009"/>
    <m/>
  </r>
  <r>
    <d v="2018-02-01T00:00:00"/>
    <s v="2017-18"/>
    <n v="2018"/>
    <x v="6"/>
    <x v="6"/>
    <s v="Nagaland"/>
    <n v="13"/>
    <s v="State"/>
    <n v="3.67"/>
    <n v="4.92"/>
    <n v="3.29"/>
    <n v="0.28000000000000003"/>
    <n v="11.88"/>
    <n v="12.16"/>
    <m/>
  </r>
  <r>
    <d v="2018-02-01T00:00:00"/>
    <s v="2017-18"/>
    <n v="2018"/>
    <x v="6"/>
    <x v="6"/>
    <s v="Odisha"/>
    <n v="21"/>
    <s v="State"/>
    <n v="356.59"/>
    <n v="486.43"/>
    <n v="517.42999999999995"/>
    <n v="621.79"/>
    <n v="1360.45"/>
    <n v="1982.24"/>
    <m/>
  </r>
  <r>
    <d v="2018-02-01T00:00:00"/>
    <s v="2017-18"/>
    <n v="2018"/>
    <x v="6"/>
    <x v="6"/>
    <s v="Puducherry"/>
    <n v="34"/>
    <s v="Union Territory"/>
    <n v="17.93"/>
    <n v="28.22"/>
    <n v="92.17"/>
    <n v="0.6"/>
    <n v="138.32"/>
    <n v="138.91999999999999"/>
    <m/>
  </r>
  <r>
    <d v="2018-02-01T00:00:00"/>
    <s v="2017-18"/>
    <n v="2018"/>
    <x v="6"/>
    <x v="6"/>
    <s v="Punjab"/>
    <n v="3"/>
    <s v="State"/>
    <n v="240.18"/>
    <n v="385.28"/>
    <n v="427.95"/>
    <n v="7.67"/>
    <n v="1053.4100000000001"/>
    <n v="1061.08"/>
    <m/>
  </r>
  <r>
    <d v="2018-02-01T00:00:00"/>
    <s v="2017-18"/>
    <n v="2018"/>
    <x v="6"/>
    <x v="6"/>
    <s v="Rajasthan"/>
    <n v="8"/>
    <s v="State"/>
    <n v="565.23"/>
    <n v="763.72"/>
    <n v="835.5"/>
    <n v="142.93"/>
    <n v="2164.4499999999998"/>
    <n v="2307.38"/>
    <m/>
  </r>
  <r>
    <d v="2018-02-01T00:00:00"/>
    <s v="2017-18"/>
    <n v="2018"/>
    <x v="6"/>
    <x v="6"/>
    <s v="Sikkim"/>
    <n v="11"/>
    <s v="State"/>
    <n v="5.5"/>
    <n v="8.58"/>
    <n v="108.64"/>
    <n v="0.02"/>
    <n v="122.72"/>
    <n v="122.74"/>
    <m/>
  </r>
  <r>
    <d v="2018-02-01T00:00:00"/>
    <s v="2017-18"/>
    <n v="2018"/>
    <x v="6"/>
    <x v="6"/>
    <s v="Tamil Nadu"/>
    <n v="33"/>
    <s v="State"/>
    <n v="1250.03"/>
    <n v="1900.97"/>
    <n v="1649.87"/>
    <n v="562.25"/>
    <n v="4800.87"/>
    <n v="5363.12"/>
    <m/>
  </r>
  <r>
    <d v="2018-02-01T00:00:00"/>
    <s v="2017-18"/>
    <n v="2018"/>
    <x v="6"/>
    <x v="6"/>
    <s v="Telangana"/>
    <n v="36"/>
    <s v="State"/>
    <n v="571.45000000000005"/>
    <n v="793.72"/>
    <n v="748.07"/>
    <n v="526.47"/>
    <n v="2113.2399999999998"/>
    <n v="2639.71"/>
    <m/>
  </r>
  <r>
    <d v="2018-02-01T00:00:00"/>
    <s v="2017-18"/>
    <n v="2018"/>
    <x v="6"/>
    <x v="6"/>
    <s v="Tripura"/>
    <n v="16"/>
    <s v="State"/>
    <n v="11.21"/>
    <n v="19.16"/>
    <n v="3.84"/>
    <n v="0.13"/>
    <n v="34.21"/>
    <n v="34.340000000000003"/>
    <m/>
  </r>
  <r>
    <d v="2018-02-01T00:00:00"/>
    <s v="2017-18"/>
    <n v="2018"/>
    <x v="6"/>
    <x v="6"/>
    <s v="Uttar Pradesh"/>
    <n v="9"/>
    <s v="State"/>
    <n v="847.76"/>
    <n v="1352.37"/>
    <n v="1267.67"/>
    <n v="1129.1300000000001"/>
    <n v="3467.8"/>
    <n v="4596.93"/>
    <m/>
  </r>
  <r>
    <d v="2018-02-01T00:00:00"/>
    <s v="2017-18"/>
    <n v="2018"/>
    <x v="6"/>
    <x v="6"/>
    <s v="Uttarakhand"/>
    <n v="5"/>
    <s v="State"/>
    <n v="140.69"/>
    <n v="274.45"/>
    <n v="730.54"/>
    <n v="20.67"/>
    <n v="1145.68"/>
    <n v="1166.3499999999999"/>
    <m/>
  </r>
  <r>
    <d v="2018-02-01T00:00:00"/>
    <s v="2017-18"/>
    <n v="2018"/>
    <x v="6"/>
    <x v="6"/>
    <s v="West Bengal"/>
    <n v="19"/>
    <s v="State"/>
    <n v="923.9"/>
    <n v="1183.22"/>
    <n v="711.34"/>
    <n v="355.03"/>
    <n v="2818.46"/>
    <n v="3173.49"/>
    <m/>
  </r>
  <r>
    <d v="2018-03-01T00:00:00"/>
    <s v="2017-18"/>
    <n v="2018"/>
    <x v="7"/>
    <x v="7"/>
    <s v="Andaman and Nicobar Islands"/>
    <n v="35"/>
    <s v="Union Territory"/>
    <n v="16.02"/>
    <n v="19.88"/>
    <n v="1.36"/>
    <n v="0.01"/>
    <n v="37.26"/>
    <n v="37.270000000000003"/>
    <m/>
  </r>
  <r>
    <d v="2018-03-01T00:00:00"/>
    <s v="2017-18"/>
    <n v="2018"/>
    <x v="7"/>
    <x v="7"/>
    <s v="Andhra Pradesh"/>
    <n v="28"/>
    <s v="State"/>
    <n v="445.98"/>
    <n v="618.97"/>
    <n v="783.06"/>
    <n v="17.440000000000001"/>
    <n v="1848.01"/>
    <n v="1865.45"/>
    <m/>
  </r>
  <r>
    <d v="2018-03-01T00:00:00"/>
    <s v="2017-18"/>
    <n v="2018"/>
    <x v="7"/>
    <x v="7"/>
    <s v="Arunachal Pradesh"/>
    <n v="12"/>
    <s v="State"/>
    <n v="9.98"/>
    <n v="17.649999999999999"/>
    <n v="4.8"/>
    <n v="0.01"/>
    <n v="32.43"/>
    <n v="32.44"/>
    <m/>
  </r>
  <r>
    <d v="2018-03-01T00:00:00"/>
    <s v="2017-18"/>
    <n v="2018"/>
    <x v="7"/>
    <x v="7"/>
    <s v="Assam"/>
    <n v="18"/>
    <s v="State"/>
    <n v="156.08000000000001"/>
    <n v="227.99"/>
    <n v="179.35"/>
    <n v="55.09"/>
    <n v="563.41999999999996"/>
    <n v="618.51"/>
    <m/>
  </r>
  <r>
    <d v="2018-03-01T00:00:00"/>
    <s v="2017-18"/>
    <n v="2018"/>
    <x v="7"/>
    <x v="7"/>
    <s v="Bihar"/>
    <n v="10"/>
    <s v="State"/>
    <n v="168.73"/>
    <n v="314.02999999999997"/>
    <n v="90.95"/>
    <n v="183.97"/>
    <n v="573.71"/>
    <n v="757.68"/>
    <m/>
  </r>
  <r>
    <d v="2018-03-01T00:00:00"/>
    <s v="2017-18"/>
    <n v="2018"/>
    <x v="7"/>
    <x v="7"/>
    <s v="Chandigarh"/>
    <n v="4"/>
    <s v="Union Territory"/>
    <n v="25.67"/>
    <n v="36.01"/>
    <n v="74.28"/>
    <n v="0.18"/>
    <n v="135.96"/>
    <n v="136.13999999999999"/>
    <m/>
  </r>
  <r>
    <d v="2018-03-01T00:00:00"/>
    <s v="2017-18"/>
    <n v="2018"/>
    <x v="7"/>
    <x v="7"/>
    <s v="Chhattisgarh"/>
    <n v="22"/>
    <s v="State"/>
    <n v="368.85"/>
    <n v="454.44"/>
    <n v="684.55"/>
    <n v="321.19"/>
    <n v="1507.84"/>
    <n v="1829.03"/>
    <m/>
  </r>
  <r>
    <d v="2018-03-01T00:00:00"/>
    <s v="2017-18"/>
    <n v="2018"/>
    <x v="7"/>
    <x v="7"/>
    <s v="Dadra and Nagar Haveli and Daman and Diu"/>
    <n v="38"/>
    <s v="Union Territory"/>
    <n v="20.85"/>
    <n v="31.48"/>
    <n v="214.44"/>
    <n v="0.35"/>
    <n v="266.77"/>
    <n v="267.12"/>
    <m/>
  </r>
  <r>
    <d v="2018-03-01T00:00:00"/>
    <s v="2017-18"/>
    <n v="2018"/>
    <x v="7"/>
    <x v="7"/>
    <s v="Delhi"/>
    <n v="7"/>
    <s v="Union Territory"/>
    <n v="807.25"/>
    <n v="982.02"/>
    <n v="1387.39"/>
    <n v="72.63"/>
    <n v="3176.66"/>
    <n v="3249.29"/>
    <m/>
  </r>
  <r>
    <d v="2018-03-01T00:00:00"/>
    <s v="2017-18"/>
    <n v="2018"/>
    <x v="7"/>
    <x v="7"/>
    <s v="Goa"/>
    <n v="30"/>
    <s v="State"/>
    <n v="92.8"/>
    <n v="127.21"/>
    <n v="123.66"/>
    <n v="2.81"/>
    <n v="343.67"/>
    <n v="346.48"/>
    <m/>
  </r>
  <r>
    <d v="2018-03-01T00:00:00"/>
    <s v="2017-18"/>
    <n v="2018"/>
    <x v="7"/>
    <x v="7"/>
    <s v="Gujarat"/>
    <n v="24"/>
    <s v="State"/>
    <n v="1594.43"/>
    <n v="2015.66"/>
    <n v="2006.19"/>
    <n v="305.98"/>
    <n v="5616.28"/>
    <n v="5922.26"/>
    <m/>
  </r>
  <r>
    <d v="2018-03-01T00:00:00"/>
    <s v="2017-18"/>
    <n v="2018"/>
    <x v="7"/>
    <x v="7"/>
    <s v="Haryana"/>
    <n v="6"/>
    <s v="State"/>
    <n v="666.29"/>
    <n v="1032.5"/>
    <n v="2219.06"/>
    <n v="354.05"/>
    <n v="3917.85"/>
    <n v="4271.8999999999996"/>
    <m/>
  </r>
  <r>
    <d v="2018-03-01T00:00:00"/>
    <s v="2017-18"/>
    <n v="2018"/>
    <x v="7"/>
    <x v="7"/>
    <s v="Himachal Pradesh"/>
    <n v="2"/>
    <s v="State"/>
    <n v="72.56"/>
    <n v="119.87"/>
    <n v="417.98"/>
    <n v="0.56000000000000005"/>
    <n v="610.41"/>
    <n v="610.97"/>
    <m/>
  </r>
  <r>
    <d v="2018-03-01T00:00:00"/>
    <s v="2017-18"/>
    <n v="2018"/>
    <x v="7"/>
    <x v="7"/>
    <s v="Jammu and Kashmir"/>
    <n v="1"/>
    <s v="Union Territory"/>
    <n v="65.77"/>
    <n v="114.29"/>
    <n v="75.89"/>
    <n v="2.0299999999999998"/>
    <n v="255.95"/>
    <n v="257.98"/>
    <m/>
  </r>
  <r>
    <d v="2018-03-01T00:00:00"/>
    <s v="2017-18"/>
    <n v="2018"/>
    <x v="7"/>
    <x v="7"/>
    <s v="Jharkhand"/>
    <n v="20"/>
    <s v="State"/>
    <n v="293.02999999999997"/>
    <n v="414"/>
    <n v="875.05"/>
    <n v="461.59"/>
    <n v="1582.08"/>
    <n v="2043.67"/>
    <m/>
  </r>
  <r>
    <d v="2018-03-01T00:00:00"/>
    <s v="2017-18"/>
    <n v="2018"/>
    <x v="7"/>
    <x v="7"/>
    <s v="Karnataka"/>
    <n v="29"/>
    <s v="State"/>
    <n v="1299.1199999999999"/>
    <n v="1750.6"/>
    <n v="2203.71"/>
    <n v="743.68"/>
    <n v="5253.43"/>
    <n v="5997.11"/>
    <m/>
  </r>
  <r>
    <d v="2018-03-01T00:00:00"/>
    <s v="2017-18"/>
    <n v="2018"/>
    <x v="7"/>
    <x v="7"/>
    <s v="Kerala"/>
    <n v="32"/>
    <s v="State"/>
    <n v="403.43"/>
    <n v="613.07000000000005"/>
    <n v="228.06"/>
    <n v="4.7"/>
    <n v="1244.56"/>
    <n v="1249.26"/>
    <m/>
  </r>
  <r>
    <d v="2018-03-01T00:00:00"/>
    <s v="2017-18"/>
    <n v="2018"/>
    <x v="7"/>
    <x v="7"/>
    <s v="Lakshadweep"/>
    <n v="31"/>
    <s v="Union Territory"/>
    <n v="0.36"/>
    <n v="0.41"/>
    <n v="7.0000000000000007E-2"/>
    <n v="0"/>
    <n v="0.84"/>
    <n v="0.84"/>
    <m/>
  </r>
  <r>
    <d v="2018-03-01T00:00:00"/>
    <s v="2017-18"/>
    <n v="2018"/>
    <x v="7"/>
    <x v="7"/>
    <s v="Madhya Pradesh"/>
    <n v="23"/>
    <s v="State"/>
    <n v="450.41"/>
    <n v="615.62"/>
    <n v="556.98"/>
    <n v="376.81"/>
    <n v="1623.01"/>
    <n v="1999.82"/>
    <m/>
  </r>
  <r>
    <d v="2018-03-01T00:00:00"/>
    <s v="2017-18"/>
    <n v="2018"/>
    <x v="7"/>
    <x v="7"/>
    <s v="Maharashtra"/>
    <n v="27"/>
    <s v="State"/>
    <n v="3660.45"/>
    <n v="4586.58"/>
    <n v="4139.91"/>
    <n v="944.32"/>
    <n v="12386.94"/>
    <n v="13331.26"/>
    <m/>
  </r>
  <r>
    <d v="2018-03-01T00:00:00"/>
    <s v="2017-18"/>
    <n v="2018"/>
    <x v="7"/>
    <x v="7"/>
    <s v="Manipur"/>
    <n v="14"/>
    <s v="State"/>
    <n v="7.4"/>
    <n v="16.38"/>
    <n v="1.21"/>
    <n v="7.0000000000000007E-2"/>
    <n v="24.99"/>
    <n v="25.06"/>
    <m/>
  </r>
  <r>
    <d v="2018-03-01T00:00:00"/>
    <s v="2017-18"/>
    <n v="2018"/>
    <x v="7"/>
    <x v="7"/>
    <s v="Meghalaya"/>
    <n v="17"/>
    <s v="State"/>
    <n v="12.32"/>
    <n v="18.95"/>
    <n v="69.45"/>
    <n v="4.7"/>
    <n v="100.72"/>
    <n v="105.42"/>
    <m/>
  </r>
  <r>
    <d v="2018-03-01T00:00:00"/>
    <s v="2017-18"/>
    <n v="2018"/>
    <x v="7"/>
    <x v="7"/>
    <s v="Mizoram"/>
    <n v="15"/>
    <s v="State"/>
    <n v="2.88"/>
    <n v="7.28"/>
    <n v="1.3"/>
    <n v="0.01"/>
    <n v="11.46"/>
    <n v="11.47"/>
    <m/>
  </r>
  <r>
    <d v="2018-03-01T00:00:00"/>
    <s v="2017-18"/>
    <n v="2018"/>
    <x v="7"/>
    <x v="7"/>
    <s v="Nagaland"/>
    <n v="13"/>
    <s v="State"/>
    <n v="2.59"/>
    <n v="5.52"/>
    <n v="3.85"/>
    <n v="0.5"/>
    <n v="11.96"/>
    <n v="12.46"/>
    <m/>
  </r>
  <r>
    <d v="2018-03-01T00:00:00"/>
    <s v="2017-18"/>
    <n v="2018"/>
    <x v="7"/>
    <x v="7"/>
    <s v="Odisha"/>
    <n v="21"/>
    <s v="State"/>
    <n v="391.07"/>
    <n v="515.12"/>
    <n v="559.94000000000005"/>
    <n v="525.30999999999995"/>
    <n v="1466.13"/>
    <n v="1991.44"/>
    <m/>
  </r>
  <r>
    <d v="2018-03-01T00:00:00"/>
    <s v="2017-18"/>
    <n v="2018"/>
    <x v="7"/>
    <x v="7"/>
    <s v="Puducherry"/>
    <n v="34"/>
    <s v="Union Territory"/>
    <n v="19.64"/>
    <n v="28.03"/>
    <n v="94.94"/>
    <n v="0.92"/>
    <n v="142.61000000000001"/>
    <n v="143.53"/>
    <m/>
  </r>
  <r>
    <d v="2018-03-01T00:00:00"/>
    <s v="2017-18"/>
    <n v="2018"/>
    <x v="7"/>
    <x v="7"/>
    <s v="Punjab"/>
    <n v="3"/>
    <s v="State"/>
    <n v="254.85"/>
    <n v="411.28"/>
    <n v="444.57"/>
    <n v="10.27"/>
    <n v="1110.7"/>
    <n v="1120.97"/>
    <m/>
  </r>
  <r>
    <d v="2018-03-01T00:00:00"/>
    <s v="2017-18"/>
    <n v="2018"/>
    <x v="7"/>
    <x v="7"/>
    <s v="Rajasthan"/>
    <n v="8"/>
    <s v="State"/>
    <n v="579.32000000000005"/>
    <n v="789.77"/>
    <n v="845.34"/>
    <n v="131.79"/>
    <n v="2214.4299999999998"/>
    <n v="2346.2199999999998"/>
    <m/>
  </r>
  <r>
    <d v="2018-03-01T00:00:00"/>
    <s v="2017-18"/>
    <n v="2018"/>
    <x v="7"/>
    <x v="7"/>
    <s v="Sikkim"/>
    <n v="11"/>
    <s v="State"/>
    <n v="8.91"/>
    <n v="16.13"/>
    <n v="119.65"/>
    <n v="0.43"/>
    <n v="144.69"/>
    <n v="145.12"/>
    <m/>
  </r>
  <r>
    <d v="2018-03-01T00:00:00"/>
    <s v="2017-18"/>
    <n v="2018"/>
    <x v="7"/>
    <x v="7"/>
    <s v="Tamil Nadu"/>
    <n v="33"/>
    <s v="State"/>
    <n v="1337.21"/>
    <n v="1874.31"/>
    <n v="1761"/>
    <n v="507.11"/>
    <n v="4972.5200000000004"/>
    <n v="5479.63"/>
    <m/>
  </r>
  <r>
    <d v="2018-03-01T00:00:00"/>
    <s v="2017-18"/>
    <n v="2018"/>
    <x v="7"/>
    <x v="7"/>
    <s v="Telangana"/>
    <n v="36"/>
    <s v="State"/>
    <n v="641.98"/>
    <n v="903.54"/>
    <n v="846.66"/>
    <n v="407.19"/>
    <n v="2392.1799999999998"/>
    <n v="2799.37"/>
    <m/>
  </r>
  <r>
    <d v="2018-03-01T00:00:00"/>
    <s v="2017-18"/>
    <n v="2018"/>
    <x v="7"/>
    <x v="7"/>
    <s v="Tripura"/>
    <n v="16"/>
    <s v="State"/>
    <n v="15.22"/>
    <n v="22.74"/>
    <n v="7.31"/>
    <n v="0.15"/>
    <n v="45.27"/>
    <n v="45.42"/>
    <m/>
  </r>
  <r>
    <d v="2018-03-01T00:00:00"/>
    <s v="2017-18"/>
    <n v="2018"/>
    <x v="7"/>
    <x v="7"/>
    <s v="Uttar Pradesh"/>
    <n v="9"/>
    <s v="State"/>
    <n v="989.8"/>
    <n v="1515.66"/>
    <n v="1338.53"/>
    <n v="939.08"/>
    <n v="3843.99"/>
    <n v="4783.07"/>
    <m/>
  </r>
  <r>
    <d v="2018-03-01T00:00:00"/>
    <s v="2017-18"/>
    <n v="2018"/>
    <x v="7"/>
    <x v="7"/>
    <s v="Uttarakhand"/>
    <n v="5"/>
    <s v="State"/>
    <n v="162.29"/>
    <n v="303.39999999999998"/>
    <n v="777.71"/>
    <n v="21.04"/>
    <n v="1243.4000000000001"/>
    <n v="1264.44"/>
    <m/>
  </r>
  <r>
    <d v="2018-03-01T00:00:00"/>
    <s v="2017-18"/>
    <n v="2018"/>
    <x v="7"/>
    <x v="7"/>
    <s v="West Bengal"/>
    <n v="19"/>
    <s v="State"/>
    <n v="1199.19"/>
    <n v="1494.35"/>
    <n v="765.23"/>
    <n v="297.05"/>
    <n v="3458.77"/>
    <n v="3755.82"/>
    <m/>
  </r>
  <r>
    <d v="2018-04-01T00:00:00"/>
    <s v="2018-19"/>
    <n v="2018"/>
    <x v="8"/>
    <x v="8"/>
    <s v="Andaman and Nicobar Islands"/>
    <n v="35"/>
    <s v="Union Territory"/>
    <n v="21.27"/>
    <n v="27.06"/>
    <n v="1.69"/>
    <n v="0.03"/>
    <n v="50.02"/>
    <n v="50.05"/>
    <m/>
  </r>
  <r>
    <d v="2018-04-01T00:00:00"/>
    <s v="2018-19"/>
    <n v="2018"/>
    <x v="8"/>
    <x v="8"/>
    <s v="Andhra Pradesh"/>
    <n v="28"/>
    <s v="State"/>
    <n v="529.42999999999995"/>
    <n v="812.46"/>
    <n v="883.39"/>
    <n v="25.89"/>
    <n v="2225.2800000000002"/>
    <n v="2251.17"/>
    <m/>
  </r>
  <r>
    <d v="2018-04-01T00:00:00"/>
    <s v="2018-19"/>
    <n v="2018"/>
    <x v="8"/>
    <x v="8"/>
    <s v="Arunachal Pradesh"/>
    <n v="12"/>
    <s v="State"/>
    <n v="12.86"/>
    <n v="16.53"/>
    <n v="3.24"/>
    <n v="0.52"/>
    <n v="32.630000000000003"/>
    <n v="33.15"/>
    <m/>
  </r>
  <r>
    <d v="2018-04-01T00:00:00"/>
    <s v="2018-19"/>
    <n v="2018"/>
    <x v="8"/>
    <x v="8"/>
    <s v="Assam"/>
    <n v="18"/>
    <s v="State"/>
    <n v="172.48"/>
    <n v="276.88"/>
    <n v="176.89"/>
    <n v="52.97"/>
    <n v="626.25"/>
    <n v="679.22"/>
    <m/>
  </r>
  <r>
    <d v="2018-04-01T00:00:00"/>
    <s v="2018-19"/>
    <n v="2018"/>
    <x v="8"/>
    <x v="8"/>
    <s v="Bihar"/>
    <n v="10"/>
    <s v="State"/>
    <n v="205.91"/>
    <n v="425.05"/>
    <n v="108.9"/>
    <n v="173.69"/>
    <n v="739.86"/>
    <n v="913.55"/>
    <m/>
  </r>
  <r>
    <d v="2018-04-01T00:00:00"/>
    <s v="2018-19"/>
    <n v="2018"/>
    <x v="8"/>
    <x v="8"/>
    <s v="Chandigarh"/>
    <n v="4"/>
    <s v="Union Territory"/>
    <n v="33.67"/>
    <n v="46.39"/>
    <n v="101.44"/>
    <n v="0.23"/>
    <n v="181.5"/>
    <n v="181.73"/>
    <m/>
  </r>
  <r>
    <d v="2018-04-01T00:00:00"/>
    <s v="2018-19"/>
    <n v="2018"/>
    <x v="8"/>
    <x v="8"/>
    <s v="Chhattisgarh"/>
    <n v="22"/>
    <s v="State"/>
    <n v="338.43"/>
    <n v="415.64"/>
    <n v="633.35"/>
    <n v="502.24"/>
    <n v="1387.42"/>
    <n v="1889.66"/>
    <m/>
  </r>
  <r>
    <d v="2018-04-01T00:00:00"/>
    <s v="2018-19"/>
    <n v="2018"/>
    <x v="8"/>
    <x v="8"/>
    <s v="Dadra and Nagar Haveli and Daman and Diu"/>
    <n v="38"/>
    <s v="Union Territory"/>
    <n v="28.75"/>
    <n v="41.26"/>
    <n v="187.56"/>
    <n v="0.14000000000000001"/>
    <n v="257.57"/>
    <n v="257.70999999999998"/>
    <m/>
  </r>
  <r>
    <d v="2018-04-01T00:00:00"/>
    <s v="2018-19"/>
    <n v="2018"/>
    <x v="8"/>
    <x v="8"/>
    <s v="Delhi"/>
    <n v="7"/>
    <s v="Union Territory"/>
    <n v="1104.77"/>
    <n v="1331.57"/>
    <n v="1682.85"/>
    <n v="78.81"/>
    <n v="4119.1899999999996"/>
    <n v="4198"/>
    <m/>
  </r>
  <r>
    <d v="2018-04-01T00:00:00"/>
    <s v="2018-19"/>
    <n v="2018"/>
    <x v="8"/>
    <x v="8"/>
    <s v="Goa"/>
    <n v="30"/>
    <s v="State"/>
    <n v="89.39"/>
    <n v="122.13"/>
    <n v="137.47"/>
    <n v="3.48"/>
    <n v="348.99"/>
    <n v="352.47"/>
    <m/>
  </r>
  <r>
    <d v="2018-04-01T00:00:00"/>
    <s v="2018-19"/>
    <n v="2018"/>
    <x v="8"/>
    <x v="8"/>
    <s v="Gujarat"/>
    <n v="24"/>
    <s v="State"/>
    <n v="1701.28"/>
    <n v="2133.4"/>
    <n v="2190.0500000000002"/>
    <n v="303.89999999999998"/>
    <n v="6024.73"/>
    <n v="6328.63"/>
    <m/>
  </r>
  <r>
    <d v="2018-04-01T00:00:00"/>
    <s v="2018-19"/>
    <n v="2018"/>
    <x v="8"/>
    <x v="8"/>
    <s v="Haryana"/>
    <n v="6"/>
    <s v="State"/>
    <n v="713.35"/>
    <n v="1100.32"/>
    <n v="2982.04"/>
    <n v="334.22"/>
    <n v="4795.71"/>
    <n v="5129.93"/>
    <m/>
  </r>
  <r>
    <d v="2018-04-01T00:00:00"/>
    <s v="2018-19"/>
    <n v="2018"/>
    <x v="8"/>
    <x v="8"/>
    <s v="Himachal Pradesh"/>
    <n v="2"/>
    <s v="State"/>
    <n v="88.97"/>
    <n v="135.99"/>
    <n v="420.82"/>
    <n v="1.48"/>
    <n v="645.78"/>
    <n v="647.26"/>
    <m/>
  </r>
  <r>
    <d v="2018-04-01T00:00:00"/>
    <s v="2018-19"/>
    <n v="2018"/>
    <x v="8"/>
    <x v="8"/>
    <s v="Jammu and Kashmir"/>
    <n v="1"/>
    <s v="Union Territory"/>
    <n v="115.22"/>
    <n v="179.62"/>
    <n v="73.98"/>
    <n v="3.24"/>
    <n v="368.82"/>
    <n v="372.06"/>
    <m/>
  </r>
  <r>
    <d v="2018-04-01T00:00:00"/>
    <s v="2018-19"/>
    <n v="2018"/>
    <x v="8"/>
    <x v="8"/>
    <s v="Jharkhand"/>
    <n v="20"/>
    <s v="State"/>
    <n v="348.7"/>
    <n v="489.66"/>
    <n v="1045.3499999999999"/>
    <n v="504.82"/>
    <n v="1883.71"/>
    <n v="2388.5300000000002"/>
    <m/>
  </r>
  <r>
    <d v="2018-04-01T00:00:00"/>
    <s v="2018-19"/>
    <n v="2018"/>
    <x v="8"/>
    <x v="8"/>
    <s v="Karnataka"/>
    <n v="29"/>
    <s v="State"/>
    <n v="1608.18"/>
    <n v="2192.4299999999998"/>
    <n v="2640.19"/>
    <n v="906.45"/>
    <n v="6440.8"/>
    <n v="7347.25"/>
    <m/>
  </r>
  <r>
    <d v="2018-04-01T00:00:00"/>
    <s v="2018-19"/>
    <n v="2018"/>
    <x v="8"/>
    <x v="8"/>
    <s v="Kerala"/>
    <n v="32"/>
    <s v="State"/>
    <n v="457.51"/>
    <n v="702.07"/>
    <n v="232.56"/>
    <n v="4.0199999999999996"/>
    <n v="1392.14"/>
    <n v="1396.16"/>
    <m/>
  </r>
  <r>
    <d v="2018-04-01T00:00:00"/>
    <s v="2018-19"/>
    <n v="2018"/>
    <x v="8"/>
    <x v="8"/>
    <s v="Lakshadweep"/>
    <n v="31"/>
    <s v="Union Territory"/>
    <n v="1.17"/>
    <n v="1.26"/>
    <n v="0.09"/>
    <n v="0"/>
    <n v="2.52"/>
    <n v="2.52"/>
    <m/>
  </r>
  <r>
    <d v="2018-04-01T00:00:00"/>
    <s v="2018-19"/>
    <n v="2018"/>
    <x v="8"/>
    <x v="8"/>
    <s v="Madhya Pradesh"/>
    <n v="23"/>
    <s v="State"/>
    <n v="525.89"/>
    <n v="717.05"/>
    <n v="646.84"/>
    <n v="454.56"/>
    <n v="1889.78"/>
    <n v="2344.34"/>
    <m/>
  </r>
  <r>
    <d v="2018-04-01T00:00:00"/>
    <s v="2018-19"/>
    <n v="2018"/>
    <x v="8"/>
    <x v="8"/>
    <s v="Maharashtra"/>
    <n v="27"/>
    <s v="State"/>
    <n v="4254.07"/>
    <n v="5382.56"/>
    <n v="5963.59"/>
    <n v="1125.6300000000001"/>
    <n v="15600.22"/>
    <n v="16725.849999999999"/>
    <m/>
  </r>
  <r>
    <d v="2018-04-01T00:00:00"/>
    <s v="2018-19"/>
    <n v="2018"/>
    <x v="8"/>
    <x v="8"/>
    <s v="Manipur"/>
    <n v="14"/>
    <s v="State"/>
    <n v="13.9"/>
    <n v="18.420000000000002"/>
    <n v="1.49"/>
    <n v="0.03"/>
    <n v="33.81"/>
    <n v="33.840000000000003"/>
    <m/>
  </r>
  <r>
    <d v="2018-04-01T00:00:00"/>
    <s v="2018-19"/>
    <n v="2018"/>
    <x v="8"/>
    <x v="8"/>
    <s v="Meghalaya"/>
    <n v="17"/>
    <s v="State"/>
    <n v="23.66"/>
    <n v="32.799999999999997"/>
    <n v="92.31"/>
    <n v="3.64"/>
    <n v="148.77000000000001"/>
    <n v="152.41"/>
    <m/>
  </r>
  <r>
    <d v="2018-04-01T00:00:00"/>
    <s v="2018-19"/>
    <n v="2018"/>
    <x v="8"/>
    <x v="8"/>
    <s v="Mizoram"/>
    <n v="15"/>
    <s v="State"/>
    <n v="5.88"/>
    <n v="9.41"/>
    <n v="1.96"/>
    <n v="0.04"/>
    <n v="17.25"/>
    <n v="17.29"/>
    <m/>
  </r>
  <r>
    <d v="2018-04-01T00:00:00"/>
    <s v="2018-19"/>
    <n v="2018"/>
    <x v="8"/>
    <x v="8"/>
    <s v="Nagaland"/>
    <n v="13"/>
    <s v="State"/>
    <n v="4.43"/>
    <n v="7.24"/>
    <n v="5.12"/>
    <n v="0.17"/>
    <n v="16.79"/>
    <n v="16.96"/>
    <m/>
  </r>
  <r>
    <d v="2018-04-01T00:00:00"/>
    <s v="2018-19"/>
    <n v="2018"/>
    <x v="8"/>
    <x v="8"/>
    <s v="Odisha"/>
    <n v="21"/>
    <s v="State"/>
    <n v="448.98"/>
    <n v="639.24"/>
    <n v="495.94"/>
    <n v="583.64"/>
    <n v="1584.16"/>
    <n v="2167.8000000000002"/>
    <m/>
  </r>
  <r>
    <d v="2018-04-01T00:00:00"/>
    <s v="2018-19"/>
    <n v="2018"/>
    <x v="8"/>
    <x v="8"/>
    <s v="Puducherry"/>
    <n v="34"/>
    <s v="Union Territory"/>
    <n v="20.67"/>
    <n v="31.38"/>
    <n v="117.98"/>
    <n v="0.22"/>
    <n v="170.03"/>
    <n v="170.25"/>
    <m/>
  </r>
  <r>
    <d v="2018-04-01T00:00:00"/>
    <s v="2018-19"/>
    <n v="2018"/>
    <x v="8"/>
    <x v="8"/>
    <s v="Punjab"/>
    <n v="3"/>
    <s v="State"/>
    <n v="310.48"/>
    <n v="498.58"/>
    <n v="432.34"/>
    <n v="17"/>
    <n v="1241.4000000000001"/>
    <n v="1258.4000000000001"/>
    <m/>
  </r>
  <r>
    <d v="2018-04-01T00:00:00"/>
    <s v="2018-19"/>
    <n v="2018"/>
    <x v="8"/>
    <x v="8"/>
    <s v="Rajasthan"/>
    <n v="8"/>
    <s v="State"/>
    <n v="659.25"/>
    <n v="903.88"/>
    <n v="903.75"/>
    <n v="141.83000000000001"/>
    <n v="2466.88"/>
    <n v="2608.71"/>
    <m/>
  </r>
  <r>
    <d v="2018-04-01T00:00:00"/>
    <s v="2018-19"/>
    <n v="2018"/>
    <x v="8"/>
    <x v="8"/>
    <s v="Sikkim"/>
    <n v="11"/>
    <s v="State"/>
    <n v="11.58"/>
    <n v="15.74"/>
    <n v="123.22"/>
    <n v="0"/>
    <n v="150.54"/>
    <n v="150.54"/>
    <m/>
  </r>
  <r>
    <d v="2018-04-01T00:00:00"/>
    <s v="2018-19"/>
    <n v="2018"/>
    <x v="8"/>
    <x v="8"/>
    <s v="Tamil Nadu"/>
    <n v="33"/>
    <s v="State"/>
    <n v="1499.28"/>
    <n v="2096.08"/>
    <n v="2395.6"/>
    <n v="674.98"/>
    <n v="5990.96"/>
    <n v="6665.94"/>
    <m/>
  </r>
  <r>
    <d v="2018-04-01T00:00:00"/>
    <s v="2018-19"/>
    <n v="2018"/>
    <x v="8"/>
    <x v="8"/>
    <s v="Telangana"/>
    <n v="36"/>
    <s v="State"/>
    <n v="715.3"/>
    <n v="1021.27"/>
    <n v="1127.47"/>
    <n v="513.64"/>
    <n v="2864.04"/>
    <n v="3377.68"/>
    <m/>
  </r>
  <r>
    <d v="2018-04-01T00:00:00"/>
    <s v="2018-19"/>
    <n v="2018"/>
    <x v="8"/>
    <x v="8"/>
    <s v="Tripura"/>
    <n v="16"/>
    <s v="State"/>
    <n v="16.95"/>
    <n v="25.48"/>
    <n v="3.22"/>
    <n v="0.06"/>
    <n v="45.65"/>
    <n v="45.71"/>
    <m/>
  </r>
  <r>
    <d v="2018-04-01T00:00:00"/>
    <s v="2018-19"/>
    <n v="2018"/>
    <x v="8"/>
    <x v="8"/>
    <s v="Uttar Pradesh"/>
    <n v="9"/>
    <s v="State"/>
    <n v="1330.07"/>
    <n v="2115.0700000000002"/>
    <n v="1545.28"/>
    <n v="1029.82"/>
    <n v="4990.42"/>
    <n v="6020.24"/>
    <m/>
  </r>
  <r>
    <d v="2018-04-01T00:00:00"/>
    <s v="2018-19"/>
    <n v="2018"/>
    <x v="8"/>
    <x v="8"/>
    <s v="Uttarakhand"/>
    <n v="5"/>
    <s v="State"/>
    <n v="211.48"/>
    <n v="355.83"/>
    <n v="924.75"/>
    <n v="22.56"/>
    <n v="1492.06"/>
    <n v="1514.62"/>
    <m/>
  </r>
  <r>
    <d v="2018-04-01T00:00:00"/>
    <s v="2018-19"/>
    <n v="2018"/>
    <x v="8"/>
    <x v="8"/>
    <s v="West Bengal"/>
    <n v="19"/>
    <s v="State"/>
    <n v="1017.02"/>
    <n v="1359.81"/>
    <n v="925.64"/>
    <n v="388.16"/>
    <n v="3302.47"/>
    <n v="3690.63"/>
    <m/>
  </r>
  <r>
    <d v="2018-05-01T00:00:00"/>
    <s v="2018-19"/>
    <n v="2018"/>
    <x v="9"/>
    <x v="9"/>
    <s v="Andaman and Nicobar Islands"/>
    <n v="35"/>
    <s v="Union Territory"/>
    <n v="5.6"/>
    <n v="8.6300000000000008"/>
    <n v="1.96"/>
    <n v="0.03"/>
    <n v="16.190000000000001"/>
    <n v="16.22"/>
    <m/>
  </r>
  <r>
    <d v="2018-05-01T00:00:00"/>
    <s v="2018-19"/>
    <n v="2018"/>
    <x v="9"/>
    <x v="9"/>
    <s v="Andhra Pradesh"/>
    <n v="28"/>
    <s v="State"/>
    <n v="488.45"/>
    <n v="689.92"/>
    <n v="762.84"/>
    <n v="20.87"/>
    <n v="1941.21"/>
    <n v="1962.08"/>
    <m/>
  </r>
  <r>
    <d v="2018-05-01T00:00:00"/>
    <s v="2018-19"/>
    <n v="2018"/>
    <x v="9"/>
    <x v="9"/>
    <s v="Arunachal Pradesh"/>
    <n v="12"/>
    <s v="State"/>
    <n v="9.77"/>
    <n v="15.39"/>
    <n v="4.4800000000000004"/>
    <n v="0.01"/>
    <n v="29.64"/>
    <n v="29.65"/>
    <m/>
  </r>
  <r>
    <d v="2018-05-01T00:00:00"/>
    <s v="2018-19"/>
    <n v="2018"/>
    <x v="9"/>
    <x v="9"/>
    <s v="Assam"/>
    <n v="18"/>
    <s v="State"/>
    <n v="314.07"/>
    <n v="399.25"/>
    <n v="185.11"/>
    <n v="25.97"/>
    <n v="898.43"/>
    <n v="924.4"/>
    <m/>
  </r>
  <r>
    <d v="2018-05-01T00:00:00"/>
    <s v="2018-19"/>
    <n v="2018"/>
    <x v="9"/>
    <x v="9"/>
    <s v="Bihar"/>
    <n v="10"/>
    <s v="State"/>
    <n v="167.85"/>
    <n v="335.01"/>
    <n v="119.73"/>
    <n v="116.8"/>
    <n v="622.59"/>
    <n v="739.39"/>
    <m/>
  </r>
  <r>
    <d v="2018-05-01T00:00:00"/>
    <s v="2018-19"/>
    <n v="2018"/>
    <x v="9"/>
    <x v="9"/>
    <s v="Chandigarh"/>
    <n v="4"/>
    <s v="Union Territory"/>
    <n v="26.89"/>
    <n v="36.46"/>
    <n v="68.8"/>
    <n v="7.0000000000000007E-2"/>
    <n v="132.15"/>
    <n v="132.22"/>
    <m/>
  </r>
  <r>
    <d v="2018-05-01T00:00:00"/>
    <s v="2018-19"/>
    <n v="2018"/>
    <x v="9"/>
    <x v="9"/>
    <s v="Chhattisgarh"/>
    <n v="22"/>
    <s v="State"/>
    <n v="299.94"/>
    <n v="378.1"/>
    <n v="662.44"/>
    <n v="529.11"/>
    <n v="1340.48"/>
    <n v="1869.59"/>
    <m/>
  </r>
  <r>
    <d v="2018-05-01T00:00:00"/>
    <s v="2018-19"/>
    <n v="2018"/>
    <x v="9"/>
    <x v="9"/>
    <s v="Dadra and Nagar Haveli and Daman and Diu"/>
    <n v="38"/>
    <s v="Union Territory"/>
    <n v="20.57"/>
    <n v="29.54"/>
    <n v="169.47"/>
    <n v="0.06"/>
    <n v="219.58"/>
    <n v="219.64"/>
    <m/>
  </r>
  <r>
    <d v="2018-05-01T00:00:00"/>
    <s v="2018-19"/>
    <n v="2018"/>
    <x v="9"/>
    <x v="9"/>
    <s v="Delhi"/>
    <n v="7"/>
    <s v="Union Territory"/>
    <n v="631.29"/>
    <n v="797.35"/>
    <n v="1402.19"/>
    <n v="84.07"/>
    <n v="2830.83"/>
    <n v="2914.9"/>
    <m/>
  </r>
  <r>
    <d v="2018-05-01T00:00:00"/>
    <s v="2018-19"/>
    <n v="2018"/>
    <x v="9"/>
    <x v="9"/>
    <s v="Goa"/>
    <n v="30"/>
    <s v="State"/>
    <n v="78.8"/>
    <n v="106.46"/>
    <n v="129.47999999999999"/>
    <n v="2.79"/>
    <n v="314.74"/>
    <n v="317.52999999999997"/>
    <m/>
  </r>
  <r>
    <d v="2018-05-01T00:00:00"/>
    <s v="2018-19"/>
    <n v="2018"/>
    <x v="9"/>
    <x v="9"/>
    <s v="Gujarat"/>
    <n v="24"/>
    <s v="State"/>
    <n v="1726.58"/>
    <n v="2177.27"/>
    <n v="2016.55"/>
    <n v="341.56"/>
    <n v="5920.4"/>
    <n v="6261.96"/>
    <m/>
  </r>
  <r>
    <d v="2018-05-01T00:00:00"/>
    <s v="2018-19"/>
    <n v="2018"/>
    <x v="9"/>
    <x v="9"/>
    <s v="Haryana"/>
    <n v="6"/>
    <s v="State"/>
    <n v="690.59"/>
    <n v="1015.29"/>
    <n v="2515.98"/>
    <n v="351.88"/>
    <n v="4221.8599999999997"/>
    <n v="4573.74"/>
    <m/>
  </r>
  <r>
    <d v="2018-05-01T00:00:00"/>
    <s v="2018-19"/>
    <n v="2018"/>
    <x v="9"/>
    <x v="9"/>
    <s v="Himachal Pradesh"/>
    <n v="2"/>
    <s v="State"/>
    <n v="74.38"/>
    <n v="116.83"/>
    <n v="453.85"/>
    <n v="1.05"/>
    <n v="645.05999999999995"/>
    <n v="646.11"/>
    <m/>
  </r>
  <r>
    <d v="2018-05-01T00:00:00"/>
    <s v="2018-19"/>
    <n v="2018"/>
    <x v="9"/>
    <x v="9"/>
    <s v="Jammu and Kashmir"/>
    <n v="1"/>
    <s v="Union Territory"/>
    <n v="70.599999999999994"/>
    <n v="119.22"/>
    <n v="72.760000000000005"/>
    <n v="4.37"/>
    <n v="262.58"/>
    <n v="266.95"/>
    <m/>
  </r>
  <r>
    <d v="2018-05-01T00:00:00"/>
    <s v="2018-19"/>
    <n v="2018"/>
    <x v="9"/>
    <x v="9"/>
    <s v="Jharkhand"/>
    <n v="20"/>
    <s v="State"/>
    <n v="251.29"/>
    <n v="358.41"/>
    <n v="893.7"/>
    <n v="454.38"/>
    <n v="1503.4"/>
    <n v="1957.78"/>
    <m/>
  </r>
  <r>
    <d v="2018-05-01T00:00:00"/>
    <s v="2018-19"/>
    <n v="2018"/>
    <x v="9"/>
    <x v="9"/>
    <s v="Karnataka"/>
    <n v="29"/>
    <s v="State"/>
    <n v="1260"/>
    <n v="1691.95"/>
    <n v="2102.0500000000002"/>
    <n v="698.12"/>
    <n v="5054"/>
    <n v="5752.12"/>
    <m/>
  </r>
  <r>
    <d v="2018-05-01T00:00:00"/>
    <s v="2018-19"/>
    <n v="2018"/>
    <x v="9"/>
    <x v="9"/>
    <s v="Kerala"/>
    <n v="32"/>
    <s v="State"/>
    <n v="419.93"/>
    <n v="658.95"/>
    <n v="216.05"/>
    <n v="5.47"/>
    <n v="1294.93"/>
    <n v="1300.4000000000001"/>
    <m/>
  </r>
  <r>
    <d v="2018-05-01T00:00:00"/>
    <s v="2018-19"/>
    <n v="2018"/>
    <x v="9"/>
    <x v="9"/>
    <s v="Lakshadweep"/>
    <n v="31"/>
    <s v="Union Territory"/>
    <n v="0.06"/>
    <n v="0.06"/>
    <n v="0.02"/>
    <n v="0"/>
    <n v="0.14000000000000001"/>
    <n v="0.14000000000000001"/>
    <m/>
  </r>
  <r>
    <d v="2018-05-01T00:00:00"/>
    <s v="2018-19"/>
    <n v="2018"/>
    <x v="9"/>
    <x v="9"/>
    <s v="Madhya Pradesh"/>
    <n v="23"/>
    <s v="State"/>
    <n v="383.89"/>
    <n v="555.28"/>
    <n v="527.63"/>
    <n v="396.84"/>
    <n v="1466.8"/>
    <n v="1863.64"/>
    <m/>
  </r>
  <r>
    <d v="2018-05-01T00:00:00"/>
    <s v="2018-19"/>
    <n v="2018"/>
    <x v="9"/>
    <x v="9"/>
    <s v="Maharashtra"/>
    <n v="27"/>
    <s v="State"/>
    <n v="3684.41"/>
    <n v="4606"/>
    <n v="3960.49"/>
    <n v="796.5"/>
    <n v="12250.9"/>
    <n v="13047.4"/>
    <m/>
  </r>
  <r>
    <d v="2018-05-01T00:00:00"/>
    <s v="2018-19"/>
    <n v="2018"/>
    <x v="9"/>
    <x v="9"/>
    <s v="Manipur"/>
    <n v="14"/>
    <s v="State"/>
    <n v="5.26"/>
    <n v="9.2799999999999994"/>
    <n v="1.95"/>
    <n v="0.17"/>
    <n v="16.489999999999998"/>
    <n v="16.66"/>
    <m/>
  </r>
  <r>
    <d v="2018-05-01T00:00:00"/>
    <s v="2018-19"/>
    <n v="2018"/>
    <x v="9"/>
    <x v="9"/>
    <s v="Meghalaya"/>
    <n v="17"/>
    <s v="State"/>
    <n v="13.72"/>
    <n v="19.920000000000002"/>
    <n v="89.94"/>
    <n v="3.02"/>
    <n v="123.58"/>
    <n v="126.6"/>
    <m/>
  </r>
  <r>
    <d v="2018-05-01T00:00:00"/>
    <s v="2018-19"/>
    <n v="2018"/>
    <x v="9"/>
    <x v="9"/>
    <s v="Mizoram"/>
    <n v="15"/>
    <s v="State"/>
    <n v="3.15"/>
    <n v="6.47"/>
    <n v="4.1399999999999997"/>
    <n v="0"/>
    <n v="13.76"/>
    <n v="13.76"/>
    <m/>
  </r>
  <r>
    <d v="2018-05-01T00:00:00"/>
    <s v="2018-19"/>
    <n v="2018"/>
    <x v="9"/>
    <x v="9"/>
    <s v="Nagaland"/>
    <n v="13"/>
    <s v="State"/>
    <n v="3.14"/>
    <n v="5.98"/>
    <n v="3.99"/>
    <n v="0.32"/>
    <n v="13.11"/>
    <n v="13.43"/>
    <m/>
  </r>
  <r>
    <d v="2018-05-01T00:00:00"/>
    <s v="2018-19"/>
    <n v="2018"/>
    <x v="9"/>
    <x v="9"/>
    <s v="Odisha"/>
    <n v="21"/>
    <s v="State"/>
    <n v="360.08"/>
    <n v="499.24"/>
    <n v="637.63"/>
    <n v="395.01"/>
    <n v="1496.95"/>
    <n v="1891.96"/>
    <m/>
  </r>
  <r>
    <d v="2018-05-01T00:00:00"/>
    <s v="2018-19"/>
    <n v="2018"/>
    <x v="9"/>
    <x v="9"/>
    <s v="Puducherry"/>
    <n v="34"/>
    <s v="Union Territory"/>
    <n v="18.21"/>
    <n v="26.94"/>
    <n v="110.19"/>
    <n v="0.16"/>
    <n v="155.34"/>
    <n v="155.5"/>
    <m/>
  </r>
  <r>
    <d v="2018-05-01T00:00:00"/>
    <s v="2018-19"/>
    <n v="2018"/>
    <x v="9"/>
    <x v="9"/>
    <s v="Punjab"/>
    <n v="3"/>
    <s v="State"/>
    <n v="237.85"/>
    <n v="397.4"/>
    <n v="487.8"/>
    <n v="16.260000000000002"/>
    <n v="1123.05"/>
    <n v="1139.31"/>
    <m/>
  </r>
  <r>
    <d v="2018-05-01T00:00:00"/>
    <s v="2018-19"/>
    <n v="2018"/>
    <x v="9"/>
    <x v="9"/>
    <s v="Rajasthan"/>
    <n v="8"/>
    <s v="State"/>
    <n v="637.39"/>
    <n v="848.79"/>
    <n v="873.4"/>
    <n v="132.91999999999999"/>
    <n v="2359.58"/>
    <n v="2492.5"/>
    <m/>
  </r>
  <r>
    <d v="2018-05-01T00:00:00"/>
    <s v="2018-19"/>
    <n v="2018"/>
    <x v="9"/>
    <x v="9"/>
    <s v="Sikkim"/>
    <n v="11"/>
    <s v="State"/>
    <n v="9.94"/>
    <n v="13.55"/>
    <n v="143.15"/>
    <n v="0.66"/>
    <n v="166.64"/>
    <n v="167.3"/>
    <m/>
  </r>
  <r>
    <d v="2018-05-01T00:00:00"/>
    <s v="2018-19"/>
    <n v="2018"/>
    <x v="9"/>
    <x v="9"/>
    <s v="Tamil Nadu"/>
    <n v="33"/>
    <s v="State"/>
    <n v="1388.18"/>
    <n v="1927.11"/>
    <n v="1682.28"/>
    <n v="491.02"/>
    <n v="4997.57"/>
    <n v="5488.59"/>
    <m/>
  </r>
  <r>
    <d v="2018-05-01T00:00:00"/>
    <s v="2018-19"/>
    <n v="2018"/>
    <x v="9"/>
    <x v="9"/>
    <s v="Telangana"/>
    <n v="36"/>
    <s v="State"/>
    <n v="547.29999999999995"/>
    <n v="806.81"/>
    <n v="790.83"/>
    <n v="474.12"/>
    <n v="2144.94"/>
    <n v="2619.06"/>
    <m/>
  </r>
  <r>
    <d v="2018-05-01T00:00:00"/>
    <s v="2018-19"/>
    <n v="2018"/>
    <x v="9"/>
    <x v="9"/>
    <s v="Tripura"/>
    <n v="16"/>
    <s v="State"/>
    <n v="16.899999999999999"/>
    <n v="25.84"/>
    <n v="2.68"/>
    <n v="0.24"/>
    <n v="45.42"/>
    <n v="45.66"/>
    <m/>
  </r>
  <r>
    <d v="2018-05-01T00:00:00"/>
    <s v="2018-19"/>
    <n v="2018"/>
    <x v="9"/>
    <x v="9"/>
    <s v="Uttar Pradesh"/>
    <n v="9"/>
    <s v="State"/>
    <n v="971.73"/>
    <n v="1502.79"/>
    <n v="1302.46"/>
    <n v="838.84"/>
    <n v="3776.98"/>
    <n v="4615.82"/>
    <m/>
  </r>
  <r>
    <d v="2018-05-01T00:00:00"/>
    <s v="2018-19"/>
    <n v="2018"/>
    <x v="9"/>
    <x v="9"/>
    <s v="Uttarakhand"/>
    <n v="5"/>
    <s v="State"/>
    <n v="160.37"/>
    <n v="303.98"/>
    <n v="761.5"/>
    <n v="20.84"/>
    <n v="1225.8499999999999"/>
    <n v="1246.69"/>
    <m/>
  </r>
  <r>
    <d v="2018-05-01T00:00:00"/>
    <s v="2018-19"/>
    <n v="2018"/>
    <x v="9"/>
    <x v="9"/>
    <s v="West Bengal"/>
    <n v="19"/>
    <s v="State"/>
    <n v="869.32"/>
    <n v="1171.3"/>
    <n v="786.37"/>
    <n v="281.39999999999998"/>
    <n v="2826.99"/>
    <n v="3108.39"/>
    <m/>
  </r>
  <r>
    <d v="2018-06-01T00:00:00"/>
    <s v="2018-19"/>
    <n v="2018"/>
    <x v="10"/>
    <x v="10"/>
    <s v="Andaman and Nicobar Islands"/>
    <n v="35"/>
    <s v="Union Territory"/>
    <n v="11.29"/>
    <n v="13.87"/>
    <n v="2.4700000000000002"/>
    <n v="0.06"/>
    <n v="27.63"/>
    <n v="27.69"/>
    <m/>
  </r>
  <r>
    <d v="2018-06-01T00:00:00"/>
    <s v="2018-19"/>
    <n v="2018"/>
    <x v="10"/>
    <x v="10"/>
    <s v="Andhra Pradesh"/>
    <n v="28"/>
    <s v="State"/>
    <n v="460.33"/>
    <n v="668.17"/>
    <n v="780.49"/>
    <n v="26.61"/>
    <n v="1908.99"/>
    <n v="1935.6"/>
    <m/>
  </r>
  <r>
    <d v="2018-06-01T00:00:00"/>
    <s v="2018-19"/>
    <n v="2018"/>
    <x v="10"/>
    <x v="10"/>
    <s v="Arunachal Pradesh"/>
    <n v="12"/>
    <s v="State"/>
    <n v="9.32"/>
    <n v="13.54"/>
    <n v="3.95"/>
    <n v="0.01"/>
    <n v="26.81"/>
    <n v="26.82"/>
    <m/>
  </r>
  <r>
    <d v="2018-06-01T00:00:00"/>
    <s v="2018-19"/>
    <n v="2018"/>
    <x v="10"/>
    <x v="10"/>
    <s v="Assam"/>
    <n v="18"/>
    <s v="State"/>
    <n v="171.54"/>
    <n v="250.27"/>
    <n v="195.99"/>
    <n v="44.86"/>
    <n v="617.79999999999995"/>
    <n v="662.66"/>
    <m/>
  </r>
  <r>
    <d v="2018-06-01T00:00:00"/>
    <s v="2018-19"/>
    <n v="2018"/>
    <x v="10"/>
    <x v="10"/>
    <s v="Bihar"/>
    <n v="10"/>
    <s v="State"/>
    <n v="178.75"/>
    <n v="365.74"/>
    <n v="87.86"/>
    <n v="128.78"/>
    <n v="632.35"/>
    <n v="761.13"/>
    <m/>
  </r>
  <r>
    <d v="2018-06-01T00:00:00"/>
    <s v="2018-19"/>
    <n v="2018"/>
    <x v="10"/>
    <x v="10"/>
    <s v="Chandigarh"/>
    <n v="4"/>
    <s v="Union Territory"/>
    <n v="25.54"/>
    <n v="39.69"/>
    <n v="70.78"/>
    <n v="0.39"/>
    <n v="136.01"/>
    <n v="136.4"/>
    <m/>
  </r>
  <r>
    <d v="2018-06-01T00:00:00"/>
    <s v="2018-19"/>
    <n v="2018"/>
    <x v="10"/>
    <x v="10"/>
    <s v="Chhattisgarh"/>
    <n v="22"/>
    <s v="State"/>
    <n v="303.48"/>
    <n v="383.21"/>
    <n v="693.19"/>
    <n v="521.86"/>
    <n v="1379.88"/>
    <n v="1901.74"/>
    <m/>
  </r>
  <r>
    <d v="2018-06-01T00:00:00"/>
    <s v="2018-19"/>
    <n v="2018"/>
    <x v="10"/>
    <x v="10"/>
    <s v="Dadra and Nagar Haveli and Daman and Diu"/>
    <n v="38"/>
    <s v="Union Territory"/>
    <n v="22.48"/>
    <n v="34.520000000000003"/>
    <n v="158.16"/>
    <n v="0.03"/>
    <n v="215.16"/>
    <n v="215.19"/>
    <m/>
  </r>
  <r>
    <d v="2018-06-01T00:00:00"/>
    <s v="2018-19"/>
    <n v="2018"/>
    <x v="10"/>
    <x v="10"/>
    <s v="Delhi"/>
    <n v="7"/>
    <s v="Union Territory"/>
    <n v="619.82000000000005"/>
    <n v="795.19"/>
    <n v="1601.91"/>
    <n v="86.36"/>
    <n v="3016.92"/>
    <n v="3103.28"/>
    <m/>
  </r>
  <r>
    <d v="2018-06-01T00:00:00"/>
    <s v="2018-19"/>
    <n v="2018"/>
    <x v="10"/>
    <x v="10"/>
    <s v="Goa"/>
    <n v="30"/>
    <s v="State"/>
    <n v="83.28"/>
    <n v="113.49"/>
    <n v="135.33000000000001"/>
    <n v="3.15"/>
    <n v="332.1"/>
    <n v="335.25"/>
    <m/>
  </r>
  <r>
    <d v="2018-06-01T00:00:00"/>
    <s v="2018-19"/>
    <n v="2018"/>
    <x v="10"/>
    <x v="10"/>
    <s v="Gujarat"/>
    <n v="24"/>
    <s v="State"/>
    <n v="1634.99"/>
    <n v="2075.4899999999998"/>
    <n v="2251.42"/>
    <n v="400.6"/>
    <n v="5961.9"/>
    <n v="6362.5"/>
    <m/>
  </r>
  <r>
    <d v="2018-06-01T00:00:00"/>
    <s v="2018-19"/>
    <n v="2018"/>
    <x v="10"/>
    <x v="10"/>
    <s v="Haryana"/>
    <n v="6"/>
    <s v="State"/>
    <n v="709.28"/>
    <n v="1090.6600000000001"/>
    <n v="2436.5300000000002"/>
    <n v="398.01"/>
    <n v="4236.47"/>
    <n v="4634.4799999999996"/>
    <m/>
  </r>
  <r>
    <d v="2018-06-01T00:00:00"/>
    <s v="2018-19"/>
    <n v="2018"/>
    <x v="10"/>
    <x v="10"/>
    <s v="Himachal Pradesh"/>
    <n v="2"/>
    <s v="State"/>
    <n v="81.19"/>
    <n v="128.47"/>
    <n v="430.16"/>
    <n v="1.44"/>
    <n v="639.82000000000005"/>
    <n v="641.26"/>
    <m/>
  </r>
  <r>
    <d v="2018-06-01T00:00:00"/>
    <s v="2018-19"/>
    <n v="2018"/>
    <x v="10"/>
    <x v="10"/>
    <s v="Jammu and Kashmir"/>
    <n v="1"/>
    <s v="Union Territory"/>
    <n v="70.739999999999995"/>
    <n v="119.02"/>
    <n v="72.19"/>
    <n v="4.17"/>
    <n v="261.95"/>
    <n v="266.12"/>
    <m/>
  </r>
  <r>
    <d v="2018-06-01T00:00:00"/>
    <s v="2018-19"/>
    <n v="2018"/>
    <x v="10"/>
    <x v="10"/>
    <s v="Jharkhand"/>
    <n v="20"/>
    <s v="State"/>
    <n v="273.36"/>
    <n v="385.05"/>
    <n v="849.82"/>
    <n v="470.87"/>
    <n v="1508.23"/>
    <n v="1979.1"/>
    <m/>
  </r>
  <r>
    <d v="2018-06-01T00:00:00"/>
    <s v="2018-19"/>
    <n v="2018"/>
    <x v="10"/>
    <x v="10"/>
    <s v="Karnataka"/>
    <n v="29"/>
    <s v="State"/>
    <n v="1317.79"/>
    <n v="1771.66"/>
    <n v="2285.64"/>
    <n v="868.72"/>
    <n v="5375.09"/>
    <n v="6243.81"/>
    <m/>
  </r>
  <r>
    <d v="2018-06-01T00:00:00"/>
    <s v="2018-19"/>
    <n v="2018"/>
    <x v="10"/>
    <x v="10"/>
    <s v="Kerala"/>
    <n v="32"/>
    <s v="State"/>
    <n v="426.52"/>
    <n v="683.9"/>
    <n v="190"/>
    <n v="5.59"/>
    <n v="1300.42"/>
    <n v="1306.01"/>
    <m/>
  </r>
  <r>
    <d v="2018-06-01T00:00:00"/>
    <s v="2018-19"/>
    <n v="2018"/>
    <x v="10"/>
    <x v="10"/>
    <s v="Lakshadweep"/>
    <n v="31"/>
    <s v="Union Territory"/>
    <n v="3.09"/>
    <n v="3.13"/>
    <n v="0.13"/>
    <n v="0"/>
    <n v="6.35"/>
    <n v="6.35"/>
    <m/>
  </r>
  <r>
    <d v="2018-06-01T00:00:00"/>
    <s v="2018-19"/>
    <n v="2018"/>
    <x v="10"/>
    <x v="10"/>
    <s v="Madhya Pradesh"/>
    <n v="23"/>
    <s v="State"/>
    <n v="418.54"/>
    <n v="609.99"/>
    <n v="543.58000000000004"/>
    <n v="432.46"/>
    <n v="1572.11"/>
    <n v="2004.57"/>
    <m/>
  </r>
  <r>
    <d v="2018-06-01T00:00:00"/>
    <s v="2018-19"/>
    <n v="2018"/>
    <x v="10"/>
    <x v="10"/>
    <s v="Maharashtra"/>
    <n v="27"/>
    <s v="State"/>
    <n v="3898.98"/>
    <n v="4810.38"/>
    <n v="4398.22"/>
    <n v="913.23"/>
    <n v="13107.58"/>
    <n v="14020.81"/>
    <m/>
  </r>
  <r>
    <d v="2018-06-01T00:00:00"/>
    <s v="2018-19"/>
    <n v="2018"/>
    <x v="10"/>
    <x v="10"/>
    <s v="Manipur"/>
    <n v="14"/>
    <s v="State"/>
    <n v="8.44"/>
    <n v="12.39"/>
    <n v="1.0900000000000001"/>
    <n v="0.06"/>
    <n v="21.92"/>
    <n v="21.98"/>
    <m/>
  </r>
  <r>
    <d v="2018-06-01T00:00:00"/>
    <s v="2018-19"/>
    <n v="2018"/>
    <x v="10"/>
    <x v="10"/>
    <s v="Meghalaya"/>
    <n v="17"/>
    <s v="State"/>
    <n v="14.92"/>
    <n v="20.95"/>
    <n v="76.040000000000006"/>
    <n v="4.2699999999999996"/>
    <n v="111.91"/>
    <n v="116.18"/>
    <m/>
  </r>
  <r>
    <d v="2018-06-01T00:00:00"/>
    <s v="2018-19"/>
    <n v="2018"/>
    <x v="10"/>
    <x v="10"/>
    <s v="Mizoram"/>
    <n v="15"/>
    <s v="State"/>
    <n v="3.25"/>
    <n v="6.24"/>
    <n v="0.74"/>
    <n v="0.03"/>
    <n v="10.23"/>
    <n v="10.26"/>
    <m/>
  </r>
  <r>
    <d v="2018-06-01T00:00:00"/>
    <s v="2018-19"/>
    <n v="2018"/>
    <x v="10"/>
    <x v="10"/>
    <s v="Nagaland"/>
    <n v="13"/>
    <s v="State"/>
    <n v="2.85"/>
    <n v="5.54"/>
    <n v="4.4400000000000004"/>
    <n v="0.6"/>
    <n v="12.83"/>
    <n v="13.43"/>
    <m/>
  </r>
  <r>
    <d v="2018-06-01T00:00:00"/>
    <s v="2018-19"/>
    <n v="2018"/>
    <x v="10"/>
    <x v="10"/>
    <s v="Odisha"/>
    <n v="21"/>
    <s v="State"/>
    <n v="407.43"/>
    <n v="535.87"/>
    <n v="786.43"/>
    <n v="422.17"/>
    <n v="1729.73"/>
    <n v="2151.9"/>
    <m/>
  </r>
  <r>
    <d v="2018-06-01T00:00:00"/>
    <s v="2018-19"/>
    <n v="2018"/>
    <x v="10"/>
    <x v="10"/>
    <s v="Puducherry"/>
    <n v="34"/>
    <s v="Union Territory"/>
    <n v="19.61"/>
    <n v="27.2"/>
    <n v="98.99"/>
    <n v="0.24"/>
    <n v="145.80000000000001"/>
    <n v="146.04"/>
    <m/>
  </r>
  <r>
    <d v="2018-06-01T00:00:00"/>
    <s v="2018-19"/>
    <n v="2018"/>
    <x v="10"/>
    <x v="10"/>
    <s v="Punjab"/>
    <n v="3"/>
    <s v="State"/>
    <n v="250.79"/>
    <n v="441.5"/>
    <n v="489.74"/>
    <n v="18.2"/>
    <n v="1182.03"/>
    <n v="1200.23"/>
    <m/>
  </r>
  <r>
    <d v="2018-06-01T00:00:00"/>
    <s v="2018-19"/>
    <n v="2018"/>
    <x v="10"/>
    <x v="10"/>
    <s v="Rajasthan"/>
    <n v="8"/>
    <s v="State"/>
    <n v="606.74"/>
    <n v="833.94"/>
    <n v="850.17"/>
    <n v="133.24"/>
    <n v="2290.85"/>
    <n v="2424.09"/>
    <m/>
  </r>
  <r>
    <d v="2018-06-01T00:00:00"/>
    <s v="2018-19"/>
    <n v="2018"/>
    <x v="10"/>
    <x v="10"/>
    <s v="Sikkim"/>
    <n v="11"/>
    <s v="State"/>
    <n v="10.119999999999999"/>
    <n v="14.44"/>
    <n v="146.41"/>
    <n v="0.01"/>
    <n v="170.97"/>
    <n v="170.98"/>
    <m/>
  </r>
  <r>
    <d v="2018-06-01T00:00:00"/>
    <s v="2018-19"/>
    <n v="2018"/>
    <x v="10"/>
    <x v="10"/>
    <s v="Tamil Nadu"/>
    <n v="33"/>
    <s v="State"/>
    <n v="1278.2"/>
    <n v="1806.52"/>
    <n v="1526.61"/>
    <n v="575.66"/>
    <n v="4611.33"/>
    <n v="5186.99"/>
    <m/>
  </r>
  <r>
    <d v="2018-06-01T00:00:00"/>
    <s v="2018-19"/>
    <n v="2018"/>
    <x v="10"/>
    <x v="10"/>
    <s v="Telangana"/>
    <n v="36"/>
    <s v="State"/>
    <n v="563.42999999999995"/>
    <n v="797.96"/>
    <n v="792.22"/>
    <n v="547.87"/>
    <n v="2153.61"/>
    <n v="2701.48"/>
    <m/>
  </r>
  <r>
    <d v="2018-06-01T00:00:00"/>
    <s v="2018-19"/>
    <n v="2018"/>
    <x v="10"/>
    <x v="10"/>
    <s v="Tripura"/>
    <n v="16"/>
    <s v="State"/>
    <n v="12.06"/>
    <n v="19.46"/>
    <n v="3.68"/>
    <n v="0.06"/>
    <n v="35.200000000000003"/>
    <n v="35.26"/>
    <m/>
  </r>
  <r>
    <d v="2018-06-01T00:00:00"/>
    <s v="2018-19"/>
    <n v="2018"/>
    <x v="10"/>
    <x v="10"/>
    <s v="Uttar Pradesh"/>
    <n v="9"/>
    <s v="State"/>
    <n v="1034.74"/>
    <n v="1624.02"/>
    <n v="1374.16"/>
    <n v="999.74"/>
    <n v="4032.92"/>
    <n v="5032.66"/>
    <m/>
  </r>
  <r>
    <d v="2018-06-01T00:00:00"/>
    <s v="2018-19"/>
    <n v="2018"/>
    <x v="10"/>
    <x v="10"/>
    <s v="Uttarakhand"/>
    <n v="5"/>
    <s v="State"/>
    <n v="164.16"/>
    <n v="309.88"/>
    <n v="770.71"/>
    <n v="21.28"/>
    <n v="1244.75"/>
    <n v="1266.03"/>
    <m/>
  </r>
  <r>
    <d v="2018-06-01T00:00:00"/>
    <s v="2018-19"/>
    <n v="2018"/>
    <x v="10"/>
    <x v="10"/>
    <s v="West Bengal"/>
    <n v="19"/>
    <s v="State"/>
    <n v="857.67"/>
    <n v="1188.32"/>
    <n v="747.79"/>
    <n v="318.08"/>
    <n v="2793.78"/>
    <n v="3111.86"/>
    <m/>
  </r>
  <r>
    <d v="2018-07-01T00:00:00"/>
    <s v="2018-19"/>
    <n v="2018"/>
    <x v="11"/>
    <x v="11"/>
    <s v="Andaman and Nicobar Islands"/>
    <n v="35"/>
    <s v="Union Territory"/>
    <n v="4.28"/>
    <n v="8.3800000000000008"/>
    <n v="1.74"/>
    <n v="0.02"/>
    <n v="14.4"/>
    <n v="14.42"/>
    <m/>
  </r>
  <r>
    <d v="2018-07-01T00:00:00"/>
    <s v="2018-19"/>
    <n v="2018"/>
    <x v="11"/>
    <x v="11"/>
    <s v="Andhra Pradesh"/>
    <n v="28"/>
    <s v="State"/>
    <n v="483.57"/>
    <n v="723.34"/>
    <n v="776.03"/>
    <n v="43.2"/>
    <n v="1982.94"/>
    <n v="2026.14"/>
    <m/>
  </r>
  <r>
    <d v="2018-07-01T00:00:00"/>
    <s v="2018-19"/>
    <n v="2018"/>
    <x v="11"/>
    <x v="11"/>
    <s v="Arunachal Pradesh"/>
    <n v="12"/>
    <s v="State"/>
    <n v="10.050000000000001"/>
    <n v="14.69"/>
    <n v="3.89"/>
    <n v="0.02"/>
    <n v="28.63"/>
    <n v="28.65"/>
    <m/>
  </r>
  <r>
    <d v="2018-07-01T00:00:00"/>
    <s v="2018-19"/>
    <n v="2018"/>
    <x v="11"/>
    <x v="11"/>
    <s v="Assam"/>
    <n v="18"/>
    <s v="State"/>
    <n v="162.93"/>
    <n v="259.52999999999997"/>
    <n v="197.37"/>
    <n v="41.19"/>
    <n v="619.83000000000004"/>
    <n v="661.02"/>
    <m/>
  </r>
  <r>
    <d v="2018-07-01T00:00:00"/>
    <s v="2018-19"/>
    <n v="2018"/>
    <x v="11"/>
    <x v="11"/>
    <s v="Bihar"/>
    <n v="10"/>
    <s v="State"/>
    <n v="194.84"/>
    <n v="393.18"/>
    <n v="100.65"/>
    <n v="162.54"/>
    <n v="688.67"/>
    <n v="851.21"/>
    <m/>
  </r>
  <r>
    <d v="2018-07-01T00:00:00"/>
    <s v="2018-19"/>
    <n v="2018"/>
    <x v="11"/>
    <x v="11"/>
    <s v="Chandigarh"/>
    <n v="4"/>
    <s v="Union Territory"/>
    <n v="29.85"/>
    <n v="41.03"/>
    <n v="76.75"/>
    <n v="0.3"/>
    <n v="147.63"/>
    <n v="147.93"/>
    <m/>
  </r>
  <r>
    <d v="2018-07-01T00:00:00"/>
    <s v="2018-19"/>
    <n v="2018"/>
    <x v="11"/>
    <x v="11"/>
    <s v="Chhattisgarh"/>
    <n v="22"/>
    <s v="State"/>
    <n v="337.88"/>
    <n v="420.32"/>
    <n v="550.54999999999995"/>
    <n v="601.32000000000005"/>
    <n v="1308.75"/>
    <n v="1910.07"/>
    <m/>
  </r>
  <r>
    <d v="2018-07-01T00:00:00"/>
    <s v="2018-19"/>
    <n v="2018"/>
    <x v="11"/>
    <x v="11"/>
    <s v="Dadra and Nagar Haveli and Daman and Diu"/>
    <n v="38"/>
    <s v="Union Territory"/>
    <n v="23.37"/>
    <n v="35.4"/>
    <n v="176.35"/>
    <n v="0.03"/>
    <n v="235.12"/>
    <n v="235.15"/>
    <m/>
  </r>
  <r>
    <d v="2018-07-01T00:00:00"/>
    <s v="2018-19"/>
    <n v="2018"/>
    <x v="11"/>
    <x v="11"/>
    <s v="Delhi"/>
    <n v="7"/>
    <s v="Union Territory"/>
    <n v="662.98"/>
    <n v="834.08"/>
    <n v="1513.8"/>
    <n v="83.97"/>
    <n v="3010.86"/>
    <n v="3094.83"/>
    <m/>
  </r>
  <r>
    <d v="2018-07-01T00:00:00"/>
    <s v="2018-19"/>
    <n v="2018"/>
    <x v="11"/>
    <x v="11"/>
    <s v="Goa"/>
    <n v="30"/>
    <s v="State"/>
    <n v="73.709999999999994"/>
    <n v="106.01"/>
    <n v="137.69"/>
    <n v="1.28"/>
    <n v="317.41000000000003"/>
    <n v="318.69"/>
    <m/>
  </r>
  <r>
    <d v="2018-07-01T00:00:00"/>
    <s v="2018-19"/>
    <n v="2018"/>
    <x v="11"/>
    <x v="11"/>
    <s v="Gujarat"/>
    <n v="24"/>
    <s v="State"/>
    <n v="1543.92"/>
    <n v="1997.23"/>
    <n v="2189.6799999999998"/>
    <n v="348.87"/>
    <n v="5730.83"/>
    <n v="6079.7"/>
    <m/>
  </r>
  <r>
    <d v="2018-07-01T00:00:00"/>
    <s v="2018-19"/>
    <n v="2018"/>
    <x v="11"/>
    <x v="11"/>
    <s v="Haryana"/>
    <n v="6"/>
    <s v="State"/>
    <n v="680.22"/>
    <n v="1003.56"/>
    <n v="2311.71"/>
    <n v="299.16000000000003"/>
    <n v="3995.49"/>
    <n v="4294.6499999999996"/>
    <m/>
  </r>
  <r>
    <d v="2018-07-01T00:00:00"/>
    <s v="2018-19"/>
    <n v="2018"/>
    <x v="11"/>
    <x v="11"/>
    <s v="Himachal Pradesh"/>
    <n v="2"/>
    <s v="State"/>
    <n v="85.42"/>
    <n v="131.11000000000001"/>
    <n v="399.77"/>
    <n v="1.2"/>
    <n v="616.29999999999995"/>
    <n v="617.5"/>
    <m/>
  </r>
  <r>
    <d v="2018-07-01T00:00:00"/>
    <s v="2018-19"/>
    <n v="2018"/>
    <x v="11"/>
    <x v="11"/>
    <s v="Jammu and Kashmir"/>
    <n v="1"/>
    <s v="Union Territory"/>
    <n v="80.44"/>
    <n v="134.72"/>
    <n v="95.6"/>
    <n v="7.18"/>
    <n v="310.76"/>
    <n v="317.94"/>
    <m/>
  </r>
  <r>
    <d v="2018-07-01T00:00:00"/>
    <s v="2018-19"/>
    <n v="2018"/>
    <x v="11"/>
    <x v="11"/>
    <s v="Jharkhand"/>
    <n v="20"/>
    <s v="State"/>
    <n v="300.68"/>
    <n v="429.5"/>
    <n v="710.62"/>
    <n v="407.15"/>
    <n v="1440.8"/>
    <n v="1847.95"/>
    <m/>
  </r>
  <r>
    <d v="2018-07-01T00:00:00"/>
    <s v="2018-19"/>
    <n v="2018"/>
    <x v="11"/>
    <x v="11"/>
    <s v="Karnataka"/>
    <n v="29"/>
    <s v="State"/>
    <n v="1389.42"/>
    <n v="1919.36"/>
    <n v="2473.9499999999998"/>
    <n v="993.51"/>
    <n v="5782.73"/>
    <n v="6776.24"/>
    <m/>
  </r>
  <r>
    <d v="2018-07-01T00:00:00"/>
    <s v="2018-19"/>
    <n v="2018"/>
    <x v="11"/>
    <x v="11"/>
    <s v="Kerala"/>
    <n v="32"/>
    <s v="State"/>
    <n v="404.76"/>
    <n v="657.7"/>
    <n v="210.7"/>
    <n v="3.52"/>
    <n v="1273.1600000000001"/>
    <n v="1276.68"/>
    <m/>
  </r>
  <r>
    <d v="2018-07-01T00:00:00"/>
    <s v="2018-19"/>
    <n v="2018"/>
    <x v="11"/>
    <x v="11"/>
    <s v="Lakshadweep"/>
    <n v="31"/>
    <s v="Union Territory"/>
    <n v="0.38"/>
    <n v="0.42"/>
    <n v="0.08"/>
    <n v="0"/>
    <n v="0.88"/>
    <n v="0.88"/>
    <m/>
  </r>
  <r>
    <d v="2018-07-01T00:00:00"/>
    <s v="2018-19"/>
    <n v="2018"/>
    <x v="11"/>
    <x v="11"/>
    <s v="Madhya Pradesh"/>
    <n v="23"/>
    <s v="State"/>
    <n v="455.35"/>
    <n v="657.97"/>
    <n v="554.41"/>
    <n v="400.88"/>
    <n v="1667.73"/>
    <n v="2068.61"/>
    <m/>
  </r>
  <r>
    <d v="2018-07-01T00:00:00"/>
    <s v="2018-19"/>
    <n v="2018"/>
    <x v="11"/>
    <x v="11"/>
    <s v="Maharashtra"/>
    <n v="27"/>
    <s v="State"/>
    <n v="3478.17"/>
    <n v="4529.76"/>
    <n v="4726.5"/>
    <n v="1016.69"/>
    <n v="12734.43"/>
    <n v="13751.12"/>
    <m/>
  </r>
  <r>
    <d v="2018-07-01T00:00:00"/>
    <s v="2018-19"/>
    <n v="2018"/>
    <x v="11"/>
    <x v="11"/>
    <s v="Manipur"/>
    <n v="14"/>
    <s v="State"/>
    <n v="6.71"/>
    <n v="16.47"/>
    <n v="1.05"/>
    <n v="0.12"/>
    <n v="24.23"/>
    <n v="24.35"/>
    <m/>
  </r>
  <r>
    <d v="2018-07-01T00:00:00"/>
    <s v="2018-19"/>
    <n v="2018"/>
    <x v="11"/>
    <x v="11"/>
    <s v="Meghalaya"/>
    <n v="17"/>
    <s v="State"/>
    <n v="15.42"/>
    <n v="22.28"/>
    <n v="74.739999999999995"/>
    <n v="1.41"/>
    <n v="112.44"/>
    <n v="113.85"/>
    <m/>
  </r>
  <r>
    <d v="2018-07-01T00:00:00"/>
    <s v="2018-19"/>
    <n v="2018"/>
    <x v="11"/>
    <x v="11"/>
    <s v="Mizoram"/>
    <n v="15"/>
    <s v="State"/>
    <n v="3.05"/>
    <n v="5.65"/>
    <n v="1.52"/>
    <n v="0"/>
    <n v="10.220000000000001"/>
    <n v="10.220000000000001"/>
    <m/>
  </r>
  <r>
    <d v="2018-07-01T00:00:00"/>
    <s v="2018-19"/>
    <n v="2018"/>
    <x v="11"/>
    <x v="11"/>
    <s v="Nagaland"/>
    <n v="13"/>
    <s v="State"/>
    <n v="2.91"/>
    <n v="4.7300000000000004"/>
    <n v="4.34"/>
    <n v="0.51"/>
    <n v="11.98"/>
    <n v="12.49"/>
    <m/>
  </r>
  <r>
    <d v="2018-07-01T00:00:00"/>
    <s v="2018-19"/>
    <n v="2018"/>
    <x v="11"/>
    <x v="11"/>
    <s v="Odisha"/>
    <n v="21"/>
    <s v="State"/>
    <n v="400.58"/>
    <n v="546.84"/>
    <n v="651.11"/>
    <n v="460.35"/>
    <n v="1598.53"/>
    <n v="2058.88"/>
    <m/>
  </r>
  <r>
    <d v="2018-07-01T00:00:00"/>
    <s v="2018-19"/>
    <n v="2018"/>
    <x v="11"/>
    <x v="11"/>
    <s v="Puducherry"/>
    <n v="34"/>
    <s v="Union Territory"/>
    <n v="20.09"/>
    <n v="29.17"/>
    <n v="111.55"/>
    <n v="0.15"/>
    <n v="160.81"/>
    <n v="160.96"/>
    <m/>
  </r>
  <r>
    <d v="2018-07-01T00:00:00"/>
    <s v="2018-19"/>
    <n v="2018"/>
    <x v="11"/>
    <x v="11"/>
    <s v="Punjab"/>
    <n v="3"/>
    <s v="State"/>
    <n v="265.76"/>
    <n v="453.4"/>
    <n v="436.09"/>
    <n v="16.18"/>
    <n v="1155.25"/>
    <n v="1171.43"/>
    <m/>
  </r>
  <r>
    <d v="2018-07-01T00:00:00"/>
    <s v="2018-19"/>
    <n v="2018"/>
    <x v="11"/>
    <x v="11"/>
    <s v="Rajasthan"/>
    <n v="8"/>
    <s v="State"/>
    <n v="642.58000000000004"/>
    <n v="891.91"/>
    <n v="788.09"/>
    <n v="130.94"/>
    <n v="2322.58"/>
    <n v="2453.52"/>
    <m/>
  </r>
  <r>
    <d v="2018-07-01T00:00:00"/>
    <s v="2018-19"/>
    <n v="2018"/>
    <x v="11"/>
    <x v="11"/>
    <s v="Sikkim"/>
    <n v="11"/>
    <s v="State"/>
    <n v="16.38"/>
    <n v="23.58"/>
    <n v="141.16999999999999"/>
    <n v="0.13"/>
    <n v="181.13"/>
    <n v="181.26"/>
    <m/>
  </r>
  <r>
    <d v="2018-07-01T00:00:00"/>
    <s v="2018-19"/>
    <n v="2018"/>
    <x v="11"/>
    <x v="11"/>
    <s v="Tamil Nadu"/>
    <n v="33"/>
    <s v="State"/>
    <n v="1367.35"/>
    <n v="1956.13"/>
    <n v="1636.15"/>
    <n v="656.16"/>
    <n v="4959.63"/>
    <n v="5615.79"/>
    <m/>
  </r>
  <r>
    <d v="2018-07-01T00:00:00"/>
    <s v="2018-19"/>
    <n v="2018"/>
    <x v="11"/>
    <x v="11"/>
    <s v="Telangana"/>
    <n v="36"/>
    <s v="State"/>
    <n v="592.32000000000005"/>
    <n v="843.92"/>
    <n v="854.61"/>
    <n v="511.7"/>
    <n v="2290.85"/>
    <n v="2802.55"/>
    <m/>
  </r>
  <r>
    <d v="2018-07-01T00:00:00"/>
    <s v="2018-19"/>
    <n v="2018"/>
    <x v="11"/>
    <x v="11"/>
    <s v="Tripura"/>
    <n v="16"/>
    <s v="State"/>
    <n v="17.41"/>
    <n v="24.48"/>
    <n v="3.51"/>
    <n v="0.57999999999999996"/>
    <n v="45.4"/>
    <n v="45.98"/>
    <m/>
  </r>
  <r>
    <d v="2018-07-01T00:00:00"/>
    <s v="2018-19"/>
    <n v="2018"/>
    <x v="11"/>
    <x v="11"/>
    <s v="Uttar Pradesh"/>
    <n v="9"/>
    <s v="State"/>
    <n v="1055.82"/>
    <n v="1637.23"/>
    <n v="1280.82"/>
    <n v="1009.23"/>
    <n v="3973.87"/>
    <n v="4983.1000000000004"/>
    <m/>
  </r>
  <r>
    <d v="2018-07-01T00:00:00"/>
    <s v="2018-19"/>
    <n v="2018"/>
    <x v="11"/>
    <x v="11"/>
    <s v="Uttarakhand"/>
    <n v="5"/>
    <s v="State"/>
    <n v="179.41"/>
    <n v="321.93"/>
    <n v="889.7"/>
    <n v="17.07"/>
    <n v="1391.04"/>
    <n v="1408.11"/>
    <m/>
  </r>
  <r>
    <d v="2018-07-01T00:00:00"/>
    <s v="2018-19"/>
    <n v="2018"/>
    <x v="11"/>
    <x v="11"/>
    <s v="West Bengal"/>
    <n v="19"/>
    <s v="State"/>
    <n v="875.78"/>
    <n v="1195.3900000000001"/>
    <n v="866.14"/>
    <n v="351.42"/>
    <n v="2937.31"/>
    <n v="3288.73"/>
    <m/>
  </r>
  <r>
    <d v="2018-08-01T00:00:00"/>
    <s v="2018-19"/>
    <n v="2018"/>
    <x v="0"/>
    <x v="0"/>
    <s v="Andaman and Nicobar Islands"/>
    <n v="35"/>
    <s v="Union Territory"/>
    <n v="4.12"/>
    <n v="8.17"/>
    <n v="1.22"/>
    <n v="0.09"/>
    <n v="13.51"/>
    <n v="13.6"/>
    <m/>
  </r>
  <r>
    <d v="2018-08-01T00:00:00"/>
    <s v="2018-19"/>
    <n v="2018"/>
    <x v="0"/>
    <x v="0"/>
    <s v="Andhra Pradesh"/>
    <n v="28"/>
    <s v="State"/>
    <n v="448.51"/>
    <n v="646.09"/>
    <n v="777.33"/>
    <n v="18.829999999999998"/>
    <n v="1871.93"/>
    <n v="1890.76"/>
    <m/>
  </r>
  <r>
    <d v="2018-08-01T00:00:00"/>
    <s v="2018-19"/>
    <n v="2018"/>
    <x v="0"/>
    <x v="0"/>
    <s v="Arunachal Pradesh"/>
    <n v="12"/>
    <s v="State"/>
    <n v="7.14"/>
    <n v="11.08"/>
    <n v="4.22"/>
    <n v="0.23"/>
    <n v="22.44"/>
    <n v="22.67"/>
    <m/>
  </r>
  <r>
    <d v="2018-08-01T00:00:00"/>
    <s v="2018-19"/>
    <n v="2018"/>
    <x v="0"/>
    <x v="0"/>
    <s v="Assam"/>
    <n v="18"/>
    <s v="State"/>
    <n v="172.95"/>
    <n v="246.78"/>
    <n v="201.88"/>
    <n v="24.35"/>
    <n v="621.61"/>
    <n v="645.96"/>
    <m/>
  </r>
  <r>
    <d v="2018-08-01T00:00:00"/>
    <s v="2018-19"/>
    <n v="2018"/>
    <x v="0"/>
    <x v="0"/>
    <s v="Bihar"/>
    <n v="10"/>
    <s v="State"/>
    <n v="192.94"/>
    <n v="357.08"/>
    <n v="127.57"/>
    <n v="168.23"/>
    <n v="677.59"/>
    <n v="845.82"/>
    <m/>
  </r>
  <r>
    <d v="2018-08-01T00:00:00"/>
    <s v="2018-19"/>
    <n v="2018"/>
    <x v="0"/>
    <x v="0"/>
    <s v="Chandigarh"/>
    <n v="4"/>
    <s v="Union Territory"/>
    <n v="28.64"/>
    <n v="39.93"/>
    <n v="70.849999999999994"/>
    <n v="0.16"/>
    <n v="139.41999999999999"/>
    <n v="139.58000000000001"/>
    <m/>
  </r>
  <r>
    <d v="2018-08-01T00:00:00"/>
    <s v="2018-19"/>
    <n v="2018"/>
    <x v="0"/>
    <x v="0"/>
    <s v="Chhattisgarh"/>
    <n v="22"/>
    <s v="State"/>
    <n v="309.88"/>
    <n v="398.68"/>
    <n v="576.66999999999996"/>
    <n v="535.74"/>
    <n v="1285.23"/>
    <n v="1820.97"/>
    <m/>
  </r>
  <r>
    <d v="2018-08-01T00:00:00"/>
    <s v="2018-19"/>
    <n v="2018"/>
    <x v="0"/>
    <x v="0"/>
    <s v="Dadra and Nagar Haveli and Daman and Diu"/>
    <n v="38"/>
    <s v="Union Territory"/>
    <n v="23.83"/>
    <n v="36.340000000000003"/>
    <n v="153.13999999999999"/>
    <n v="0.15"/>
    <n v="213.31"/>
    <n v="213.46"/>
    <m/>
  </r>
  <r>
    <d v="2018-08-01T00:00:00"/>
    <s v="2018-19"/>
    <n v="2018"/>
    <x v="0"/>
    <x v="0"/>
    <s v="Delhi"/>
    <n v="7"/>
    <s v="Union Territory"/>
    <n v="655.04"/>
    <n v="825.96"/>
    <n v="1440.66"/>
    <n v="92.92"/>
    <n v="2921.66"/>
    <n v="3014.58"/>
    <m/>
  </r>
  <r>
    <d v="2018-08-01T00:00:00"/>
    <s v="2018-19"/>
    <n v="2018"/>
    <x v="0"/>
    <x v="0"/>
    <s v="Goa"/>
    <n v="30"/>
    <s v="State"/>
    <n v="77.069999999999993"/>
    <n v="107.74"/>
    <n v="120.58"/>
    <n v="1.41"/>
    <n v="305.39"/>
    <n v="306.8"/>
    <m/>
  </r>
  <r>
    <d v="2018-08-01T00:00:00"/>
    <s v="2018-19"/>
    <n v="2018"/>
    <x v="0"/>
    <x v="0"/>
    <s v="Gujarat"/>
    <n v="24"/>
    <s v="State"/>
    <n v="1413.49"/>
    <n v="1815.81"/>
    <n v="1701.42"/>
    <n v="321.54000000000002"/>
    <n v="4930.72"/>
    <n v="5252.26"/>
    <m/>
  </r>
  <r>
    <d v="2018-08-01T00:00:00"/>
    <s v="2018-19"/>
    <n v="2018"/>
    <x v="0"/>
    <x v="0"/>
    <s v="Haryana"/>
    <n v="6"/>
    <s v="State"/>
    <n v="711.49"/>
    <n v="1088.28"/>
    <n v="2281.42"/>
    <n v="292.7"/>
    <n v="4081.19"/>
    <n v="4373.8900000000003"/>
    <m/>
  </r>
  <r>
    <d v="2018-08-01T00:00:00"/>
    <s v="2018-19"/>
    <n v="2018"/>
    <x v="0"/>
    <x v="0"/>
    <s v="Himachal Pradesh"/>
    <n v="2"/>
    <s v="State"/>
    <n v="77.459999999999994"/>
    <n v="121.38"/>
    <n v="362.27"/>
    <n v="1.2"/>
    <n v="561.11"/>
    <n v="562.30999999999995"/>
    <m/>
  </r>
  <r>
    <d v="2018-08-01T00:00:00"/>
    <s v="2018-19"/>
    <n v="2018"/>
    <x v="0"/>
    <x v="0"/>
    <s v="Jammu and Kashmir"/>
    <n v="1"/>
    <s v="Union Territory"/>
    <n v="72.77"/>
    <n v="129.47"/>
    <n v="99.01"/>
    <n v="4.0199999999999996"/>
    <n v="301.25"/>
    <n v="305.27"/>
    <m/>
  </r>
  <r>
    <d v="2018-08-01T00:00:00"/>
    <s v="2018-19"/>
    <n v="2018"/>
    <x v="0"/>
    <x v="0"/>
    <s v="Jharkhand"/>
    <n v="20"/>
    <s v="State"/>
    <n v="256.19"/>
    <n v="364.84"/>
    <n v="664.51"/>
    <n v="383.7"/>
    <n v="1285.54"/>
    <n v="1669.24"/>
    <m/>
  </r>
  <r>
    <d v="2018-08-01T00:00:00"/>
    <s v="2018-19"/>
    <n v="2018"/>
    <x v="0"/>
    <x v="0"/>
    <s v="Karnataka"/>
    <n v="29"/>
    <s v="State"/>
    <n v="1370.2"/>
    <n v="1845.95"/>
    <n v="2225.44"/>
    <n v="829.63"/>
    <n v="5441.59"/>
    <n v="6271.22"/>
    <m/>
  </r>
  <r>
    <d v="2018-08-01T00:00:00"/>
    <s v="2018-19"/>
    <n v="2018"/>
    <x v="0"/>
    <x v="0"/>
    <s v="Kerala"/>
    <n v="32"/>
    <s v="State"/>
    <n v="351.82"/>
    <n v="529.94000000000005"/>
    <n v="243.79"/>
    <n v="3.75"/>
    <n v="1125.55"/>
    <n v="1129.3"/>
    <m/>
  </r>
  <r>
    <d v="2018-08-01T00:00:00"/>
    <s v="2018-19"/>
    <n v="2018"/>
    <x v="0"/>
    <x v="0"/>
    <s v="Lakshadweep"/>
    <n v="31"/>
    <s v="Union Territory"/>
    <n v="0.17"/>
    <n v="0.18"/>
    <n v="0.04"/>
    <n v="0"/>
    <n v="0.39"/>
    <n v="0.39"/>
    <m/>
  </r>
  <r>
    <d v="2018-08-01T00:00:00"/>
    <s v="2018-19"/>
    <n v="2018"/>
    <x v="0"/>
    <x v="0"/>
    <s v="Madhya Pradesh"/>
    <n v="23"/>
    <s v="State"/>
    <n v="414.22"/>
    <n v="596.15"/>
    <n v="573.91999999999996"/>
    <n v="378.26"/>
    <n v="1584.29"/>
    <n v="1962.55"/>
    <m/>
  </r>
  <r>
    <d v="2018-08-01T00:00:00"/>
    <s v="2018-19"/>
    <n v="2018"/>
    <x v="0"/>
    <x v="0"/>
    <s v="Maharashtra"/>
    <n v="27"/>
    <s v="State"/>
    <n v="3468.06"/>
    <n v="4385.3"/>
    <n v="4142.54"/>
    <n v="836.03"/>
    <n v="11995.9"/>
    <n v="12831.93"/>
    <m/>
  </r>
  <r>
    <d v="2018-08-01T00:00:00"/>
    <s v="2018-19"/>
    <n v="2018"/>
    <x v="0"/>
    <x v="0"/>
    <s v="Manipur"/>
    <n v="14"/>
    <s v="State"/>
    <n v="6.11"/>
    <n v="9.56"/>
    <n v="0.89"/>
    <n v="0.05"/>
    <n v="16.559999999999999"/>
    <n v="16.61"/>
    <m/>
  </r>
  <r>
    <d v="2018-08-01T00:00:00"/>
    <s v="2018-19"/>
    <n v="2018"/>
    <x v="0"/>
    <x v="0"/>
    <s v="Meghalaya"/>
    <n v="17"/>
    <s v="State"/>
    <n v="15.66"/>
    <n v="21.27"/>
    <n v="64.73"/>
    <n v="0.68"/>
    <n v="101.66"/>
    <n v="102.34"/>
    <m/>
  </r>
  <r>
    <d v="2018-08-01T00:00:00"/>
    <s v="2018-19"/>
    <n v="2018"/>
    <x v="0"/>
    <x v="0"/>
    <s v="Mizoram"/>
    <n v="15"/>
    <s v="State"/>
    <n v="3.47"/>
    <n v="6.68"/>
    <n v="0.63"/>
    <n v="0.02"/>
    <n v="10.78"/>
    <n v="10.8"/>
    <m/>
  </r>
  <r>
    <d v="2018-08-01T00:00:00"/>
    <s v="2018-19"/>
    <n v="2018"/>
    <x v="0"/>
    <x v="0"/>
    <s v="Nagaland"/>
    <n v="13"/>
    <s v="State"/>
    <n v="4.58"/>
    <n v="6.73"/>
    <n v="3.6"/>
    <n v="0.39"/>
    <n v="14.91"/>
    <n v="15.3"/>
    <m/>
  </r>
  <r>
    <d v="2018-08-01T00:00:00"/>
    <s v="2018-19"/>
    <n v="2018"/>
    <x v="0"/>
    <x v="0"/>
    <s v="Odisha"/>
    <n v="21"/>
    <s v="State"/>
    <n v="400.97"/>
    <n v="525.89"/>
    <n v="837.7"/>
    <n v="477.2"/>
    <n v="1764.56"/>
    <n v="2241.7600000000002"/>
    <m/>
  </r>
  <r>
    <d v="2018-08-01T00:00:00"/>
    <s v="2018-19"/>
    <n v="2018"/>
    <x v="0"/>
    <x v="0"/>
    <s v="Puducherry"/>
    <n v="34"/>
    <s v="Union Territory"/>
    <n v="16.95"/>
    <n v="30.7"/>
    <n v="101.37"/>
    <n v="0.1"/>
    <n v="149.02000000000001"/>
    <n v="149.12"/>
    <m/>
  </r>
  <r>
    <d v="2018-08-01T00:00:00"/>
    <s v="2018-19"/>
    <n v="2018"/>
    <x v="0"/>
    <x v="0"/>
    <s v="Punjab"/>
    <n v="3"/>
    <s v="State"/>
    <n v="247.75"/>
    <n v="409.91"/>
    <n v="427.29"/>
    <n v="11.83"/>
    <n v="1084.95"/>
    <n v="1096.78"/>
    <m/>
  </r>
  <r>
    <d v="2018-08-01T00:00:00"/>
    <s v="2018-19"/>
    <n v="2018"/>
    <x v="0"/>
    <x v="0"/>
    <s v="Rajasthan"/>
    <n v="8"/>
    <s v="State"/>
    <n v="570.64"/>
    <n v="796.9"/>
    <n v="748.83"/>
    <n v="124.02"/>
    <n v="2116.37"/>
    <n v="2240.39"/>
    <m/>
  </r>
  <r>
    <d v="2018-08-01T00:00:00"/>
    <s v="2018-19"/>
    <n v="2018"/>
    <x v="0"/>
    <x v="0"/>
    <s v="Sikkim"/>
    <n v="11"/>
    <s v="State"/>
    <n v="7.08"/>
    <n v="12.23"/>
    <n v="143.79"/>
    <n v="0.03"/>
    <n v="163.1"/>
    <n v="163.13"/>
    <m/>
  </r>
  <r>
    <d v="2018-08-01T00:00:00"/>
    <s v="2018-19"/>
    <n v="2018"/>
    <x v="0"/>
    <x v="0"/>
    <s v="Tamil Nadu"/>
    <n v="33"/>
    <s v="State"/>
    <n v="1395.26"/>
    <n v="2000.38"/>
    <n v="1567.42"/>
    <n v="472.53"/>
    <n v="4963.0600000000004"/>
    <n v="5435.59"/>
    <m/>
  </r>
  <r>
    <d v="2018-08-01T00:00:00"/>
    <s v="2018-19"/>
    <n v="2018"/>
    <x v="0"/>
    <x v="0"/>
    <s v="Telangana"/>
    <n v="36"/>
    <s v="State"/>
    <n v="566.23"/>
    <n v="792.95"/>
    <n v="833.04"/>
    <n v="467.53"/>
    <n v="2192.2199999999998"/>
    <n v="2659.75"/>
    <m/>
  </r>
  <r>
    <d v="2018-08-01T00:00:00"/>
    <s v="2018-19"/>
    <n v="2018"/>
    <x v="0"/>
    <x v="0"/>
    <s v="Tripura"/>
    <n v="16"/>
    <s v="State"/>
    <n v="14.18"/>
    <n v="20.12"/>
    <n v="3.9"/>
    <n v="0.1"/>
    <n v="38.200000000000003"/>
    <n v="38.299999999999997"/>
    <m/>
  </r>
  <r>
    <d v="2018-08-01T00:00:00"/>
    <s v="2018-19"/>
    <n v="2018"/>
    <x v="0"/>
    <x v="0"/>
    <s v="Uttar Pradesh"/>
    <n v="9"/>
    <s v="State"/>
    <n v="935.42"/>
    <n v="1452.78"/>
    <n v="1353.17"/>
    <n v="1022.19"/>
    <n v="3741.37"/>
    <n v="4763.5600000000004"/>
    <m/>
  </r>
  <r>
    <d v="2018-08-01T00:00:00"/>
    <s v="2018-19"/>
    <n v="2018"/>
    <x v="0"/>
    <x v="0"/>
    <s v="Uttarakhand"/>
    <n v="5"/>
    <s v="State"/>
    <n v="158.9"/>
    <n v="297.24"/>
    <n v="549.46"/>
    <n v="14.57"/>
    <n v="1005.6"/>
    <n v="1020.17"/>
    <m/>
  </r>
  <r>
    <d v="2018-08-01T00:00:00"/>
    <s v="2018-19"/>
    <n v="2018"/>
    <x v="0"/>
    <x v="0"/>
    <s v="West Bengal"/>
    <n v="19"/>
    <s v="State"/>
    <n v="883.31"/>
    <n v="1178.5"/>
    <n v="768.88"/>
    <n v="293.85000000000002"/>
    <n v="2830.69"/>
    <n v="3124.54"/>
    <m/>
  </r>
  <r>
    <d v="2018-09-01T00:00:00"/>
    <s v="2018-19"/>
    <n v="2018"/>
    <x v="1"/>
    <x v="1"/>
    <s v="Andaman and Nicobar Islands"/>
    <n v="35"/>
    <s v="Union Territory"/>
    <n v="9.2200000000000006"/>
    <n v="12.51"/>
    <n v="1.17"/>
    <n v="0.02"/>
    <n v="22.9"/>
    <n v="22.92"/>
    <m/>
  </r>
  <r>
    <d v="2018-09-01T00:00:00"/>
    <s v="2018-19"/>
    <n v="2018"/>
    <x v="1"/>
    <x v="1"/>
    <s v="Andhra Pradesh"/>
    <n v="28"/>
    <s v="State"/>
    <n v="493.36"/>
    <n v="692.61"/>
    <n v="808.7"/>
    <n v="28.62"/>
    <n v="1994.67"/>
    <n v="2023.29"/>
    <m/>
  </r>
  <r>
    <d v="2018-09-01T00:00:00"/>
    <s v="2018-19"/>
    <n v="2018"/>
    <x v="1"/>
    <x v="1"/>
    <s v="Arunachal Pradesh"/>
    <n v="12"/>
    <s v="State"/>
    <n v="10.23"/>
    <n v="13.41"/>
    <n v="2.16"/>
    <n v="0.14000000000000001"/>
    <n v="25.8"/>
    <n v="25.94"/>
    <m/>
  </r>
  <r>
    <d v="2018-09-01T00:00:00"/>
    <s v="2018-19"/>
    <n v="2018"/>
    <x v="1"/>
    <x v="1"/>
    <s v="Assam"/>
    <n v="18"/>
    <s v="State"/>
    <n v="184.27"/>
    <n v="256.83999999999997"/>
    <n v="223.82"/>
    <n v="31.82"/>
    <n v="664.93"/>
    <n v="696.75"/>
    <m/>
  </r>
  <r>
    <d v="2018-09-01T00:00:00"/>
    <s v="2018-19"/>
    <n v="2018"/>
    <x v="1"/>
    <x v="1"/>
    <s v="Bihar"/>
    <n v="10"/>
    <s v="State"/>
    <n v="195.55"/>
    <n v="374.04"/>
    <n v="90.67"/>
    <n v="170.28"/>
    <n v="660.26"/>
    <n v="830.54"/>
    <m/>
  </r>
  <r>
    <d v="2018-09-01T00:00:00"/>
    <s v="2018-19"/>
    <n v="2018"/>
    <x v="1"/>
    <x v="1"/>
    <s v="Chandigarh"/>
    <n v="4"/>
    <s v="Union Territory"/>
    <n v="26.98"/>
    <n v="40.93"/>
    <n v="75.28"/>
    <n v="0.18"/>
    <n v="143.19"/>
    <n v="143.37"/>
    <m/>
  </r>
  <r>
    <d v="2018-09-01T00:00:00"/>
    <s v="2018-19"/>
    <n v="2018"/>
    <x v="1"/>
    <x v="1"/>
    <s v="Chhattisgarh"/>
    <n v="22"/>
    <s v="State"/>
    <n v="287.07"/>
    <n v="361.02"/>
    <n v="509.3"/>
    <n v="513.6"/>
    <n v="1157.3900000000001"/>
    <n v="1670.99"/>
    <m/>
  </r>
  <r>
    <d v="2018-09-01T00:00:00"/>
    <s v="2018-19"/>
    <n v="2018"/>
    <x v="1"/>
    <x v="1"/>
    <s v="Dadra and Nagar Haveli and Daman and Diu"/>
    <n v="38"/>
    <s v="Union Territory"/>
    <n v="21.83"/>
    <n v="32.950000000000003"/>
    <n v="168.82"/>
    <n v="0.2"/>
    <n v="223.6"/>
    <n v="223.8"/>
    <m/>
  </r>
  <r>
    <d v="2018-09-01T00:00:00"/>
    <s v="2018-19"/>
    <n v="2018"/>
    <x v="1"/>
    <x v="1"/>
    <s v="Delhi"/>
    <n v="7"/>
    <s v="Union Territory"/>
    <n v="620.52"/>
    <n v="787.04"/>
    <n v="1642.9"/>
    <n v="89.04"/>
    <n v="3050.46"/>
    <n v="3139.5"/>
    <m/>
  </r>
  <r>
    <d v="2018-09-01T00:00:00"/>
    <s v="2018-19"/>
    <n v="2018"/>
    <x v="1"/>
    <x v="1"/>
    <s v="Goa"/>
    <n v="30"/>
    <s v="State"/>
    <n v="69.23"/>
    <n v="101.03"/>
    <n v="134.41999999999999"/>
    <n v="3.83"/>
    <n v="304.68"/>
    <n v="308.51"/>
    <m/>
  </r>
  <r>
    <d v="2018-09-01T00:00:00"/>
    <s v="2018-19"/>
    <n v="2018"/>
    <x v="1"/>
    <x v="1"/>
    <s v="Gujarat"/>
    <n v="24"/>
    <s v="State"/>
    <n v="1547.8"/>
    <n v="1999.97"/>
    <n v="2229.5700000000002"/>
    <n v="322.81"/>
    <n v="5777.34"/>
    <n v="6100.15"/>
    <m/>
  </r>
  <r>
    <d v="2018-09-01T00:00:00"/>
    <s v="2018-19"/>
    <n v="2018"/>
    <x v="1"/>
    <x v="1"/>
    <s v="Haryana"/>
    <n v="6"/>
    <s v="State"/>
    <n v="688.69"/>
    <n v="1039.9100000000001"/>
    <n v="2156.4299999999998"/>
    <n v="307.10000000000002"/>
    <n v="3885.03"/>
    <n v="4192.13"/>
    <m/>
  </r>
  <r>
    <d v="2018-09-01T00:00:00"/>
    <s v="2018-19"/>
    <n v="2018"/>
    <x v="1"/>
    <x v="1"/>
    <s v="Himachal Pradesh"/>
    <n v="2"/>
    <s v="State"/>
    <n v="79.099999999999994"/>
    <n v="118.53"/>
    <n v="450.11"/>
    <n v="0.8"/>
    <n v="647.74"/>
    <n v="648.54"/>
    <m/>
  </r>
  <r>
    <d v="2018-09-01T00:00:00"/>
    <s v="2018-19"/>
    <n v="2018"/>
    <x v="1"/>
    <x v="1"/>
    <s v="Jammu and Kashmir"/>
    <n v="1"/>
    <s v="Union Territory"/>
    <n v="78.61"/>
    <n v="129.74"/>
    <n v="123.85"/>
    <n v="4.6500000000000004"/>
    <n v="332.2"/>
    <n v="336.85"/>
    <m/>
  </r>
  <r>
    <d v="2018-09-01T00:00:00"/>
    <s v="2018-19"/>
    <n v="2018"/>
    <x v="1"/>
    <x v="1"/>
    <s v="Jharkhand"/>
    <n v="20"/>
    <s v="State"/>
    <n v="264.31"/>
    <n v="367.6"/>
    <n v="755.85"/>
    <n v="347.83"/>
    <n v="1387.76"/>
    <n v="1735.59"/>
    <m/>
  </r>
  <r>
    <d v="2018-09-01T00:00:00"/>
    <s v="2018-19"/>
    <n v="2018"/>
    <x v="1"/>
    <x v="1"/>
    <s v="Karnataka"/>
    <n v="29"/>
    <s v="State"/>
    <n v="1316.81"/>
    <n v="1809.4"/>
    <n v="2287.52"/>
    <n v="898.26"/>
    <n v="5413.73"/>
    <n v="6311.99"/>
    <m/>
  </r>
  <r>
    <d v="2018-09-01T00:00:00"/>
    <s v="2018-19"/>
    <n v="2018"/>
    <x v="1"/>
    <x v="1"/>
    <s v="Kerala"/>
    <n v="32"/>
    <s v="State"/>
    <n v="345.11"/>
    <n v="529.42999999999995"/>
    <n v="164.83"/>
    <n v="2.87"/>
    <n v="1039.3699999999999"/>
    <n v="1042.24"/>
    <m/>
  </r>
  <r>
    <d v="2018-09-01T00:00:00"/>
    <s v="2018-19"/>
    <n v="2018"/>
    <x v="1"/>
    <x v="1"/>
    <s v="Lakshadweep"/>
    <n v="31"/>
    <s v="Union Territory"/>
    <n v="0.06"/>
    <n v="0.47"/>
    <n v="0"/>
    <n v="0"/>
    <n v="0.53"/>
    <n v="0.53"/>
    <m/>
  </r>
  <r>
    <d v="2018-09-01T00:00:00"/>
    <s v="2018-19"/>
    <n v="2018"/>
    <x v="1"/>
    <x v="1"/>
    <s v="Madhya Pradesh"/>
    <n v="23"/>
    <s v="State"/>
    <n v="400.14"/>
    <n v="572.94000000000005"/>
    <n v="528.69000000000005"/>
    <n v="397.17"/>
    <n v="1501.77"/>
    <n v="1898.94"/>
    <m/>
  </r>
  <r>
    <d v="2018-09-01T00:00:00"/>
    <s v="2018-19"/>
    <n v="2018"/>
    <x v="1"/>
    <x v="1"/>
    <s v="Maharashtra"/>
    <n v="27"/>
    <s v="State"/>
    <n v="3428.64"/>
    <n v="4292.71"/>
    <n v="4307.92"/>
    <n v="1052.22"/>
    <n v="12029.27"/>
    <n v="13081.49"/>
    <m/>
  </r>
  <r>
    <d v="2018-09-01T00:00:00"/>
    <s v="2018-19"/>
    <n v="2018"/>
    <x v="1"/>
    <x v="1"/>
    <s v="Manipur"/>
    <n v="14"/>
    <s v="State"/>
    <n v="10.65"/>
    <n v="20.16"/>
    <n v="1.02"/>
    <n v="0"/>
    <n v="31.83"/>
    <n v="31.83"/>
    <m/>
  </r>
  <r>
    <d v="2018-09-01T00:00:00"/>
    <s v="2018-19"/>
    <n v="2018"/>
    <x v="1"/>
    <x v="1"/>
    <s v="Meghalaya"/>
    <n v="17"/>
    <s v="State"/>
    <n v="13.41"/>
    <n v="19.91"/>
    <n v="57.73"/>
    <n v="1.49"/>
    <n v="91.05"/>
    <n v="92.54"/>
    <m/>
  </r>
  <r>
    <d v="2018-09-01T00:00:00"/>
    <s v="2018-19"/>
    <n v="2018"/>
    <x v="1"/>
    <x v="1"/>
    <s v="Mizoram"/>
    <n v="15"/>
    <s v="State"/>
    <n v="5.3"/>
    <n v="7.56"/>
    <n v="0.46"/>
    <n v="7.0000000000000007E-2"/>
    <n v="13.32"/>
    <n v="13.39"/>
    <m/>
  </r>
  <r>
    <d v="2018-09-01T00:00:00"/>
    <s v="2018-19"/>
    <n v="2018"/>
    <x v="1"/>
    <x v="1"/>
    <s v="Nagaland"/>
    <n v="13"/>
    <s v="State"/>
    <n v="5.45"/>
    <n v="7.74"/>
    <n v="8.6300000000000008"/>
    <n v="0.17"/>
    <n v="21.82"/>
    <n v="21.99"/>
    <m/>
  </r>
  <r>
    <d v="2018-09-01T00:00:00"/>
    <s v="2018-19"/>
    <n v="2018"/>
    <x v="1"/>
    <x v="1"/>
    <s v="Odisha"/>
    <n v="21"/>
    <s v="State"/>
    <n v="403.92"/>
    <n v="527.58000000000004"/>
    <n v="808.73"/>
    <n v="446.53"/>
    <n v="1740.23"/>
    <n v="2186.7600000000002"/>
    <m/>
  </r>
  <r>
    <d v="2018-09-01T00:00:00"/>
    <s v="2018-19"/>
    <n v="2018"/>
    <x v="1"/>
    <x v="1"/>
    <s v="Puducherry"/>
    <n v="34"/>
    <s v="Union Territory"/>
    <n v="18.899999999999999"/>
    <n v="29.82"/>
    <n v="111.9"/>
    <n v="0.2"/>
    <n v="160.62"/>
    <n v="160.82"/>
    <m/>
  </r>
  <r>
    <d v="2018-09-01T00:00:00"/>
    <s v="2018-19"/>
    <n v="2018"/>
    <x v="1"/>
    <x v="1"/>
    <s v="Punjab"/>
    <n v="3"/>
    <s v="State"/>
    <n v="250.89"/>
    <n v="406.1"/>
    <n v="445.78"/>
    <n v="14.31"/>
    <n v="1102.77"/>
    <n v="1117.08"/>
    <m/>
  </r>
  <r>
    <d v="2018-09-01T00:00:00"/>
    <s v="2018-19"/>
    <n v="2018"/>
    <x v="1"/>
    <x v="1"/>
    <s v="Rajasthan"/>
    <n v="8"/>
    <s v="State"/>
    <n v="559.53"/>
    <n v="773.57"/>
    <n v="781.36"/>
    <n v="129.02000000000001"/>
    <n v="2114.46"/>
    <n v="2243.48"/>
    <m/>
  </r>
  <r>
    <d v="2018-09-01T00:00:00"/>
    <s v="2018-19"/>
    <n v="2018"/>
    <x v="1"/>
    <x v="1"/>
    <s v="Sikkim"/>
    <n v="11"/>
    <s v="State"/>
    <n v="7.82"/>
    <n v="11.34"/>
    <n v="145.91999999999999"/>
    <n v="0.01"/>
    <n v="165.08"/>
    <n v="165.09"/>
    <m/>
  </r>
  <r>
    <d v="2018-09-01T00:00:00"/>
    <s v="2018-19"/>
    <n v="2018"/>
    <x v="1"/>
    <x v="1"/>
    <s v="Tamil Nadu"/>
    <n v="33"/>
    <s v="State"/>
    <n v="1384.41"/>
    <n v="1976.47"/>
    <n v="1756.48"/>
    <n v="616.03"/>
    <n v="5117.3599999999997"/>
    <n v="5733.39"/>
    <m/>
  </r>
  <r>
    <d v="2018-09-01T00:00:00"/>
    <s v="2018-19"/>
    <n v="2018"/>
    <x v="1"/>
    <x v="1"/>
    <s v="Telangana"/>
    <n v="36"/>
    <s v="State"/>
    <n v="614.97"/>
    <n v="854.31"/>
    <n v="784.23"/>
    <n v="468.28"/>
    <n v="2253.5100000000002"/>
    <n v="2721.79"/>
    <m/>
  </r>
  <r>
    <d v="2018-09-01T00:00:00"/>
    <s v="2018-19"/>
    <n v="2018"/>
    <x v="1"/>
    <x v="1"/>
    <s v="Tripura"/>
    <n v="16"/>
    <s v="State"/>
    <n v="18.239999999999998"/>
    <n v="25.94"/>
    <n v="4.63"/>
    <n v="0.68"/>
    <n v="48.81"/>
    <n v="49.49"/>
    <m/>
  </r>
  <r>
    <d v="2018-09-01T00:00:00"/>
    <s v="2018-19"/>
    <n v="2018"/>
    <x v="1"/>
    <x v="1"/>
    <s v="Uttar Pradesh"/>
    <n v="9"/>
    <s v="State"/>
    <n v="917.49"/>
    <n v="1408.93"/>
    <n v="1438.67"/>
    <n v="1046.8499999999999"/>
    <n v="3765.09"/>
    <n v="4811.9399999999996"/>
    <m/>
  </r>
  <r>
    <d v="2018-09-01T00:00:00"/>
    <s v="2018-19"/>
    <n v="2018"/>
    <x v="1"/>
    <x v="1"/>
    <s v="Uttarakhand"/>
    <n v="5"/>
    <s v="State"/>
    <n v="157.81"/>
    <n v="289.72000000000003"/>
    <n v="779.54"/>
    <n v="19.52"/>
    <n v="1227.07"/>
    <n v="1246.5899999999999"/>
    <m/>
  </r>
  <r>
    <d v="2018-09-01T00:00:00"/>
    <s v="2018-19"/>
    <n v="2018"/>
    <x v="1"/>
    <x v="1"/>
    <s v="West Bengal"/>
    <n v="19"/>
    <s v="State"/>
    <n v="870.93"/>
    <n v="1150.44"/>
    <n v="799.75"/>
    <n v="309.05"/>
    <n v="2821.12"/>
    <n v="3130.17"/>
    <m/>
  </r>
  <r>
    <d v="2018-10-01T00:00:00"/>
    <s v="2018-19"/>
    <n v="2018"/>
    <x v="2"/>
    <x v="2"/>
    <s v="Andaman and Nicobar Islands"/>
    <n v="35"/>
    <s v="Union Territory"/>
    <n v="3.89"/>
    <n v="7.43"/>
    <n v="1.58"/>
    <n v="0"/>
    <n v="12.9"/>
    <n v="12.9"/>
    <m/>
  </r>
  <r>
    <d v="2018-10-01T00:00:00"/>
    <s v="2018-19"/>
    <n v="2018"/>
    <x v="2"/>
    <x v="2"/>
    <s v="Andhra Pradesh"/>
    <n v="28"/>
    <s v="State"/>
    <n v="548.30999999999995"/>
    <n v="786.62"/>
    <n v="856.42"/>
    <n v="20.9"/>
    <n v="2191.35"/>
    <n v="2212.25"/>
    <m/>
  </r>
  <r>
    <d v="2018-10-01T00:00:00"/>
    <s v="2018-19"/>
    <n v="2018"/>
    <x v="2"/>
    <x v="2"/>
    <s v="Arunachal Pradesh"/>
    <n v="12"/>
    <s v="State"/>
    <n v="9.7899999999999991"/>
    <n v="14.67"/>
    <n v="3.25"/>
    <n v="0.49"/>
    <n v="27.71"/>
    <n v="28.2"/>
    <m/>
  </r>
  <r>
    <d v="2018-10-01T00:00:00"/>
    <s v="2018-19"/>
    <n v="2018"/>
    <x v="2"/>
    <x v="2"/>
    <s v="Assam"/>
    <n v="18"/>
    <s v="State"/>
    <n v="203.19"/>
    <n v="288.75"/>
    <n v="227"/>
    <n v="37.85"/>
    <n v="718.94"/>
    <n v="756.79"/>
    <m/>
  </r>
  <r>
    <d v="2018-10-01T00:00:00"/>
    <s v="2018-19"/>
    <n v="2018"/>
    <x v="2"/>
    <x v="2"/>
    <s v="Bihar"/>
    <n v="10"/>
    <s v="State"/>
    <n v="197.94"/>
    <n v="397.09"/>
    <n v="92.46"/>
    <n v="124.94"/>
    <n v="687.49"/>
    <n v="812.43"/>
    <m/>
  </r>
  <r>
    <d v="2018-10-01T00:00:00"/>
    <s v="2018-19"/>
    <n v="2018"/>
    <x v="2"/>
    <x v="2"/>
    <s v="Chandigarh"/>
    <n v="4"/>
    <s v="Union Territory"/>
    <n v="26.08"/>
    <n v="34.78"/>
    <n v="80.06"/>
    <n v="0.3"/>
    <n v="140.91999999999999"/>
    <n v="141.22"/>
    <m/>
  </r>
  <r>
    <d v="2018-10-01T00:00:00"/>
    <s v="2018-19"/>
    <n v="2018"/>
    <x v="2"/>
    <x v="2"/>
    <s v="Chhattisgarh"/>
    <n v="22"/>
    <s v="State"/>
    <n v="321.97000000000003"/>
    <n v="423.92"/>
    <n v="523.27"/>
    <n v="467.54"/>
    <n v="1269.1600000000001"/>
    <n v="1736.7"/>
    <m/>
  </r>
  <r>
    <d v="2018-10-01T00:00:00"/>
    <s v="2018-19"/>
    <n v="2018"/>
    <x v="2"/>
    <x v="2"/>
    <s v="Dadra and Nagar Haveli and Daman and Diu"/>
    <n v="38"/>
    <s v="Union Territory"/>
    <n v="25.55"/>
    <n v="37.619999999999997"/>
    <n v="178.73"/>
    <n v="0.05"/>
    <n v="241.9"/>
    <n v="241.95"/>
    <m/>
  </r>
  <r>
    <d v="2018-10-01T00:00:00"/>
    <s v="2018-19"/>
    <n v="2018"/>
    <x v="2"/>
    <x v="2"/>
    <s v="Delhi"/>
    <n v="7"/>
    <s v="Union Territory"/>
    <n v="666.38"/>
    <n v="859.74"/>
    <n v="1671.1"/>
    <n v="89.82"/>
    <n v="3197.22"/>
    <n v="3287.04"/>
    <m/>
  </r>
  <r>
    <d v="2018-10-01T00:00:00"/>
    <s v="2018-19"/>
    <n v="2018"/>
    <x v="2"/>
    <x v="2"/>
    <s v="Goa"/>
    <n v="30"/>
    <s v="State"/>
    <n v="76.39"/>
    <n v="112.69"/>
    <n v="122.16"/>
    <n v="1.46"/>
    <n v="311.24"/>
    <n v="312.7"/>
    <m/>
  </r>
  <r>
    <d v="2018-10-01T00:00:00"/>
    <s v="2018-19"/>
    <n v="2018"/>
    <x v="2"/>
    <x v="2"/>
    <s v="Gujarat"/>
    <n v="24"/>
    <s v="State"/>
    <n v="1591.84"/>
    <n v="1998.91"/>
    <n v="2260.9699999999998"/>
    <n v="307.48"/>
    <n v="5851.72"/>
    <n v="6159.2"/>
    <m/>
  </r>
  <r>
    <d v="2018-10-01T00:00:00"/>
    <s v="2018-19"/>
    <n v="2018"/>
    <x v="2"/>
    <x v="2"/>
    <s v="Haryana"/>
    <n v="6"/>
    <s v="State"/>
    <n v="707.76"/>
    <n v="1053.8399999999999"/>
    <n v="2373.9499999999998"/>
    <n v="325.75"/>
    <n v="4135.55"/>
    <n v="4461.3"/>
    <m/>
  </r>
  <r>
    <d v="2018-10-01T00:00:00"/>
    <s v="2018-19"/>
    <n v="2018"/>
    <x v="2"/>
    <x v="2"/>
    <s v="Himachal Pradesh"/>
    <n v="2"/>
    <s v="State"/>
    <n v="78.77"/>
    <n v="124.54"/>
    <n v="445.78"/>
    <n v="1.55"/>
    <n v="649.09"/>
    <n v="650.64"/>
    <m/>
  </r>
  <r>
    <d v="2018-10-01T00:00:00"/>
    <s v="2018-19"/>
    <n v="2018"/>
    <x v="2"/>
    <x v="2"/>
    <s v="Jammu and Kashmir"/>
    <n v="1"/>
    <s v="Union Territory"/>
    <n v="84.91"/>
    <n v="133.22999999999999"/>
    <n v="103.03"/>
    <n v="2.89"/>
    <n v="321.17"/>
    <n v="324.06"/>
    <m/>
  </r>
  <r>
    <d v="2018-10-01T00:00:00"/>
    <s v="2018-19"/>
    <n v="2018"/>
    <x v="2"/>
    <x v="2"/>
    <s v="Jharkhand"/>
    <n v="20"/>
    <s v="State"/>
    <n v="359.99"/>
    <n v="469.16"/>
    <n v="894.17"/>
    <n v="368.01"/>
    <n v="1723.32"/>
    <n v="2091.33"/>
    <m/>
  </r>
  <r>
    <d v="2018-10-01T00:00:00"/>
    <s v="2018-19"/>
    <n v="2018"/>
    <x v="2"/>
    <x v="2"/>
    <s v="Karnataka"/>
    <n v="29"/>
    <s v="State"/>
    <n v="1385.81"/>
    <n v="1880.13"/>
    <n v="2445.1799999999998"/>
    <n v="876.38"/>
    <n v="5711.12"/>
    <n v="6587.5"/>
    <m/>
  </r>
  <r>
    <d v="2018-10-01T00:00:00"/>
    <s v="2018-19"/>
    <n v="2018"/>
    <x v="2"/>
    <x v="2"/>
    <s v="Kerala"/>
    <n v="32"/>
    <s v="State"/>
    <n v="451.48"/>
    <n v="787.77"/>
    <n v="256.72000000000003"/>
    <n v="4.66"/>
    <n v="1495.97"/>
    <n v="1500.63"/>
    <m/>
  </r>
  <r>
    <d v="2018-10-01T00:00:00"/>
    <s v="2018-19"/>
    <n v="2018"/>
    <x v="2"/>
    <x v="2"/>
    <s v="Lakshadweep"/>
    <n v="31"/>
    <s v="Union Territory"/>
    <n v="0.04"/>
    <n v="0.05"/>
    <n v="0.05"/>
    <n v="0"/>
    <n v="0.14000000000000001"/>
    <n v="0.14000000000000001"/>
    <m/>
  </r>
  <r>
    <d v="2018-10-01T00:00:00"/>
    <s v="2018-19"/>
    <n v="2018"/>
    <x v="2"/>
    <x v="2"/>
    <s v="Madhya Pradesh"/>
    <n v="23"/>
    <s v="State"/>
    <n v="435.69"/>
    <n v="640.66"/>
    <n v="514.66"/>
    <n v="401.5"/>
    <n v="1591.01"/>
    <n v="1992.51"/>
    <m/>
  </r>
  <r>
    <d v="2018-10-01T00:00:00"/>
    <s v="2018-19"/>
    <n v="2018"/>
    <x v="2"/>
    <x v="2"/>
    <s v="Maharashtra"/>
    <n v="27"/>
    <s v="State"/>
    <n v="3671.84"/>
    <n v="4595.09"/>
    <n v="5314.06"/>
    <n v="953.39"/>
    <n v="13580.99"/>
    <n v="14534.38"/>
    <m/>
  </r>
  <r>
    <d v="2018-10-01T00:00:00"/>
    <s v="2018-19"/>
    <n v="2018"/>
    <x v="2"/>
    <x v="2"/>
    <s v="Manipur"/>
    <n v="14"/>
    <s v="State"/>
    <n v="7.76"/>
    <n v="15.18"/>
    <n v="1.23"/>
    <n v="0.15"/>
    <n v="24.17"/>
    <n v="24.32"/>
    <m/>
  </r>
  <r>
    <d v="2018-10-01T00:00:00"/>
    <s v="2018-19"/>
    <n v="2018"/>
    <x v="2"/>
    <x v="2"/>
    <s v="Meghalaya"/>
    <n v="17"/>
    <s v="State"/>
    <n v="16.260000000000002"/>
    <n v="25.76"/>
    <n v="52.4"/>
    <n v="1.18"/>
    <n v="94.42"/>
    <n v="95.6"/>
    <m/>
  </r>
  <r>
    <d v="2018-10-01T00:00:00"/>
    <s v="2018-19"/>
    <n v="2018"/>
    <x v="2"/>
    <x v="2"/>
    <s v="Mizoram"/>
    <n v="15"/>
    <s v="State"/>
    <n v="2.42"/>
    <n v="5.01"/>
    <n v="2.77"/>
    <n v="0"/>
    <n v="10.199999999999999"/>
    <n v="10.199999999999999"/>
    <m/>
  </r>
  <r>
    <d v="2018-10-01T00:00:00"/>
    <s v="2018-19"/>
    <n v="2018"/>
    <x v="2"/>
    <x v="2"/>
    <s v="Nagaland"/>
    <n v="13"/>
    <s v="State"/>
    <n v="4.8099999999999996"/>
    <n v="8"/>
    <n v="5.25"/>
    <n v="0.52"/>
    <n v="18.059999999999999"/>
    <n v="18.579999999999998"/>
    <m/>
  </r>
  <r>
    <d v="2018-10-01T00:00:00"/>
    <s v="2018-19"/>
    <n v="2018"/>
    <x v="2"/>
    <x v="2"/>
    <s v="Odisha"/>
    <n v="21"/>
    <s v="State"/>
    <n v="423.29"/>
    <n v="555.94000000000005"/>
    <n v="755.75"/>
    <n v="454.71"/>
    <n v="1734.98"/>
    <n v="2189.69"/>
    <m/>
  </r>
  <r>
    <d v="2018-10-01T00:00:00"/>
    <s v="2018-19"/>
    <n v="2018"/>
    <x v="2"/>
    <x v="2"/>
    <s v="Puducherry"/>
    <n v="34"/>
    <s v="Union Territory"/>
    <n v="18.72"/>
    <n v="30.56"/>
    <n v="91.66"/>
    <n v="0.09"/>
    <n v="140.94"/>
    <n v="141.03"/>
    <m/>
  </r>
  <r>
    <d v="2018-10-01T00:00:00"/>
    <s v="2018-19"/>
    <n v="2018"/>
    <x v="2"/>
    <x v="2"/>
    <s v="Punjab"/>
    <n v="3"/>
    <s v="State"/>
    <n v="268.77999999999997"/>
    <n v="431.2"/>
    <n v="417.09"/>
    <n v="12.39"/>
    <n v="1117.07"/>
    <n v="1129.46"/>
    <m/>
  </r>
  <r>
    <d v="2018-10-01T00:00:00"/>
    <s v="2018-19"/>
    <n v="2018"/>
    <x v="2"/>
    <x v="2"/>
    <s v="Rajasthan"/>
    <n v="8"/>
    <s v="State"/>
    <n v="672.05"/>
    <n v="949.11"/>
    <n v="820.3"/>
    <n v="112.44"/>
    <n v="2441.46"/>
    <n v="2553.9"/>
    <m/>
  </r>
  <r>
    <d v="2018-10-01T00:00:00"/>
    <s v="2018-19"/>
    <n v="2018"/>
    <x v="2"/>
    <x v="2"/>
    <s v="Sikkim"/>
    <n v="11"/>
    <s v="State"/>
    <n v="9.89"/>
    <n v="15.23"/>
    <n v="115.51"/>
    <n v="0.32"/>
    <n v="140.63"/>
    <n v="140.94999999999999"/>
    <m/>
  </r>
  <r>
    <d v="2018-10-01T00:00:00"/>
    <s v="2018-19"/>
    <n v="2018"/>
    <x v="2"/>
    <x v="2"/>
    <s v="Tamil Nadu"/>
    <n v="33"/>
    <s v="State"/>
    <n v="1389.87"/>
    <n v="2045.88"/>
    <n v="1902.12"/>
    <n v="752.69"/>
    <n v="5337.87"/>
    <n v="6090.56"/>
    <m/>
  </r>
  <r>
    <d v="2018-10-01T00:00:00"/>
    <s v="2018-19"/>
    <n v="2018"/>
    <x v="2"/>
    <x v="2"/>
    <s v="Telangana"/>
    <n v="36"/>
    <s v="State"/>
    <n v="646.02"/>
    <n v="904.44"/>
    <n v="820.14"/>
    <n v="522.32000000000005"/>
    <n v="2370.6"/>
    <n v="2892.92"/>
    <m/>
  </r>
  <r>
    <d v="2018-10-01T00:00:00"/>
    <s v="2018-19"/>
    <n v="2018"/>
    <x v="2"/>
    <x v="2"/>
    <s v="Tripura"/>
    <n v="16"/>
    <s v="State"/>
    <n v="15.31"/>
    <n v="23.78"/>
    <n v="4.95"/>
    <n v="0.27"/>
    <n v="44.04"/>
    <n v="44.31"/>
    <m/>
  </r>
  <r>
    <d v="2018-10-01T00:00:00"/>
    <s v="2018-19"/>
    <n v="2018"/>
    <x v="2"/>
    <x v="2"/>
    <s v="Uttar Pradesh"/>
    <n v="9"/>
    <s v="State"/>
    <n v="1023.37"/>
    <n v="1580.76"/>
    <n v="1327.72"/>
    <n v="903.22"/>
    <n v="3931.85"/>
    <n v="4835.07"/>
    <m/>
  </r>
  <r>
    <d v="2018-10-01T00:00:00"/>
    <s v="2018-19"/>
    <n v="2018"/>
    <x v="2"/>
    <x v="2"/>
    <s v="Uttarakhand"/>
    <n v="5"/>
    <s v="State"/>
    <n v="179.39"/>
    <n v="341.43"/>
    <n v="868.64"/>
    <n v="21.38"/>
    <n v="1389.46"/>
    <n v="1410.84"/>
    <m/>
  </r>
  <r>
    <d v="2018-10-01T00:00:00"/>
    <s v="2018-19"/>
    <n v="2018"/>
    <x v="2"/>
    <x v="2"/>
    <s v="West Bengal"/>
    <n v="19"/>
    <s v="State"/>
    <n v="921.37"/>
    <n v="1223.78"/>
    <n v="811.59"/>
    <n v="278.66000000000003"/>
    <n v="2956.74"/>
    <n v="3235.4"/>
    <m/>
  </r>
  <r>
    <d v="2018-11-01T00:00:00"/>
    <s v="2018-19"/>
    <n v="2018"/>
    <x v="3"/>
    <x v="3"/>
    <s v="Andaman and Nicobar Islands"/>
    <n v="35"/>
    <s v="Union Territory"/>
    <n v="12.67"/>
    <n v="16.59"/>
    <n v="1.45"/>
    <n v="7.0000000000000007E-2"/>
    <n v="30.71"/>
    <n v="30.78"/>
    <m/>
  </r>
  <r>
    <d v="2018-11-01T00:00:00"/>
    <s v="2018-19"/>
    <n v="2018"/>
    <x v="3"/>
    <x v="3"/>
    <s v="Andhra Pradesh"/>
    <n v="28"/>
    <s v="State"/>
    <n v="528.97"/>
    <n v="741.88"/>
    <n v="858.34"/>
    <n v="15.73"/>
    <n v="2129.19"/>
    <n v="2144.92"/>
    <m/>
  </r>
  <r>
    <d v="2018-11-01T00:00:00"/>
    <s v="2018-19"/>
    <n v="2018"/>
    <x v="3"/>
    <x v="3"/>
    <s v="Arunachal Pradesh"/>
    <n v="12"/>
    <s v="State"/>
    <n v="6.47"/>
    <n v="11.59"/>
    <n v="3.54"/>
    <n v="0.11"/>
    <n v="21.6"/>
    <n v="21.71"/>
    <m/>
  </r>
  <r>
    <d v="2018-11-01T00:00:00"/>
    <s v="2018-19"/>
    <n v="2018"/>
    <x v="3"/>
    <x v="3"/>
    <s v="Assam"/>
    <n v="18"/>
    <s v="State"/>
    <n v="203.03"/>
    <n v="275.19"/>
    <n v="218.37"/>
    <n v="42.9"/>
    <n v="696.59"/>
    <n v="739.49"/>
    <m/>
  </r>
  <r>
    <d v="2018-11-01T00:00:00"/>
    <s v="2018-19"/>
    <n v="2018"/>
    <x v="3"/>
    <x v="3"/>
    <s v="Bihar"/>
    <n v="10"/>
    <s v="State"/>
    <n v="217.43"/>
    <n v="393.99"/>
    <n v="141.33000000000001"/>
    <n v="161.93"/>
    <n v="752.75"/>
    <n v="914.68"/>
    <m/>
  </r>
  <r>
    <d v="2018-11-01T00:00:00"/>
    <s v="2018-19"/>
    <n v="2018"/>
    <x v="3"/>
    <x v="3"/>
    <s v="Chandigarh"/>
    <n v="4"/>
    <s v="Union Territory"/>
    <n v="30.18"/>
    <n v="40.81"/>
    <n v="74.400000000000006"/>
    <n v="0.12"/>
    <n v="145.38999999999999"/>
    <n v="145.51"/>
    <m/>
  </r>
  <r>
    <d v="2018-11-01T00:00:00"/>
    <s v="2018-19"/>
    <n v="2018"/>
    <x v="3"/>
    <x v="3"/>
    <s v="Chhattisgarh"/>
    <n v="22"/>
    <s v="State"/>
    <n v="322.52"/>
    <n v="410.95"/>
    <n v="721.94"/>
    <n v="549.88"/>
    <n v="1455.41"/>
    <n v="2005.29"/>
    <m/>
  </r>
  <r>
    <d v="2018-11-01T00:00:00"/>
    <s v="2018-19"/>
    <n v="2018"/>
    <x v="3"/>
    <x v="3"/>
    <s v="Dadra and Nagar Haveli and Daman and Diu"/>
    <n v="38"/>
    <s v="Union Territory"/>
    <n v="23.27"/>
    <n v="32.17"/>
    <n v="173.37"/>
    <n v="0.04"/>
    <n v="228.81"/>
    <n v="228.85"/>
    <m/>
  </r>
  <r>
    <d v="2018-11-01T00:00:00"/>
    <s v="2018-19"/>
    <n v="2018"/>
    <x v="3"/>
    <x v="3"/>
    <s v="Delhi"/>
    <n v="7"/>
    <s v="Union Territory"/>
    <n v="670.85"/>
    <n v="878.22"/>
    <n v="1632.11"/>
    <n v="95.54"/>
    <n v="3181.18"/>
    <n v="3276.72"/>
    <m/>
  </r>
  <r>
    <d v="2018-11-01T00:00:00"/>
    <s v="2018-19"/>
    <n v="2018"/>
    <x v="3"/>
    <x v="3"/>
    <s v="Goa"/>
    <n v="30"/>
    <s v="State"/>
    <n v="75.97"/>
    <n v="112.42"/>
    <n v="134.87"/>
    <n v="2.1800000000000002"/>
    <n v="323.26"/>
    <n v="325.44"/>
    <m/>
  </r>
  <r>
    <d v="2018-11-01T00:00:00"/>
    <s v="2018-19"/>
    <n v="2018"/>
    <x v="3"/>
    <x v="3"/>
    <s v="Gujarat"/>
    <n v="24"/>
    <s v="State"/>
    <n v="1626.01"/>
    <n v="2124.8200000000002"/>
    <n v="1960.7"/>
    <n v="352.18"/>
    <n v="5711.53"/>
    <n v="6063.71"/>
    <m/>
  </r>
  <r>
    <d v="2018-11-01T00:00:00"/>
    <s v="2018-19"/>
    <n v="2018"/>
    <x v="3"/>
    <x v="3"/>
    <s v="Haryana"/>
    <n v="6"/>
    <s v="State"/>
    <n v="779.12"/>
    <n v="1068.69"/>
    <n v="2522.08"/>
    <n v="307.7"/>
    <n v="4369.8900000000003"/>
    <n v="4677.59"/>
    <m/>
  </r>
  <r>
    <d v="2018-11-01T00:00:00"/>
    <s v="2018-19"/>
    <n v="2018"/>
    <x v="3"/>
    <x v="3"/>
    <s v="Himachal Pradesh"/>
    <n v="2"/>
    <s v="State"/>
    <n v="97.55"/>
    <n v="141.13"/>
    <n v="427.71"/>
    <n v="0.99"/>
    <n v="666.39"/>
    <n v="667.38"/>
    <m/>
  </r>
  <r>
    <d v="2018-11-01T00:00:00"/>
    <s v="2018-19"/>
    <n v="2018"/>
    <x v="3"/>
    <x v="3"/>
    <s v="Jammu and Kashmir"/>
    <n v="1"/>
    <s v="Union Territory"/>
    <n v="75.86"/>
    <n v="126.52"/>
    <n v="82.08"/>
    <n v="1.83"/>
    <n v="284.45999999999998"/>
    <n v="286.29000000000002"/>
    <m/>
  </r>
  <r>
    <d v="2018-11-01T00:00:00"/>
    <s v="2018-19"/>
    <n v="2018"/>
    <x v="3"/>
    <x v="3"/>
    <s v="Jharkhand"/>
    <n v="20"/>
    <s v="State"/>
    <n v="310.08999999999997"/>
    <n v="425.2"/>
    <n v="872.31"/>
    <n v="408.15"/>
    <n v="1607.6"/>
    <n v="2015.75"/>
    <m/>
  </r>
  <r>
    <d v="2018-11-01T00:00:00"/>
    <s v="2018-19"/>
    <n v="2018"/>
    <x v="3"/>
    <x v="3"/>
    <s v="Karnataka"/>
    <n v="29"/>
    <s v="State"/>
    <n v="1373.42"/>
    <n v="1862.27"/>
    <n v="2486.7399999999998"/>
    <n v="776.08"/>
    <n v="5722.43"/>
    <n v="6498.51"/>
    <m/>
  </r>
  <r>
    <d v="2018-11-01T00:00:00"/>
    <s v="2018-19"/>
    <n v="2018"/>
    <x v="3"/>
    <x v="3"/>
    <s v="Kerala"/>
    <n v="32"/>
    <s v="State"/>
    <n v="440.65"/>
    <n v="676.36"/>
    <n v="218.21"/>
    <n v="4.13"/>
    <n v="1335.22"/>
    <n v="1339.35"/>
    <m/>
  </r>
  <r>
    <d v="2018-11-01T00:00:00"/>
    <s v="2018-19"/>
    <n v="2018"/>
    <x v="3"/>
    <x v="3"/>
    <s v="Lakshadweep"/>
    <n v="31"/>
    <s v="Union Territory"/>
    <n v="0.28000000000000003"/>
    <n v="0.57999999999999996"/>
    <n v="0.02"/>
    <n v="0"/>
    <n v="0.88"/>
    <n v="0.88"/>
    <m/>
  </r>
  <r>
    <d v="2018-11-01T00:00:00"/>
    <s v="2018-19"/>
    <n v="2018"/>
    <x v="3"/>
    <x v="3"/>
    <s v="Madhya Pradesh"/>
    <n v="23"/>
    <s v="State"/>
    <n v="477.85"/>
    <n v="651.16999999999996"/>
    <n v="580.91"/>
    <n v="414.15"/>
    <n v="1709.93"/>
    <n v="2124.08"/>
    <m/>
  </r>
  <r>
    <d v="2018-11-01T00:00:00"/>
    <s v="2018-19"/>
    <n v="2018"/>
    <x v="3"/>
    <x v="3"/>
    <s v="Maharashtra"/>
    <n v="27"/>
    <s v="State"/>
    <n v="3784.05"/>
    <n v="4771.82"/>
    <n v="4452.76"/>
    <n v="924.68"/>
    <n v="13008.63"/>
    <n v="13933.31"/>
    <m/>
  </r>
  <r>
    <d v="2018-11-01T00:00:00"/>
    <s v="2018-19"/>
    <n v="2018"/>
    <x v="3"/>
    <x v="3"/>
    <s v="Manipur"/>
    <n v="14"/>
    <s v="State"/>
    <n v="6.75"/>
    <n v="11.49"/>
    <n v="3.19"/>
    <n v="0.06"/>
    <n v="21.43"/>
    <n v="21.49"/>
    <m/>
  </r>
  <r>
    <d v="2018-11-01T00:00:00"/>
    <s v="2018-19"/>
    <n v="2018"/>
    <x v="3"/>
    <x v="3"/>
    <s v="Meghalaya"/>
    <n v="17"/>
    <s v="State"/>
    <n v="13.2"/>
    <n v="20.36"/>
    <n v="66.3"/>
    <n v="1.43"/>
    <n v="99.86"/>
    <n v="101.29"/>
    <m/>
  </r>
  <r>
    <d v="2018-11-01T00:00:00"/>
    <s v="2018-19"/>
    <n v="2018"/>
    <x v="3"/>
    <x v="3"/>
    <s v="Mizoram"/>
    <n v="15"/>
    <s v="State"/>
    <n v="4.6500000000000004"/>
    <n v="7.6"/>
    <n v="3.4"/>
    <n v="0.14000000000000001"/>
    <n v="15.65"/>
    <n v="15.79"/>
    <m/>
  </r>
  <r>
    <d v="2018-11-01T00:00:00"/>
    <s v="2018-19"/>
    <n v="2018"/>
    <x v="3"/>
    <x v="3"/>
    <s v="Nagaland"/>
    <n v="13"/>
    <s v="State"/>
    <n v="4.2"/>
    <n v="6.38"/>
    <n v="3.98"/>
    <n v="0.53"/>
    <n v="14.56"/>
    <n v="15.09"/>
    <m/>
  </r>
  <r>
    <d v="2018-11-01T00:00:00"/>
    <s v="2018-19"/>
    <n v="2018"/>
    <x v="3"/>
    <x v="3"/>
    <s v="Odisha"/>
    <n v="21"/>
    <s v="State"/>
    <n v="424.62"/>
    <n v="551.02"/>
    <n v="895.26"/>
    <n v="503.4"/>
    <n v="1870.9"/>
    <n v="2374.3000000000002"/>
    <m/>
  </r>
  <r>
    <d v="2018-11-01T00:00:00"/>
    <s v="2018-19"/>
    <n v="2018"/>
    <x v="3"/>
    <x v="3"/>
    <s v="Puducherry"/>
    <n v="34"/>
    <s v="Union Territory"/>
    <n v="18.75"/>
    <n v="30.75"/>
    <n v="117.52"/>
    <n v="3.18"/>
    <n v="167.02"/>
    <n v="170.2"/>
    <m/>
  </r>
  <r>
    <d v="2018-11-01T00:00:00"/>
    <s v="2018-19"/>
    <n v="2018"/>
    <x v="3"/>
    <x v="3"/>
    <s v="Punjab"/>
    <n v="3"/>
    <s v="State"/>
    <n v="270.58999999999997"/>
    <n v="469.34"/>
    <n v="472.79"/>
    <n v="7.04"/>
    <n v="1212.72"/>
    <n v="1219.76"/>
    <m/>
  </r>
  <r>
    <d v="2018-11-01T00:00:00"/>
    <s v="2018-19"/>
    <n v="2018"/>
    <x v="3"/>
    <x v="3"/>
    <s v="Rajasthan"/>
    <n v="8"/>
    <s v="State"/>
    <n v="691.17"/>
    <n v="970.8"/>
    <n v="877.69"/>
    <n v="124.38"/>
    <n v="2539.66"/>
    <n v="2664.04"/>
    <m/>
  </r>
  <r>
    <d v="2018-11-01T00:00:00"/>
    <s v="2018-19"/>
    <n v="2018"/>
    <x v="3"/>
    <x v="3"/>
    <s v="Sikkim"/>
    <n v="11"/>
    <s v="State"/>
    <n v="10.01"/>
    <n v="19.5"/>
    <n v="118.82"/>
    <n v="0.1"/>
    <n v="148.33000000000001"/>
    <n v="148.43"/>
    <m/>
  </r>
  <r>
    <d v="2018-11-01T00:00:00"/>
    <s v="2018-19"/>
    <n v="2018"/>
    <x v="3"/>
    <x v="3"/>
    <s v="Tamil Nadu"/>
    <n v="33"/>
    <s v="State"/>
    <n v="1462.3"/>
    <n v="2073.2399999999998"/>
    <n v="1747.47"/>
    <n v="530.33000000000004"/>
    <n v="5283.01"/>
    <n v="5813.34"/>
    <m/>
  </r>
  <r>
    <d v="2018-11-01T00:00:00"/>
    <s v="2018-19"/>
    <n v="2018"/>
    <x v="3"/>
    <x v="3"/>
    <s v="Telangana"/>
    <n v="36"/>
    <s v="State"/>
    <n v="717.16"/>
    <n v="1004.77"/>
    <n v="795.38"/>
    <n v="549.22"/>
    <n v="2517.31"/>
    <n v="3066.53"/>
    <m/>
  </r>
  <r>
    <d v="2018-11-01T00:00:00"/>
    <s v="2018-19"/>
    <n v="2018"/>
    <x v="3"/>
    <x v="3"/>
    <s v="Tripura"/>
    <n v="16"/>
    <s v="State"/>
    <n v="15.39"/>
    <n v="21.59"/>
    <n v="4.28"/>
    <n v="0.1"/>
    <n v="41.26"/>
    <n v="41.36"/>
    <m/>
  </r>
  <r>
    <d v="2018-11-01T00:00:00"/>
    <s v="2018-19"/>
    <n v="2018"/>
    <x v="3"/>
    <x v="3"/>
    <s v="Uttar Pradesh"/>
    <n v="9"/>
    <s v="State"/>
    <n v="1048.55"/>
    <n v="1616.45"/>
    <n v="1386.28"/>
    <n v="1107.06"/>
    <n v="4051.28"/>
    <n v="5158.34"/>
    <m/>
  </r>
  <r>
    <d v="2018-11-01T00:00:00"/>
    <s v="2018-19"/>
    <n v="2018"/>
    <x v="3"/>
    <x v="3"/>
    <s v="Uttarakhand"/>
    <n v="5"/>
    <s v="State"/>
    <n v="167.82"/>
    <n v="339.53"/>
    <n v="616.85"/>
    <n v="23.36"/>
    <n v="1124.2"/>
    <n v="1147.56"/>
    <m/>
  </r>
  <r>
    <d v="2018-11-01T00:00:00"/>
    <s v="2018-19"/>
    <n v="2018"/>
    <x v="3"/>
    <x v="3"/>
    <s v="West Bengal"/>
    <n v="19"/>
    <s v="State"/>
    <n v="873.78"/>
    <n v="1125.81"/>
    <n v="755.08"/>
    <n v="280.11"/>
    <n v="2754.67"/>
    <n v="3034.78"/>
    <m/>
  </r>
  <r>
    <d v="2018-12-01T00:00:00"/>
    <s v="2018-19"/>
    <n v="2018"/>
    <x v="4"/>
    <x v="4"/>
    <s v="Andaman and Nicobar Islands"/>
    <n v="35"/>
    <s v="Union Territory"/>
    <n v="7.57"/>
    <n v="11.78"/>
    <n v="2.54"/>
    <n v="0"/>
    <n v="21.89"/>
    <n v="21.89"/>
    <m/>
  </r>
  <r>
    <d v="2018-12-01T00:00:00"/>
    <s v="2018-19"/>
    <n v="2018"/>
    <x v="4"/>
    <x v="4"/>
    <s v="Andhra Pradesh"/>
    <n v="28"/>
    <s v="State"/>
    <n v="503.75"/>
    <n v="697.53"/>
    <n v="831.58"/>
    <n v="15.9"/>
    <n v="2032.86"/>
    <n v="2048.7600000000002"/>
    <m/>
  </r>
  <r>
    <d v="2018-12-01T00:00:00"/>
    <s v="2018-19"/>
    <n v="2018"/>
    <x v="4"/>
    <x v="4"/>
    <s v="Arunachal Pradesh"/>
    <n v="12"/>
    <s v="State"/>
    <n v="9.25"/>
    <n v="12.41"/>
    <n v="4.18"/>
    <n v="0.11"/>
    <n v="25.84"/>
    <n v="25.95"/>
    <m/>
  </r>
  <r>
    <d v="2018-12-01T00:00:00"/>
    <s v="2018-19"/>
    <n v="2018"/>
    <x v="4"/>
    <x v="4"/>
    <s v="Assam"/>
    <n v="18"/>
    <s v="State"/>
    <n v="198.43"/>
    <n v="270"/>
    <n v="231.22"/>
    <n v="43.52"/>
    <n v="699.65"/>
    <n v="743.17"/>
    <m/>
  </r>
  <r>
    <d v="2018-12-01T00:00:00"/>
    <s v="2018-19"/>
    <n v="2018"/>
    <x v="4"/>
    <x v="4"/>
    <s v="Bihar"/>
    <n v="10"/>
    <s v="State"/>
    <n v="220.52"/>
    <n v="393.52"/>
    <n v="118.85"/>
    <n v="176.37"/>
    <n v="732.89"/>
    <n v="909.26"/>
    <m/>
  </r>
  <r>
    <d v="2018-12-01T00:00:00"/>
    <s v="2018-19"/>
    <n v="2018"/>
    <x v="4"/>
    <x v="4"/>
    <s v="Chandigarh"/>
    <n v="4"/>
    <s v="Union Territory"/>
    <n v="28.68"/>
    <n v="40.64"/>
    <n v="73.33"/>
    <n v="0.22"/>
    <n v="142.65"/>
    <n v="142.87"/>
    <m/>
  </r>
  <r>
    <d v="2018-12-01T00:00:00"/>
    <s v="2018-19"/>
    <n v="2018"/>
    <x v="4"/>
    <x v="4"/>
    <s v="Chhattisgarh"/>
    <n v="22"/>
    <s v="State"/>
    <n v="314.83999999999997"/>
    <n v="409.71"/>
    <n v="554.25"/>
    <n v="573.20000000000005"/>
    <n v="1278.8"/>
    <n v="1852"/>
    <m/>
  </r>
  <r>
    <d v="2018-12-01T00:00:00"/>
    <s v="2018-19"/>
    <n v="2018"/>
    <x v="4"/>
    <x v="4"/>
    <s v="Dadra and Nagar Haveli and Daman and Diu"/>
    <n v="38"/>
    <s v="Union Territory"/>
    <n v="24.77"/>
    <n v="34.29"/>
    <n v="146.28"/>
    <n v="0.03"/>
    <n v="205.34"/>
    <n v="205.37"/>
    <m/>
  </r>
  <r>
    <d v="2018-12-01T00:00:00"/>
    <s v="2018-19"/>
    <n v="2018"/>
    <x v="4"/>
    <x v="4"/>
    <s v="Delhi"/>
    <n v="7"/>
    <s v="Union Territory"/>
    <n v="651.25"/>
    <n v="845.01"/>
    <n v="1560.65"/>
    <n v="89.23"/>
    <n v="3056.91"/>
    <n v="3146.14"/>
    <m/>
  </r>
  <r>
    <d v="2018-12-01T00:00:00"/>
    <s v="2018-19"/>
    <n v="2018"/>
    <x v="4"/>
    <x v="4"/>
    <s v="Goa"/>
    <n v="30"/>
    <s v="State"/>
    <n v="90.59"/>
    <n v="126.43"/>
    <n v="122.79"/>
    <n v="2.2200000000000002"/>
    <n v="339.81"/>
    <n v="342.03"/>
    <m/>
  </r>
  <r>
    <d v="2018-12-01T00:00:00"/>
    <s v="2018-19"/>
    <n v="2018"/>
    <x v="4"/>
    <x v="4"/>
    <s v="Gujarat"/>
    <n v="24"/>
    <s v="State"/>
    <n v="1514.08"/>
    <n v="1971.89"/>
    <n v="1850.79"/>
    <n v="282.38"/>
    <n v="5336.76"/>
    <n v="5619.14"/>
    <m/>
  </r>
  <r>
    <d v="2018-12-01T00:00:00"/>
    <s v="2018-19"/>
    <n v="2018"/>
    <x v="4"/>
    <x v="4"/>
    <s v="Haryana"/>
    <n v="6"/>
    <s v="State"/>
    <n v="657.02"/>
    <n v="971.08"/>
    <n v="2690.77"/>
    <n v="327.43"/>
    <n v="4318.87"/>
    <n v="4646.3"/>
    <m/>
  </r>
  <r>
    <d v="2018-12-01T00:00:00"/>
    <s v="2018-19"/>
    <n v="2018"/>
    <x v="4"/>
    <x v="4"/>
    <s v="Himachal Pradesh"/>
    <n v="2"/>
    <s v="State"/>
    <n v="89.7"/>
    <n v="139.61000000000001"/>
    <n v="364.69"/>
    <n v="0.73"/>
    <n v="594"/>
    <n v="594.73"/>
    <m/>
  </r>
  <r>
    <d v="2018-12-01T00:00:00"/>
    <s v="2018-19"/>
    <n v="2018"/>
    <x v="4"/>
    <x v="4"/>
    <s v="Jammu and Kashmir"/>
    <n v="1"/>
    <s v="Union Territory"/>
    <n v="77.94"/>
    <n v="135.15"/>
    <n v="78.59"/>
    <n v="0.87"/>
    <n v="291.68"/>
    <n v="292.55"/>
    <m/>
  </r>
  <r>
    <d v="2018-12-01T00:00:00"/>
    <s v="2018-19"/>
    <n v="2018"/>
    <x v="4"/>
    <x v="4"/>
    <s v="Jharkhand"/>
    <n v="20"/>
    <s v="State"/>
    <n v="298.32"/>
    <n v="411.15"/>
    <n v="855.44"/>
    <n v="430.57"/>
    <n v="1564.91"/>
    <n v="1995.48"/>
    <m/>
  </r>
  <r>
    <d v="2018-12-01T00:00:00"/>
    <s v="2018-19"/>
    <n v="2018"/>
    <x v="4"/>
    <x v="4"/>
    <s v="Karnataka"/>
    <n v="29"/>
    <s v="State"/>
    <n v="1453.78"/>
    <n v="1950.98"/>
    <n v="2021.54"/>
    <n v="782.34"/>
    <n v="5426.3"/>
    <n v="6208.64"/>
    <m/>
  </r>
  <r>
    <d v="2018-12-01T00:00:00"/>
    <s v="2018-19"/>
    <n v="2018"/>
    <x v="4"/>
    <x v="4"/>
    <s v="Kerala"/>
    <n v="32"/>
    <s v="State"/>
    <n v="461.35"/>
    <n v="722.55"/>
    <n v="227.61"/>
    <n v="4.45"/>
    <n v="1411.51"/>
    <n v="1415.96"/>
    <m/>
  </r>
  <r>
    <d v="2018-12-01T00:00:00"/>
    <s v="2018-19"/>
    <n v="2018"/>
    <x v="4"/>
    <x v="4"/>
    <s v="Lakshadweep"/>
    <n v="31"/>
    <s v="Union Territory"/>
    <n v="1.67"/>
    <n v="1.85"/>
    <n v="0.03"/>
    <n v="0"/>
    <n v="3.55"/>
    <n v="3.55"/>
    <m/>
  </r>
  <r>
    <d v="2018-12-01T00:00:00"/>
    <s v="2018-19"/>
    <n v="2018"/>
    <x v="4"/>
    <x v="4"/>
    <s v="Madhya Pradesh"/>
    <n v="23"/>
    <s v="State"/>
    <n v="478.27"/>
    <n v="663.38"/>
    <n v="560.78"/>
    <n v="391.92"/>
    <n v="1702.43"/>
    <n v="2094.35"/>
    <m/>
  </r>
  <r>
    <d v="2018-12-01T00:00:00"/>
    <s v="2018-19"/>
    <n v="2018"/>
    <x v="4"/>
    <x v="4"/>
    <s v="Maharashtra"/>
    <n v="27"/>
    <s v="State"/>
    <n v="3689.91"/>
    <n v="4503.08"/>
    <n v="4517.03"/>
    <n v="814.08"/>
    <n v="12710.02"/>
    <n v="13524.1"/>
    <m/>
  </r>
  <r>
    <d v="2018-12-01T00:00:00"/>
    <s v="2018-19"/>
    <n v="2018"/>
    <x v="4"/>
    <x v="4"/>
    <s v="Manipur"/>
    <n v="14"/>
    <s v="State"/>
    <n v="9.77"/>
    <n v="15.65"/>
    <n v="1.44"/>
    <n v="0.25"/>
    <n v="26.86"/>
    <n v="27.11"/>
    <m/>
  </r>
  <r>
    <d v="2018-12-01T00:00:00"/>
    <s v="2018-19"/>
    <n v="2018"/>
    <x v="4"/>
    <x v="4"/>
    <s v="Meghalaya"/>
    <n v="17"/>
    <s v="State"/>
    <n v="14.05"/>
    <n v="20.98"/>
    <n v="72.87"/>
    <n v="0.14000000000000001"/>
    <n v="107.9"/>
    <n v="108.04"/>
    <m/>
  </r>
  <r>
    <d v="2018-12-01T00:00:00"/>
    <s v="2018-19"/>
    <n v="2018"/>
    <x v="4"/>
    <x v="4"/>
    <s v="Mizoram"/>
    <n v="15"/>
    <s v="State"/>
    <n v="3.58"/>
    <n v="6.07"/>
    <n v="3.31"/>
    <n v="0.11"/>
    <n v="12.96"/>
    <n v="13.07"/>
    <m/>
  </r>
  <r>
    <d v="2018-12-01T00:00:00"/>
    <s v="2018-19"/>
    <n v="2018"/>
    <x v="4"/>
    <x v="4"/>
    <s v="Nagaland"/>
    <n v="13"/>
    <s v="State"/>
    <n v="4.25"/>
    <n v="6.87"/>
    <n v="4.55"/>
    <n v="0.87"/>
    <n v="15.67"/>
    <n v="16.54"/>
    <m/>
  </r>
  <r>
    <d v="2018-12-01T00:00:00"/>
    <s v="2018-19"/>
    <n v="2018"/>
    <x v="4"/>
    <x v="4"/>
    <s v="Odisha"/>
    <n v="21"/>
    <s v="State"/>
    <n v="443.58"/>
    <n v="572.38"/>
    <n v="823.6"/>
    <n v="507.03"/>
    <n v="1839.56"/>
    <n v="2346.59"/>
    <m/>
  </r>
  <r>
    <d v="2018-12-01T00:00:00"/>
    <s v="2018-19"/>
    <n v="2018"/>
    <x v="4"/>
    <x v="4"/>
    <s v="Puducherry"/>
    <n v="34"/>
    <s v="Union Territory"/>
    <n v="17.88"/>
    <n v="29.22"/>
    <n v="104.65"/>
    <n v="0.15"/>
    <n v="151.75"/>
    <n v="151.9"/>
    <m/>
  </r>
  <r>
    <d v="2018-12-01T00:00:00"/>
    <s v="2018-19"/>
    <n v="2018"/>
    <x v="4"/>
    <x v="4"/>
    <s v="Punjab"/>
    <n v="3"/>
    <s v="State"/>
    <n v="273.49"/>
    <n v="459.58"/>
    <n v="422.78"/>
    <n v="6.62"/>
    <n v="1155.8499999999999"/>
    <n v="1162.47"/>
    <m/>
  </r>
  <r>
    <d v="2018-12-01T00:00:00"/>
    <s v="2018-19"/>
    <n v="2018"/>
    <x v="4"/>
    <x v="4"/>
    <s v="Rajasthan"/>
    <n v="8"/>
    <s v="State"/>
    <n v="668.7"/>
    <n v="924.61"/>
    <n v="752.85"/>
    <n v="110.26"/>
    <n v="2346.16"/>
    <n v="2456.42"/>
    <m/>
  </r>
  <r>
    <d v="2018-12-01T00:00:00"/>
    <s v="2018-19"/>
    <n v="2018"/>
    <x v="4"/>
    <x v="4"/>
    <s v="Sikkim"/>
    <n v="11"/>
    <s v="State"/>
    <n v="7.3"/>
    <n v="11.49"/>
    <n v="130.66"/>
    <n v="0.28000000000000003"/>
    <n v="149.44999999999999"/>
    <n v="149.72999999999999"/>
    <m/>
  </r>
  <r>
    <d v="2018-12-01T00:00:00"/>
    <s v="2018-19"/>
    <n v="2018"/>
    <x v="4"/>
    <x v="4"/>
    <s v="Tamil Nadu"/>
    <n v="33"/>
    <s v="State"/>
    <n v="1383.79"/>
    <n v="1987.28"/>
    <n v="1536.21"/>
    <n v="507.8"/>
    <n v="4907.28"/>
    <n v="5415.08"/>
    <m/>
  </r>
  <r>
    <d v="2018-12-01T00:00:00"/>
    <s v="2018-19"/>
    <n v="2018"/>
    <x v="4"/>
    <x v="4"/>
    <s v="Telangana"/>
    <n v="36"/>
    <s v="State"/>
    <n v="649.70000000000005"/>
    <n v="907.83"/>
    <n v="879.44"/>
    <n v="577.33000000000004"/>
    <n v="2436.9699999999998"/>
    <n v="3014.3"/>
    <m/>
  </r>
  <r>
    <d v="2018-12-01T00:00:00"/>
    <s v="2018-19"/>
    <n v="2018"/>
    <x v="4"/>
    <x v="4"/>
    <s v="Tripura"/>
    <n v="16"/>
    <s v="State"/>
    <n v="17.29"/>
    <n v="25.65"/>
    <n v="4.8899999999999997"/>
    <n v="0.14000000000000001"/>
    <n v="47.83"/>
    <n v="47.97"/>
    <m/>
  </r>
  <r>
    <d v="2018-12-01T00:00:00"/>
    <s v="2018-19"/>
    <n v="2018"/>
    <x v="4"/>
    <x v="4"/>
    <s v="Uttar Pradesh"/>
    <n v="9"/>
    <s v="State"/>
    <n v="1065.01"/>
    <n v="1622.84"/>
    <n v="1206.53"/>
    <n v="1062.4000000000001"/>
    <n v="3894.38"/>
    <n v="4956.78"/>
    <m/>
  </r>
  <r>
    <d v="2018-12-01T00:00:00"/>
    <s v="2018-19"/>
    <n v="2018"/>
    <x v="4"/>
    <x v="4"/>
    <s v="Uttarakhand"/>
    <n v="5"/>
    <s v="State"/>
    <n v="154.25"/>
    <n v="292.68"/>
    <n v="591.46"/>
    <n v="16.84"/>
    <n v="1038.3900000000001"/>
    <n v="1055.23"/>
    <m/>
  </r>
  <r>
    <d v="2018-12-01T00:00:00"/>
    <s v="2018-19"/>
    <n v="2018"/>
    <x v="4"/>
    <x v="4"/>
    <s v="West Bengal"/>
    <n v="19"/>
    <s v="State"/>
    <n v="937.4"/>
    <n v="1230.53"/>
    <n v="737.13"/>
    <n v="324.94"/>
    <n v="2905.06"/>
    <n v="3230"/>
    <m/>
  </r>
  <r>
    <d v="2019-01-01T00:00:00"/>
    <s v="2018-19"/>
    <n v="2019"/>
    <x v="5"/>
    <x v="5"/>
    <s v="Andaman and Nicobar Islands"/>
    <n v="35"/>
    <s v="Union Territory"/>
    <n v="12.48"/>
    <n v="18.079999999999998"/>
    <n v="3.95"/>
    <n v="0.02"/>
    <n v="34.51"/>
    <n v="34.53"/>
    <m/>
  </r>
  <r>
    <d v="2019-01-01T00:00:00"/>
    <s v="2018-19"/>
    <n v="2019"/>
    <x v="5"/>
    <x v="5"/>
    <s v="Andhra Pradesh"/>
    <n v="28"/>
    <s v="State"/>
    <n v="538.51"/>
    <n v="785.8"/>
    <n v="811.71"/>
    <n v="22.71"/>
    <n v="2136.02"/>
    <n v="2158.73"/>
    <m/>
  </r>
  <r>
    <d v="2019-01-01T00:00:00"/>
    <s v="2018-19"/>
    <n v="2019"/>
    <x v="5"/>
    <x v="5"/>
    <s v="Arunachal Pradesh"/>
    <n v="12"/>
    <s v="State"/>
    <n v="14.39"/>
    <n v="19.440000000000001"/>
    <n v="4.37"/>
    <n v="0.04"/>
    <n v="38.200000000000003"/>
    <n v="38.24"/>
    <m/>
  </r>
  <r>
    <d v="2019-01-01T00:00:00"/>
    <s v="2018-19"/>
    <n v="2019"/>
    <x v="5"/>
    <x v="5"/>
    <s v="Assam"/>
    <n v="18"/>
    <s v="State"/>
    <n v="206.59"/>
    <n v="318.58999999999997"/>
    <n v="214.71"/>
    <n v="47.01"/>
    <n v="739.89"/>
    <n v="786.9"/>
    <m/>
  </r>
  <r>
    <d v="2019-01-01T00:00:00"/>
    <s v="2018-19"/>
    <n v="2019"/>
    <x v="5"/>
    <x v="5"/>
    <s v="Bihar"/>
    <n v="10"/>
    <s v="State"/>
    <n v="253.9"/>
    <n v="453.13"/>
    <n v="137.63999999999999"/>
    <n v="194.78"/>
    <n v="844.67"/>
    <n v="1039.45"/>
    <m/>
  </r>
  <r>
    <d v="2019-01-01T00:00:00"/>
    <s v="2018-19"/>
    <n v="2019"/>
    <x v="5"/>
    <x v="5"/>
    <s v="Chandigarh"/>
    <n v="4"/>
    <s v="Union Territory"/>
    <n v="31.08"/>
    <n v="50.15"/>
    <n v="76.459999999999994"/>
    <n v="1.35"/>
    <n v="157.69"/>
    <n v="159.04"/>
    <m/>
  </r>
  <r>
    <d v="2019-01-01T00:00:00"/>
    <s v="2018-19"/>
    <n v="2019"/>
    <x v="5"/>
    <x v="5"/>
    <s v="Chhattisgarh"/>
    <n v="22"/>
    <s v="State"/>
    <n v="347.93"/>
    <n v="453.89"/>
    <n v="702.93"/>
    <n v="559.34"/>
    <n v="1504.75"/>
    <n v="2064.09"/>
    <m/>
  </r>
  <r>
    <d v="2019-01-01T00:00:00"/>
    <s v="2018-19"/>
    <n v="2019"/>
    <x v="5"/>
    <x v="5"/>
    <s v="Dadra and Nagar Haveli and Daman and Diu"/>
    <n v="38"/>
    <s v="Union Territory"/>
    <n v="27.79"/>
    <n v="44.22"/>
    <n v="201.29"/>
    <n v="0.41"/>
    <n v="273.3"/>
    <n v="273.70999999999998"/>
    <m/>
  </r>
  <r>
    <d v="2019-01-01T00:00:00"/>
    <s v="2018-19"/>
    <n v="2019"/>
    <x v="5"/>
    <x v="5"/>
    <s v="Delhi"/>
    <n v="7"/>
    <s v="Union Territory"/>
    <n v="693.59"/>
    <n v="945.91"/>
    <n v="1782.94"/>
    <n v="102.72"/>
    <n v="3422.44"/>
    <n v="3525.16"/>
    <m/>
  </r>
  <r>
    <d v="2019-01-01T00:00:00"/>
    <s v="2018-19"/>
    <n v="2019"/>
    <x v="5"/>
    <x v="5"/>
    <s v="Goa"/>
    <n v="30"/>
    <s v="State"/>
    <n v="99.47"/>
    <n v="150.80000000000001"/>
    <n v="140.79"/>
    <n v="2.75"/>
    <n v="391.06"/>
    <n v="393.81"/>
    <m/>
  </r>
  <r>
    <d v="2019-01-01T00:00:00"/>
    <s v="2018-19"/>
    <n v="2019"/>
    <x v="5"/>
    <x v="5"/>
    <s v="Gujarat"/>
    <n v="24"/>
    <s v="State"/>
    <n v="1722.12"/>
    <n v="2227.25"/>
    <n v="1932.56"/>
    <n v="302.92"/>
    <n v="5881.93"/>
    <n v="6184.85"/>
    <m/>
  </r>
  <r>
    <d v="2019-01-01T00:00:00"/>
    <s v="2018-19"/>
    <n v="2019"/>
    <x v="5"/>
    <x v="5"/>
    <s v="Haryana"/>
    <n v="6"/>
    <s v="State"/>
    <n v="728.94"/>
    <n v="1065.1500000000001"/>
    <n v="2679.34"/>
    <n v="341.3"/>
    <n v="4473.43"/>
    <n v="4814.7299999999996"/>
    <m/>
  </r>
  <r>
    <d v="2019-01-01T00:00:00"/>
    <s v="2018-19"/>
    <n v="2019"/>
    <x v="5"/>
    <x v="5"/>
    <s v="Himachal Pradesh"/>
    <n v="2"/>
    <s v="State"/>
    <n v="88.48"/>
    <n v="145.29"/>
    <n v="410.31"/>
    <n v="2.67"/>
    <n v="644.08000000000004"/>
    <n v="646.75"/>
    <m/>
  </r>
  <r>
    <d v="2019-01-01T00:00:00"/>
    <s v="2018-19"/>
    <n v="2019"/>
    <x v="5"/>
    <x v="5"/>
    <s v="Jammu and Kashmir"/>
    <n v="1"/>
    <s v="Union Territory"/>
    <n v="94.44"/>
    <n v="160.06"/>
    <n v="75.290000000000006"/>
    <n v="1.41"/>
    <n v="329.79"/>
    <n v="331.2"/>
    <m/>
  </r>
  <r>
    <d v="2019-01-01T00:00:00"/>
    <s v="2018-19"/>
    <n v="2019"/>
    <x v="5"/>
    <x v="5"/>
    <s v="Jharkhand"/>
    <n v="20"/>
    <s v="State"/>
    <n v="319.85000000000002"/>
    <n v="447.26"/>
    <n v="755.72"/>
    <n v="441.95"/>
    <n v="1522.83"/>
    <n v="1964.78"/>
    <m/>
  </r>
  <r>
    <d v="2019-01-01T00:00:00"/>
    <s v="2018-19"/>
    <n v="2019"/>
    <x v="5"/>
    <x v="5"/>
    <s v="Karnataka"/>
    <n v="29"/>
    <s v="State"/>
    <n v="1619.03"/>
    <n v="2193.54"/>
    <n v="2546.5700000000002"/>
    <n v="970.16"/>
    <n v="6359.14"/>
    <n v="7329.3"/>
    <m/>
  </r>
  <r>
    <d v="2019-01-01T00:00:00"/>
    <s v="2018-19"/>
    <n v="2019"/>
    <x v="5"/>
    <x v="5"/>
    <s v="Kerala"/>
    <n v="32"/>
    <s v="State"/>
    <n v="474.91"/>
    <n v="821.39"/>
    <n v="275.22000000000003"/>
    <n v="12.83"/>
    <n v="1571.52"/>
    <n v="1584.35"/>
    <m/>
  </r>
  <r>
    <d v="2019-01-01T00:00:00"/>
    <s v="2018-19"/>
    <n v="2019"/>
    <x v="5"/>
    <x v="5"/>
    <s v="Lakshadweep"/>
    <n v="31"/>
    <s v="Union Territory"/>
    <n v="0.44"/>
    <n v="0.6"/>
    <n v="0.04"/>
    <n v="0"/>
    <n v="1.08"/>
    <n v="1.08"/>
    <m/>
  </r>
  <r>
    <d v="2019-01-01T00:00:00"/>
    <s v="2018-19"/>
    <n v="2019"/>
    <x v="5"/>
    <x v="5"/>
    <s v="Madhya Pradesh"/>
    <n v="23"/>
    <s v="State"/>
    <n v="548.04999999999995"/>
    <n v="756.42"/>
    <n v="656.76"/>
    <n v="452.89"/>
    <n v="1961.23"/>
    <n v="2414.12"/>
    <m/>
  </r>
  <r>
    <d v="2019-01-01T00:00:00"/>
    <s v="2018-19"/>
    <n v="2019"/>
    <x v="5"/>
    <x v="5"/>
    <s v="Maharashtra"/>
    <n v="27"/>
    <s v="State"/>
    <n v="3850.33"/>
    <n v="4837.32"/>
    <n v="5491.97"/>
    <n v="971.06"/>
    <n v="14179.62"/>
    <n v="15150.68"/>
    <m/>
  </r>
  <r>
    <d v="2019-01-01T00:00:00"/>
    <s v="2018-19"/>
    <n v="2019"/>
    <x v="5"/>
    <x v="5"/>
    <s v="Manipur"/>
    <n v="14"/>
    <s v="State"/>
    <n v="8.5299999999999994"/>
    <n v="13.54"/>
    <n v="1.51"/>
    <n v="0.13"/>
    <n v="23.58"/>
    <n v="23.71"/>
    <m/>
  </r>
  <r>
    <d v="2019-01-01T00:00:00"/>
    <s v="2018-19"/>
    <n v="2019"/>
    <x v="5"/>
    <x v="5"/>
    <s v="Meghalaya"/>
    <n v="17"/>
    <s v="State"/>
    <n v="16.61"/>
    <n v="23.74"/>
    <n v="62.76"/>
    <n v="0.81"/>
    <n v="103.11"/>
    <n v="103.92"/>
    <m/>
  </r>
  <r>
    <d v="2019-01-01T00:00:00"/>
    <s v="2018-19"/>
    <n v="2019"/>
    <x v="5"/>
    <x v="5"/>
    <s v="Mizoram"/>
    <n v="15"/>
    <s v="State"/>
    <n v="7.1"/>
    <n v="11.91"/>
    <n v="7.26"/>
    <n v="0.14000000000000001"/>
    <n v="26.27"/>
    <n v="26.41"/>
    <m/>
  </r>
  <r>
    <d v="2019-01-01T00:00:00"/>
    <s v="2018-19"/>
    <n v="2019"/>
    <x v="5"/>
    <x v="5"/>
    <s v="Nagaland"/>
    <n v="13"/>
    <s v="State"/>
    <n v="4.8600000000000003"/>
    <n v="6.93"/>
    <n v="4.74"/>
    <n v="0.9"/>
    <n v="16.53"/>
    <n v="17.43"/>
    <m/>
  </r>
  <r>
    <d v="2019-01-01T00:00:00"/>
    <s v="2018-19"/>
    <n v="2019"/>
    <x v="5"/>
    <x v="5"/>
    <s v="Odisha"/>
    <n v="21"/>
    <s v="State"/>
    <n v="448.85"/>
    <n v="596.19000000000005"/>
    <n v="821.84"/>
    <n v="471.15"/>
    <n v="1866.88"/>
    <n v="2338.0300000000002"/>
    <m/>
  </r>
  <r>
    <d v="2019-01-01T00:00:00"/>
    <s v="2018-19"/>
    <n v="2019"/>
    <x v="5"/>
    <x v="5"/>
    <s v="Puducherry"/>
    <n v="34"/>
    <s v="Union Territory"/>
    <n v="20.72"/>
    <n v="35.54"/>
    <n v="101.43"/>
    <n v="1.28"/>
    <n v="157.69"/>
    <n v="158.97"/>
    <m/>
  </r>
  <r>
    <d v="2019-01-01T00:00:00"/>
    <s v="2018-19"/>
    <n v="2019"/>
    <x v="5"/>
    <x v="5"/>
    <s v="Punjab"/>
    <n v="3"/>
    <s v="State"/>
    <n v="296.89"/>
    <n v="529.1"/>
    <n v="374.68"/>
    <n v="15.36"/>
    <n v="1200.67"/>
    <n v="1216.03"/>
    <m/>
  </r>
  <r>
    <d v="2019-01-01T00:00:00"/>
    <s v="2018-19"/>
    <n v="2019"/>
    <x v="5"/>
    <x v="5"/>
    <s v="Rajasthan"/>
    <n v="8"/>
    <s v="State"/>
    <n v="709.63"/>
    <n v="1036.73"/>
    <n v="898.3"/>
    <n v="131.28"/>
    <n v="2644.66"/>
    <n v="2775.94"/>
    <m/>
  </r>
  <r>
    <d v="2019-01-01T00:00:00"/>
    <s v="2018-19"/>
    <n v="2019"/>
    <x v="5"/>
    <x v="5"/>
    <s v="Sikkim"/>
    <n v="11"/>
    <s v="State"/>
    <n v="8.59"/>
    <n v="14.55"/>
    <n v="151.94"/>
    <n v="0.44"/>
    <n v="175.08"/>
    <n v="175.52"/>
    <m/>
  </r>
  <r>
    <d v="2019-01-01T00:00:00"/>
    <s v="2018-19"/>
    <n v="2019"/>
    <x v="5"/>
    <x v="5"/>
    <s v="Tamil Nadu"/>
    <n v="33"/>
    <s v="State"/>
    <n v="1479.07"/>
    <n v="2178.52"/>
    <n v="1917.79"/>
    <n v="625.91999999999996"/>
    <n v="5575.38"/>
    <n v="6201.3"/>
    <m/>
  </r>
  <r>
    <d v="2019-01-01T00:00:00"/>
    <s v="2018-19"/>
    <n v="2019"/>
    <x v="5"/>
    <x v="5"/>
    <s v="Telangana"/>
    <n v="36"/>
    <s v="State"/>
    <n v="711.7"/>
    <n v="992.46"/>
    <n v="886.05"/>
    <n v="604.74"/>
    <n v="2590.21"/>
    <n v="3194.95"/>
    <m/>
  </r>
  <r>
    <d v="2019-01-01T00:00:00"/>
    <s v="2018-19"/>
    <n v="2019"/>
    <x v="5"/>
    <x v="5"/>
    <s v="Tripura"/>
    <n v="16"/>
    <s v="State"/>
    <n v="18.73"/>
    <n v="26.75"/>
    <n v="6.45"/>
    <n v="0.23"/>
    <n v="51.93"/>
    <n v="52.16"/>
    <m/>
  </r>
  <r>
    <d v="2019-01-01T00:00:00"/>
    <s v="2018-19"/>
    <n v="2019"/>
    <x v="5"/>
    <x v="5"/>
    <s v="Uttar Pradesh"/>
    <n v="9"/>
    <s v="State"/>
    <n v="1159.57"/>
    <n v="1864.76"/>
    <n v="1336.79"/>
    <n v="1123.98"/>
    <n v="4361.12"/>
    <n v="5485.1"/>
    <m/>
  </r>
  <r>
    <d v="2019-01-01T00:00:00"/>
    <s v="2018-19"/>
    <n v="2019"/>
    <x v="5"/>
    <x v="5"/>
    <s v="Uttarakhand"/>
    <n v="5"/>
    <s v="State"/>
    <n v="175.9"/>
    <n v="303.33"/>
    <n v="652.76"/>
    <n v="13.63"/>
    <n v="1131.99"/>
    <n v="1145.6199999999999"/>
    <m/>
  </r>
  <r>
    <d v="2019-01-01T00:00:00"/>
    <s v="2018-19"/>
    <n v="2019"/>
    <x v="5"/>
    <x v="5"/>
    <s v="West Bengal"/>
    <n v="19"/>
    <s v="State"/>
    <n v="996.6"/>
    <n v="1262.49"/>
    <n v="866.97"/>
    <n v="369.3"/>
    <n v="3126.06"/>
    <n v="3495.36"/>
    <m/>
  </r>
  <r>
    <d v="2019-02-01T00:00:00"/>
    <s v="2018-19"/>
    <n v="2019"/>
    <x v="6"/>
    <x v="6"/>
    <s v="Andaman and Nicobar Islands"/>
    <n v="35"/>
    <s v="Union Territory"/>
    <n v="9.2899999999999991"/>
    <n v="13.27"/>
    <n v="2.06"/>
    <n v="0.15"/>
    <n v="24.62"/>
    <n v="24.77"/>
    <m/>
  </r>
  <r>
    <d v="2019-02-01T00:00:00"/>
    <s v="2018-19"/>
    <n v="2019"/>
    <x v="6"/>
    <x v="6"/>
    <s v="Andhra Pradesh"/>
    <n v="28"/>
    <s v="State"/>
    <n v="536.88"/>
    <n v="740.28"/>
    <n v="795.66"/>
    <n v="15.56"/>
    <n v="2072.8200000000002"/>
    <n v="2088.38"/>
    <m/>
  </r>
  <r>
    <d v="2019-02-01T00:00:00"/>
    <s v="2018-19"/>
    <n v="2019"/>
    <x v="6"/>
    <x v="6"/>
    <s v="Arunachal Pradesh"/>
    <n v="12"/>
    <s v="State"/>
    <n v="11.85"/>
    <n v="15.83"/>
    <n v="4.09"/>
    <n v="0.19"/>
    <n v="31.77"/>
    <n v="31.96"/>
    <m/>
  </r>
  <r>
    <d v="2019-02-01T00:00:00"/>
    <s v="2018-19"/>
    <n v="2019"/>
    <x v="6"/>
    <x v="6"/>
    <s v="Assam"/>
    <n v="18"/>
    <s v="State"/>
    <n v="221.52"/>
    <n v="311.02999999999997"/>
    <n v="170.13"/>
    <n v="33.630000000000003"/>
    <n v="702.68"/>
    <n v="736.31"/>
    <m/>
  </r>
  <r>
    <d v="2019-02-01T00:00:00"/>
    <s v="2018-19"/>
    <n v="2019"/>
    <x v="6"/>
    <x v="6"/>
    <s v="Bihar"/>
    <n v="10"/>
    <s v="State"/>
    <n v="244.27"/>
    <n v="433.15"/>
    <n v="113.4"/>
    <n v="170.2"/>
    <n v="790.82"/>
    <n v="961.02"/>
    <m/>
  </r>
  <r>
    <d v="2019-02-01T00:00:00"/>
    <s v="2018-19"/>
    <n v="2019"/>
    <x v="6"/>
    <x v="6"/>
    <s v="Chandigarh"/>
    <n v="4"/>
    <s v="Union Territory"/>
    <n v="27.91"/>
    <n v="41.39"/>
    <n v="76.98"/>
    <n v="0.32"/>
    <n v="146.28"/>
    <n v="146.6"/>
    <m/>
  </r>
  <r>
    <d v="2019-02-01T00:00:00"/>
    <s v="2018-19"/>
    <n v="2019"/>
    <x v="6"/>
    <x v="6"/>
    <s v="Chhattisgarh"/>
    <n v="22"/>
    <s v="State"/>
    <n v="405.9"/>
    <n v="514.54999999999995"/>
    <n v="648.95000000000005"/>
    <n v="498.23"/>
    <n v="1569.4"/>
    <n v="2067.63"/>
    <m/>
  </r>
  <r>
    <d v="2019-02-01T00:00:00"/>
    <s v="2018-19"/>
    <n v="2019"/>
    <x v="6"/>
    <x v="6"/>
    <s v="Dadra and Nagar Haveli and Daman and Diu"/>
    <n v="38"/>
    <s v="Union Territory"/>
    <n v="27.37"/>
    <n v="37.42"/>
    <n v="166.22"/>
    <n v="7.0000000000000007E-2"/>
    <n v="231.01"/>
    <n v="231.08"/>
    <m/>
  </r>
  <r>
    <d v="2019-02-01T00:00:00"/>
    <s v="2018-19"/>
    <n v="2019"/>
    <x v="6"/>
    <x v="6"/>
    <s v="Delhi"/>
    <n v="7"/>
    <s v="Union Territory"/>
    <n v="712.48"/>
    <n v="918.21"/>
    <n v="1704.35"/>
    <n v="87.15"/>
    <n v="3335.04"/>
    <n v="3422.19"/>
    <m/>
  </r>
  <r>
    <d v="2019-02-01T00:00:00"/>
    <s v="2018-19"/>
    <n v="2019"/>
    <x v="6"/>
    <x v="6"/>
    <s v="Goa"/>
    <n v="30"/>
    <s v="State"/>
    <n v="90.55"/>
    <n v="140.52000000000001"/>
    <n v="167.16"/>
    <n v="2.5099999999999998"/>
    <n v="398.23"/>
    <n v="400.74"/>
    <m/>
  </r>
  <r>
    <d v="2019-02-01T00:00:00"/>
    <s v="2018-19"/>
    <n v="2019"/>
    <x v="6"/>
    <x v="6"/>
    <s v="Gujarat"/>
    <n v="24"/>
    <s v="State"/>
    <n v="1729.6"/>
    <n v="2256.59"/>
    <n v="2108.14"/>
    <n v="412.69"/>
    <n v="6094.33"/>
    <n v="6507.02"/>
    <m/>
  </r>
  <r>
    <d v="2019-02-01T00:00:00"/>
    <s v="2018-19"/>
    <n v="2019"/>
    <x v="6"/>
    <x v="6"/>
    <s v="Haryana"/>
    <n v="6"/>
    <s v="State"/>
    <n v="694.39"/>
    <n v="1063.1500000000001"/>
    <n v="2819.9"/>
    <n v="295.48"/>
    <n v="4577.4399999999996"/>
    <n v="4872.92"/>
    <m/>
  </r>
  <r>
    <d v="2019-02-01T00:00:00"/>
    <s v="2018-19"/>
    <n v="2019"/>
    <x v="6"/>
    <x v="6"/>
    <s v="Himachal Pradesh"/>
    <n v="2"/>
    <s v="State"/>
    <n v="89.32"/>
    <n v="131.21"/>
    <n v="388.59"/>
    <n v="0.87"/>
    <n v="609.12"/>
    <n v="609.99"/>
    <m/>
  </r>
  <r>
    <d v="2019-02-01T00:00:00"/>
    <s v="2018-19"/>
    <n v="2019"/>
    <x v="6"/>
    <x v="6"/>
    <s v="Jammu and Kashmir"/>
    <n v="1"/>
    <s v="Union Territory"/>
    <n v="97.02"/>
    <n v="139.24"/>
    <n v="67.290000000000006"/>
    <n v="1.95"/>
    <n v="303.55"/>
    <n v="305.5"/>
    <m/>
  </r>
  <r>
    <d v="2019-02-01T00:00:00"/>
    <s v="2018-19"/>
    <n v="2019"/>
    <x v="6"/>
    <x v="6"/>
    <s v="Jharkhand"/>
    <n v="20"/>
    <s v="State"/>
    <n v="325.70999999999998"/>
    <n v="432.22"/>
    <n v="877.14"/>
    <n v="485.84"/>
    <n v="1635.07"/>
    <n v="2120.91"/>
    <m/>
  </r>
  <r>
    <d v="2019-02-01T00:00:00"/>
    <s v="2018-19"/>
    <n v="2019"/>
    <x v="6"/>
    <x v="6"/>
    <s v="Karnataka"/>
    <n v="29"/>
    <s v="State"/>
    <n v="1513"/>
    <n v="2058.35"/>
    <n v="2133.29"/>
    <n v="748.64"/>
    <n v="5704.64"/>
    <n v="6453.28"/>
    <m/>
  </r>
  <r>
    <d v="2019-02-01T00:00:00"/>
    <s v="2018-19"/>
    <n v="2019"/>
    <x v="6"/>
    <x v="6"/>
    <s v="Kerala"/>
    <n v="32"/>
    <s v="State"/>
    <n v="447.04"/>
    <n v="717.8"/>
    <n v="244.58"/>
    <n v="6.59"/>
    <n v="1409.42"/>
    <n v="1416.01"/>
    <m/>
  </r>
  <r>
    <d v="2019-02-01T00:00:00"/>
    <s v="2018-19"/>
    <n v="2019"/>
    <x v="6"/>
    <x v="6"/>
    <s v="Lakshadweep"/>
    <n v="31"/>
    <s v="Union Territory"/>
    <n v="0.92"/>
    <n v="1.72"/>
    <n v="0.05"/>
    <n v="0"/>
    <n v="2.69"/>
    <n v="2.69"/>
    <m/>
  </r>
  <r>
    <d v="2019-02-01T00:00:00"/>
    <s v="2018-19"/>
    <n v="2019"/>
    <x v="6"/>
    <x v="6"/>
    <s v="Madhya Pradesh"/>
    <n v="23"/>
    <s v="State"/>
    <n v="541.87"/>
    <n v="734.57"/>
    <n v="588.15"/>
    <n v="426.81"/>
    <n v="1864.59"/>
    <n v="2291.4"/>
    <m/>
  </r>
  <r>
    <d v="2019-02-01T00:00:00"/>
    <s v="2018-19"/>
    <n v="2019"/>
    <x v="6"/>
    <x v="6"/>
    <s v="Maharashtra"/>
    <n v="27"/>
    <s v="State"/>
    <n v="3762.15"/>
    <n v="4750.96"/>
    <n v="4514.5600000000004"/>
    <n v="1064.0999999999999"/>
    <n v="13027.67"/>
    <n v="14091.77"/>
    <m/>
  </r>
  <r>
    <d v="2019-02-01T00:00:00"/>
    <s v="2018-19"/>
    <n v="2019"/>
    <x v="6"/>
    <x v="6"/>
    <s v="Manipur"/>
    <n v="14"/>
    <s v="State"/>
    <n v="6.75"/>
    <n v="12.59"/>
    <n v="1.68"/>
    <n v="0.09"/>
    <n v="21.02"/>
    <n v="21.11"/>
    <m/>
  </r>
  <r>
    <d v="2019-02-01T00:00:00"/>
    <s v="2018-19"/>
    <n v="2019"/>
    <x v="6"/>
    <x v="6"/>
    <s v="Meghalaya"/>
    <n v="17"/>
    <s v="State"/>
    <n v="18.3"/>
    <n v="23.92"/>
    <n v="85.71"/>
    <n v="0.95"/>
    <n v="127.93"/>
    <n v="128.88"/>
    <m/>
  </r>
  <r>
    <d v="2019-02-01T00:00:00"/>
    <s v="2018-19"/>
    <n v="2019"/>
    <x v="6"/>
    <x v="6"/>
    <s v="Mizoram"/>
    <n v="15"/>
    <s v="State"/>
    <n v="6.22"/>
    <n v="10.45"/>
    <n v="5.46"/>
    <n v="0"/>
    <n v="22.13"/>
    <n v="22.13"/>
    <m/>
  </r>
  <r>
    <d v="2019-02-01T00:00:00"/>
    <s v="2018-19"/>
    <n v="2019"/>
    <x v="6"/>
    <x v="6"/>
    <s v="Nagaland"/>
    <n v="13"/>
    <s v="State"/>
    <n v="5.0999999999999996"/>
    <n v="8.18"/>
    <n v="4.21"/>
    <n v="2.16"/>
    <n v="17.489999999999998"/>
    <n v="19.649999999999999"/>
    <m/>
  </r>
  <r>
    <d v="2019-02-01T00:00:00"/>
    <s v="2018-19"/>
    <n v="2019"/>
    <x v="6"/>
    <x v="6"/>
    <s v="Odisha"/>
    <n v="21"/>
    <s v="State"/>
    <n v="526.17999999999995"/>
    <n v="672.99"/>
    <n v="725.24"/>
    <n v="449.63"/>
    <n v="1924.41"/>
    <n v="2374.04"/>
    <m/>
  </r>
  <r>
    <d v="2019-02-01T00:00:00"/>
    <s v="2018-19"/>
    <n v="2019"/>
    <x v="6"/>
    <x v="6"/>
    <s v="Puducherry"/>
    <n v="34"/>
    <s v="Union Territory"/>
    <n v="19.39"/>
    <n v="32.479999999999997"/>
    <n v="123.27"/>
    <n v="0.16"/>
    <n v="175.14"/>
    <n v="175.3"/>
    <m/>
  </r>
  <r>
    <d v="2019-02-01T00:00:00"/>
    <s v="2018-19"/>
    <n v="2019"/>
    <x v="6"/>
    <x v="6"/>
    <s v="Punjab"/>
    <n v="3"/>
    <s v="State"/>
    <n v="267.7"/>
    <n v="453.2"/>
    <n v="370.14"/>
    <n v="9.01"/>
    <n v="1091.04"/>
    <n v="1100.05"/>
    <m/>
  </r>
  <r>
    <d v="2019-02-01T00:00:00"/>
    <s v="2018-19"/>
    <n v="2019"/>
    <x v="6"/>
    <x v="6"/>
    <s v="Rajasthan"/>
    <n v="8"/>
    <s v="State"/>
    <n v="693.05"/>
    <n v="986.86"/>
    <n v="875.79"/>
    <n v="120.23"/>
    <n v="2555.6999999999998"/>
    <n v="2675.93"/>
    <m/>
  </r>
  <r>
    <d v="2019-02-01T00:00:00"/>
    <s v="2018-19"/>
    <n v="2019"/>
    <x v="6"/>
    <x v="6"/>
    <s v="Sikkim"/>
    <n v="11"/>
    <s v="State"/>
    <n v="8.9700000000000006"/>
    <n v="13.98"/>
    <n v="121.92"/>
    <n v="0.02"/>
    <n v="144.87"/>
    <n v="144.88999999999999"/>
    <m/>
  </r>
  <r>
    <d v="2019-02-01T00:00:00"/>
    <s v="2018-19"/>
    <n v="2019"/>
    <x v="6"/>
    <x v="6"/>
    <s v="Tamil Nadu"/>
    <n v="33"/>
    <s v="State"/>
    <n v="1509.93"/>
    <n v="2115.9299999999998"/>
    <n v="1797.3"/>
    <n v="551.04999999999995"/>
    <n v="5423.16"/>
    <n v="5974.21"/>
    <m/>
  </r>
  <r>
    <d v="2019-02-01T00:00:00"/>
    <s v="2018-19"/>
    <n v="2019"/>
    <x v="6"/>
    <x v="6"/>
    <s v="Telangana"/>
    <n v="36"/>
    <s v="State"/>
    <n v="786.13"/>
    <n v="1040.23"/>
    <n v="934.48"/>
    <n v="699.09"/>
    <n v="2760.84"/>
    <n v="3459.93"/>
    <m/>
  </r>
  <r>
    <d v="2019-02-01T00:00:00"/>
    <s v="2018-19"/>
    <n v="2019"/>
    <x v="6"/>
    <x v="6"/>
    <s v="Tripura"/>
    <n v="16"/>
    <s v="State"/>
    <n v="16.670000000000002"/>
    <n v="23.58"/>
    <n v="5.65"/>
    <n v="0.21"/>
    <n v="45.9"/>
    <n v="46.11"/>
    <m/>
  </r>
  <r>
    <d v="2019-02-01T00:00:00"/>
    <s v="2018-19"/>
    <n v="2019"/>
    <x v="6"/>
    <x v="6"/>
    <s v="Uttar Pradesh"/>
    <n v="9"/>
    <s v="State"/>
    <n v="1064.1199999999999"/>
    <n v="1672.16"/>
    <n v="1299.44"/>
    <n v="1076.6099999999999"/>
    <n v="4035.72"/>
    <n v="5112.33"/>
    <m/>
  </r>
  <r>
    <d v="2019-02-01T00:00:00"/>
    <s v="2018-19"/>
    <n v="2019"/>
    <x v="6"/>
    <x v="6"/>
    <s v="Uttarakhand"/>
    <n v="5"/>
    <s v="State"/>
    <n v="187.99"/>
    <n v="333.92"/>
    <n v="691.58"/>
    <n v="23.87"/>
    <n v="1213.49"/>
    <n v="1237.3599999999999"/>
    <m/>
  </r>
  <r>
    <d v="2019-02-01T00:00:00"/>
    <s v="2018-19"/>
    <n v="2019"/>
    <x v="6"/>
    <x v="6"/>
    <s v="West Bengal"/>
    <n v="19"/>
    <s v="State"/>
    <n v="1006.3"/>
    <n v="1320.63"/>
    <n v="781.03"/>
    <n v="381.73"/>
    <n v="3107.96"/>
    <n v="3489.69"/>
    <m/>
  </r>
  <r>
    <d v="2019-03-01T00:00:00"/>
    <s v="2018-19"/>
    <n v="2019"/>
    <x v="7"/>
    <x v="7"/>
    <s v="Andaman and Nicobar Islands"/>
    <n v="35"/>
    <s v="Union Territory"/>
    <n v="9.65"/>
    <n v="15.33"/>
    <n v="2.58"/>
    <n v="0.08"/>
    <n v="27.56"/>
    <n v="27.64"/>
    <m/>
  </r>
  <r>
    <d v="2019-03-01T00:00:00"/>
    <s v="2018-19"/>
    <n v="2019"/>
    <x v="7"/>
    <x v="7"/>
    <s v="Andhra Pradesh"/>
    <n v="28"/>
    <s v="State"/>
    <n v="671.84"/>
    <n v="912.22"/>
    <n v="987.55"/>
    <n v="17.72"/>
    <n v="2571.61"/>
    <n v="2589.33"/>
    <m/>
  </r>
  <r>
    <d v="2019-03-01T00:00:00"/>
    <s v="2018-19"/>
    <n v="2019"/>
    <x v="7"/>
    <x v="7"/>
    <s v="Arunachal Pradesh"/>
    <n v="12"/>
    <s v="State"/>
    <n v="33.090000000000003"/>
    <n v="42.1"/>
    <n v="9.91"/>
    <n v="0.24"/>
    <n v="85.1"/>
    <n v="85.34"/>
    <m/>
  </r>
  <r>
    <d v="2019-03-01T00:00:00"/>
    <s v="2018-19"/>
    <n v="2019"/>
    <x v="7"/>
    <x v="7"/>
    <s v="Assam"/>
    <n v="18"/>
    <s v="State"/>
    <n v="277.75"/>
    <n v="407.62"/>
    <n v="228.19"/>
    <n v="42.16"/>
    <n v="913.56"/>
    <n v="955.72"/>
    <m/>
  </r>
  <r>
    <d v="2019-03-01T00:00:00"/>
    <s v="2018-19"/>
    <n v="2019"/>
    <x v="7"/>
    <x v="7"/>
    <s v="Bihar"/>
    <n v="10"/>
    <s v="State"/>
    <n v="325.70999999999998"/>
    <n v="551.15"/>
    <n v="125.81"/>
    <n v="174.32"/>
    <n v="1002.67"/>
    <n v="1176.99"/>
    <m/>
  </r>
  <r>
    <d v="2019-03-01T00:00:00"/>
    <s v="2018-19"/>
    <n v="2019"/>
    <x v="7"/>
    <x v="7"/>
    <s v="Chandigarh"/>
    <n v="4"/>
    <s v="Union Territory"/>
    <n v="32.950000000000003"/>
    <n v="44.79"/>
    <n v="84.06"/>
    <n v="0.19"/>
    <n v="161.80000000000001"/>
    <n v="161.99"/>
    <m/>
  </r>
  <r>
    <d v="2019-03-01T00:00:00"/>
    <s v="2018-19"/>
    <n v="2019"/>
    <x v="7"/>
    <x v="7"/>
    <s v="Chhattisgarh"/>
    <n v="22"/>
    <s v="State"/>
    <n v="416.76"/>
    <n v="526.23"/>
    <n v="563.09"/>
    <n v="636.91999999999996"/>
    <n v="1506.08"/>
    <n v="2143"/>
    <m/>
  </r>
  <r>
    <d v="2019-03-01T00:00:00"/>
    <s v="2018-19"/>
    <n v="2019"/>
    <x v="7"/>
    <x v="7"/>
    <s v="Dadra and Nagar Haveli and Daman and Diu"/>
    <n v="38"/>
    <s v="Union Territory"/>
    <n v="30.53"/>
    <n v="43.64"/>
    <n v="202.76"/>
    <n v="0.18"/>
    <n v="276.93"/>
    <n v="277.11"/>
    <m/>
  </r>
  <r>
    <d v="2019-03-01T00:00:00"/>
    <s v="2018-19"/>
    <n v="2019"/>
    <x v="7"/>
    <x v="7"/>
    <s v="Delhi"/>
    <n v="7"/>
    <s v="Union Territory"/>
    <n v="796.37"/>
    <n v="1020.89"/>
    <n v="1812.43"/>
    <n v="92.73"/>
    <n v="3629.69"/>
    <n v="3722.42"/>
    <m/>
  </r>
  <r>
    <d v="2019-03-01T00:00:00"/>
    <s v="2018-19"/>
    <n v="2019"/>
    <x v="7"/>
    <x v="7"/>
    <s v="Goa"/>
    <n v="30"/>
    <s v="State"/>
    <n v="103.81"/>
    <n v="148.93"/>
    <n v="134.44"/>
    <n v="2"/>
    <n v="387.18"/>
    <n v="389.18"/>
    <m/>
  </r>
  <r>
    <d v="2019-03-01T00:00:00"/>
    <s v="2018-19"/>
    <n v="2019"/>
    <x v="7"/>
    <x v="7"/>
    <s v="Gujarat"/>
    <n v="24"/>
    <s v="State"/>
    <n v="1824.12"/>
    <n v="2446.0700000000002"/>
    <n v="1972.83"/>
    <n v="278.08999999999997"/>
    <n v="6243.02"/>
    <n v="6521.11"/>
    <m/>
  </r>
  <r>
    <d v="2019-03-01T00:00:00"/>
    <s v="2018-19"/>
    <n v="2019"/>
    <x v="7"/>
    <x v="7"/>
    <s v="Haryana"/>
    <n v="6"/>
    <s v="State"/>
    <n v="758.85"/>
    <n v="1130.3900000000001"/>
    <n v="2363.1999999999998"/>
    <n v="308.61"/>
    <n v="4252.4399999999996"/>
    <n v="4561.05"/>
    <m/>
  </r>
  <r>
    <d v="2019-03-01T00:00:00"/>
    <s v="2018-19"/>
    <n v="2019"/>
    <x v="7"/>
    <x v="7"/>
    <s v="Himachal Pradesh"/>
    <n v="2"/>
    <s v="State"/>
    <n v="99.83"/>
    <n v="156.91"/>
    <n v="402.95"/>
    <n v="0.56000000000000005"/>
    <n v="659.69"/>
    <n v="660.25"/>
    <m/>
  </r>
  <r>
    <d v="2019-03-01T00:00:00"/>
    <s v="2018-19"/>
    <n v="2019"/>
    <x v="7"/>
    <x v="7"/>
    <s v="Jammu and Kashmir"/>
    <n v="1"/>
    <s v="Union Territory"/>
    <n v="125.1"/>
    <n v="180.28"/>
    <n v="77.31"/>
    <n v="4.93"/>
    <n v="382.69"/>
    <n v="387.62"/>
    <m/>
  </r>
  <r>
    <d v="2019-03-01T00:00:00"/>
    <s v="2018-19"/>
    <n v="2019"/>
    <x v="7"/>
    <x v="7"/>
    <s v="Jharkhand"/>
    <n v="20"/>
    <s v="State"/>
    <n v="368.3"/>
    <n v="498.7"/>
    <n v="825.82"/>
    <n v="456.63"/>
    <n v="1692.82"/>
    <n v="2149.4499999999998"/>
    <m/>
  </r>
  <r>
    <d v="2019-03-01T00:00:00"/>
    <s v="2018-19"/>
    <n v="2019"/>
    <x v="7"/>
    <x v="7"/>
    <s v="Karnataka"/>
    <n v="29"/>
    <s v="State"/>
    <n v="1709.03"/>
    <n v="2240.39"/>
    <n v="2302.19"/>
    <n v="731.03"/>
    <n v="6251.61"/>
    <n v="6982.64"/>
    <m/>
  </r>
  <r>
    <d v="2019-03-01T00:00:00"/>
    <s v="2018-19"/>
    <n v="2019"/>
    <x v="7"/>
    <x v="7"/>
    <s v="Kerala"/>
    <n v="32"/>
    <s v="State"/>
    <n v="526.98"/>
    <n v="782.35"/>
    <n v="319.97000000000003"/>
    <n v="6.14"/>
    <n v="1629.3"/>
    <n v="1635.44"/>
    <m/>
  </r>
  <r>
    <d v="2019-03-01T00:00:00"/>
    <s v="2018-19"/>
    <n v="2019"/>
    <x v="7"/>
    <x v="7"/>
    <s v="Lakshadweep"/>
    <n v="31"/>
    <s v="Union Territory"/>
    <n v="0.28000000000000003"/>
    <n v="0.54"/>
    <n v="0.05"/>
    <n v="0"/>
    <n v="0.87"/>
    <n v="0.87"/>
    <m/>
  </r>
  <r>
    <d v="2019-03-01T00:00:00"/>
    <s v="2018-19"/>
    <n v="2019"/>
    <x v="7"/>
    <x v="7"/>
    <s v="Madhya Pradesh"/>
    <n v="23"/>
    <s v="State"/>
    <n v="638.84"/>
    <n v="877.63"/>
    <n v="715.82"/>
    <n v="391.47"/>
    <n v="2232.29"/>
    <n v="2623.76"/>
    <m/>
  </r>
  <r>
    <d v="2019-03-01T00:00:00"/>
    <s v="2018-19"/>
    <n v="2019"/>
    <x v="7"/>
    <x v="7"/>
    <s v="Maharashtra"/>
    <n v="27"/>
    <s v="State"/>
    <n v="4380.34"/>
    <n v="5473.85"/>
    <n v="4766.99"/>
    <n v="974.59"/>
    <n v="14621.18"/>
    <n v="15595.77"/>
    <m/>
  </r>
  <r>
    <d v="2019-03-01T00:00:00"/>
    <s v="2018-19"/>
    <n v="2019"/>
    <x v="7"/>
    <x v="7"/>
    <s v="Manipur"/>
    <n v="14"/>
    <s v="State"/>
    <n v="18.2"/>
    <n v="26"/>
    <n v="1.88"/>
    <n v="0.03"/>
    <n v="46.08"/>
    <n v="46.11"/>
    <m/>
  </r>
  <r>
    <d v="2019-03-01T00:00:00"/>
    <s v="2018-19"/>
    <n v="2019"/>
    <x v="7"/>
    <x v="7"/>
    <s v="Meghalaya"/>
    <n v="17"/>
    <s v="State"/>
    <n v="22.19"/>
    <n v="32.14"/>
    <n v="70.31"/>
    <n v="2.14"/>
    <n v="124.64"/>
    <n v="126.78"/>
    <m/>
  </r>
  <r>
    <d v="2019-03-01T00:00:00"/>
    <s v="2018-19"/>
    <n v="2019"/>
    <x v="7"/>
    <x v="7"/>
    <s v="Mizoram"/>
    <n v="15"/>
    <s v="State"/>
    <n v="16.3"/>
    <n v="24.59"/>
    <n v="8.86"/>
    <n v="0.01"/>
    <n v="49.75"/>
    <n v="49.76"/>
    <m/>
  </r>
  <r>
    <d v="2019-03-01T00:00:00"/>
    <s v="2018-19"/>
    <n v="2019"/>
    <x v="7"/>
    <x v="7"/>
    <s v="Nagaland"/>
    <n v="13"/>
    <s v="State"/>
    <n v="16.62"/>
    <n v="22.12"/>
    <n v="5.37"/>
    <n v="1.79"/>
    <n v="44.11"/>
    <n v="45.9"/>
    <m/>
  </r>
  <r>
    <d v="2019-03-01T00:00:00"/>
    <s v="2018-19"/>
    <n v="2019"/>
    <x v="7"/>
    <x v="7"/>
    <s v="Odisha"/>
    <n v="21"/>
    <s v="State"/>
    <n v="605.71"/>
    <n v="782.99"/>
    <n v="766.85"/>
    <n v="470.36"/>
    <n v="2155.5500000000002"/>
    <n v="2625.91"/>
    <m/>
  </r>
  <r>
    <d v="2019-03-01T00:00:00"/>
    <s v="2018-19"/>
    <n v="2019"/>
    <x v="7"/>
    <x v="7"/>
    <s v="Puducherry"/>
    <n v="34"/>
    <s v="Union Territory"/>
    <n v="22.81"/>
    <n v="33.6"/>
    <n v="127.18"/>
    <n v="0.4"/>
    <n v="183.59"/>
    <n v="183.99"/>
    <m/>
  </r>
  <r>
    <d v="2019-03-01T00:00:00"/>
    <s v="2018-19"/>
    <n v="2019"/>
    <x v="7"/>
    <x v="7"/>
    <s v="Punjab"/>
    <n v="3"/>
    <s v="State"/>
    <n v="282.14999999999998"/>
    <n v="454.34"/>
    <n v="419.6"/>
    <n v="9.93"/>
    <n v="1156.0899999999999"/>
    <n v="1166.02"/>
    <m/>
  </r>
  <r>
    <d v="2019-03-01T00:00:00"/>
    <s v="2018-19"/>
    <n v="2019"/>
    <x v="7"/>
    <x v="7"/>
    <s v="Rajasthan"/>
    <n v="8"/>
    <s v="State"/>
    <n v="868.36"/>
    <n v="1242.8599999999999"/>
    <n v="895.33"/>
    <n v="125.86"/>
    <n v="3006.55"/>
    <n v="3132.41"/>
    <m/>
  </r>
  <r>
    <d v="2019-03-01T00:00:00"/>
    <s v="2018-19"/>
    <n v="2019"/>
    <x v="7"/>
    <x v="7"/>
    <s v="Sikkim"/>
    <n v="11"/>
    <s v="State"/>
    <n v="11.72"/>
    <n v="16.89"/>
    <n v="130.93"/>
    <n v="0.05"/>
    <n v="159.54"/>
    <n v="159.59"/>
    <m/>
  </r>
  <r>
    <d v="2019-03-01T00:00:00"/>
    <s v="2018-19"/>
    <n v="2019"/>
    <x v="7"/>
    <x v="7"/>
    <s v="Tamil Nadu"/>
    <n v="33"/>
    <s v="State"/>
    <n v="1739.84"/>
    <n v="2335.17"/>
    <n v="2152.2399999999998"/>
    <n v="713.84"/>
    <n v="6227.25"/>
    <n v="6941.09"/>
    <m/>
  </r>
  <r>
    <d v="2019-03-01T00:00:00"/>
    <s v="2018-19"/>
    <n v="2019"/>
    <x v="7"/>
    <x v="7"/>
    <s v="Telangana"/>
    <n v="36"/>
    <s v="State"/>
    <n v="970.65"/>
    <n v="1276.45"/>
    <n v="1088.54"/>
    <n v="560.99"/>
    <n v="3335.64"/>
    <n v="3896.63"/>
    <m/>
  </r>
  <r>
    <d v="2019-03-01T00:00:00"/>
    <s v="2018-19"/>
    <n v="2019"/>
    <x v="7"/>
    <x v="7"/>
    <s v="Tripura"/>
    <n v="16"/>
    <s v="State"/>
    <n v="24.31"/>
    <n v="32.97"/>
    <n v="6.3"/>
    <n v="0.32"/>
    <n v="63.58"/>
    <n v="63.9"/>
    <m/>
  </r>
  <r>
    <d v="2019-03-01T00:00:00"/>
    <s v="2018-19"/>
    <n v="2019"/>
    <x v="7"/>
    <x v="7"/>
    <s v="Uttar Pradesh"/>
    <n v="9"/>
    <s v="State"/>
    <n v="1239.8599999999999"/>
    <n v="1872.29"/>
    <n v="1391.67"/>
    <n v="1043.93"/>
    <n v="4503.82"/>
    <n v="5547.75"/>
    <m/>
  </r>
  <r>
    <d v="2019-03-01T00:00:00"/>
    <s v="2018-19"/>
    <n v="2019"/>
    <x v="7"/>
    <x v="7"/>
    <s v="Uttarakhand"/>
    <n v="5"/>
    <s v="State"/>
    <n v="203.32"/>
    <n v="360.47"/>
    <n v="862.33"/>
    <n v="24.97"/>
    <n v="1426.12"/>
    <n v="1451.09"/>
    <m/>
  </r>
  <r>
    <d v="2019-03-01T00:00:00"/>
    <s v="2018-19"/>
    <n v="2019"/>
    <x v="7"/>
    <x v="7"/>
    <s v="West Bengal"/>
    <n v="19"/>
    <s v="State"/>
    <n v="1160.83"/>
    <n v="1480.52"/>
    <n v="877.78"/>
    <n v="321.7"/>
    <n v="3519.13"/>
    <n v="3840.83"/>
    <m/>
  </r>
  <r>
    <d v="2019-04-01T00:00:00"/>
    <s v="2019-20"/>
    <n v="2019"/>
    <x v="8"/>
    <x v="8"/>
    <s v="Andaman and Nicobar Islands"/>
    <n v="35"/>
    <s v="Union Territory"/>
    <n v="14.46"/>
    <n v="20.11"/>
    <n v="3.06"/>
    <n v="0.09"/>
    <n v="37.630000000000003"/>
    <n v="37.72"/>
    <m/>
  </r>
  <r>
    <d v="2019-04-01T00:00:00"/>
    <s v="2019-20"/>
    <n v="2019"/>
    <x v="8"/>
    <x v="8"/>
    <s v="Andhra Pradesh"/>
    <n v="28"/>
    <s v="State"/>
    <n v="677.65"/>
    <n v="924.03"/>
    <n v="925.24"/>
    <n v="32.270000000000003"/>
    <n v="2526.92"/>
    <n v="2559.19"/>
    <m/>
  </r>
  <r>
    <d v="2019-04-01T00:00:00"/>
    <s v="2019-20"/>
    <n v="2019"/>
    <x v="8"/>
    <x v="8"/>
    <s v="Arunachal Pradesh"/>
    <n v="12"/>
    <s v="State"/>
    <n v="23.28"/>
    <n v="29.15"/>
    <n v="4.22"/>
    <n v="0.05"/>
    <n v="56.65"/>
    <n v="56.7"/>
    <m/>
  </r>
  <r>
    <d v="2019-04-01T00:00:00"/>
    <s v="2019-20"/>
    <n v="2019"/>
    <x v="8"/>
    <x v="8"/>
    <s v="Assam"/>
    <n v="18"/>
    <s v="State"/>
    <n v="276.69"/>
    <n v="406.66"/>
    <n v="193.47"/>
    <n v="55.54"/>
    <n v="876.82"/>
    <n v="932.36"/>
    <m/>
  </r>
  <r>
    <d v="2019-04-01T00:00:00"/>
    <s v="2019-20"/>
    <n v="2019"/>
    <x v="8"/>
    <x v="8"/>
    <s v="Bihar"/>
    <n v="10"/>
    <s v="State"/>
    <n v="318.48"/>
    <n v="566.98"/>
    <n v="120.01"/>
    <n v="161.33000000000001"/>
    <n v="1005.47"/>
    <n v="1166.8"/>
    <m/>
  </r>
  <r>
    <d v="2019-04-01T00:00:00"/>
    <s v="2019-20"/>
    <n v="2019"/>
    <x v="8"/>
    <x v="8"/>
    <s v="Chandigarh"/>
    <n v="4"/>
    <s v="Union Territory"/>
    <n v="34.630000000000003"/>
    <n v="48.24"/>
    <n v="116.66"/>
    <n v="0.43"/>
    <n v="199.53"/>
    <n v="199.96"/>
    <m/>
  </r>
  <r>
    <d v="2019-04-01T00:00:00"/>
    <s v="2019-20"/>
    <n v="2019"/>
    <x v="8"/>
    <x v="8"/>
    <s v="Chhattisgarh"/>
    <n v="22"/>
    <s v="State"/>
    <n v="415.86"/>
    <n v="516.55999999999995"/>
    <n v="731.79"/>
    <n v="634.71"/>
    <n v="1664.21"/>
    <n v="2298.92"/>
    <m/>
  </r>
  <r>
    <d v="2019-04-01T00:00:00"/>
    <s v="2019-20"/>
    <n v="2019"/>
    <x v="8"/>
    <x v="8"/>
    <s v="Dadra and Nagar Haveli and Daman and Diu"/>
    <n v="38"/>
    <s v="Union Territory"/>
    <n v="28.56"/>
    <n v="39.299999999999997"/>
    <n v="208.97"/>
    <n v="7.0000000000000007E-2"/>
    <n v="276.83"/>
    <n v="276.89999999999998"/>
    <m/>
  </r>
  <r>
    <d v="2019-04-01T00:00:00"/>
    <s v="2019-20"/>
    <n v="2019"/>
    <x v="8"/>
    <x v="8"/>
    <s v="Delhi"/>
    <n v="7"/>
    <s v="Union Territory"/>
    <n v="912.34"/>
    <n v="1146.03"/>
    <n v="2204.46"/>
    <n v="78.430000000000007"/>
    <n v="4262.83"/>
    <n v="4341.26"/>
    <m/>
  </r>
  <r>
    <d v="2019-04-01T00:00:00"/>
    <s v="2019-20"/>
    <n v="2019"/>
    <x v="8"/>
    <x v="8"/>
    <s v="Goa"/>
    <n v="30"/>
    <s v="State"/>
    <n v="107.64"/>
    <n v="157.34"/>
    <n v="146.9"/>
    <n v="3.34"/>
    <n v="411.88"/>
    <n v="415.22"/>
    <m/>
  </r>
  <r>
    <d v="2019-04-01T00:00:00"/>
    <s v="2019-20"/>
    <n v="2019"/>
    <x v="8"/>
    <x v="8"/>
    <s v="Gujarat"/>
    <n v="24"/>
    <s v="State"/>
    <n v="1849.37"/>
    <n v="2393.15"/>
    <n v="2276.5500000000002"/>
    <n v="355"/>
    <n v="6519.07"/>
    <n v="6874.07"/>
    <m/>
  </r>
  <r>
    <d v="2019-04-01T00:00:00"/>
    <s v="2019-20"/>
    <n v="2019"/>
    <x v="8"/>
    <x v="8"/>
    <s v="Haryana"/>
    <n v="6"/>
    <s v="State"/>
    <n v="743.37"/>
    <n v="1122.28"/>
    <n v="3168.69"/>
    <n v="337.54"/>
    <n v="5034.34"/>
    <n v="5371.88"/>
    <m/>
  </r>
  <r>
    <d v="2019-04-01T00:00:00"/>
    <s v="2019-20"/>
    <n v="2019"/>
    <x v="8"/>
    <x v="8"/>
    <s v="Himachal Pradesh"/>
    <n v="2"/>
    <s v="State"/>
    <n v="111.09"/>
    <n v="169.26"/>
    <n v="418.78"/>
    <n v="0.99"/>
    <n v="699.13"/>
    <n v="700.12"/>
    <m/>
  </r>
  <r>
    <d v="2019-04-01T00:00:00"/>
    <s v="2019-20"/>
    <n v="2019"/>
    <x v="8"/>
    <x v="8"/>
    <s v="Jammu and Kashmir"/>
    <n v="1"/>
    <s v="Union Territory"/>
    <n v="116.35"/>
    <n v="198.78"/>
    <n v="63.97"/>
    <n v="3.04"/>
    <n v="379.1"/>
    <n v="382.14"/>
    <m/>
  </r>
  <r>
    <d v="2019-04-01T00:00:00"/>
    <s v="2019-20"/>
    <n v="2019"/>
    <x v="8"/>
    <x v="8"/>
    <s v="Jharkhand"/>
    <n v="20"/>
    <s v="State"/>
    <n v="460.7"/>
    <n v="620"/>
    <n v="1212.22"/>
    <n v="473.63"/>
    <n v="2292.92"/>
    <n v="2766.55"/>
    <m/>
  </r>
  <r>
    <d v="2019-04-01T00:00:00"/>
    <s v="2019-20"/>
    <n v="2019"/>
    <x v="8"/>
    <x v="8"/>
    <s v="Karnataka"/>
    <n v="29"/>
    <s v="State"/>
    <n v="1913.58"/>
    <n v="2482.98"/>
    <n v="2651.14"/>
    <n v="957.2"/>
    <n v="7047.7"/>
    <n v="8004.9"/>
    <m/>
  </r>
  <r>
    <d v="2019-04-01T00:00:00"/>
    <s v="2019-20"/>
    <n v="2019"/>
    <x v="8"/>
    <x v="8"/>
    <s v="Kerala"/>
    <n v="32"/>
    <s v="State"/>
    <n v="509.12"/>
    <n v="843.69"/>
    <n v="408.83"/>
    <n v="4.55"/>
    <n v="1761.64"/>
    <n v="1766.19"/>
    <m/>
  </r>
  <r>
    <d v="2019-04-01T00:00:00"/>
    <s v="2019-20"/>
    <n v="2019"/>
    <x v="8"/>
    <x v="8"/>
    <s v="Lakshadweep"/>
    <n v="31"/>
    <s v="Union Territory"/>
    <n v="1.26"/>
    <n v="1.43"/>
    <n v="0.09"/>
    <n v="0"/>
    <n v="2.78"/>
    <n v="2.78"/>
    <m/>
  </r>
  <r>
    <d v="2019-04-01T00:00:00"/>
    <s v="2019-20"/>
    <n v="2019"/>
    <x v="8"/>
    <x v="8"/>
    <s v="Madhya Pradesh"/>
    <n v="23"/>
    <s v="State"/>
    <n v="623.51"/>
    <n v="841.43"/>
    <n v="709.08"/>
    <n v="451.68"/>
    <n v="2174.02"/>
    <n v="2625.7"/>
    <m/>
  </r>
  <r>
    <d v="2019-04-01T00:00:00"/>
    <s v="2019-20"/>
    <n v="2019"/>
    <x v="8"/>
    <x v="8"/>
    <s v="Maharashtra"/>
    <n v="27"/>
    <s v="State"/>
    <n v="4717.1400000000003"/>
    <n v="5860.1"/>
    <n v="6369.62"/>
    <n v="1176.18"/>
    <n v="16946.86"/>
    <n v="18123.04"/>
    <m/>
  </r>
  <r>
    <d v="2019-04-01T00:00:00"/>
    <s v="2019-20"/>
    <n v="2019"/>
    <x v="8"/>
    <x v="8"/>
    <s v="Manipur"/>
    <n v="14"/>
    <s v="State"/>
    <n v="14.09"/>
    <n v="20.57"/>
    <n v="2.56"/>
    <n v="0.02"/>
    <n v="37.22"/>
    <n v="37.24"/>
    <m/>
  </r>
  <r>
    <d v="2019-04-01T00:00:00"/>
    <s v="2019-20"/>
    <n v="2019"/>
    <x v="8"/>
    <x v="8"/>
    <s v="Meghalaya"/>
    <n v="17"/>
    <s v="State"/>
    <n v="30.78"/>
    <n v="41.57"/>
    <n v="95.17"/>
    <n v="0.87"/>
    <n v="167.52"/>
    <n v="168.39"/>
    <m/>
  </r>
  <r>
    <d v="2019-04-01T00:00:00"/>
    <s v="2019-20"/>
    <n v="2019"/>
    <x v="8"/>
    <x v="8"/>
    <s v="Mizoram"/>
    <n v="15"/>
    <s v="State"/>
    <n v="9.8699999999999992"/>
    <n v="13.68"/>
    <n v="11.52"/>
    <n v="0"/>
    <n v="35.07"/>
    <n v="35.07"/>
    <m/>
  </r>
  <r>
    <d v="2019-04-01T00:00:00"/>
    <s v="2019-20"/>
    <n v="2019"/>
    <x v="8"/>
    <x v="8"/>
    <s v="Nagaland"/>
    <n v="13"/>
    <s v="State"/>
    <n v="8.0299999999999994"/>
    <n v="12.78"/>
    <n v="6.22"/>
    <n v="1.89"/>
    <n v="27.03"/>
    <n v="28.92"/>
    <m/>
  </r>
  <r>
    <d v="2019-04-01T00:00:00"/>
    <s v="2019-20"/>
    <n v="2019"/>
    <x v="8"/>
    <x v="8"/>
    <s v="Odisha"/>
    <n v="21"/>
    <s v="State"/>
    <n v="671.98"/>
    <n v="927.6"/>
    <n v="770.01"/>
    <n v="586.01"/>
    <n v="2369.59"/>
    <n v="2955.6"/>
    <m/>
  </r>
  <r>
    <d v="2019-04-01T00:00:00"/>
    <s v="2019-20"/>
    <n v="2019"/>
    <x v="8"/>
    <x v="8"/>
    <s v="Puducherry"/>
    <n v="34"/>
    <s v="Union Territory"/>
    <n v="20.58"/>
    <n v="32.03"/>
    <n v="119.67"/>
    <n v="0.99"/>
    <n v="172.28"/>
    <n v="173.27"/>
    <m/>
  </r>
  <r>
    <d v="2019-04-01T00:00:00"/>
    <s v="2019-20"/>
    <n v="2019"/>
    <x v="8"/>
    <x v="8"/>
    <s v="Punjab"/>
    <n v="3"/>
    <s v="State"/>
    <n v="365.44"/>
    <n v="553.87"/>
    <n v="438.87"/>
    <n v="16.100000000000001"/>
    <n v="1358.18"/>
    <n v="1374.28"/>
    <m/>
  </r>
  <r>
    <d v="2019-04-01T00:00:00"/>
    <s v="2019-20"/>
    <n v="2019"/>
    <x v="8"/>
    <x v="8"/>
    <s v="Rajasthan"/>
    <n v="8"/>
    <s v="State"/>
    <n v="815.99"/>
    <n v="1073.25"/>
    <n v="878.1"/>
    <n v="128.69999999999999"/>
    <n v="2767.34"/>
    <n v="2896.04"/>
    <m/>
  </r>
  <r>
    <d v="2019-04-01T00:00:00"/>
    <s v="2019-20"/>
    <n v="2019"/>
    <x v="8"/>
    <x v="8"/>
    <s v="Sikkim"/>
    <n v="11"/>
    <s v="State"/>
    <n v="16.77"/>
    <n v="27.5"/>
    <n v="121.13"/>
    <n v="0.19"/>
    <n v="165.4"/>
    <n v="165.59"/>
    <m/>
  </r>
  <r>
    <d v="2019-04-01T00:00:00"/>
    <s v="2019-20"/>
    <n v="2019"/>
    <x v="8"/>
    <x v="8"/>
    <s v="Tamil Nadu"/>
    <n v="33"/>
    <s v="State"/>
    <n v="1678.87"/>
    <n v="2415.16"/>
    <n v="2122.1799999999998"/>
    <n v="554.92999999999995"/>
    <n v="6216.21"/>
    <n v="6771.14"/>
    <m/>
  </r>
  <r>
    <d v="2019-04-01T00:00:00"/>
    <s v="2019-20"/>
    <n v="2019"/>
    <x v="8"/>
    <x v="8"/>
    <s v="Telangana"/>
    <n v="36"/>
    <s v="State"/>
    <n v="834.28"/>
    <n v="1144.78"/>
    <n v="997.16"/>
    <n v="533.70000000000005"/>
    <n v="2976.22"/>
    <n v="3509.92"/>
    <m/>
  </r>
  <r>
    <d v="2019-04-01T00:00:00"/>
    <s v="2019-20"/>
    <n v="2019"/>
    <x v="8"/>
    <x v="8"/>
    <s v="Tripura"/>
    <n v="16"/>
    <s v="State"/>
    <n v="20.28"/>
    <n v="34.68"/>
    <n v="5.92"/>
    <n v="0.13"/>
    <n v="60.88"/>
    <n v="61.01"/>
    <m/>
  </r>
  <r>
    <d v="2019-04-01T00:00:00"/>
    <s v="2019-20"/>
    <n v="2019"/>
    <x v="8"/>
    <x v="8"/>
    <s v="Uttar Pradesh"/>
    <n v="9"/>
    <s v="State"/>
    <n v="1395.59"/>
    <n v="2160.23"/>
    <n v="1650.51"/>
    <n v="1103.45"/>
    <n v="5206.33"/>
    <n v="6309.78"/>
    <m/>
  </r>
  <r>
    <d v="2019-04-01T00:00:00"/>
    <s v="2019-20"/>
    <n v="2019"/>
    <x v="8"/>
    <x v="8"/>
    <s v="Uttarakhand"/>
    <n v="5"/>
    <s v="State"/>
    <n v="218.8"/>
    <n v="369.64"/>
    <n v="1004.96"/>
    <n v="23.89"/>
    <n v="1593.4"/>
    <n v="1617.29"/>
    <m/>
  </r>
  <r>
    <d v="2019-04-01T00:00:00"/>
    <s v="2019-20"/>
    <n v="2019"/>
    <x v="8"/>
    <x v="8"/>
    <s v="West Bengal"/>
    <n v="19"/>
    <s v="State"/>
    <n v="1190.21"/>
    <n v="1549.62"/>
    <n v="1031.28"/>
    <n v="438.22"/>
    <n v="3771.11"/>
    <n v="4209.33"/>
    <m/>
  </r>
  <r>
    <d v="2019-05-01T00:00:00"/>
    <s v="2019-20"/>
    <n v="2019"/>
    <x v="9"/>
    <x v="9"/>
    <s v="Andaman and Nicobar Islands"/>
    <n v="35"/>
    <s v="Union Territory"/>
    <n v="14.28"/>
    <n v="22.52"/>
    <n v="2.37"/>
    <n v="0.25"/>
    <n v="39.17"/>
    <n v="39.42"/>
    <m/>
  </r>
  <r>
    <d v="2019-05-01T00:00:00"/>
    <s v="2019-20"/>
    <n v="2019"/>
    <x v="9"/>
    <x v="9"/>
    <s v="Andhra Pradesh"/>
    <n v="28"/>
    <s v="State"/>
    <n v="528.4"/>
    <n v="776.9"/>
    <n v="803.85"/>
    <n v="33.229999999999997"/>
    <n v="2109.15"/>
    <n v="2142.38"/>
    <m/>
  </r>
  <r>
    <d v="2019-05-01T00:00:00"/>
    <s v="2019-20"/>
    <n v="2019"/>
    <x v="9"/>
    <x v="9"/>
    <s v="Arunachal Pradesh"/>
    <n v="12"/>
    <s v="State"/>
    <n v="12.87"/>
    <n v="17"/>
    <n v="6.18"/>
    <n v="0.49"/>
    <n v="36.049999999999997"/>
    <n v="36.54"/>
    <m/>
  </r>
  <r>
    <d v="2019-05-01T00:00:00"/>
    <s v="2019-20"/>
    <n v="2019"/>
    <x v="9"/>
    <x v="9"/>
    <s v="Assam"/>
    <n v="18"/>
    <s v="State"/>
    <n v="225.32"/>
    <n v="326.58999999999997"/>
    <n v="192.1"/>
    <n v="25.6"/>
    <n v="744.01"/>
    <n v="769.61"/>
    <m/>
  </r>
  <r>
    <d v="2019-05-01T00:00:00"/>
    <s v="2019-20"/>
    <n v="2019"/>
    <x v="9"/>
    <x v="9"/>
    <s v="Bihar"/>
    <n v="10"/>
    <s v="State"/>
    <n v="232.45"/>
    <n v="466.71"/>
    <n v="119.37"/>
    <n v="163.06"/>
    <n v="818.53"/>
    <n v="981.59"/>
    <m/>
  </r>
  <r>
    <d v="2019-05-01T00:00:00"/>
    <s v="2019-20"/>
    <n v="2019"/>
    <x v="9"/>
    <x v="9"/>
    <s v="Chandigarh"/>
    <n v="4"/>
    <s v="Union Territory"/>
    <n v="28.63"/>
    <n v="41.79"/>
    <n v="75.650000000000006"/>
    <n v="0.6"/>
    <n v="146.07"/>
    <n v="146.66999999999999"/>
    <m/>
  </r>
  <r>
    <d v="2019-05-01T00:00:00"/>
    <s v="2019-20"/>
    <n v="2019"/>
    <x v="9"/>
    <x v="9"/>
    <s v="Chhattisgarh"/>
    <n v="22"/>
    <s v="State"/>
    <n v="341.05"/>
    <n v="434.66"/>
    <n v="695.13"/>
    <n v="528.1"/>
    <n v="1470.84"/>
    <n v="1998.94"/>
    <m/>
  </r>
  <r>
    <d v="2019-05-01T00:00:00"/>
    <s v="2019-20"/>
    <n v="2019"/>
    <x v="9"/>
    <x v="9"/>
    <s v="Dadra and Nagar Haveli and Daman and Diu"/>
    <n v="38"/>
    <s v="Union Territory"/>
    <n v="22.09"/>
    <n v="36.590000000000003"/>
    <n v="169.85"/>
    <n v="0.19"/>
    <n v="228.53"/>
    <n v="228.72"/>
    <m/>
  </r>
  <r>
    <d v="2019-05-01T00:00:00"/>
    <s v="2019-20"/>
    <n v="2019"/>
    <x v="9"/>
    <x v="9"/>
    <s v="Delhi"/>
    <n v="7"/>
    <s v="Union Territory"/>
    <n v="765.43"/>
    <n v="966.69"/>
    <n v="1840.76"/>
    <n v="90.85"/>
    <n v="3572.88"/>
    <n v="3663.73"/>
    <m/>
  </r>
  <r>
    <d v="2019-05-01T00:00:00"/>
    <s v="2019-20"/>
    <n v="2019"/>
    <x v="9"/>
    <x v="9"/>
    <s v="Goa"/>
    <n v="30"/>
    <s v="State"/>
    <n v="87.54"/>
    <n v="128.43"/>
    <n v="128.6"/>
    <n v="4.17"/>
    <n v="344.57"/>
    <n v="348.74"/>
    <m/>
  </r>
  <r>
    <d v="2019-05-01T00:00:00"/>
    <s v="2019-20"/>
    <n v="2019"/>
    <x v="9"/>
    <x v="9"/>
    <s v="Gujarat"/>
    <n v="24"/>
    <s v="State"/>
    <n v="1815.07"/>
    <n v="2316.94"/>
    <n v="2145.9699999999998"/>
    <n v="330.84"/>
    <n v="6277.98"/>
    <n v="6608.82"/>
    <m/>
  </r>
  <r>
    <d v="2019-05-01T00:00:00"/>
    <s v="2019-20"/>
    <n v="2019"/>
    <x v="9"/>
    <x v="9"/>
    <s v="Haryana"/>
    <n v="6"/>
    <s v="State"/>
    <n v="781.03"/>
    <n v="1125.4000000000001"/>
    <n v="2418.14"/>
    <n v="299.44"/>
    <n v="4324.57"/>
    <n v="4624.01"/>
    <m/>
  </r>
  <r>
    <d v="2019-05-01T00:00:00"/>
    <s v="2019-20"/>
    <n v="2019"/>
    <x v="9"/>
    <x v="9"/>
    <s v="Himachal Pradesh"/>
    <n v="2"/>
    <s v="State"/>
    <n v="85.45"/>
    <n v="129.97999999999999"/>
    <n v="423.2"/>
    <n v="1.28"/>
    <n v="638.63"/>
    <n v="639.91"/>
    <m/>
  </r>
  <r>
    <d v="2019-05-01T00:00:00"/>
    <s v="2019-20"/>
    <n v="2019"/>
    <x v="9"/>
    <x v="9"/>
    <s v="Jammu and Kashmir"/>
    <n v="1"/>
    <s v="Union Territory"/>
    <n v="80.040000000000006"/>
    <n v="147.32"/>
    <n v="78.16"/>
    <n v="5.77"/>
    <n v="305.52"/>
    <n v="311.29000000000002"/>
    <m/>
  </r>
  <r>
    <d v="2019-05-01T00:00:00"/>
    <s v="2019-20"/>
    <n v="2019"/>
    <x v="9"/>
    <x v="9"/>
    <s v="Jharkhand"/>
    <n v="20"/>
    <s v="State"/>
    <n v="298.97000000000003"/>
    <n v="433.29"/>
    <n v="668.49"/>
    <n v="487.16"/>
    <n v="1400.75"/>
    <n v="1887.91"/>
    <m/>
  </r>
  <r>
    <d v="2019-05-01T00:00:00"/>
    <s v="2019-20"/>
    <n v="2019"/>
    <x v="9"/>
    <x v="9"/>
    <s v="Karnataka"/>
    <n v="29"/>
    <s v="State"/>
    <n v="1490.5"/>
    <n v="2002.47"/>
    <n v="2223.46"/>
    <n v="692.27"/>
    <n v="5716.43"/>
    <n v="6408.7"/>
    <m/>
  </r>
  <r>
    <d v="2019-05-01T00:00:00"/>
    <s v="2019-20"/>
    <n v="2019"/>
    <x v="9"/>
    <x v="9"/>
    <s v="Kerala"/>
    <n v="32"/>
    <s v="State"/>
    <n v="451.85"/>
    <n v="720.85"/>
    <n v="257.42"/>
    <n v="3.24"/>
    <n v="1430.12"/>
    <n v="1433.36"/>
    <m/>
  </r>
  <r>
    <d v="2019-05-01T00:00:00"/>
    <s v="2019-20"/>
    <n v="2019"/>
    <x v="9"/>
    <x v="9"/>
    <s v="Lakshadweep"/>
    <n v="31"/>
    <s v="Union Territory"/>
    <n v="0.16"/>
    <n v="0.16"/>
    <n v="0.01"/>
    <n v="0"/>
    <n v="0.33"/>
    <n v="0.33"/>
    <m/>
  </r>
  <r>
    <d v="2019-05-01T00:00:00"/>
    <s v="2019-20"/>
    <n v="2019"/>
    <x v="9"/>
    <x v="9"/>
    <s v="Madhya Pradesh"/>
    <n v="23"/>
    <s v="State"/>
    <n v="485.89"/>
    <n v="699.13"/>
    <n v="643.84"/>
    <n v="422.43"/>
    <n v="1828.86"/>
    <n v="2251.29"/>
    <m/>
  </r>
  <r>
    <d v="2019-05-01T00:00:00"/>
    <s v="2019-20"/>
    <n v="2019"/>
    <x v="9"/>
    <x v="9"/>
    <s v="Maharashtra"/>
    <n v="27"/>
    <s v="State"/>
    <n v="3946.98"/>
    <n v="4885.8900000000003"/>
    <n v="4341.5600000000004"/>
    <n v="959.94"/>
    <n v="13174.43"/>
    <n v="14134.37"/>
    <m/>
  </r>
  <r>
    <d v="2019-05-01T00:00:00"/>
    <s v="2019-20"/>
    <n v="2019"/>
    <x v="9"/>
    <x v="9"/>
    <s v="Manipur"/>
    <n v="14"/>
    <s v="State"/>
    <n v="10.68"/>
    <n v="16.95"/>
    <n v="1.69"/>
    <n v="0.06"/>
    <n v="29.32"/>
    <n v="29.38"/>
    <m/>
  </r>
  <r>
    <d v="2019-05-01T00:00:00"/>
    <s v="2019-20"/>
    <n v="2019"/>
    <x v="9"/>
    <x v="9"/>
    <s v="Meghalaya"/>
    <n v="17"/>
    <s v="State"/>
    <n v="18.579999999999998"/>
    <n v="27.39"/>
    <n v="84.55"/>
    <n v="0.43"/>
    <n v="130.52000000000001"/>
    <n v="130.94999999999999"/>
    <m/>
  </r>
  <r>
    <d v="2019-05-01T00:00:00"/>
    <s v="2019-20"/>
    <n v="2019"/>
    <x v="9"/>
    <x v="9"/>
    <s v="Mizoram"/>
    <n v="15"/>
    <s v="State"/>
    <n v="6.81"/>
    <n v="11.99"/>
    <n v="3.33"/>
    <n v="0"/>
    <n v="22.13"/>
    <n v="22.13"/>
    <m/>
  </r>
  <r>
    <d v="2019-05-01T00:00:00"/>
    <s v="2019-20"/>
    <n v="2019"/>
    <x v="9"/>
    <x v="9"/>
    <s v="Nagaland"/>
    <n v="13"/>
    <s v="State"/>
    <n v="6.85"/>
    <n v="10.34"/>
    <n v="5.17"/>
    <n v="1.27"/>
    <n v="22.36"/>
    <n v="23.63"/>
    <m/>
  </r>
  <r>
    <d v="2019-05-01T00:00:00"/>
    <s v="2019-20"/>
    <n v="2019"/>
    <x v="9"/>
    <x v="9"/>
    <s v="Odisha"/>
    <n v="21"/>
    <s v="State"/>
    <n v="434.77"/>
    <n v="589.29999999999995"/>
    <n v="591.62"/>
    <n v="524.67999999999995"/>
    <n v="1615.69"/>
    <n v="2140.37"/>
    <m/>
  </r>
  <r>
    <d v="2019-05-01T00:00:00"/>
    <s v="2019-20"/>
    <n v="2019"/>
    <x v="9"/>
    <x v="9"/>
    <s v="Puducherry"/>
    <n v="34"/>
    <s v="Union Territory"/>
    <n v="17.760000000000002"/>
    <n v="27.81"/>
    <n v="98.45"/>
    <n v="0.18"/>
    <n v="144.02000000000001"/>
    <n v="144.19999999999999"/>
    <m/>
  </r>
  <r>
    <d v="2019-05-01T00:00:00"/>
    <s v="2019-20"/>
    <n v="2019"/>
    <x v="9"/>
    <x v="9"/>
    <s v="Punjab"/>
    <n v="3"/>
    <s v="State"/>
    <n v="308.26"/>
    <n v="499.79"/>
    <n v="516.20000000000005"/>
    <n v="23.6"/>
    <n v="1324.25"/>
    <n v="1347.85"/>
    <m/>
  </r>
  <r>
    <d v="2019-05-01T00:00:00"/>
    <s v="2019-20"/>
    <n v="2019"/>
    <x v="9"/>
    <x v="9"/>
    <s v="Rajasthan"/>
    <n v="8"/>
    <s v="State"/>
    <n v="712.74"/>
    <n v="988.26"/>
    <n v="913.26"/>
    <n v="133.71"/>
    <n v="2614.2600000000002"/>
    <n v="2747.97"/>
    <m/>
  </r>
  <r>
    <d v="2019-05-01T00:00:00"/>
    <s v="2019-20"/>
    <n v="2019"/>
    <x v="9"/>
    <x v="9"/>
    <s v="Sikkim"/>
    <n v="11"/>
    <s v="State"/>
    <n v="13.74"/>
    <n v="20.350000000000001"/>
    <n v="158.94"/>
    <n v="0.05"/>
    <n v="193.03"/>
    <n v="193.08"/>
    <m/>
  </r>
  <r>
    <d v="2019-05-01T00:00:00"/>
    <s v="2019-20"/>
    <n v="2019"/>
    <x v="9"/>
    <x v="9"/>
    <s v="Tamil Nadu"/>
    <n v="33"/>
    <s v="State"/>
    <n v="1515.14"/>
    <n v="2149.5100000000002"/>
    <n v="1664.18"/>
    <n v="489.12"/>
    <n v="5328.83"/>
    <n v="5817.95"/>
    <m/>
  </r>
  <r>
    <d v="2019-05-01T00:00:00"/>
    <s v="2019-20"/>
    <n v="2019"/>
    <x v="9"/>
    <x v="9"/>
    <s v="Telangana"/>
    <n v="36"/>
    <s v="State"/>
    <n v="680.19"/>
    <n v="953.56"/>
    <n v="874.75"/>
    <n v="542.80999999999995"/>
    <n v="2508.5"/>
    <n v="3051.31"/>
    <m/>
  </r>
  <r>
    <d v="2019-05-01T00:00:00"/>
    <s v="2019-20"/>
    <n v="2019"/>
    <x v="9"/>
    <x v="9"/>
    <s v="Tripura"/>
    <n v="16"/>
    <s v="State"/>
    <n v="17.13"/>
    <n v="26.09"/>
    <n v="6.89"/>
    <n v="0.17"/>
    <n v="50.11"/>
    <n v="50.28"/>
    <m/>
  </r>
  <r>
    <d v="2019-05-01T00:00:00"/>
    <s v="2019-20"/>
    <n v="2019"/>
    <x v="9"/>
    <x v="9"/>
    <s v="Uttar Pradesh"/>
    <n v="9"/>
    <s v="State"/>
    <n v="1103.3"/>
    <n v="1709.38"/>
    <n v="1246.24"/>
    <n v="1037.27"/>
    <n v="4058.92"/>
    <n v="5096.1899999999996"/>
    <m/>
  </r>
  <r>
    <d v="2019-05-01T00:00:00"/>
    <s v="2019-20"/>
    <n v="2019"/>
    <x v="9"/>
    <x v="9"/>
    <s v="Uttarakhand"/>
    <n v="5"/>
    <s v="State"/>
    <n v="192.42"/>
    <n v="345.22"/>
    <n v="694.98"/>
    <n v="15.09"/>
    <n v="1232.6199999999999"/>
    <n v="1247.71"/>
    <m/>
  </r>
  <r>
    <d v="2019-05-01T00:00:00"/>
    <s v="2019-20"/>
    <n v="2019"/>
    <x v="9"/>
    <x v="9"/>
    <s v="West Bengal"/>
    <n v="19"/>
    <s v="State"/>
    <n v="1065.6199999999999"/>
    <n v="1389.58"/>
    <n v="767.23"/>
    <n v="354.48"/>
    <n v="3222.43"/>
    <n v="3576.91"/>
    <m/>
  </r>
  <r>
    <d v="2019-06-01T00:00:00"/>
    <s v="2019-20"/>
    <n v="2019"/>
    <x v="10"/>
    <x v="10"/>
    <s v="Andaman and Nicobar Islands"/>
    <n v="35"/>
    <s v="Union Territory"/>
    <n v="6.74"/>
    <n v="10.15"/>
    <n v="3.8"/>
    <n v="0.14000000000000001"/>
    <n v="20.69"/>
    <n v="20.83"/>
    <m/>
  </r>
  <r>
    <d v="2019-06-01T00:00:00"/>
    <s v="2019-20"/>
    <n v="2019"/>
    <x v="10"/>
    <x v="10"/>
    <s v="Andhra Pradesh"/>
    <n v="28"/>
    <s v="State"/>
    <n v="538.82000000000005"/>
    <n v="760.43"/>
    <n v="898.66"/>
    <n v="33.64"/>
    <n v="2197.91"/>
    <n v="2231.5500000000002"/>
    <m/>
  </r>
  <r>
    <d v="2019-06-01T00:00:00"/>
    <s v="2019-20"/>
    <n v="2019"/>
    <x v="10"/>
    <x v="10"/>
    <s v="Arunachal Pradesh"/>
    <n v="12"/>
    <s v="State"/>
    <n v="19.03"/>
    <n v="24.4"/>
    <n v="4.6399999999999997"/>
    <n v="0.01"/>
    <n v="48.07"/>
    <n v="48.08"/>
    <m/>
  </r>
  <r>
    <d v="2019-06-01T00:00:00"/>
    <s v="2019-20"/>
    <n v="2019"/>
    <x v="10"/>
    <x v="10"/>
    <s v="Assam"/>
    <n v="18"/>
    <s v="State"/>
    <n v="212.47"/>
    <n v="309.8"/>
    <n v="228.69"/>
    <n v="46.62"/>
    <n v="750.96"/>
    <n v="797.58"/>
    <m/>
  </r>
  <r>
    <d v="2019-06-01T00:00:00"/>
    <s v="2019-20"/>
    <n v="2019"/>
    <x v="10"/>
    <x v="10"/>
    <s v="Bihar"/>
    <n v="10"/>
    <s v="State"/>
    <n v="227.22"/>
    <n v="487.81"/>
    <n v="114.06"/>
    <n v="174.24"/>
    <n v="829.09"/>
    <n v="1003.33"/>
    <m/>
  </r>
  <r>
    <d v="2019-06-01T00:00:00"/>
    <s v="2019-20"/>
    <n v="2019"/>
    <x v="10"/>
    <x v="10"/>
    <s v="Chandigarh"/>
    <n v="4"/>
    <s v="Union Territory"/>
    <n v="30.05"/>
    <n v="43.29"/>
    <n v="84.18"/>
    <n v="0.45"/>
    <n v="157.52000000000001"/>
    <n v="157.97"/>
    <m/>
  </r>
  <r>
    <d v="2019-06-01T00:00:00"/>
    <s v="2019-20"/>
    <n v="2019"/>
    <x v="10"/>
    <x v="10"/>
    <s v="Chhattisgarh"/>
    <n v="22"/>
    <s v="State"/>
    <n v="394.74"/>
    <n v="497.44"/>
    <n v="654.16999999999996"/>
    <n v="546.30999999999995"/>
    <n v="1546.35"/>
    <n v="2092.66"/>
    <m/>
  </r>
  <r>
    <d v="2019-06-01T00:00:00"/>
    <s v="2019-20"/>
    <n v="2019"/>
    <x v="10"/>
    <x v="10"/>
    <s v="Dadra and Nagar Haveli and Daman and Diu"/>
    <n v="38"/>
    <s v="Union Territory"/>
    <n v="24.68"/>
    <n v="38.76"/>
    <n v="188.07"/>
    <n v="0.13"/>
    <n v="251.51"/>
    <n v="251.64"/>
    <m/>
  </r>
  <r>
    <d v="2019-06-01T00:00:00"/>
    <s v="2019-20"/>
    <n v="2019"/>
    <x v="10"/>
    <x v="10"/>
    <s v="Delhi"/>
    <n v="7"/>
    <s v="Union Territory"/>
    <n v="728.97"/>
    <n v="938.35"/>
    <n v="1838.09"/>
    <n v="89.97"/>
    <n v="3505.41"/>
    <n v="3595.38"/>
    <m/>
  </r>
  <r>
    <d v="2019-06-01T00:00:00"/>
    <s v="2019-20"/>
    <n v="2019"/>
    <x v="10"/>
    <x v="10"/>
    <s v="Goa"/>
    <n v="30"/>
    <s v="State"/>
    <n v="80.64"/>
    <n v="120.45"/>
    <n v="133.55000000000001"/>
    <n v="3.57"/>
    <n v="334.64"/>
    <n v="338.21"/>
    <m/>
  </r>
  <r>
    <d v="2019-06-01T00:00:00"/>
    <s v="2019-20"/>
    <n v="2019"/>
    <x v="10"/>
    <x v="10"/>
    <s v="Gujarat"/>
    <n v="24"/>
    <s v="State"/>
    <n v="1783.61"/>
    <n v="2273.63"/>
    <n v="2020.84"/>
    <n v="346.26"/>
    <n v="6078.08"/>
    <n v="6424.34"/>
    <m/>
  </r>
  <r>
    <d v="2019-06-01T00:00:00"/>
    <s v="2019-20"/>
    <n v="2019"/>
    <x v="10"/>
    <x v="10"/>
    <s v="Haryana"/>
    <n v="6"/>
    <s v="State"/>
    <n v="855.06"/>
    <n v="1182.2"/>
    <n v="2525.8200000000002"/>
    <n v="325.75"/>
    <n v="4563.08"/>
    <n v="4888.83"/>
    <m/>
  </r>
  <r>
    <d v="2019-06-01T00:00:00"/>
    <s v="2019-20"/>
    <n v="2019"/>
    <x v="10"/>
    <x v="10"/>
    <s v="Himachal Pradesh"/>
    <n v="2"/>
    <s v="State"/>
    <n v="97.18"/>
    <n v="152.91999999999999"/>
    <n v="445.98"/>
    <n v="1.22"/>
    <n v="696.08"/>
    <n v="697.3"/>
    <m/>
  </r>
  <r>
    <d v="2019-06-01T00:00:00"/>
    <s v="2019-20"/>
    <n v="2019"/>
    <x v="10"/>
    <x v="10"/>
    <s v="Jammu and Kashmir"/>
    <n v="1"/>
    <s v="Union Territory"/>
    <n v="85.25"/>
    <n v="148.83000000000001"/>
    <n v="82.84"/>
    <n v="5.47"/>
    <n v="316.92"/>
    <n v="322.39"/>
    <m/>
  </r>
  <r>
    <d v="2019-06-01T00:00:00"/>
    <s v="2019-20"/>
    <n v="2019"/>
    <x v="10"/>
    <x v="10"/>
    <s v="Jharkhand"/>
    <n v="20"/>
    <s v="State"/>
    <n v="279.47000000000003"/>
    <n v="407.09"/>
    <n v="684.69"/>
    <n v="439.49"/>
    <n v="1371.25"/>
    <n v="1810.74"/>
    <m/>
  </r>
  <r>
    <d v="2019-06-01T00:00:00"/>
    <s v="2019-20"/>
    <n v="2019"/>
    <x v="10"/>
    <x v="10"/>
    <s v="Karnataka"/>
    <n v="29"/>
    <s v="State"/>
    <n v="1514.8"/>
    <n v="2050.0700000000002"/>
    <n v="2236.4699999999998"/>
    <n v="857.89"/>
    <n v="5801.34"/>
    <n v="6659.23"/>
    <m/>
  </r>
  <r>
    <d v="2019-06-01T00:00:00"/>
    <s v="2019-20"/>
    <n v="2019"/>
    <x v="10"/>
    <x v="10"/>
    <s v="Kerala"/>
    <n v="32"/>
    <s v="State"/>
    <n v="495.48"/>
    <n v="806.73"/>
    <n v="260.06"/>
    <n v="5.3"/>
    <n v="1562.27"/>
    <n v="1567.57"/>
    <m/>
  </r>
  <r>
    <d v="2019-06-01T00:00:00"/>
    <s v="2019-20"/>
    <n v="2019"/>
    <x v="10"/>
    <x v="10"/>
    <s v="Lakshadweep"/>
    <n v="31"/>
    <s v="Union Territory"/>
    <n v="0.32"/>
    <n v="0.33"/>
    <n v="0.04"/>
    <n v="0"/>
    <n v="0.69"/>
    <n v="0.69"/>
    <m/>
  </r>
  <r>
    <d v="2019-06-01T00:00:00"/>
    <s v="2019-20"/>
    <n v="2019"/>
    <x v="10"/>
    <x v="10"/>
    <s v="Madhya Pradesh"/>
    <n v="23"/>
    <s v="State"/>
    <n v="473.94"/>
    <n v="700.56"/>
    <n v="603.48"/>
    <n v="434.47"/>
    <n v="1777.98"/>
    <n v="2212.4499999999998"/>
    <m/>
  </r>
  <r>
    <d v="2019-06-01T00:00:00"/>
    <s v="2019-20"/>
    <n v="2019"/>
    <x v="10"/>
    <x v="10"/>
    <s v="Maharashtra"/>
    <n v="27"/>
    <s v="State"/>
    <n v="4246.18"/>
    <n v="5208.05"/>
    <n v="4702.24"/>
    <n v="986.64"/>
    <n v="14156.47"/>
    <n v="15143.11"/>
    <m/>
  </r>
  <r>
    <d v="2019-06-01T00:00:00"/>
    <s v="2019-20"/>
    <n v="2019"/>
    <x v="10"/>
    <x v="10"/>
    <s v="Manipur"/>
    <n v="14"/>
    <s v="State"/>
    <n v="8.34"/>
    <n v="15.36"/>
    <n v="1.64"/>
    <n v="0.11"/>
    <n v="25.34"/>
    <n v="25.45"/>
    <m/>
  </r>
  <r>
    <d v="2019-06-01T00:00:00"/>
    <s v="2019-20"/>
    <n v="2019"/>
    <x v="10"/>
    <x v="10"/>
    <s v="Meghalaya"/>
    <n v="17"/>
    <s v="State"/>
    <n v="18.38"/>
    <n v="29.68"/>
    <n v="75.48"/>
    <n v="0.69"/>
    <n v="123.54"/>
    <n v="124.23"/>
    <m/>
  </r>
  <r>
    <d v="2019-06-01T00:00:00"/>
    <s v="2019-20"/>
    <n v="2019"/>
    <x v="10"/>
    <x v="10"/>
    <s v="Mizoram"/>
    <n v="15"/>
    <s v="State"/>
    <n v="5.22"/>
    <n v="8.8800000000000008"/>
    <n v="9.84"/>
    <n v="0.03"/>
    <n v="23.94"/>
    <n v="23.97"/>
    <m/>
  </r>
  <r>
    <d v="2019-06-01T00:00:00"/>
    <s v="2019-20"/>
    <n v="2019"/>
    <x v="10"/>
    <x v="10"/>
    <s v="Nagaland"/>
    <n v="13"/>
    <s v="State"/>
    <n v="4.9000000000000004"/>
    <n v="8.7100000000000009"/>
    <n v="4.99"/>
    <n v="1.26"/>
    <n v="18.600000000000001"/>
    <n v="19.86"/>
    <m/>
  </r>
  <r>
    <d v="2019-06-01T00:00:00"/>
    <s v="2019-20"/>
    <n v="2019"/>
    <x v="10"/>
    <x v="10"/>
    <s v="Odisha"/>
    <n v="21"/>
    <s v="State"/>
    <n v="603.39"/>
    <n v="804.49"/>
    <n v="970.69"/>
    <n v="544.9"/>
    <n v="2378.5700000000002"/>
    <n v="2923.47"/>
    <m/>
  </r>
  <r>
    <d v="2019-06-01T00:00:00"/>
    <s v="2019-20"/>
    <n v="2019"/>
    <x v="10"/>
    <x v="10"/>
    <s v="Puducherry"/>
    <n v="34"/>
    <s v="Union Territory"/>
    <n v="17.55"/>
    <n v="29.16"/>
    <n v="88.45"/>
    <n v="0.1"/>
    <n v="135.16"/>
    <n v="135.26"/>
    <m/>
  </r>
  <r>
    <d v="2019-06-01T00:00:00"/>
    <s v="2019-20"/>
    <n v="2019"/>
    <x v="10"/>
    <x v="10"/>
    <s v="Punjab"/>
    <n v="3"/>
    <s v="State"/>
    <n v="262.43"/>
    <n v="481.57"/>
    <n v="480.14"/>
    <n v="23.89"/>
    <n v="1224.1400000000001"/>
    <n v="1248.03"/>
    <m/>
  </r>
  <r>
    <d v="2019-06-01T00:00:00"/>
    <s v="2019-20"/>
    <n v="2019"/>
    <x v="10"/>
    <x v="10"/>
    <s v="Rajasthan"/>
    <n v="8"/>
    <s v="State"/>
    <n v="698.94"/>
    <n v="984.4"/>
    <n v="859.72"/>
    <n v="139.94"/>
    <n v="2543.06"/>
    <n v="2683"/>
    <m/>
  </r>
  <r>
    <d v="2019-06-01T00:00:00"/>
    <s v="2019-20"/>
    <n v="2019"/>
    <x v="10"/>
    <x v="10"/>
    <s v="Sikkim"/>
    <n v="11"/>
    <s v="State"/>
    <n v="11.02"/>
    <n v="15.85"/>
    <n v="166.32"/>
    <n v="0.11"/>
    <n v="193.19"/>
    <n v="193.3"/>
    <m/>
  </r>
  <r>
    <d v="2019-06-01T00:00:00"/>
    <s v="2019-20"/>
    <n v="2019"/>
    <x v="10"/>
    <x v="10"/>
    <s v="Tamil Nadu"/>
    <n v="33"/>
    <s v="State"/>
    <n v="1522.35"/>
    <n v="2180.29"/>
    <n v="1648.53"/>
    <n v="529.78"/>
    <n v="5351.17"/>
    <n v="5880.95"/>
    <m/>
  </r>
  <r>
    <d v="2019-06-01T00:00:00"/>
    <s v="2019-20"/>
    <n v="2019"/>
    <x v="10"/>
    <x v="10"/>
    <s v="Telangana"/>
    <n v="36"/>
    <s v="State"/>
    <n v="710.83"/>
    <n v="980.45"/>
    <n v="875.75"/>
    <n v="598.58000000000004"/>
    <n v="2567.0300000000002"/>
    <n v="3165.61"/>
    <m/>
  </r>
  <r>
    <d v="2019-06-01T00:00:00"/>
    <s v="2019-20"/>
    <n v="2019"/>
    <x v="10"/>
    <x v="10"/>
    <s v="Tripura"/>
    <n v="16"/>
    <s v="State"/>
    <n v="17.52"/>
    <n v="33.64"/>
    <n v="6.64"/>
    <n v="0.13"/>
    <n v="57.8"/>
    <n v="57.93"/>
    <m/>
  </r>
  <r>
    <d v="2019-06-01T00:00:00"/>
    <s v="2019-20"/>
    <n v="2019"/>
    <x v="10"/>
    <x v="10"/>
    <s v="Uttar Pradesh"/>
    <n v="9"/>
    <s v="State"/>
    <n v="1163.48"/>
    <n v="1861.6"/>
    <n v="1270.01"/>
    <n v="1071.33"/>
    <n v="4295.09"/>
    <n v="5366.42"/>
    <m/>
  </r>
  <r>
    <d v="2019-06-01T00:00:00"/>
    <s v="2019-20"/>
    <n v="2019"/>
    <x v="10"/>
    <x v="10"/>
    <s v="Uttarakhand"/>
    <n v="5"/>
    <s v="State"/>
    <n v="191.21"/>
    <n v="350.15"/>
    <n v="669.5"/>
    <n v="20.75"/>
    <n v="1210.8599999999999"/>
    <n v="1231.6099999999999"/>
    <m/>
  </r>
  <r>
    <d v="2019-06-01T00:00:00"/>
    <s v="2019-20"/>
    <n v="2019"/>
    <x v="10"/>
    <x v="10"/>
    <s v="West Bengal"/>
    <n v="19"/>
    <s v="State"/>
    <n v="1021.66"/>
    <n v="1371.96"/>
    <n v="767.27"/>
    <n v="352.65"/>
    <n v="3160.89"/>
    <n v="3513.54"/>
    <m/>
  </r>
  <r>
    <d v="2019-07-01T00:00:00"/>
    <s v="2019-20"/>
    <n v="2019"/>
    <x v="11"/>
    <x v="11"/>
    <s v="Andaman and Nicobar Islands"/>
    <n v="35"/>
    <s v="Union Territory"/>
    <n v="7.94"/>
    <n v="11.91"/>
    <n v="2.42"/>
    <n v="0.13"/>
    <n v="22.27"/>
    <n v="22.4"/>
    <m/>
  </r>
  <r>
    <d v="2019-07-01T00:00:00"/>
    <s v="2019-20"/>
    <n v="2019"/>
    <x v="11"/>
    <x v="11"/>
    <s v="Andhra Pradesh"/>
    <n v="28"/>
    <s v="State"/>
    <n v="514.29"/>
    <n v="746.63"/>
    <n v="847.83"/>
    <n v="29.65"/>
    <n v="2108.75"/>
    <n v="2138.4"/>
    <m/>
  </r>
  <r>
    <d v="2019-07-01T00:00:00"/>
    <s v="2019-20"/>
    <n v="2019"/>
    <x v="11"/>
    <x v="11"/>
    <s v="Arunachal Pradesh"/>
    <n v="12"/>
    <s v="State"/>
    <n v="18.34"/>
    <n v="25.68"/>
    <n v="4.43"/>
    <n v="0.26"/>
    <n v="48.45"/>
    <n v="48.71"/>
    <m/>
  </r>
  <r>
    <d v="2019-07-01T00:00:00"/>
    <s v="2019-20"/>
    <n v="2019"/>
    <x v="11"/>
    <x v="11"/>
    <s v="Assam"/>
    <n v="18"/>
    <s v="State"/>
    <n v="227.27"/>
    <n v="321.70999999999998"/>
    <n v="207.08"/>
    <n v="38.590000000000003"/>
    <n v="756.06"/>
    <n v="794.65"/>
    <m/>
  </r>
  <r>
    <d v="2019-07-01T00:00:00"/>
    <s v="2019-20"/>
    <n v="2019"/>
    <x v="11"/>
    <x v="11"/>
    <s v="Bihar"/>
    <n v="10"/>
    <s v="State"/>
    <n v="260.33"/>
    <n v="529.73"/>
    <n v="146.36000000000001"/>
    <n v="224.02"/>
    <n v="936.42"/>
    <n v="1160.44"/>
    <m/>
  </r>
  <r>
    <d v="2019-07-01T00:00:00"/>
    <s v="2019-20"/>
    <n v="2019"/>
    <x v="11"/>
    <x v="11"/>
    <s v="Chandigarh"/>
    <n v="4"/>
    <s v="Union Territory"/>
    <n v="31.09"/>
    <n v="49.17"/>
    <n v="74.53"/>
    <n v="1.17"/>
    <n v="154.79"/>
    <n v="155.96"/>
    <m/>
  </r>
  <r>
    <d v="2019-07-01T00:00:00"/>
    <s v="2019-20"/>
    <n v="2019"/>
    <x v="11"/>
    <x v="11"/>
    <s v="Chhattisgarh"/>
    <n v="22"/>
    <s v="State"/>
    <n v="379.32"/>
    <n v="482.19"/>
    <n v="641.28"/>
    <n v="499.58"/>
    <n v="1502.79"/>
    <n v="2002.37"/>
    <m/>
  </r>
  <r>
    <d v="2019-07-01T00:00:00"/>
    <s v="2019-20"/>
    <n v="2019"/>
    <x v="11"/>
    <x v="11"/>
    <s v="Dadra and Nagar Haveli and Daman and Diu"/>
    <n v="38"/>
    <s v="Union Territory"/>
    <n v="25.11"/>
    <n v="35.840000000000003"/>
    <n v="178.6"/>
    <n v="0.11"/>
    <n v="239.55"/>
    <n v="239.66"/>
    <m/>
  </r>
  <r>
    <d v="2019-07-01T00:00:00"/>
    <s v="2019-20"/>
    <n v="2019"/>
    <x v="11"/>
    <x v="11"/>
    <s v="Delhi"/>
    <n v="7"/>
    <s v="Union Territory"/>
    <n v="717.24"/>
    <n v="948.19"/>
    <n v="1651.55"/>
    <n v="89.25"/>
    <n v="3316.98"/>
    <n v="3406.23"/>
    <m/>
  </r>
  <r>
    <d v="2019-07-01T00:00:00"/>
    <s v="2019-20"/>
    <n v="2019"/>
    <x v="11"/>
    <x v="11"/>
    <s v="Goa"/>
    <n v="30"/>
    <s v="State"/>
    <n v="76.87"/>
    <n v="119.44"/>
    <n v="162.32"/>
    <n v="2.63"/>
    <n v="358.63"/>
    <n v="361.26"/>
    <m/>
  </r>
  <r>
    <d v="2019-07-01T00:00:00"/>
    <s v="2019-20"/>
    <n v="2019"/>
    <x v="11"/>
    <x v="11"/>
    <s v="Gujarat"/>
    <n v="24"/>
    <s v="State"/>
    <n v="1691.37"/>
    <n v="2214.21"/>
    <n v="2143.84"/>
    <n v="361.95"/>
    <n v="6049.42"/>
    <n v="6411.37"/>
    <m/>
  </r>
  <r>
    <d v="2019-07-01T00:00:00"/>
    <s v="2019-20"/>
    <n v="2019"/>
    <x v="11"/>
    <x v="11"/>
    <s v="Haryana"/>
    <n v="6"/>
    <s v="State"/>
    <n v="719.55"/>
    <n v="1070.46"/>
    <n v="2535.34"/>
    <n v="291.39"/>
    <n v="4325.3500000000004"/>
    <n v="4616.74"/>
    <m/>
  </r>
  <r>
    <d v="2019-07-01T00:00:00"/>
    <s v="2019-20"/>
    <n v="2019"/>
    <x v="11"/>
    <x v="11"/>
    <s v="Himachal Pradesh"/>
    <n v="2"/>
    <s v="State"/>
    <n v="103.16"/>
    <n v="154.75"/>
    <n v="414.01"/>
    <n v="5.29"/>
    <n v="671.92"/>
    <n v="677.21"/>
    <m/>
  </r>
  <r>
    <d v="2019-07-01T00:00:00"/>
    <s v="2019-20"/>
    <n v="2019"/>
    <x v="11"/>
    <x v="11"/>
    <s v="Jammu and Kashmir"/>
    <n v="1"/>
    <s v="Union Territory"/>
    <n v="90.81"/>
    <n v="164.29"/>
    <n v="102.02"/>
    <n v="5.52"/>
    <n v="357.12"/>
    <n v="362.64"/>
    <m/>
  </r>
  <r>
    <d v="2019-07-01T00:00:00"/>
    <s v="2019-20"/>
    <n v="2019"/>
    <x v="11"/>
    <x v="11"/>
    <s v="Jharkhand"/>
    <n v="20"/>
    <s v="State"/>
    <n v="306.29000000000002"/>
    <n v="431.11"/>
    <n v="693.92"/>
    <n v="424.17"/>
    <n v="1431.32"/>
    <n v="1855.49"/>
    <m/>
  </r>
  <r>
    <d v="2019-07-01T00:00:00"/>
    <s v="2019-20"/>
    <n v="2019"/>
    <x v="11"/>
    <x v="11"/>
    <s v="Karnataka"/>
    <n v="29"/>
    <s v="State"/>
    <n v="1609.44"/>
    <n v="2152"/>
    <n v="2354.19"/>
    <n v="972.87"/>
    <n v="6115.63"/>
    <n v="7088.5"/>
    <m/>
  </r>
  <r>
    <d v="2019-07-01T00:00:00"/>
    <s v="2019-20"/>
    <n v="2019"/>
    <x v="11"/>
    <x v="11"/>
    <s v="Kerala"/>
    <n v="32"/>
    <s v="State"/>
    <n v="474.14"/>
    <n v="757.52"/>
    <n v="265.63"/>
    <n v="15.08"/>
    <n v="1497.29"/>
    <n v="1512.37"/>
    <m/>
  </r>
  <r>
    <d v="2019-07-01T00:00:00"/>
    <s v="2019-20"/>
    <n v="2019"/>
    <x v="11"/>
    <x v="11"/>
    <s v="Lakshadweep"/>
    <n v="31"/>
    <s v="Union Territory"/>
    <n v="0.91"/>
    <n v="1.19"/>
    <n v="0.02"/>
    <n v="0"/>
    <n v="2.12"/>
    <n v="2.12"/>
    <m/>
  </r>
  <r>
    <d v="2019-07-01T00:00:00"/>
    <s v="2019-20"/>
    <n v="2019"/>
    <x v="11"/>
    <x v="11"/>
    <s v="Madhya Pradesh"/>
    <n v="23"/>
    <s v="State"/>
    <n v="517.41"/>
    <n v="741.58"/>
    <n v="573.41"/>
    <n v="449.28"/>
    <n v="1832.4"/>
    <n v="2281.6799999999998"/>
    <m/>
  </r>
  <r>
    <d v="2019-07-01T00:00:00"/>
    <s v="2019-20"/>
    <n v="2019"/>
    <x v="11"/>
    <x v="11"/>
    <s v="Maharashtra"/>
    <n v="27"/>
    <s v="State"/>
    <n v="3816.41"/>
    <n v="4802.5"/>
    <n v="5458.42"/>
    <n v="1024.49"/>
    <n v="14077.33"/>
    <n v="15101.82"/>
    <m/>
  </r>
  <r>
    <d v="2019-07-01T00:00:00"/>
    <s v="2019-20"/>
    <n v="2019"/>
    <x v="11"/>
    <x v="11"/>
    <s v="Manipur"/>
    <n v="14"/>
    <s v="State"/>
    <n v="12.24"/>
    <n v="19.61"/>
    <n v="1.55"/>
    <n v="0.18"/>
    <n v="33.4"/>
    <n v="33.58"/>
    <m/>
  </r>
  <r>
    <d v="2019-07-01T00:00:00"/>
    <s v="2019-20"/>
    <n v="2019"/>
    <x v="11"/>
    <x v="11"/>
    <s v="Meghalaya"/>
    <n v="17"/>
    <s v="State"/>
    <n v="17.21"/>
    <n v="26.5"/>
    <n v="60.3"/>
    <n v="0.37"/>
    <n v="104.01"/>
    <n v="104.38"/>
    <m/>
  </r>
  <r>
    <d v="2019-07-01T00:00:00"/>
    <s v="2019-20"/>
    <n v="2019"/>
    <x v="11"/>
    <x v="11"/>
    <s v="Mizoram"/>
    <n v="15"/>
    <s v="State"/>
    <n v="3.73"/>
    <n v="7.2"/>
    <n v="8.0500000000000007"/>
    <n v="0.05"/>
    <n v="18.98"/>
    <n v="19.03"/>
    <m/>
  </r>
  <r>
    <d v="2019-07-01T00:00:00"/>
    <s v="2019-20"/>
    <n v="2019"/>
    <x v="11"/>
    <x v="11"/>
    <s v="Nagaland"/>
    <n v="13"/>
    <s v="State"/>
    <n v="7.01"/>
    <n v="9.48"/>
    <n v="5.66"/>
    <n v="0.72"/>
    <n v="22.15"/>
    <n v="22.87"/>
    <m/>
  </r>
  <r>
    <d v="2019-07-01T00:00:00"/>
    <s v="2019-20"/>
    <n v="2019"/>
    <x v="11"/>
    <x v="11"/>
    <s v="Odisha"/>
    <n v="21"/>
    <s v="State"/>
    <n v="518.11"/>
    <n v="702.44"/>
    <n v="742.21"/>
    <n v="531.61"/>
    <n v="1962.76"/>
    <n v="2494.37"/>
    <m/>
  </r>
  <r>
    <d v="2019-07-01T00:00:00"/>
    <s v="2019-20"/>
    <n v="2019"/>
    <x v="11"/>
    <x v="11"/>
    <s v="Puducherry"/>
    <n v="34"/>
    <s v="Union Territory"/>
    <n v="19.36"/>
    <n v="30.18"/>
    <n v="94.75"/>
    <n v="0.24"/>
    <n v="144.29"/>
    <n v="144.53"/>
    <m/>
  </r>
  <r>
    <d v="2019-07-01T00:00:00"/>
    <s v="2019-20"/>
    <n v="2019"/>
    <x v="11"/>
    <x v="11"/>
    <s v="Punjab"/>
    <n v="3"/>
    <s v="State"/>
    <n v="293.58999999999997"/>
    <n v="498.6"/>
    <n v="456.23"/>
    <n v="22.97"/>
    <n v="1248.42"/>
    <n v="1271.3900000000001"/>
    <m/>
  </r>
  <r>
    <d v="2019-07-01T00:00:00"/>
    <s v="2019-20"/>
    <n v="2019"/>
    <x v="11"/>
    <x v="11"/>
    <s v="Rajasthan"/>
    <n v="8"/>
    <s v="State"/>
    <n v="733.64"/>
    <n v="997.01"/>
    <n v="842.17"/>
    <n v="125.75"/>
    <n v="2572.8200000000002"/>
    <n v="2698.57"/>
    <m/>
  </r>
  <r>
    <d v="2019-07-01T00:00:00"/>
    <s v="2019-20"/>
    <n v="2019"/>
    <x v="11"/>
    <x v="11"/>
    <s v="Sikkim"/>
    <n v="11"/>
    <s v="State"/>
    <n v="14.57"/>
    <n v="21.08"/>
    <n v="164.86"/>
    <n v="0.18"/>
    <n v="200.51"/>
    <n v="200.69"/>
    <m/>
  </r>
  <r>
    <d v="2019-07-01T00:00:00"/>
    <s v="2019-20"/>
    <n v="2019"/>
    <x v="11"/>
    <x v="11"/>
    <s v="Tamil Nadu"/>
    <n v="33"/>
    <s v="State"/>
    <n v="1552.98"/>
    <n v="2270.62"/>
    <n v="1746.29"/>
    <n v="514.27"/>
    <n v="5569.89"/>
    <n v="6084.16"/>
    <m/>
  </r>
  <r>
    <d v="2019-07-01T00:00:00"/>
    <s v="2019-20"/>
    <n v="2019"/>
    <x v="11"/>
    <x v="11"/>
    <s v="Telangana"/>
    <n v="36"/>
    <s v="State"/>
    <n v="696.92"/>
    <n v="1003.27"/>
    <n v="884.5"/>
    <n v="578.4"/>
    <n v="2584.69"/>
    <n v="3163.09"/>
    <m/>
  </r>
  <r>
    <d v="2019-07-01T00:00:00"/>
    <s v="2019-20"/>
    <n v="2019"/>
    <x v="11"/>
    <x v="11"/>
    <s v="Tripura"/>
    <n v="16"/>
    <s v="State"/>
    <n v="17.07"/>
    <n v="25.66"/>
    <n v="5.82"/>
    <n v="0.11"/>
    <n v="48.55"/>
    <n v="48.66"/>
    <m/>
  </r>
  <r>
    <d v="2019-07-01T00:00:00"/>
    <s v="2019-20"/>
    <n v="2019"/>
    <x v="11"/>
    <x v="11"/>
    <s v="Uttar Pradesh"/>
    <n v="9"/>
    <s v="State"/>
    <n v="1208.79"/>
    <n v="1899.73"/>
    <n v="1184.68"/>
    <n v="1128.75"/>
    <n v="4293.2"/>
    <n v="5421.95"/>
    <m/>
  </r>
  <r>
    <d v="2019-07-01T00:00:00"/>
    <s v="2019-20"/>
    <n v="2019"/>
    <x v="11"/>
    <x v="11"/>
    <s v="Uttarakhand"/>
    <n v="5"/>
    <s v="State"/>
    <n v="194.08"/>
    <n v="339.75"/>
    <n v="736.23"/>
    <n v="18.84"/>
    <n v="1270.06"/>
    <n v="1288.9000000000001"/>
    <m/>
  </r>
  <r>
    <d v="2019-07-01T00:00:00"/>
    <s v="2019-20"/>
    <n v="2019"/>
    <x v="11"/>
    <x v="11"/>
    <s v="West Bengal"/>
    <n v="19"/>
    <s v="State"/>
    <n v="1021.81"/>
    <n v="1371.31"/>
    <n v="796.16"/>
    <n v="396.41"/>
    <n v="3189.28"/>
    <n v="3585.69"/>
    <m/>
  </r>
  <r>
    <d v="2019-08-01T00:00:00"/>
    <s v="2019-20"/>
    <n v="2019"/>
    <x v="0"/>
    <x v="0"/>
    <s v="Andaman and Nicobar Islands"/>
    <n v="35"/>
    <s v="Union Territory"/>
    <n v="9.9700000000000006"/>
    <n v="17.11"/>
    <n v="3.26"/>
    <n v="0.14000000000000001"/>
    <n v="30.34"/>
    <n v="30.48"/>
    <m/>
  </r>
  <r>
    <d v="2019-08-01T00:00:00"/>
    <s v="2019-20"/>
    <n v="2019"/>
    <x v="0"/>
    <x v="0"/>
    <s v="Andhra Pradesh"/>
    <n v="28"/>
    <s v="State"/>
    <n v="499.97"/>
    <n v="700.28"/>
    <n v="892.84"/>
    <n v="22.04"/>
    <n v="2093.09"/>
    <n v="2115.13"/>
    <m/>
  </r>
  <r>
    <d v="2019-08-01T00:00:00"/>
    <s v="2019-20"/>
    <n v="2019"/>
    <x v="0"/>
    <x v="0"/>
    <s v="Arunachal Pradesh"/>
    <n v="12"/>
    <s v="State"/>
    <n v="16.45"/>
    <n v="20.53"/>
    <n v="7.76"/>
    <n v="0.02"/>
    <n v="44.74"/>
    <n v="44.76"/>
    <m/>
  </r>
  <r>
    <d v="2019-08-01T00:00:00"/>
    <s v="2019-20"/>
    <n v="2019"/>
    <x v="0"/>
    <x v="0"/>
    <s v="Assam"/>
    <n v="18"/>
    <s v="State"/>
    <n v="216.08"/>
    <n v="290.45"/>
    <n v="229.63"/>
    <n v="32.049999999999997"/>
    <n v="736.16"/>
    <n v="768.21"/>
    <m/>
  </r>
  <r>
    <d v="2019-08-01T00:00:00"/>
    <s v="2019-20"/>
    <n v="2019"/>
    <x v="0"/>
    <x v="0"/>
    <s v="Bihar"/>
    <n v="10"/>
    <s v="State"/>
    <n v="255.93"/>
    <n v="453.33"/>
    <n v="115.14"/>
    <n v="156.94999999999999"/>
    <n v="824.4"/>
    <n v="981.35"/>
    <m/>
  </r>
  <r>
    <d v="2019-08-01T00:00:00"/>
    <s v="2019-20"/>
    <n v="2019"/>
    <x v="0"/>
    <x v="0"/>
    <s v="Chandigarh"/>
    <n v="4"/>
    <s v="Union Territory"/>
    <n v="32.9"/>
    <n v="44.49"/>
    <n v="82.29"/>
    <n v="0.4"/>
    <n v="159.68"/>
    <n v="160.08000000000001"/>
    <m/>
  </r>
  <r>
    <d v="2019-08-01T00:00:00"/>
    <s v="2019-20"/>
    <n v="2019"/>
    <x v="0"/>
    <x v="0"/>
    <s v="Chhattisgarh"/>
    <n v="22"/>
    <s v="State"/>
    <n v="344.14"/>
    <n v="430.56"/>
    <n v="604.33000000000004"/>
    <n v="493.71"/>
    <n v="1379.03"/>
    <n v="1872.74"/>
    <m/>
  </r>
  <r>
    <d v="2019-08-01T00:00:00"/>
    <s v="2019-20"/>
    <n v="2019"/>
    <x v="0"/>
    <x v="0"/>
    <s v="Dadra and Nagar Haveli and Daman and Diu"/>
    <n v="38"/>
    <s v="Union Territory"/>
    <n v="26.51"/>
    <n v="38.25"/>
    <n v="197.25"/>
    <n v="0.13"/>
    <n v="262.01"/>
    <n v="262.14"/>
    <m/>
  </r>
  <r>
    <d v="2019-08-01T00:00:00"/>
    <s v="2019-20"/>
    <n v="2019"/>
    <x v="0"/>
    <x v="0"/>
    <s v="Delhi"/>
    <n v="7"/>
    <s v="Union Territory"/>
    <n v="731.94"/>
    <n v="943.45"/>
    <n v="1736.99"/>
    <n v="104.81"/>
    <n v="3412.38"/>
    <n v="3517.19"/>
    <m/>
  </r>
  <r>
    <d v="2019-08-01T00:00:00"/>
    <s v="2019-20"/>
    <n v="2019"/>
    <x v="0"/>
    <x v="0"/>
    <s v="Goa"/>
    <n v="30"/>
    <s v="State"/>
    <n v="74.47"/>
    <n v="106.23"/>
    <n v="142.58000000000001"/>
    <n v="1.25"/>
    <n v="323.27999999999997"/>
    <n v="324.52999999999997"/>
    <m/>
  </r>
  <r>
    <d v="2019-08-01T00:00:00"/>
    <s v="2019-20"/>
    <n v="2019"/>
    <x v="0"/>
    <x v="0"/>
    <s v="Gujarat"/>
    <n v="24"/>
    <s v="State"/>
    <n v="1668.29"/>
    <n v="2100.58"/>
    <n v="2072.5500000000002"/>
    <n v="343.14"/>
    <n v="5841.42"/>
    <n v="6184.56"/>
    <m/>
  </r>
  <r>
    <d v="2019-08-01T00:00:00"/>
    <s v="2019-20"/>
    <n v="2019"/>
    <x v="0"/>
    <x v="0"/>
    <s v="Haryana"/>
    <n v="6"/>
    <s v="State"/>
    <n v="785.37"/>
    <n v="1138.24"/>
    <n v="2269.8200000000002"/>
    <n v="280.51"/>
    <n v="4193.43"/>
    <n v="4473.9399999999996"/>
    <m/>
  </r>
  <r>
    <d v="2019-08-01T00:00:00"/>
    <s v="2019-20"/>
    <n v="2019"/>
    <x v="0"/>
    <x v="0"/>
    <s v="Himachal Pradesh"/>
    <n v="2"/>
    <s v="State"/>
    <n v="97.09"/>
    <n v="145.62"/>
    <n v="431.75"/>
    <n v="1.47"/>
    <n v="674.46"/>
    <n v="675.93"/>
    <m/>
  </r>
  <r>
    <d v="2019-08-01T00:00:00"/>
    <s v="2019-20"/>
    <n v="2019"/>
    <x v="0"/>
    <x v="0"/>
    <s v="Jammu and Kashmir"/>
    <n v="1"/>
    <s v="Union Territory"/>
    <n v="65.89"/>
    <n v="111.46"/>
    <n v="119.84"/>
    <n v="4.83"/>
    <n v="297.19"/>
    <n v="302.02"/>
    <m/>
  </r>
  <r>
    <d v="2019-08-01T00:00:00"/>
    <s v="2019-20"/>
    <n v="2019"/>
    <x v="0"/>
    <x v="0"/>
    <s v="Jharkhand"/>
    <n v="20"/>
    <s v="State"/>
    <n v="320.7"/>
    <n v="435.54"/>
    <n v="608.37"/>
    <n v="405.67"/>
    <n v="1364.61"/>
    <n v="1770.28"/>
    <m/>
  </r>
  <r>
    <d v="2019-08-01T00:00:00"/>
    <s v="2019-20"/>
    <n v="2019"/>
    <x v="0"/>
    <x v="0"/>
    <s v="Karnataka"/>
    <n v="29"/>
    <s v="State"/>
    <n v="1526.77"/>
    <n v="2096.5300000000002"/>
    <n v="1921.32"/>
    <n v="656.19"/>
    <n v="5544.62"/>
    <n v="6200.81"/>
    <m/>
  </r>
  <r>
    <d v="2019-08-01T00:00:00"/>
    <s v="2019-20"/>
    <n v="2019"/>
    <x v="0"/>
    <x v="0"/>
    <s v="Kerala"/>
    <n v="32"/>
    <s v="State"/>
    <n v="496.8"/>
    <n v="764.03"/>
    <n v="308.10000000000002"/>
    <n v="12.96"/>
    <n v="1568.93"/>
    <n v="1581.89"/>
    <m/>
  </r>
  <r>
    <d v="2019-08-01T00:00:00"/>
    <s v="2019-20"/>
    <n v="2019"/>
    <x v="0"/>
    <x v="0"/>
    <s v="Lakshadweep"/>
    <n v="31"/>
    <s v="Union Territory"/>
    <n v="0.37"/>
    <n v="1.04"/>
    <n v="0.03"/>
    <n v="0"/>
    <n v="1.44"/>
    <n v="1.44"/>
    <m/>
  </r>
  <r>
    <d v="2019-08-01T00:00:00"/>
    <s v="2019-20"/>
    <n v="2019"/>
    <x v="0"/>
    <x v="0"/>
    <s v="Madhya Pradesh"/>
    <n v="23"/>
    <s v="State"/>
    <n v="507.87"/>
    <n v="690.58"/>
    <n v="609.21"/>
    <n v="447.2"/>
    <n v="1807.66"/>
    <n v="2254.86"/>
    <m/>
  </r>
  <r>
    <d v="2019-08-01T00:00:00"/>
    <s v="2019-20"/>
    <n v="2019"/>
    <x v="0"/>
    <x v="0"/>
    <s v="Maharashtra"/>
    <n v="27"/>
    <s v="State"/>
    <n v="3716.21"/>
    <n v="4690.58"/>
    <n v="4181.4399999999996"/>
    <n v="819.09"/>
    <n v="12588.23"/>
    <n v="13407.32"/>
    <m/>
  </r>
  <r>
    <d v="2019-08-01T00:00:00"/>
    <s v="2019-20"/>
    <n v="2019"/>
    <x v="0"/>
    <x v="0"/>
    <s v="Manipur"/>
    <n v="14"/>
    <s v="State"/>
    <n v="13.15"/>
    <n v="20.92"/>
    <n v="2.36"/>
    <n v="0.12"/>
    <n v="36.43"/>
    <n v="36.549999999999997"/>
    <m/>
  </r>
  <r>
    <d v="2019-08-01T00:00:00"/>
    <s v="2019-20"/>
    <n v="2019"/>
    <x v="0"/>
    <x v="0"/>
    <s v="Meghalaya"/>
    <n v="17"/>
    <s v="State"/>
    <n v="19.71"/>
    <n v="26.67"/>
    <n v="70.2"/>
    <n v="0.32"/>
    <n v="116.58"/>
    <n v="116.9"/>
    <m/>
  </r>
  <r>
    <d v="2019-08-01T00:00:00"/>
    <s v="2019-20"/>
    <n v="2019"/>
    <x v="0"/>
    <x v="0"/>
    <s v="Mizoram"/>
    <n v="15"/>
    <s v="State"/>
    <n v="6.18"/>
    <n v="12.96"/>
    <n v="8.61"/>
    <n v="0.06"/>
    <n v="27.75"/>
    <n v="27.81"/>
    <m/>
  </r>
  <r>
    <d v="2019-08-01T00:00:00"/>
    <s v="2019-20"/>
    <n v="2019"/>
    <x v="0"/>
    <x v="0"/>
    <s v="Nagaland"/>
    <n v="13"/>
    <s v="State"/>
    <n v="9.3699999999999992"/>
    <n v="11.84"/>
    <n v="4.63"/>
    <n v="1.01"/>
    <n v="25.84"/>
    <n v="26.85"/>
    <m/>
  </r>
  <r>
    <d v="2019-08-01T00:00:00"/>
    <s v="2019-20"/>
    <n v="2019"/>
    <x v="0"/>
    <x v="0"/>
    <s v="Odisha"/>
    <n v="21"/>
    <s v="State"/>
    <n v="534.67999999999995"/>
    <n v="698.47"/>
    <n v="815.17"/>
    <n v="448.91"/>
    <n v="2048.3200000000002"/>
    <n v="2497.23"/>
    <m/>
  </r>
  <r>
    <d v="2019-08-01T00:00:00"/>
    <s v="2019-20"/>
    <n v="2019"/>
    <x v="0"/>
    <x v="0"/>
    <s v="Puducherry"/>
    <n v="34"/>
    <s v="Union Territory"/>
    <n v="19.66"/>
    <n v="31.7"/>
    <n v="108.05"/>
    <n v="1.1100000000000001"/>
    <n v="159.41"/>
    <n v="160.52000000000001"/>
    <m/>
  </r>
  <r>
    <d v="2019-08-01T00:00:00"/>
    <s v="2019-20"/>
    <n v="2019"/>
    <x v="0"/>
    <x v="0"/>
    <s v="Punjab"/>
    <n v="3"/>
    <s v="State"/>
    <n v="294.92"/>
    <n v="494.53"/>
    <n v="450.65"/>
    <n v="15.26"/>
    <n v="1240.0999999999999"/>
    <n v="1255.3599999999999"/>
    <m/>
  </r>
  <r>
    <d v="2019-08-01T00:00:00"/>
    <s v="2019-20"/>
    <n v="2019"/>
    <x v="0"/>
    <x v="0"/>
    <s v="Rajasthan"/>
    <n v="8"/>
    <s v="State"/>
    <n v="717.18"/>
    <n v="954.28"/>
    <n v="756.57"/>
    <n v="122.08"/>
    <n v="2428.0300000000002"/>
    <n v="2550.11"/>
    <m/>
  </r>
  <r>
    <d v="2019-08-01T00:00:00"/>
    <s v="2019-20"/>
    <n v="2019"/>
    <x v="0"/>
    <x v="0"/>
    <s v="Sikkim"/>
    <n v="11"/>
    <s v="State"/>
    <n v="11.11"/>
    <n v="14.41"/>
    <n v="137.88"/>
    <n v="0.01"/>
    <n v="163.4"/>
    <n v="163.41"/>
    <m/>
  </r>
  <r>
    <d v="2019-08-01T00:00:00"/>
    <s v="2019-20"/>
    <n v="2019"/>
    <x v="0"/>
    <x v="0"/>
    <s v="Tamil Nadu"/>
    <n v="33"/>
    <s v="State"/>
    <n v="1600.37"/>
    <n v="2318.38"/>
    <n v="1688.08"/>
    <n v="366.51"/>
    <n v="5606.83"/>
    <n v="5973.34"/>
    <m/>
  </r>
  <r>
    <d v="2019-08-01T00:00:00"/>
    <s v="2019-20"/>
    <n v="2019"/>
    <x v="0"/>
    <x v="0"/>
    <s v="Telangana"/>
    <n v="36"/>
    <s v="State"/>
    <n v="734.68"/>
    <n v="993.63"/>
    <n v="853.87"/>
    <n v="476.47"/>
    <n v="2582.1799999999998"/>
    <n v="3058.65"/>
    <m/>
  </r>
  <r>
    <d v="2019-08-01T00:00:00"/>
    <s v="2019-20"/>
    <n v="2019"/>
    <x v="0"/>
    <x v="0"/>
    <s v="Tripura"/>
    <n v="16"/>
    <s v="State"/>
    <n v="21.57"/>
    <n v="30.57"/>
    <n v="5.77"/>
    <n v="0.24"/>
    <n v="57.91"/>
    <n v="58.15"/>
    <m/>
  </r>
  <r>
    <d v="2019-08-01T00:00:00"/>
    <s v="2019-20"/>
    <n v="2019"/>
    <x v="0"/>
    <x v="0"/>
    <s v="Uttar Pradesh"/>
    <n v="9"/>
    <s v="State"/>
    <n v="1131.8399999999999"/>
    <n v="1724.6"/>
    <n v="1206.3399999999999"/>
    <n v="912.67"/>
    <n v="4062.78"/>
    <n v="4975.45"/>
    <m/>
  </r>
  <r>
    <d v="2019-08-01T00:00:00"/>
    <s v="2019-20"/>
    <n v="2019"/>
    <x v="0"/>
    <x v="0"/>
    <s v="Uttarakhand"/>
    <n v="5"/>
    <s v="State"/>
    <n v="187.71"/>
    <n v="316.23"/>
    <n v="423.05"/>
    <n v="14.1"/>
    <n v="926.99"/>
    <n v="941.09"/>
    <m/>
  </r>
  <r>
    <d v="2019-08-01T00:00:00"/>
    <s v="2019-20"/>
    <n v="2019"/>
    <x v="0"/>
    <x v="0"/>
    <s v="West Bengal"/>
    <n v="19"/>
    <s v="State"/>
    <n v="1025.01"/>
    <n v="1356.46"/>
    <n v="831.64"/>
    <n v="290.12"/>
    <n v="3213.11"/>
    <n v="3503.23"/>
    <m/>
  </r>
  <r>
    <d v="2019-09-01T00:00:00"/>
    <s v="2019-20"/>
    <n v="2019"/>
    <x v="1"/>
    <x v="1"/>
    <s v="Andaman and Nicobar Islands"/>
    <n v="35"/>
    <s v="Union Territory"/>
    <n v="6.58"/>
    <n v="10.02"/>
    <n v="2.15"/>
    <n v="0"/>
    <n v="18.75"/>
    <n v="18.75"/>
    <m/>
  </r>
  <r>
    <d v="2019-09-01T00:00:00"/>
    <s v="2019-20"/>
    <n v="2019"/>
    <x v="1"/>
    <x v="1"/>
    <s v="Andhra Pradesh"/>
    <n v="28"/>
    <s v="State"/>
    <n v="473.74"/>
    <n v="660.46"/>
    <n v="746.16"/>
    <n v="104.61"/>
    <n v="1880.36"/>
    <n v="1984.97"/>
    <m/>
  </r>
  <r>
    <d v="2019-09-01T00:00:00"/>
    <s v="2019-20"/>
    <n v="2019"/>
    <x v="1"/>
    <x v="1"/>
    <s v="Arunachal Pradesh"/>
    <n v="12"/>
    <s v="State"/>
    <n v="17.57"/>
    <n v="23.08"/>
    <n v="3.44"/>
    <n v="0.22"/>
    <n v="44.09"/>
    <n v="44.31"/>
    <m/>
  </r>
  <r>
    <d v="2019-09-01T00:00:00"/>
    <s v="2019-20"/>
    <n v="2019"/>
    <x v="1"/>
    <x v="1"/>
    <s v="Assam"/>
    <n v="18"/>
    <s v="State"/>
    <n v="242.51"/>
    <n v="324.17"/>
    <n v="245.09"/>
    <n v="36.68"/>
    <n v="811.77"/>
    <n v="848.45"/>
    <m/>
  </r>
  <r>
    <d v="2019-09-01T00:00:00"/>
    <s v="2019-20"/>
    <n v="2019"/>
    <x v="1"/>
    <x v="1"/>
    <s v="Bihar"/>
    <n v="10"/>
    <s v="State"/>
    <n v="246.12"/>
    <n v="447.66"/>
    <n v="107.12"/>
    <n v="184.8"/>
    <n v="800.9"/>
    <n v="985.7"/>
    <m/>
  </r>
  <r>
    <d v="2019-09-01T00:00:00"/>
    <s v="2019-20"/>
    <n v="2019"/>
    <x v="1"/>
    <x v="1"/>
    <s v="Chandigarh"/>
    <n v="4"/>
    <s v="Union Territory"/>
    <n v="28.68"/>
    <n v="41.26"/>
    <n v="86.47"/>
    <n v="0.1"/>
    <n v="156.41"/>
    <n v="156.51"/>
    <m/>
  </r>
  <r>
    <d v="2019-09-01T00:00:00"/>
    <s v="2019-20"/>
    <n v="2019"/>
    <x v="1"/>
    <x v="1"/>
    <s v="Chhattisgarh"/>
    <n v="22"/>
    <s v="State"/>
    <n v="295.31"/>
    <n v="375.2"/>
    <n v="438.94"/>
    <n v="380.14"/>
    <n v="1109.45"/>
    <n v="1489.59"/>
    <m/>
  </r>
  <r>
    <d v="2019-09-01T00:00:00"/>
    <s v="2019-20"/>
    <n v="2019"/>
    <x v="1"/>
    <x v="1"/>
    <s v="Dadra and Nagar Haveli and Daman and Diu"/>
    <n v="38"/>
    <s v="Union Territory"/>
    <n v="24.95"/>
    <n v="33.83"/>
    <n v="155.26"/>
    <n v="0.04"/>
    <n v="214.04"/>
    <n v="214.08"/>
    <m/>
  </r>
  <r>
    <d v="2019-09-01T00:00:00"/>
    <s v="2019-20"/>
    <n v="2019"/>
    <x v="1"/>
    <x v="1"/>
    <s v="Delhi"/>
    <n v="7"/>
    <s v="Union Territory"/>
    <n v="707.03"/>
    <n v="924.2"/>
    <n v="1667.67"/>
    <n v="86.97"/>
    <n v="3298.9"/>
    <n v="3385.87"/>
    <m/>
  </r>
  <r>
    <d v="2019-09-01T00:00:00"/>
    <s v="2019-20"/>
    <n v="2019"/>
    <x v="1"/>
    <x v="1"/>
    <s v="Goa"/>
    <n v="30"/>
    <s v="State"/>
    <n v="71.63"/>
    <n v="109.5"/>
    <n v="127.58"/>
    <n v="2.76"/>
    <n v="308.70999999999998"/>
    <n v="311.47000000000003"/>
    <m/>
  </r>
  <r>
    <d v="2019-09-01T00:00:00"/>
    <s v="2019-20"/>
    <n v="2019"/>
    <x v="1"/>
    <x v="1"/>
    <s v="Gujarat"/>
    <n v="24"/>
    <s v="State"/>
    <n v="1543.19"/>
    <n v="1932.12"/>
    <n v="1901.53"/>
    <n v="363.69"/>
    <n v="5376.84"/>
    <n v="5740.53"/>
    <m/>
  </r>
  <r>
    <d v="2019-09-01T00:00:00"/>
    <s v="2019-20"/>
    <n v="2019"/>
    <x v="1"/>
    <x v="1"/>
    <s v="Haryana"/>
    <n v="6"/>
    <s v="State"/>
    <n v="720.31"/>
    <n v="1053.43"/>
    <n v="2053.9299999999998"/>
    <n v="281.99"/>
    <n v="3827.67"/>
    <n v="4109.66"/>
    <m/>
  </r>
  <r>
    <d v="2019-09-01T00:00:00"/>
    <s v="2019-20"/>
    <n v="2019"/>
    <x v="1"/>
    <x v="1"/>
    <s v="Himachal Pradesh"/>
    <n v="2"/>
    <s v="State"/>
    <n v="89.32"/>
    <n v="135.04"/>
    <n v="383.62"/>
    <n v="0.91"/>
    <n v="607.98"/>
    <n v="608.89"/>
    <m/>
  </r>
  <r>
    <d v="2019-09-01T00:00:00"/>
    <s v="2019-20"/>
    <n v="2019"/>
    <x v="1"/>
    <x v="1"/>
    <s v="Jammu and Kashmir"/>
    <n v="1"/>
    <s v="Union Territory"/>
    <n v="62.12"/>
    <n v="99.43"/>
    <n v="117.47"/>
    <n v="2.7"/>
    <n v="279.02"/>
    <n v="281.72000000000003"/>
    <m/>
  </r>
  <r>
    <d v="2019-09-01T00:00:00"/>
    <s v="2019-20"/>
    <n v="2019"/>
    <x v="1"/>
    <x v="1"/>
    <s v="Jharkhand"/>
    <n v="20"/>
    <s v="State"/>
    <n v="279.61"/>
    <n v="374.93"/>
    <n v="462.73"/>
    <n v="391.67"/>
    <n v="1117.27"/>
    <n v="1508.94"/>
    <m/>
  </r>
  <r>
    <d v="2019-09-01T00:00:00"/>
    <s v="2019-20"/>
    <n v="2019"/>
    <x v="1"/>
    <x v="1"/>
    <s v="Karnataka"/>
    <n v="29"/>
    <s v="State"/>
    <n v="1522.24"/>
    <n v="2061.7600000000002"/>
    <n v="1985.98"/>
    <n v="779.88"/>
    <n v="5569.98"/>
    <n v="6349.86"/>
    <m/>
  </r>
  <r>
    <d v="2019-09-01T00:00:00"/>
    <s v="2019-20"/>
    <n v="2019"/>
    <x v="1"/>
    <x v="1"/>
    <s v="Kerala"/>
    <n v="32"/>
    <s v="State"/>
    <n v="441.28"/>
    <n v="687.19"/>
    <n v="258.97000000000003"/>
    <n v="5.72"/>
    <n v="1387.44"/>
    <n v="1393.16"/>
    <m/>
  </r>
  <r>
    <d v="2019-09-01T00:00:00"/>
    <s v="2019-20"/>
    <n v="2019"/>
    <x v="1"/>
    <x v="1"/>
    <s v="Lakshadweep"/>
    <n v="31"/>
    <s v="Union Territory"/>
    <n v="0.74"/>
    <n v="0.84"/>
    <n v="0.09"/>
    <n v="0"/>
    <n v="1.67"/>
    <n v="1.67"/>
    <m/>
  </r>
  <r>
    <d v="2019-09-01T00:00:00"/>
    <s v="2019-20"/>
    <n v="2019"/>
    <x v="1"/>
    <x v="1"/>
    <s v="Madhya Pradesh"/>
    <n v="23"/>
    <s v="State"/>
    <n v="445.86"/>
    <n v="613.71"/>
    <n v="585.57000000000005"/>
    <n v="441.96"/>
    <n v="1645.14"/>
    <n v="2087.1"/>
    <m/>
  </r>
  <r>
    <d v="2019-09-01T00:00:00"/>
    <s v="2019-20"/>
    <n v="2019"/>
    <x v="1"/>
    <x v="1"/>
    <s v="Maharashtra"/>
    <n v="27"/>
    <s v="State"/>
    <n v="3609.68"/>
    <n v="4405.43"/>
    <n v="4647.0600000000004"/>
    <n v="916.78"/>
    <n v="12662.17"/>
    <n v="13578.95"/>
    <m/>
  </r>
  <r>
    <d v="2019-09-01T00:00:00"/>
    <s v="2019-20"/>
    <n v="2019"/>
    <x v="1"/>
    <x v="1"/>
    <s v="Manipur"/>
    <n v="14"/>
    <s v="State"/>
    <n v="15.11"/>
    <n v="23.34"/>
    <n v="2.9"/>
    <n v="0.15"/>
    <n v="41.35"/>
    <n v="41.5"/>
    <m/>
  </r>
  <r>
    <d v="2019-09-01T00:00:00"/>
    <s v="2019-20"/>
    <n v="2019"/>
    <x v="1"/>
    <x v="1"/>
    <s v="Meghalaya"/>
    <n v="17"/>
    <s v="State"/>
    <n v="15.07"/>
    <n v="20.82"/>
    <n v="68.23"/>
    <n v="1.77"/>
    <n v="104.12"/>
    <n v="105.89"/>
    <m/>
  </r>
  <r>
    <d v="2019-09-01T00:00:00"/>
    <s v="2019-20"/>
    <n v="2019"/>
    <x v="1"/>
    <x v="1"/>
    <s v="Mizoram"/>
    <n v="15"/>
    <s v="State"/>
    <n v="6.32"/>
    <n v="10.039999999999999"/>
    <n v="12.8"/>
    <n v="0.1"/>
    <n v="29.16"/>
    <n v="29.26"/>
    <m/>
  </r>
  <r>
    <d v="2019-09-01T00:00:00"/>
    <s v="2019-20"/>
    <n v="2019"/>
    <x v="1"/>
    <x v="1"/>
    <s v="Nagaland"/>
    <n v="13"/>
    <s v="State"/>
    <n v="6.42"/>
    <n v="9.2799999999999994"/>
    <n v="4.51"/>
    <n v="0.42"/>
    <n v="20.21"/>
    <n v="20.63"/>
    <m/>
  </r>
  <r>
    <d v="2019-09-01T00:00:00"/>
    <s v="2019-20"/>
    <n v="2019"/>
    <x v="1"/>
    <x v="1"/>
    <s v="Odisha"/>
    <n v="21"/>
    <s v="State"/>
    <n v="473.85"/>
    <n v="610.19000000000005"/>
    <n v="577.1"/>
    <n v="353.9"/>
    <n v="1661.14"/>
    <n v="2015.04"/>
    <m/>
  </r>
  <r>
    <d v="2019-09-01T00:00:00"/>
    <s v="2019-20"/>
    <n v="2019"/>
    <x v="1"/>
    <x v="1"/>
    <s v="Puducherry"/>
    <n v="34"/>
    <s v="Union Territory"/>
    <n v="18.510000000000002"/>
    <n v="30.95"/>
    <n v="99.6"/>
    <n v="0.36"/>
    <n v="149.06"/>
    <n v="149.41999999999999"/>
    <m/>
  </r>
  <r>
    <d v="2019-09-01T00:00:00"/>
    <s v="2019-20"/>
    <n v="2019"/>
    <x v="1"/>
    <x v="1"/>
    <s v="Punjab"/>
    <n v="3"/>
    <s v="State"/>
    <n v="275.27999999999997"/>
    <n v="473.05"/>
    <n v="370.67"/>
    <n v="14.36"/>
    <n v="1119"/>
    <n v="1133.3599999999999"/>
    <m/>
  </r>
  <r>
    <d v="2019-09-01T00:00:00"/>
    <s v="2019-20"/>
    <n v="2019"/>
    <x v="1"/>
    <x v="1"/>
    <s v="Rajasthan"/>
    <n v="8"/>
    <s v="State"/>
    <n v="621.79999999999995"/>
    <n v="839.73"/>
    <n v="660.62"/>
    <n v="131.16"/>
    <n v="2122.15"/>
    <n v="2253.31"/>
    <m/>
  </r>
  <r>
    <d v="2019-09-01T00:00:00"/>
    <s v="2019-20"/>
    <n v="2019"/>
    <x v="1"/>
    <x v="1"/>
    <s v="Sikkim"/>
    <n v="11"/>
    <s v="State"/>
    <n v="11.26"/>
    <n v="16.23"/>
    <n v="181.41"/>
    <n v="0.1"/>
    <n v="208.9"/>
    <n v="209"/>
    <m/>
  </r>
  <r>
    <d v="2019-09-01T00:00:00"/>
    <s v="2019-20"/>
    <n v="2019"/>
    <x v="1"/>
    <x v="1"/>
    <s v="Tamil Nadu"/>
    <n v="33"/>
    <s v="State"/>
    <n v="1475.53"/>
    <n v="2135.15"/>
    <n v="1541.56"/>
    <n v="463.37"/>
    <n v="5152.24"/>
    <n v="5615.61"/>
    <m/>
  </r>
  <r>
    <d v="2019-09-01T00:00:00"/>
    <s v="2019-20"/>
    <n v="2019"/>
    <x v="1"/>
    <x v="1"/>
    <s v="Telangana"/>
    <n v="36"/>
    <s v="State"/>
    <n v="655.52"/>
    <n v="916.21"/>
    <n v="781.15"/>
    <n v="501.2"/>
    <n v="2352.88"/>
    <n v="2854.08"/>
    <m/>
  </r>
  <r>
    <d v="2019-09-01T00:00:00"/>
    <s v="2019-20"/>
    <n v="2019"/>
    <x v="1"/>
    <x v="1"/>
    <s v="Tripura"/>
    <n v="16"/>
    <s v="State"/>
    <n v="18.37"/>
    <n v="26.58"/>
    <n v="6.52"/>
    <n v="0.23"/>
    <n v="51.47"/>
    <n v="51.7"/>
    <m/>
  </r>
  <r>
    <d v="2019-09-01T00:00:00"/>
    <s v="2019-20"/>
    <n v="2019"/>
    <x v="1"/>
    <x v="1"/>
    <s v="Uttar Pradesh"/>
    <n v="9"/>
    <s v="State"/>
    <n v="1056.04"/>
    <n v="1616.07"/>
    <n v="1253.9100000000001"/>
    <n v="1147.4100000000001"/>
    <n v="3926.02"/>
    <n v="5073.43"/>
    <m/>
  </r>
  <r>
    <d v="2019-09-01T00:00:00"/>
    <s v="2019-20"/>
    <n v="2019"/>
    <x v="1"/>
    <x v="1"/>
    <s v="Uttarakhand"/>
    <n v="5"/>
    <s v="State"/>
    <n v="185.89"/>
    <n v="286.29000000000002"/>
    <n v="533.98"/>
    <n v="10.48"/>
    <n v="1006.16"/>
    <n v="1016.64"/>
    <m/>
  </r>
  <r>
    <d v="2019-09-01T00:00:00"/>
    <s v="2019-20"/>
    <n v="2019"/>
    <x v="1"/>
    <x v="1"/>
    <s v="West Bengal"/>
    <n v="19"/>
    <s v="State"/>
    <n v="961.51"/>
    <n v="1263.3699999999999"/>
    <n v="745.38"/>
    <n v="285.23"/>
    <n v="2970.26"/>
    <n v="3255.49"/>
    <m/>
  </r>
  <r>
    <d v="2019-10-01T00:00:00"/>
    <s v="2019-20"/>
    <n v="2019"/>
    <x v="2"/>
    <x v="2"/>
    <s v="Andaman and Nicobar Islands"/>
    <n v="35"/>
    <s v="Union Territory"/>
    <n v="12.73"/>
    <n v="16.09"/>
    <n v="2.91"/>
    <n v="0.01"/>
    <n v="31.73"/>
    <n v="31.74"/>
    <m/>
  </r>
  <r>
    <d v="2019-10-01T00:00:00"/>
    <s v="2019-20"/>
    <n v="2019"/>
    <x v="2"/>
    <x v="2"/>
    <s v="Andhra Pradesh"/>
    <n v="28"/>
    <s v="State"/>
    <n v="470.07"/>
    <n v="656.57"/>
    <n v="716.4"/>
    <n v="131.85"/>
    <n v="1843.04"/>
    <n v="1974.89"/>
    <m/>
  </r>
  <r>
    <d v="2019-10-01T00:00:00"/>
    <s v="2019-20"/>
    <n v="2019"/>
    <x v="2"/>
    <x v="2"/>
    <s v="Arunachal Pradesh"/>
    <n v="12"/>
    <s v="State"/>
    <n v="15.7"/>
    <n v="20.74"/>
    <n v="4.2"/>
    <n v="0.34"/>
    <n v="40.64"/>
    <n v="40.98"/>
    <m/>
  </r>
  <r>
    <d v="2019-10-01T00:00:00"/>
    <s v="2019-20"/>
    <n v="2019"/>
    <x v="2"/>
    <x v="2"/>
    <s v="Assam"/>
    <n v="18"/>
    <s v="State"/>
    <n v="262.51"/>
    <n v="357.34"/>
    <n v="221.86"/>
    <n v="46.42"/>
    <n v="841.71"/>
    <n v="888.13"/>
    <m/>
  </r>
  <r>
    <d v="2019-10-01T00:00:00"/>
    <s v="2019-20"/>
    <n v="2019"/>
    <x v="2"/>
    <x v="2"/>
    <s v="Bihar"/>
    <n v="10"/>
    <s v="State"/>
    <n v="248.99"/>
    <n v="402.7"/>
    <n v="107.15"/>
    <n v="181.22"/>
    <n v="758.84"/>
    <n v="940.06"/>
    <m/>
  </r>
  <r>
    <d v="2019-10-01T00:00:00"/>
    <s v="2019-20"/>
    <n v="2019"/>
    <x v="2"/>
    <x v="2"/>
    <s v="Chandigarh"/>
    <n v="4"/>
    <s v="Union Territory"/>
    <n v="27.89"/>
    <n v="40.42"/>
    <n v="88.35"/>
    <n v="0.36"/>
    <n v="156.66"/>
    <n v="157.02000000000001"/>
    <m/>
  </r>
  <r>
    <d v="2019-10-01T00:00:00"/>
    <s v="2019-20"/>
    <n v="2019"/>
    <x v="2"/>
    <x v="2"/>
    <s v="Chhattisgarh"/>
    <n v="22"/>
    <s v="State"/>
    <n v="312.64"/>
    <n v="395.21"/>
    <n v="496.85"/>
    <n v="364.94"/>
    <n v="1204.7"/>
    <n v="1569.64"/>
    <m/>
  </r>
  <r>
    <d v="2019-10-01T00:00:00"/>
    <s v="2019-20"/>
    <n v="2019"/>
    <x v="2"/>
    <x v="2"/>
    <s v="Dadra and Nagar Haveli and Daman and Diu"/>
    <n v="38"/>
    <s v="Union Territory"/>
    <n v="23.88"/>
    <n v="32.1"/>
    <n v="156.88"/>
    <n v="0.1"/>
    <n v="212.86"/>
    <n v="212.96"/>
    <m/>
  </r>
  <r>
    <d v="2019-10-01T00:00:00"/>
    <s v="2019-20"/>
    <n v="2019"/>
    <x v="2"/>
    <x v="2"/>
    <s v="Delhi"/>
    <n v="7"/>
    <s v="Union Territory"/>
    <n v="717.56"/>
    <n v="959.76"/>
    <n v="1720.77"/>
    <n v="86.07"/>
    <n v="3398.09"/>
    <n v="3484.16"/>
    <m/>
  </r>
  <r>
    <d v="2019-10-01T00:00:00"/>
    <s v="2019-20"/>
    <n v="2019"/>
    <x v="2"/>
    <x v="2"/>
    <s v="Goa"/>
    <n v="30"/>
    <s v="State"/>
    <n v="76.16"/>
    <n v="107.51"/>
    <n v="126.48"/>
    <n v="1"/>
    <n v="310.14999999999998"/>
    <n v="311.14999999999998"/>
    <m/>
  </r>
  <r>
    <d v="2019-10-01T00:00:00"/>
    <s v="2019-20"/>
    <n v="2019"/>
    <x v="2"/>
    <x v="2"/>
    <s v="Gujarat"/>
    <n v="24"/>
    <s v="State"/>
    <n v="1634.86"/>
    <n v="2016.4"/>
    <n v="1850.61"/>
    <n v="385.66"/>
    <n v="5501.87"/>
    <n v="5887.53"/>
    <m/>
  </r>
  <r>
    <d v="2019-10-01T00:00:00"/>
    <s v="2019-20"/>
    <n v="2019"/>
    <x v="2"/>
    <x v="2"/>
    <s v="Haryana"/>
    <n v="6"/>
    <s v="State"/>
    <n v="752.47"/>
    <n v="1088.3800000000001"/>
    <n v="2437.39"/>
    <n v="299.81"/>
    <n v="4278.24"/>
    <n v="4578.05"/>
    <m/>
  </r>
  <r>
    <d v="2019-10-01T00:00:00"/>
    <s v="2019-20"/>
    <n v="2019"/>
    <x v="2"/>
    <x v="2"/>
    <s v="Himachal Pradesh"/>
    <n v="2"/>
    <s v="State"/>
    <n v="96.95"/>
    <n v="143.43"/>
    <n v="427.68"/>
    <n v="1.04"/>
    <n v="668.06"/>
    <n v="669.1"/>
    <m/>
  </r>
  <r>
    <d v="2019-10-01T00:00:00"/>
    <s v="2019-20"/>
    <n v="2019"/>
    <x v="2"/>
    <x v="2"/>
    <s v="Jammu and Kashmir"/>
    <n v="1"/>
    <s v="Union Territory"/>
    <n v="77.09"/>
    <n v="122.63"/>
    <n v="109.58"/>
    <n v="3.22"/>
    <n v="309.3"/>
    <n v="312.52"/>
    <m/>
  </r>
  <r>
    <d v="2019-10-01T00:00:00"/>
    <s v="2019-20"/>
    <n v="2019"/>
    <x v="2"/>
    <x v="2"/>
    <s v="Jharkhand"/>
    <n v="20"/>
    <s v="State"/>
    <n v="289.19"/>
    <n v="400.17"/>
    <n v="412.68"/>
    <n v="334.69"/>
    <n v="1102.04"/>
    <n v="1436.73"/>
    <m/>
  </r>
  <r>
    <d v="2019-10-01T00:00:00"/>
    <s v="2019-20"/>
    <n v="2019"/>
    <x v="2"/>
    <x v="2"/>
    <s v="Karnataka"/>
    <n v="29"/>
    <s v="State"/>
    <n v="1613.99"/>
    <n v="2142.73"/>
    <n v="2089.67"/>
    <n v="828.63"/>
    <n v="5846.39"/>
    <n v="6675.02"/>
    <m/>
  </r>
  <r>
    <d v="2019-10-01T00:00:00"/>
    <s v="2019-20"/>
    <n v="2019"/>
    <x v="2"/>
    <x v="2"/>
    <s v="Kerala"/>
    <n v="32"/>
    <s v="State"/>
    <n v="490.3"/>
    <n v="765.85"/>
    <n v="281.07"/>
    <n v="11.97"/>
    <n v="1537.22"/>
    <n v="1549.19"/>
    <m/>
  </r>
  <r>
    <d v="2019-10-01T00:00:00"/>
    <s v="2019-20"/>
    <n v="2019"/>
    <x v="2"/>
    <x v="2"/>
    <s v="Lakshadweep"/>
    <n v="31"/>
    <s v="Union Territory"/>
    <n v="1.05"/>
    <n v="1.38"/>
    <n v="0.04"/>
    <n v="0"/>
    <n v="2.4700000000000002"/>
    <n v="2.4700000000000002"/>
    <m/>
  </r>
  <r>
    <d v="2019-10-01T00:00:00"/>
    <s v="2019-20"/>
    <n v="2019"/>
    <x v="2"/>
    <x v="2"/>
    <s v="Madhya Pradesh"/>
    <n v="23"/>
    <s v="State"/>
    <n v="464.13"/>
    <n v="639.02"/>
    <n v="559.53"/>
    <n v="389.93"/>
    <n v="1662.68"/>
    <n v="2052.61"/>
    <m/>
  </r>
  <r>
    <d v="2019-10-01T00:00:00"/>
    <s v="2019-20"/>
    <n v="2019"/>
    <x v="2"/>
    <x v="2"/>
    <s v="Maharashtra"/>
    <n v="27"/>
    <s v="State"/>
    <n v="3947.74"/>
    <n v="4818.42"/>
    <n v="5484.49"/>
    <n v="858.82"/>
    <n v="14250.65"/>
    <n v="15109.47"/>
    <m/>
  </r>
  <r>
    <d v="2019-10-01T00:00:00"/>
    <s v="2019-20"/>
    <n v="2019"/>
    <x v="2"/>
    <x v="2"/>
    <s v="Manipur"/>
    <n v="14"/>
    <s v="State"/>
    <n v="16.25"/>
    <n v="24.59"/>
    <n v="2.13"/>
    <n v="0.1"/>
    <n v="42.97"/>
    <n v="43.07"/>
    <m/>
  </r>
  <r>
    <d v="2019-10-01T00:00:00"/>
    <s v="2019-20"/>
    <n v="2019"/>
    <x v="2"/>
    <x v="2"/>
    <s v="Meghalaya"/>
    <n v="17"/>
    <s v="State"/>
    <n v="18.38"/>
    <n v="27.13"/>
    <n v="67.37"/>
    <n v="0.01"/>
    <n v="112.88"/>
    <n v="112.89"/>
    <m/>
  </r>
  <r>
    <d v="2019-10-01T00:00:00"/>
    <s v="2019-20"/>
    <n v="2019"/>
    <x v="2"/>
    <x v="2"/>
    <s v="Mizoram"/>
    <n v="15"/>
    <s v="State"/>
    <n v="5.24"/>
    <n v="9.93"/>
    <n v="3.04"/>
    <n v="0.17"/>
    <n v="18.21"/>
    <n v="18.38"/>
    <m/>
  </r>
  <r>
    <d v="2019-10-01T00:00:00"/>
    <s v="2019-20"/>
    <n v="2019"/>
    <x v="2"/>
    <x v="2"/>
    <s v="Nagaland"/>
    <n v="13"/>
    <s v="State"/>
    <n v="7.9"/>
    <n v="10.4"/>
    <n v="6.11"/>
    <n v="0.09"/>
    <n v="24.41"/>
    <n v="24.5"/>
    <m/>
  </r>
  <r>
    <d v="2019-10-01T00:00:00"/>
    <s v="2019-20"/>
    <n v="2019"/>
    <x v="2"/>
    <x v="2"/>
    <s v="Odisha"/>
    <n v="21"/>
    <s v="State"/>
    <n v="486.86"/>
    <n v="627.73"/>
    <n v="559.47"/>
    <n v="319.77999999999997"/>
    <n v="1674.06"/>
    <n v="1993.84"/>
    <m/>
  </r>
  <r>
    <d v="2019-10-01T00:00:00"/>
    <s v="2019-20"/>
    <n v="2019"/>
    <x v="2"/>
    <x v="2"/>
    <s v="Puducherry"/>
    <n v="34"/>
    <s v="Union Territory"/>
    <n v="19.57"/>
    <n v="30.73"/>
    <n v="94.56"/>
    <n v="0.87"/>
    <n v="144.86000000000001"/>
    <n v="145.72999999999999"/>
    <m/>
  </r>
  <r>
    <d v="2019-10-01T00:00:00"/>
    <s v="2019-20"/>
    <n v="2019"/>
    <x v="2"/>
    <x v="2"/>
    <s v="Punjab"/>
    <n v="3"/>
    <s v="State"/>
    <n v="281.52"/>
    <n v="480.1"/>
    <n v="412.49"/>
    <n v="15.24"/>
    <n v="1174.1099999999999"/>
    <n v="1189.3499999999999"/>
    <m/>
  </r>
  <r>
    <d v="2019-10-01T00:00:00"/>
    <s v="2019-20"/>
    <n v="2019"/>
    <x v="2"/>
    <x v="2"/>
    <s v="Rajasthan"/>
    <n v="8"/>
    <s v="State"/>
    <n v="654.87"/>
    <n v="909.57"/>
    <n v="750.12"/>
    <n v="110.47"/>
    <n v="2314.56"/>
    <n v="2425.0300000000002"/>
    <m/>
  </r>
  <r>
    <d v="2019-10-01T00:00:00"/>
    <s v="2019-20"/>
    <n v="2019"/>
    <x v="2"/>
    <x v="2"/>
    <s v="Sikkim"/>
    <n v="11"/>
    <s v="State"/>
    <n v="9.74"/>
    <n v="13.14"/>
    <n v="163.18"/>
    <n v="0.06"/>
    <n v="186.06"/>
    <n v="186.12"/>
    <m/>
  </r>
  <r>
    <d v="2019-10-01T00:00:00"/>
    <s v="2019-20"/>
    <n v="2019"/>
    <x v="2"/>
    <x v="2"/>
    <s v="Tamil Nadu"/>
    <n v="33"/>
    <s v="State"/>
    <n v="1526.61"/>
    <n v="2128.5500000000002"/>
    <n v="1876.37"/>
    <n v="577.1"/>
    <n v="5531.53"/>
    <n v="6108.63"/>
    <m/>
  </r>
  <r>
    <d v="2019-10-01T00:00:00"/>
    <s v="2019-20"/>
    <n v="2019"/>
    <x v="2"/>
    <x v="2"/>
    <s v="Telangana"/>
    <n v="36"/>
    <s v="State"/>
    <n v="765.32"/>
    <n v="1010.33"/>
    <n v="980.65"/>
    <n v="474.13"/>
    <n v="2756.3"/>
    <n v="3230.43"/>
    <m/>
  </r>
  <r>
    <d v="2019-10-01T00:00:00"/>
    <s v="2019-20"/>
    <n v="2019"/>
    <x v="2"/>
    <x v="2"/>
    <s v="Tripura"/>
    <n v="16"/>
    <s v="State"/>
    <n v="20.41"/>
    <n v="29.09"/>
    <n v="4.87"/>
    <n v="0.05"/>
    <n v="54.37"/>
    <n v="54.42"/>
    <m/>
  </r>
  <r>
    <d v="2019-10-01T00:00:00"/>
    <s v="2019-20"/>
    <n v="2019"/>
    <x v="2"/>
    <x v="2"/>
    <s v="Uttar Pradesh"/>
    <n v="9"/>
    <s v="State"/>
    <n v="1080.6099999999999"/>
    <n v="1655.63"/>
    <n v="1309.48"/>
    <n v="1056.8599999999999"/>
    <n v="4045.72"/>
    <n v="5102.58"/>
    <m/>
  </r>
  <r>
    <d v="2019-10-01T00:00:00"/>
    <s v="2019-20"/>
    <n v="2019"/>
    <x v="2"/>
    <x v="2"/>
    <s v="Uttarakhand"/>
    <n v="5"/>
    <s v="State"/>
    <n v="204.31"/>
    <n v="316.07"/>
    <n v="620.91999999999996"/>
    <n v="12.03"/>
    <n v="1141.3"/>
    <n v="1153.33"/>
    <m/>
  </r>
  <r>
    <d v="2019-10-01T00:00:00"/>
    <s v="2019-20"/>
    <n v="2019"/>
    <x v="2"/>
    <x v="2"/>
    <s v="West Bengal"/>
    <n v="19"/>
    <s v="State"/>
    <n v="940.17"/>
    <n v="1264.25"/>
    <n v="718.87"/>
    <n v="339.75"/>
    <n v="2923.29"/>
    <n v="3263.04"/>
    <m/>
  </r>
  <r>
    <d v="2019-11-01T00:00:00"/>
    <s v="2019-20"/>
    <n v="2019"/>
    <x v="3"/>
    <x v="3"/>
    <s v="Andaman and Nicobar Islands"/>
    <n v="35"/>
    <s v="Union Territory"/>
    <n v="8.36"/>
    <n v="13.52"/>
    <n v="2.99"/>
    <n v="0.04"/>
    <n v="24.87"/>
    <n v="24.91"/>
    <m/>
  </r>
  <r>
    <d v="2019-11-01T00:00:00"/>
    <s v="2019-20"/>
    <n v="2019"/>
    <x v="3"/>
    <x v="3"/>
    <s v="Andhra Pradesh"/>
    <n v="28"/>
    <s v="State"/>
    <n v="496.73"/>
    <n v="767.3"/>
    <n v="746.75"/>
    <n v="218.82"/>
    <n v="2010.78"/>
    <n v="2229.6"/>
    <m/>
  </r>
  <r>
    <d v="2019-11-01T00:00:00"/>
    <s v="2019-20"/>
    <n v="2019"/>
    <x v="3"/>
    <x v="3"/>
    <s v="Arunachal Pradesh"/>
    <n v="12"/>
    <s v="State"/>
    <n v="13.09"/>
    <n v="17.07"/>
    <n v="5.28"/>
    <n v="0.17"/>
    <n v="35.44"/>
    <n v="35.61"/>
    <m/>
  </r>
  <r>
    <d v="2019-11-01T00:00:00"/>
    <s v="2019-20"/>
    <n v="2019"/>
    <x v="3"/>
    <x v="3"/>
    <s v="Assam"/>
    <n v="18"/>
    <s v="State"/>
    <n v="268.95999999999998"/>
    <n v="375.17"/>
    <n v="272.68"/>
    <n v="40.76"/>
    <n v="916.81"/>
    <n v="957.57"/>
    <m/>
  </r>
  <r>
    <d v="2019-11-01T00:00:00"/>
    <s v="2019-20"/>
    <n v="2019"/>
    <x v="3"/>
    <x v="3"/>
    <s v="Bihar"/>
    <n v="10"/>
    <s v="State"/>
    <n v="278.04000000000002"/>
    <n v="509.6"/>
    <n v="136.63999999999999"/>
    <n v="182.29"/>
    <n v="924.28"/>
    <n v="1106.57"/>
    <m/>
  </r>
  <r>
    <d v="2019-11-01T00:00:00"/>
    <s v="2019-20"/>
    <n v="2019"/>
    <x v="3"/>
    <x v="3"/>
    <s v="Chandigarh"/>
    <n v="4"/>
    <s v="Union Territory"/>
    <n v="32.92"/>
    <n v="50.6"/>
    <n v="80.44"/>
    <n v="1.21"/>
    <n v="163.96"/>
    <n v="165.17"/>
    <m/>
  </r>
  <r>
    <d v="2019-11-01T00:00:00"/>
    <s v="2019-20"/>
    <n v="2019"/>
    <x v="3"/>
    <x v="3"/>
    <s v="Chhattisgarh"/>
    <n v="22"/>
    <s v="State"/>
    <n v="356.7"/>
    <n v="484.53"/>
    <n v="871.38"/>
    <n v="463.5"/>
    <n v="1712.61"/>
    <n v="2176.11"/>
    <m/>
  </r>
  <r>
    <d v="2019-11-01T00:00:00"/>
    <s v="2019-20"/>
    <n v="2019"/>
    <x v="3"/>
    <x v="3"/>
    <s v="Dadra and Nagar Haveli and Daman and Diu"/>
    <n v="38"/>
    <s v="Union Territory"/>
    <n v="28.11"/>
    <n v="39.909999999999997"/>
    <n v="177.32"/>
    <n v="7.0000000000000007E-2"/>
    <n v="245.34"/>
    <n v="245.41"/>
    <m/>
  </r>
  <r>
    <d v="2019-11-01T00:00:00"/>
    <s v="2019-20"/>
    <n v="2019"/>
    <x v="3"/>
    <x v="3"/>
    <s v="Delhi"/>
    <n v="7"/>
    <s v="Union Territory"/>
    <n v="872.56"/>
    <n v="1145.27"/>
    <n v="1888.71"/>
    <n v="88.72"/>
    <n v="3906.54"/>
    <n v="3995.26"/>
    <m/>
  </r>
  <r>
    <d v="2019-11-01T00:00:00"/>
    <s v="2019-20"/>
    <n v="2019"/>
    <x v="3"/>
    <x v="3"/>
    <s v="Goa"/>
    <n v="30"/>
    <s v="State"/>
    <n v="85.37"/>
    <n v="122.41"/>
    <n v="132.1"/>
    <n v="1.64"/>
    <n v="339.88"/>
    <n v="341.52"/>
    <m/>
  </r>
  <r>
    <d v="2019-11-01T00:00:00"/>
    <s v="2019-20"/>
    <n v="2019"/>
    <x v="3"/>
    <x v="3"/>
    <s v="Gujarat"/>
    <n v="24"/>
    <s v="State"/>
    <n v="1800.38"/>
    <n v="2318.23"/>
    <n v="2271.0300000000002"/>
    <n v="415.29"/>
    <n v="6389.64"/>
    <n v="6804.93"/>
    <m/>
  </r>
  <r>
    <d v="2019-11-01T00:00:00"/>
    <s v="2019-20"/>
    <n v="2019"/>
    <x v="3"/>
    <x v="3"/>
    <s v="Haryana"/>
    <n v="6"/>
    <s v="State"/>
    <n v="876.98"/>
    <n v="1262.3800000000001"/>
    <n v="3442.08"/>
    <n v="323.02"/>
    <n v="5581.44"/>
    <n v="5904.46"/>
    <m/>
  </r>
  <r>
    <d v="2019-11-01T00:00:00"/>
    <s v="2019-20"/>
    <n v="2019"/>
    <x v="3"/>
    <x v="3"/>
    <s v="Himachal Pradesh"/>
    <n v="2"/>
    <s v="State"/>
    <n v="109.88"/>
    <n v="173.09"/>
    <n v="416.58"/>
    <n v="1.52"/>
    <n v="699.55"/>
    <n v="701.07"/>
    <m/>
  </r>
  <r>
    <d v="2019-11-01T00:00:00"/>
    <s v="2019-20"/>
    <n v="2019"/>
    <x v="3"/>
    <x v="3"/>
    <s v="Jammu and Kashmir"/>
    <n v="1"/>
    <s v="Union Territory"/>
    <n v="105.86"/>
    <n v="166.03"/>
    <n v="89.01"/>
    <n v="2.54"/>
    <n v="360.9"/>
    <n v="363.44"/>
    <m/>
  </r>
  <r>
    <d v="2019-11-01T00:00:00"/>
    <s v="2019-20"/>
    <n v="2019"/>
    <x v="3"/>
    <x v="3"/>
    <s v="Jharkhand"/>
    <n v="20"/>
    <s v="State"/>
    <n v="327.69"/>
    <n v="468.65"/>
    <n v="560.12"/>
    <n v="363.33"/>
    <n v="1356.46"/>
    <n v="1719.79"/>
    <m/>
  </r>
  <r>
    <d v="2019-11-01T00:00:00"/>
    <s v="2019-20"/>
    <n v="2019"/>
    <x v="3"/>
    <x v="3"/>
    <s v="Karnataka"/>
    <n v="29"/>
    <s v="State"/>
    <n v="1612.74"/>
    <n v="2262.25"/>
    <n v="2387.6"/>
    <n v="709.75"/>
    <n v="6262.59"/>
    <n v="6972.34"/>
    <m/>
  </r>
  <r>
    <d v="2019-11-01T00:00:00"/>
    <s v="2019-20"/>
    <n v="2019"/>
    <x v="3"/>
    <x v="3"/>
    <s v="Kerala"/>
    <n v="32"/>
    <s v="State"/>
    <n v="567.32000000000005"/>
    <n v="817.62"/>
    <n v="299.20999999999998"/>
    <n v="7.26"/>
    <n v="1684.15"/>
    <n v="1691.41"/>
    <m/>
  </r>
  <r>
    <d v="2019-11-01T00:00:00"/>
    <s v="2019-20"/>
    <n v="2019"/>
    <x v="3"/>
    <x v="3"/>
    <s v="Lakshadweep"/>
    <n v="31"/>
    <s v="Union Territory"/>
    <n v="0.81"/>
    <n v="1.05"/>
    <n v="0.08"/>
    <n v="0"/>
    <n v="1.94"/>
    <n v="1.94"/>
    <m/>
  </r>
  <r>
    <d v="2019-11-01T00:00:00"/>
    <s v="2019-20"/>
    <n v="2019"/>
    <x v="3"/>
    <x v="3"/>
    <s v="Madhya Pradesh"/>
    <n v="23"/>
    <s v="State"/>
    <n v="568.91999999999996"/>
    <n v="777.07"/>
    <n v="640.91999999999996"/>
    <n v="465.63"/>
    <n v="1986.91"/>
    <n v="2452.54"/>
    <m/>
  </r>
  <r>
    <d v="2019-11-01T00:00:00"/>
    <s v="2019-20"/>
    <n v="2019"/>
    <x v="3"/>
    <x v="3"/>
    <s v="Maharashtra"/>
    <n v="27"/>
    <s v="State"/>
    <n v="4446.55"/>
    <n v="5507.82"/>
    <n v="5122.9399999999996"/>
    <n v="890.54"/>
    <n v="15077.31"/>
    <n v="15967.85"/>
    <m/>
  </r>
  <r>
    <d v="2019-11-01T00:00:00"/>
    <s v="2019-20"/>
    <n v="2019"/>
    <x v="3"/>
    <x v="3"/>
    <s v="Manipur"/>
    <n v="14"/>
    <s v="State"/>
    <n v="11.92"/>
    <n v="20.309999999999999"/>
    <n v="2.85"/>
    <n v="0.2"/>
    <n v="35.08"/>
    <n v="35.28"/>
    <m/>
  </r>
  <r>
    <d v="2019-11-01T00:00:00"/>
    <s v="2019-20"/>
    <n v="2019"/>
    <x v="3"/>
    <x v="3"/>
    <s v="Meghalaya"/>
    <n v="17"/>
    <s v="State"/>
    <n v="17.93"/>
    <n v="25.5"/>
    <n v="73.7"/>
    <n v="0.27"/>
    <n v="117.13"/>
    <n v="117.4"/>
    <m/>
  </r>
  <r>
    <d v="2019-11-01T00:00:00"/>
    <s v="2019-20"/>
    <n v="2019"/>
    <x v="3"/>
    <x v="3"/>
    <s v="Mizoram"/>
    <n v="15"/>
    <s v="State"/>
    <n v="5.44"/>
    <n v="8.7100000000000009"/>
    <n v="2.5499999999999998"/>
    <n v="0.14000000000000001"/>
    <n v="16.7"/>
    <n v="16.84"/>
    <m/>
  </r>
  <r>
    <d v="2019-11-01T00:00:00"/>
    <s v="2019-20"/>
    <n v="2019"/>
    <x v="3"/>
    <x v="3"/>
    <s v="Nagaland"/>
    <n v="13"/>
    <s v="State"/>
    <n v="7.46"/>
    <n v="10.76"/>
    <n v="3.86"/>
    <n v="0.48"/>
    <n v="22.08"/>
    <n v="22.56"/>
    <m/>
  </r>
  <r>
    <d v="2019-11-01T00:00:00"/>
    <s v="2019-20"/>
    <n v="2019"/>
    <x v="3"/>
    <x v="3"/>
    <s v="Odisha"/>
    <n v="21"/>
    <s v="State"/>
    <n v="514.52"/>
    <n v="700.96"/>
    <n v="786.53"/>
    <n v="345.02"/>
    <n v="2002.01"/>
    <n v="2347.0300000000002"/>
    <m/>
  </r>
  <r>
    <d v="2019-11-01T00:00:00"/>
    <s v="2019-20"/>
    <n v="2019"/>
    <x v="3"/>
    <x v="3"/>
    <s v="Puducherry"/>
    <n v="34"/>
    <s v="Union Territory"/>
    <n v="21.54"/>
    <n v="35.5"/>
    <n v="99.98"/>
    <n v="0.15"/>
    <n v="157.02000000000001"/>
    <n v="157.16999999999999"/>
    <m/>
  </r>
  <r>
    <d v="2019-11-01T00:00:00"/>
    <s v="2019-20"/>
    <n v="2019"/>
    <x v="3"/>
    <x v="3"/>
    <s v="Punjab"/>
    <n v="3"/>
    <s v="State"/>
    <n v="329.79"/>
    <n v="581.36"/>
    <n v="448.84"/>
    <n v="15.1"/>
    <n v="1359.99"/>
    <n v="1375.09"/>
    <m/>
  </r>
  <r>
    <d v="2019-11-01T00:00:00"/>
    <s v="2019-20"/>
    <n v="2019"/>
    <x v="3"/>
    <x v="3"/>
    <s v="Rajasthan"/>
    <n v="8"/>
    <s v="State"/>
    <n v="848.59"/>
    <n v="1196.75"/>
    <n v="895.24"/>
    <n v="130.88"/>
    <n v="2940.58"/>
    <n v="3071.46"/>
    <m/>
  </r>
  <r>
    <d v="2019-11-01T00:00:00"/>
    <s v="2019-20"/>
    <n v="2019"/>
    <x v="3"/>
    <x v="3"/>
    <s v="Sikkim"/>
    <n v="11"/>
    <s v="State"/>
    <n v="10.44"/>
    <n v="16.739999999999998"/>
    <n v="129.76"/>
    <n v="0.23"/>
    <n v="156.94"/>
    <n v="157.16999999999999"/>
    <m/>
  </r>
  <r>
    <d v="2019-11-01T00:00:00"/>
    <s v="2019-20"/>
    <n v="2019"/>
    <x v="3"/>
    <x v="3"/>
    <s v="Tamil Nadu"/>
    <n v="33"/>
    <s v="State"/>
    <n v="1703.86"/>
    <n v="2368.0500000000002"/>
    <n v="1961.07"/>
    <n v="416.29"/>
    <n v="6032.98"/>
    <n v="6449.27"/>
    <m/>
  </r>
  <r>
    <d v="2019-11-01T00:00:00"/>
    <s v="2019-20"/>
    <n v="2019"/>
    <x v="3"/>
    <x v="3"/>
    <s v="Telangana"/>
    <n v="36"/>
    <s v="State"/>
    <n v="774.95"/>
    <n v="1173.02"/>
    <n v="905.84"/>
    <n v="495.59"/>
    <n v="2853.81"/>
    <n v="3349.4"/>
    <m/>
  </r>
  <r>
    <d v="2019-11-01T00:00:00"/>
    <s v="2019-20"/>
    <n v="2019"/>
    <x v="3"/>
    <x v="3"/>
    <s v="Tripura"/>
    <n v="16"/>
    <s v="State"/>
    <n v="17.64"/>
    <n v="26.58"/>
    <n v="6.87"/>
    <n v="0.27"/>
    <n v="51.09"/>
    <n v="51.36"/>
    <m/>
  </r>
  <r>
    <d v="2019-11-01T00:00:00"/>
    <s v="2019-20"/>
    <n v="2019"/>
    <x v="3"/>
    <x v="3"/>
    <s v="Uttar Pradesh"/>
    <n v="9"/>
    <s v="State"/>
    <n v="1228.6400000000001"/>
    <n v="2003.13"/>
    <n v="1421.59"/>
    <n v="1024.31"/>
    <n v="4653.3599999999997"/>
    <n v="5677.67"/>
    <m/>
  </r>
  <r>
    <d v="2019-11-01T00:00:00"/>
    <s v="2019-20"/>
    <n v="2019"/>
    <x v="3"/>
    <x v="3"/>
    <s v="Uttarakhand"/>
    <n v="5"/>
    <s v="State"/>
    <n v="228.97"/>
    <n v="356.18"/>
    <n v="680.44"/>
    <n v="14.61"/>
    <n v="1265.5899999999999"/>
    <n v="1280.2"/>
    <m/>
  </r>
  <r>
    <d v="2019-11-01T00:00:00"/>
    <s v="2019-20"/>
    <n v="2019"/>
    <x v="3"/>
    <x v="3"/>
    <s v="West Bengal"/>
    <n v="19"/>
    <s v="State"/>
    <n v="1005.41"/>
    <n v="1332.06"/>
    <n v="883.73"/>
    <n v="238.74"/>
    <n v="3221.2"/>
    <n v="3459.94"/>
    <m/>
  </r>
  <r>
    <d v="2019-12-01T00:00:00"/>
    <s v="2019-20"/>
    <n v="2019"/>
    <x v="4"/>
    <x v="4"/>
    <s v="Andaman and Nicobar Islands"/>
    <n v="35"/>
    <s v="Union Territory"/>
    <n v="10.26"/>
    <n v="17.05"/>
    <n v="2.2799999999999998"/>
    <n v="0.19"/>
    <n v="29.59"/>
    <n v="29.78"/>
    <m/>
  </r>
  <r>
    <d v="2019-12-01T00:00:00"/>
    <s v="2019-20"/>
    <n v="2019"/>
    <x v="4"/>
    <x v="4"/>
    <s v="Andhra Pradesh"/>
    <n v="28"/>
    <s v="State"/>
    <n v="540.13"/>
    <n v="768.81"/>
    <n v="719.76"/>
    <n v="236.23"/>
    <n v="2028.7"/>
    <n v="2264.9299999999998"/>
    <m/>
  </r>
  <r>
    <d v="2019-12-01T00:00:00"/>
    <s v="2019-20"/>
    <n v="2019"/>
    <x v="4"/>
    <x v="4"/>
    <s v="Arunachal Pradesh"/>
    <n v="12"/>
    <s v="State"/>
    <n v="22.71"/>
    <n v="29.53"/>
    <n v="5.78"/>
    <n v="0.2"/>
    <n v="58.02"/>
    <n v="58.22"/>
    <m/>
  </r>
  <r>
    <d v="2019-12-01T00:00:00"/>
    <s v="2019-20"/>
    <n v="2019"/>
    <x v="4"/>
    <x v="4"/>
    <s v="Assam"/>
    <n v="18"/>
    <s v="State"/>
    <n v="296.42"/>
    <n v="386.54"/>
    <n v="267.32"/>
    <n v="40.4"/>
    <n v="950.28"/>
    <n v="990.68"/>
    <m/>
  </r>
  <r>
    <d v="2019-12-01T00:00:00"/>
    <s v="2019-20"/>
    <n v="2019"/>
    <x v="4"/>
    <x v="4"/>
    <s v="Bihar"/>
    <n v="10"/>
    <s v="State"/>
    <n v="266.06"/>
    <n v="476.79"/>
    <n v="121.28"/>
    <n v="151.5"/>
    <n v="864.13"/>
    <n v="1015.63"/>
    <m/>
  </r>
  <r>
    <d v="2019-12-01T00:00:00"/>
    <s v="2019-20"/>
    <n v="2019"/>
    <x v="4"/>
    <x v="4"/>
    <s v="Chandigarh"/>
    <n v="4"/>
    <s v="Union Territory"/>
    <n v="33.74"/>
    <n v="47.19"/>
    <n v="86.51"/>
    <n v="0.52"/>
    <n v="167.44"/>
    <n v="167.96"/>
    <m/>
  </r>
  <r>
    <d v="2019-12-01T00:00:00"/>
    <s v="2019-20"/>
    <n v="2019"/>
    <x v="4"/>
    <x v="4"/>
    <s v="Chhattisgarh"/>
    <n v="22"/>
    <s v="State"/>
    <n v="385.57"/>
    <n v="472"/>
    <n v="784.3"/>
    <n v="494.25"/>
    <n v="1641.87"/>
    <n v="2136.12"/>
    <m/>
  </r>
  <r>
    <d v="2019-12-01T00:00:00"/>
    <s v="2019-20"/>
    <n v="2019"/>
    <x v="4"/>
    <x v="4"/>
    <s v="Dadra and Nagar Haveli and Daman and Diu"/>
    <n v="38"/>
    <s v="Union Territory"/>
    <n v="26.98"/>
    <n v="36.78"/>
    <n v="184.32"/>
    <n v="0.06"/>
    <n v="248.08"/>
    <n v="248.14"/>
    <m/>
  </r>
  <r>
    <d v="2019-12-01T00:00:00"/>
    <s v="2019-20"/>
    <n v="2019"/>
    <x v="4"/>
    <x v="4"/>
    <s v="Delhi"/>
    <n v="7"/>
    <s v="Union Territory"/>
    <n v="800.07"/>
    <n v="1030.19"/>
    <n v="1780.31"/>
    <n v="86.95"/>
    <n v="3610.57"/>
    <n v="3697.52"/>
    <m/>
  </r>
  <r>
    <d v="2019-12-01T00:00:00"/>
    <s v="2019-20"/>
    <n v="2019"/>
    <x v="4"/>
    <x v="4"/>
    <s v="Goa"/>
    <n v="30"/>
    <s v="State"/>
    <n v="93.77"/>
    <n v="134.74"/>
    <n v="132.66"/>
    <n v="2.2000000000000002"/>
    <n v="361.17"/>
    <n v="363.37"/>
    <m/>
  </r>
  <r>
    <d v="2019-12-01T00:00:00"/>
    <s v="2019-20"/>
    <n v="2019"/>
    <x v="4"/>
    <x v="4"/>
    <s v="Gujarat"/>
    <n v="24"/>
    <s v="State"/>
    <n v="1831.51"/>
    <n v="2335.85"/>
    <n v="2047.13"/>
    <n v="406.96"/>
    <n v="6214.49"/>
    <n v="6621.45"/>
    <m/>
  </r>
  <r>
    <d v="2019-12-01T00:00:00"/>
    <s v="2019-20"/>
    <n v="2019"/>
    <x v="4"/>
    <x v="4"/>
    <s v="Haryana"/>
    <n v="6"/>
    <s v="State"/>
    <n v="814.05"/>
    <n v="1205.8699999999999"/>
    <n v="3045.72"/>
    <n v="299.26"/>
    <n v="5065.6400000000003"/>
    <n v="5364.9"/>
    <m/>
  </r>
  <r>
    <d v="2019-12-01T00:00:00"/>
    <s v="2019-20"/>
    <n v="2019"/>
    <x v="4"/>
    <x v="4"/>
    <s v="Himachal Pradesh"/>
    <n v="2"/>
    <s v="State"/>
    <n v="109.53"/>
    <n v="168.12"/>
    <n v="420.5"/>
    <n v="0.81"/>
    <n v="698.15"/>
    <n v="698.96"/>
    <m/>
  </r>
  <r>
    <d v="2019-12-01T00:00:00"/>
    <s v="2019-20"/>
    <n v="2019"/>
    <x v="4"/>
    <x v="4"/>
    <s v="Jammu and Kashmir"/>
    <n v="1"/>
    <s v="Union Territory"/>
    <n v="109.24"/>
    <n v="198.77"/>
    <n v="99.5"/>
    <n v="1.64"/>
    <n v="407.51"/>
    <n v="409.15"/>
    <m/>
  </r>
  <r>
    <d v="2019-12-01T00:00:00"/>
    <s v="2019-20"/>
    <n v="2019"/>
    <x v="4"/>
    <x v="4"/>
    <s v="Jharkhand"/>
    <n v="20"/>
    <s v="State"/>
    <n v="342.41"/>
    <n v="470.34"/>
    <n v="684.36"/>
    <n v="445.74"/>
    <n v="1497.11"/>
    <n v="1942.85"/>
    <m/>
  </r>
  <r>
    <d v="2019-12-01T00:00:00"/>
    <s v="2019-20"/>
    <n v="2019"/>
    <x v="4"/>
    <x v="4"/>
    <s v="Karnataka"/>
    <n v="29"/>
    <s v="State"/>
    <n v="1688.89"/>
    <n v="2220.84"/>
    <n v="2239.29"/>
    <n v="736.77"/>
    <n v="6149.02"/>
    <n v="6885.79"/>
    <m/>
  </r>
  <r>
    <d v="2019-12-01T00:00:00"/>
    <s v="2019-20"/>
    <n v="2019"/>
    <x v="4"/>
    <x v="4"/>
    <s v="Kerala"/>
    <n v="32"/>
    <s v="State"/>
    <n v="527.04999999999995"/>
    <n v="801.83"/>
    <n v="311.54000000000002"/>
    <n v="10.27"/>
    <n v="1640.42"/>
    <n v="1650.69"/>
    <m/>
  </r>
  <r>
    <d v="2019-12-01T00:00:00"/>
    <s v="2019-20"/>
    <n v="2019"/>
    <x v="4"/>
    <x v="4"/>
    <s v="Lakshadweep"/>
    <n v="31"/>
    <s v="Union Territory"/>
    <n v="0.35"/>
    <n v="0.4"/>
    <n v="0.03"/>
    <n v="0"/>
    <n v="0.78"/>
    <n v="0.78"/>
    <m/>
  </r>
  <r>
    <d v="2019-12-01T00:00:00"/>
    <s v="2019-20"/>
    <n v="2019"/>
    <x v="4"/>
    <x v="4"/>
    <s v="Madhya Pradesh"/>
    <n v="23"/>
    <s v="State"/>
    <n v="552.41"/>
    <n v="742.4"/>
    <n v="629.95000000000005"/>
    <n v="509.44"/>
    <n v="1924.76"/>
    <n v="2434.1999999999998"/>
    <m/>
  </r>
  <r>
    <d v="2019-12-01T00:00:00"/>
    <s v="2019-20"/>
    <n v="2019"/>
    <x v="4"/>
    <x v="4"/>
    <s v="Maharashtra"/>
    <n v="27"/>
    <s v="State"/>
    <n v="4768.78"/>
    <n v="5738.44"/>
    <n v="5106.8500000000004"/>
    <n v="915.44"/>
    <n v="15614.07"/>
    <n v="16529.509999999998"/>
    <m/>
  </r>
  <r>
    <d v="2019-12-01T00:00:00"/>
    <s v="2019-20"/>
    <n v="2019"/>
    <x v="4"/>
    <x v="4"/>
    <s v="Manipur"/>
    <n v="14"/>
    <s v="State"/>
    <n v="16.27"/>
    <n v="25.85"/>
    <n v="2.2799999999999998"/>
    <n v="0.01"/>
    <n v="44.4"/>
    <n v="44.41"/>
    <m/>
  </r>
  <r>
    <d v="2019-12-01T00:00:00"/>
    <s v="2019-20"/>
    <n v="2019"/>
    <x v="4"/>
    <x v="4"/>
    <s v="Meghalaya"/>
    <n v="17"/>
    <s v="State"/>
    <n v="18.190000000000001"/>
    <n v="27.04"/>
    <n v="77.67"/>
    <n v="0.08"/>
    <n v="122.9"/>
    <n v="122.98"/>
    <m/>
  </r>
  <r>
    <d v="2019-12-01T00:00:00"/>
    <s v="2019-20"/>
    <n v="2019"/>
    <x v="4"/>
    <x v="4"/>
    <s v="Mizoram"/>
    <n v="15"/>
    <s v="State"/>
    <n v="6.53"/>
    <n v="11.22"/>
    <n v="3.12"/>
    <n v="0.05"/>
    <n v="20.87"/>
    <n v="20.92"/>
    <m/>
  </r>
  <r>
    <d v="2019-12-01T00:00:00"/>
    <s v="2019-20"/>
    <n v="2019"/>
    <x v="4"/>
    <x v="4"/>
    <s v="Nagaland"/>
    <n v="13"/>
    <s v="State"/>
    <n v="9.92"/>
    <n v="15.49"/>
    <n v="4.33"/>
    <n v="1.41"/>
    <n v="29.74"/>
    <n v="31.15"/>
    <m/>
  </r>
  <r>
    <d v="2019-12-01T00:00:00"/>
    <s v="2019-20"/>
    <n v="2019"/>
    <x v="4"/>
    <x v="4"/>
    <s v="Odisha"/>
    <n v="21"/>
    <s v="State"/>
    <n v="529.78"/>
    <n v="726.29"/>
    <n v="696.04"/>
    <n v="431.18"/>
    <n v="1952.11"/>
    <n v="2383.29"/>
    <m/>
  </r>
  <r>
    <d v="2019-12-01T00:00:00"/>
    <s v="2019-20"/>
    <n v="2019"/>
    <x v="4"/>
    <x v="4"/>
    <s v="Puducherry"/>
    <n v="34"/>
    <s v="Union Territory"/>
    <n v="22.56"/>
    <n v="34.19"/>
    <n v="108.58"/>
    <n v="0.12"/>
    <n v="165.33"/>
    <n v="165.45"/>
    <m/>
  </r>
  <r>
    <d v="2019-12-01T00:00:00"/>
    <s v="2019-20"/>
    <n v="2019"/>
    <x v="4"/>
    <x v="4"/>
    <s v="Punjab"/>
    <n v="3"/>
    <s v="State"/>
    <n v="309.73"/>
    <n v="512.24"/>
    <n v="455.18"/>
    <n v="13.08"/>
    <n v="1277.1500000000001"/>
    <n v="1290.23"/>
    <m/>
  </r>
  <r>
    <d v="2019-12-01T00:00:00"/>
    <s v="2019-20"/>
    <n v="2019"/>
    <x v="4"/>
    <x v="4"/>
    <s v="Rajasthan"/>
    <n v="8"/>
    <s v="State"/>
    <n v="768"/>
    <n v="1049.6400000000001"/>
    <n v="781.85"/>
    <n v="113.8"/>
    <n v="2599.4899999999998"/>
    <n v="2713.29"/>
    <m/>
  </r>
  <r>
    <d v="2019-12-01T00:00:00"/>
    <s v="2019-20"/>
    <n v="2019"/>
    <x v="4"/>
    <x v="4"/>
    <s v="Sikkim"/>
    <n v="11"/>
    <s v="State"/>
    <n v="10.7"/>
    <n v="15.37"/>
    <n v="187.72"/>
    <n v="0.12"/>
    <n v="213.79"/>
    <n v="213.91"/>
    <m/>
  </r>
  <r>
    <d v="2019-12-01T00:00:00"/>
    <s v="2019-20"/>
    <n v="2019"/>
    <x v="4"/>
    <x v="4"/>
    <s v="Tamil Nadu"/>
    <n v="33"/>
    <s v="State"/>
    <n v="1632.19"/>
    <n v="2302.4"/>
    <n v="1928.96"/>
    <n v="558.27"/>
    <n v="5863.55"/>
    <n v="6421.82"/>
    <m/>
  </r>
  <r>
    <d v="2019-12-01T00:00:00"/>
    <s v="2019-20"/>
    <n v="2019"/>
    <x v="4"/>
    <x v="4"/>
    <s v="Telangana"/>
    <n v="36"/>
    <s v="State"/>
    <n v="844.09"/>
    <n v="1135.82"/>
    <n v="877.37"/>
    <n v="563.19000000000005"/>
    <n v="2857.28"/>
    <n v="3420.47"/>
    <m/>
  </r>
  <r>
    <d v="2019-12-01T00:00:00"/>
    <s v="2019-20"/>
    <n v="2019"/>
    <x v="4"/>
    <x v="4"/>
    <s v="Tripura"/>
    <n v="16"/>
    <s v="State"/>
    <n v="21.56"/>
    <n v="31.55"/>
    <n v="5.98"/>
    <n v="0.15"/>
    <n v="59.09"/>
    <n v="59.24"/>
    <m/>
  </r>
  <r>
    <d v="2019-12-01T00:00:00"/>
    <s v="2019-20"/>
    <n v="2019"/>
    <x v="4"/>
    <x v="4"/>
    <s v="Uttar Pradesh"/>
    <n v="9"/>
    <s v="State"/>
    <n v="1223.6400000000001"/>
    <n v="1809.33"/>
    <n v="1319.96"/>
    <n v="1136.55"/>
    <n v="4352.93"/>
    <n v="5489.48"/>
    <m/>
  </r>
  <r>
    <d v="2019-12-01T00:00:00"/>
    <s v="2019-20"/>
    <n v="2019"/>
    <x v="4"/>
    <x v="4"/>
    <s v="Uttarakhand"/>
    <n v="5"/>
    <s v="State"/>
    <n v="230.01"/>
    <n v="330.15"/>
    <n v="638.86"/>
    <n v="14.09"/>
    <n v="1199.02"/>
    <n v="1213.1099999999999"/>
    <m/>
  </r>
  <r>
    <d v="2019-12-01T00:00:00"/>
    <s v="2019-20"/>
    <n v="2019"/>
    <x v="4"/>
    <x v="4"/>
    <s v="West Bengal"/>
    <n v="19"/>
    <s v="State"/>
    <n v="1091.77"/>
    <n v="1473.38"/>
    <n v="869.74"/>
    <n v="313.35000000000002"/>
    <n v="3434.89"/>
    <n v="3748.24"/>
    <m/>
  </r>
  <r>
    <d v="2020-01-01T00:00:00"/>
    <s v="2019-20"/>
    <n v="2020"/>
    <x v="5"/>
    <x v="5"/>
    <s v="Andaman and Nicobar Islands"/>
    <n v="35"/>
    <s v="Union Territory"/>
    <n v="10.5"/>
    <n v="16.05"/>
    <n v="3.34"/>
    <n v="0.11"/>
    <n v="29.89"/>
    <n v="30"/>
    <m/>
  </r>
  <r>
    <d v="2020-01-01T00:00:00"/>
    <s v="2019-20"/>
    <n v="2020"/>
    <x v="5"/>
    <x v="5"/>
    <s v="Andhra Pradesh"/>
    <n v="28"/>
    <s v="State"/>
    <n v="609.78"/>
    <n v="860.74"/>
    <n v="776.19"/>
    <n v="108.83"/>
    <n v="2246.71"/>
    <n v="2355.54"/>
    <m/>
  </r>
  <r>
    <d v="2020-01-01T00:00:00"/>
    <s v="2019-20"/>
    <n v="2020"/>
    <x v="5"/>
    <x v="5"/>
    <s v="Arunachal Pradesh"/>
    <n v="12"/>
    <s v="State"/>
    <n v="18.350000000000001"/>
    <n v="24.5"/>
    <n v="9.1"/>
    <n v="0.2"/>
    <n v="51.95"/>
    <n v="52.15"/>
    <m/>
  </r>
  <r>
    <d v="2020-01-01T00:00:00"/>
    <s v="2019-20"/>
    <n v="2020"/>
    <x v="5"/>
    <x v="5"/>
    <s v="Assam"/>
    <n v="18"/>
    <s v="State"/>
    <n v="252.49"/>
    <n v="343.31"/>
    <n v="197.58"/>
    <n v="27.09"/>
    <n v="793.38"/>
    <n v="820.47"/>
    <m/>
  </r>
  <r>
    <d v="2020-01-01T00:00:00"/>
    <s v="2019-20"/>
    <n v="2020"/>
    <x v="5"/>
    <x v="5"/>
    <s v="Bihar"/>
    <n v="10"/>
    <s v="State"/>
    <n v="306.43"/>
    <n v="505.55"/>
    <n v="140.41999999999999"/>
    <n v="169.73"/>
    <n v="952.4"/>
    <n v="1122.1300000000001"/>
    <m/>
  </r>
  <r>
    <d v="2020-01-01T00:00:00"/>
    <s v="2019-20"/>
    <n v="2020"/>
    <x v="5"/>
    <x v="5"/>
    <s v="Chandigarh"/>
    <n v="4"/>
    <s v="Union Territory"/>
    <n v="40"/>
    <n v="59.25"/>
    <n v="91.82"/>
    <n v="3.56"/>
    <n v="191.07"/>
    <n v="194.63"/>
    <m/>
  </r>
  <r>
    <d v="2020-01-01T00:00:00"/>
    <s v="2019-20"/>
    <n v="2020"/>
    <x v="5"/>
    <x v="5"/>
    <s v="Chhattisgarh"/>
    <n v="22"/>
    <s v="State"/>
    <n v="400.26"/>
    <n v="495.05"/>
    <n v="672.36"/>
    <n v="587.58000000000004"/>
    <n v="1567.67"/>
    <n v="2155.25"/>
    <m/>
  </r>
  <r>
    <d v="2020-01-01T00:00:00"/>
    <s v="2019-20"/>
    <n v="2020"/>
    <x v="5"/>
    <x v="5"/>
    <s v="Dadra and Nagar Haveli and Daman and Diu"/>
    <n v="38"/>
    <s v="Union Territory"/>
    <n v="29.4"/>
    <n v="43.19"/>
    <n v="208.7"/>
    <n v="0.15"/>
    <n v="281.29000000000002"/>
    <n v="281.44"/>
    <m/>
  </r>
  <r>
    <d v="2020-01-01T00:00:00"/>
    <s v="2019-20"/>
    <n v="2020"/>
    <x v="5"/>
    <x v="5"/>
    <s v="Delhi"/>
    <n v="7"/>
    <s v="Union Territory"/>
    <n v="832.83"/>
    <n v="1110.76"/>
    <n v="1919.53"/>
    <n v="103.55"/>
    <n v="3863.12"/>
    <n v="3966.67"/>
    <m/>
  </r>
  <r>
    <d v="2020-01-01T00:00:00"/>
    <s v="2019-20"/>
    <n v="2020"/>
    <x v="5"/>
    <x v="5"/>
    <s v="Goa"/>
    <n v="30"/>
    <s v="State"/>
    <n v="111.53"/>
    <n v="163.16999999999999"/>
    <n v="157.51"/>
    <n v="4.84"/>
    <n v="432.21"/>
    <n v="437.05"/>
    <m/>
  </r>
  <r>
    <d v="2020-01-01T00:00:00"/>
    <s v="2019-20"/>
    <n v="2020"/>
    <x v="5"/>
    <x v="5"/>
    <s v="Gujarat"/>
    <n v="24"/>
    <s v="State"/>
    <n v="2012.05"/>
    <n v="2476.08"/>
    <n v="2408.58"/>
    <n v="433.02"/>
    <n v="6896.71"/>
    <n v="7329.73"/>
    <m/>
  </r>
  <r>
    <d v="2020-01-01T00:00:00"/>
    <s v="2019-20"/>
    <n v="2020"/>
    <x v="5"/>
    <x v="5"/>
    <s v="Haryana"/>
    <n v="6"/>
    <s v="State"/>
    <n v="892.27"/>
    <n v="1329.74"/>
    <n v="2963.13"/>
    <n v="301.67"/>
    <n v="5185.1400000000003"/>
    <n v="5486.81"/>
    <m/>
  </r>
  <r>
    <d v="2020-01-01T00:00:00"/>
    <s v="2019-20"/>
    <n v="2020"/>
    <x v="5"/>
    <x v="5"/>
    <s v="Himachal Pradesh"/>
    <n v="2"/>
    <s v="State"/>
    <n v="114.36"/>
    <n v="165.74"/>
    <n v="392.26"/>
    <n v="2.41"/>
    <n v="672.36"/>
    <n v="674.77"/>
    <m/>
  </r>
  <r>
    <d v="2020-01-01T00:00:00"/>
    <s v="2019-20"/>
    <n v="2020"/>
    <x v="5"/>
    <x v="5"/>
    <s v="Jammu and Kashmir"/>
    <n v="1"/>
    <s v="Union Territory"/>
    <n v="103.92"/>
    <n v="176.53"/>
    <n v="87.96"/>
    <n v="2.3199999999999998"/>
    <n v="368.41"/>
    <n v="370.73"/>
    <m/>
  </r>
  <r>
    <d v="2020-01-01T00:00:00"/>
    <s v="2019-20"/>
    <n v="2020"/>
    <x v="5"/>
    <x v="5"/>
    <s v="Jharkhand"/>
    <n v="20"/>
    <s v="State"/>
    <n v="344.13"/>
    <n v="472.23"/>
    <n v="730.18"/>
    <n v="480.78"/>
    <n v="1546.54"/>
    <n v="2027.32"/>
    <m/>
  </r>
  <r>
    <d v="2020-01-01T00:00:00"/>
    <s v="2019-20"/>
    <n v="2020"/>
    <x v="5"/>
    <x v="5"/>
    <s v="Karnataka"/>
    <n v="29"/>
    <s v="State"/>
    <n v="1787.49"/>
    <n v="2388.7600000000002"/>
    <n v="2673.76"/>
    <n v="755.18"/>
    <n v="6850.01"/>
    <n v="7605.19"/>
    <m/>
  </r>
  <r>
    <d v="2020-01-01T00:00:00"/>
    <s v="2019-20"/>
    <n v="2020"/>
    <x v="5"/>
    <x v="5"/>
    <s v="Kerala"/>
    <n v="32"/>
    <s v="State"/>
    <n v="576.61"/>
    <n v="931.32"/>
    <n v="327.44"/>
    <n v="23.51"/>
    <n v="1835.37"/>
    <n v="1858.88"/>
    <m/>
  </r>
  <r>
    <d v="2020-01-01T00:00:00"/>
    <s v="2019-20"/>
    <n v="2020"/>
    <x v="5"/>
    <x v="5"/>
    <s v="Lakshadweep"/>
    <n v="31"/>
    <s v="Union Territory"/>
    <n v="1.1000000000000001"/>
    <n v="1.54"/>
    <n v="0.06"/>
    <n v="0"/>
    <n v="2.7"/>
    <n v="2.7"/>
    <m/>
  </r>
  <r>
    <d v="2020-01-01T00:00:00"/>
    <s v="2019-20"/>
    <n v="2020"/>
    <x v="5"/>
    <x v="5"/>
    <s v="Madhya Pradesh"/>
    <n v="23"/>
    <s v="State"/>
    <n v="611.55999999999995"/>
    <n v="828.18"/>
    <n v="707.23"/>
    <n v="526.64"/>
    <n v="2146.9699999999998"/>
    <n v="2673.61"/>
    <m/>
  </r>
  <r>
    <d v="2020-01-01T00:00:00"/>
    <s v="2019-20"/>
    <n v="2020"/>
    <x v="5"/>
    <x v="5"/>
    <s v="Maharashtra"/>
    <n v="27"/>
    <s v="State"/>
    <n v="4797.0200000000004"/>
    <n v="5787.61"/>
    <n v="6423.32"/>
    <n v="1077.1500000000001"/>
    <n v="17007.95"/>
    <n v="18085.099999999999"/>
    <m/>
  </r>
  <r>
    <d v="2020-01-01T00:00:00"/>
    <s v="2019-20"/>
    <n v="2020"/>
    <x v="5"/>
    <x v="5"/>
    <s v="Manipur"/>
    <n v="14"/>
    <s v="State"/>
    <n v="11.74"/>
    <n v="20.79"/>
    <n v="2.17"/>
    <n v="0.34"/>
    <n v="34.700000000000003"/>
    <n v="35.04"/>
    <m/>
  </r>
  <r>
    <d v="2020-01-01T00:00:00"/>
    <s v="2019-20"/>
    <n v="2020"/>
    <x v="5"/>
    <x v="5"/>
    <s v="Meghalaya"/>
    <n v="17"/>
    <s v="State"/>
    <n v="18.850000000000001"/>
    <n v="29.33"/>
    <n v="79.92"/>
    <n v="0.26"/>
    <n v="128.1"/>
    <n v="128.36000000000001"/>
    <m/>
  </r>
  <r>
    <d v="2020-01-01T00:00:00"/>
    <s v="2019-20"/>
    <n v="2020"/>
    <x v="5"/>
    <x v="5"/>
    <s v="Mizoram"/>
    <n v="15"/>
    <s v="State"/>
    <n v="7.4"/>
    <n v="10.67"/>
    <n v="6.26"/>
    <n v="0.04"/>
    <n v="24.33"/>
    <n v="24.37"/>
    <m/>
  </r>
  <r>
    <d v="2020-01-01T00:00:00"/>
    <s v="2019-20"/>
    <n v="2020"/>
    <x v="5"/>
    <x v="5"/>
    <s v="Nagaland"/>
    <n v="13"/>
    <s v="State"/>
    <n v="9.8000000000000007"/>
    <n v="15.98"/>
    <n v="5.92"/>
    <n v="0.4"/>
    <n v="31.7"/>
    <n v="32.1"/>
    <m/>
  </r>
  <r>
    <d v="2020-01-01T00:00:00"/>
    <s v="2019-20"/>
    <n v="2020"/>
    <x v="5"/>
    <x v="5"/>
    <s v="Odisha"/>
    <n v="21"/>
    <s v="State"/>
    <n v="563.85"/>
    <n v="744.33"/>
    <n v="674.18"/>
    <n v="521.61"/>
    <n v="1982.36"/>
    <n v="2503.9699999999998"/>
    <m/>
  </r>
  <r>
    <d v="2020-01-01T00:00:00"/>
    <s v="2019-20"/>
    <n v="2020"/>
    <x v="5"/>
    <x v="5"/>
    <s v="Puducherry"/>
    <n v="34"/>
    <s v="Union Territory"/>
    <n v="24.77"/>
    <n v="39.76"/>
    <n v="121.33"/>
    <n v="1.7"/>
    <n v="185.86"/>
    <n v="187.56"/>
    <m/>
  </r>
  <r>
    <d v="2020-01-01T00:00:00"/>
    <s v="2019-20"/>
    <n v="2020"/>
    <x v="5"/>
    <x v="5"/>
    <s v="Punjab"/>
    <n v="3"/>
    <s v="State"/>
    <n v="343.21"/>
    <n v="569.36"/>
    <n v="409.72"/>
    <n v="18.02"/>
    <n v="1322.29"/>
    <n v="1340.31"/>
    <m/>
  </r>
  <r>
    <d v="2020-01-01T00:00:00"/>
    <s v="2019-20"/>
    <n v="2020"/>
    <x v="5"/>
    <x v="5"/>
    <s v="Rajasthan"/>
    <n v="8"/>
    <s v="State"/>
    <n v="843.7"/>
    <n v="1149.97"/>
    <n v="923.23"/>
    <n v="113.15"/>
    <n v="2916.9"/>
    <n v="3030.05"/>
    <m/>
  </r>
  <r>
    <d v="2020-01-01T00:00:00"/>
    <s v="2019-20"/>
    <n v="2020"/>
    <x v="5"/>
    <x v="5"/>
    <s v="Sikkim"/>
    <n v="11"/>
    <s v="State"/>
    <n v="14.01"/>
    <n v="19.399999999999999"/>
    <n v="160.22"/>
    <n v="0.53"/>
    <n v="193.63"/>
    <n v="194.16"/>
    <m/>
  </r>
  <r>
    <d v="2020-01-01T00:00:00"/>
    <s v="2019-20"/>
    <n v="2020"/>
    <x v="5"/>
    <x v="5"/>
    <s v="Tamil Nadu"/>
    <n v="33"/>
    <s v="State"/>
    <n v="1694.05"/>
    <n v="2318.12"/>
    <n v="2103.9299999999998"/>
    <n v="586.77"/>
    <n v="6116.1"/>
    <n v="6702.87"/>
    <m/>
  </r>
  <r>
    <d v="2020-01-01T00:00:00"/>
    <s v="2019-20"/>
    <n v="2020"/>
    <x v="5"/>
    <x v="5"/>
    <s v="Telangana"/>
    <n v="36"/>
    <s v="State"/>
    <n v="930.73"/>
    <n v="1317.66"/>
    <n v="974.94"/>
    <n v="563.64"/>
    <n v="3223.33"/>
    <n v="3786.97"/>
    <m/>
  </r>
  <r>
    <d v="2020-01-01T00:00:00"/>
    <s v="2019-20"/>
    <n v="2020"/>
    <x v="5"/>
    <x v="5"/>
    <s v="Tripura"/>
    <n v="16"/>
    <s v="State"/>
    <n v="19.96"/>
    <n v="30.54"/>
    <n v="5.81"/>
    <n v="0.09"/>
    <n v="56.31"/>
    <n v="56.4"/>
    <m/>
  </r>
  <r>
    <d v="2020-01-01T00:00:00"/>
    <s v="2019-20"/>
    <n v="2020"/>
    <x v="5"/>
    <x v="5"/>
    <s v="Uttar Pradesh"/>
    <n v="9"/>
    <s v="State"/>
    <n v="1253.55"/>
    <n v="1939.59"/>
    <n v="1443.6"/>
    <n v="1061.74"/>
    <n v="4636.74"/>
    <n v="5698.48"/>
    <m/>
  </r>
  <r>
    <d v="2020-01-01T00:00:00"/>
    <s v="2019-20"/>
    <n v="2020"/>
    <x v="5"/>
    <x v="5"/>
    <s v="Uttarakhand"/>
    <n v="5"/>
    <s v="State"/>
    <n v="234.39"/>
    <n v="326.37"/>
    <n v="677.86"/>
    <n v="18.03"/>
    <n v="1238.6199999999999"/>
    <n v="1256.6500000000001"/>
    <m/>
  </r>
  <r>
    <d v="2020-01-01T00:00:00"/>
    <s v="2019-20"/>
    <n v="2020"/>
    <x v="5"/>
    <x v="5"/>
    <s v="West Bengal"/>
    <n v="19"/>
    <s v="State"/>
    <n v="1113.53"/>
    <n v="1501.6"/>
    <n v="812.89"/>
    <n v="318.83999999999997"/>
    <n v="3428.02"/>
    <n v="3746.86"/>
    <m/>
  </r>
  <r>
    <d v="2020-02-01T00:00:00"/>
    <s v="2019-20"/>
    <n v="2020"/>
    <x v="6"/>
    <x v="6"/>
    <s v="Andaman and Nicobar Islands"/>
    <n v="35"/>
    <s v="Union Territory"/>
    <n v="13.62"/>
    <n v="18.88"/>
    <n v="3.45"/>
    <n v="0.06"/>
    <n v="35.950000000000003"/>
    <n v="36.01"/>
    <m/>
  </r>
  <r>
    <d v="2020-02-01T00:00:00"/>
    <s v="2019-20"/>
    <n v="2020"/>
    <x v="6"/>
    <x v="6"/>
    <s v="Andhra Pradesh"/>
    <n v="28"/>
    <s v="State"/>
    <n v="623.51"/>
    <n v="854.02"/>
    <n v="801.81"/>
    <n v="283.99"/>
    <n v="2279.34"/>
    <n v="2563.33"/>
    <m/>
  </r>
  <r>
    <d v="2020-02-01T00:00:00"/>
    <s v="2019-20"/>
    <n v="2020"/>
    <x v="6"/>
    <x v="6"/>
    <s v="Arunachal Pradesh"/>
    <n v="12"/>
    <s v="State"/>
    <n v="18.63"/>
    <n v="24.75"/>
    <n v="4.5599999999999996"/>
    <n v="0.42"/>
    <n v="47.94"/>
    <n v="48.36"/>
    <m/>
  </r>
  <r>
    <d v="2020-02-01T00:00:00"/>
    <s v="2019-20"/>
    <n v="2020"/>
    <x v="6"/>
    <x v="6"/>
    <s v="Assam"/>
    <n v="18"/>
    <s v="State"/>
    <n v="280.49"/>
    <n v="381.43"/>
    <n v="213.22"/>
    <n v="48.73"/>
    <n v="875.14"/>
    <n v="923.87"/>
    <m/>
  </r>
  <r>
    <d v="2020-02-01T00:00:00"/>
    <s v="2019-20"/>
    <n v="2020"/>
    <x v="6"/>
    <x v="6"/>
    <s v="Bihar"/>
    <n v="10"/>
    <s v="State"/>
    <n v="309.20999999999998"/>
    <n v="498.48"/>
    <n v="134.29"/>
    <n v="178.52"/>
    <n v="941.98"/>
    <n v="1120.5"/>
    <m/>
  </r>
  <r>
    <d v="2020-02-01T00:00:00"/>
    <s v="2019-20"/>
    <n v="2020"/>
    <x v="6"/>
    <x v="6"/>
    <s v="Chandigarh"/>
    <n v="4"/>
    <s v="Union Territory"/>
    <n v="36.32"/>
    <n v="49.4"/>
    <n v="85.2"/>
    <n v="1.45"/>
    <n v="170.92"/>
    <n v="172.37"/>
    <m/>
  </r>
  <r>
    <d v="2020-02-01T00:00:00"/>
    <s v="2019-20"/>
    <n v="2020"/>
    <x v="6"/>
    <x v="6"/>
    <s v="Chhattisgarh"/>
    <n v="22"/>
    <s v="State"/>
    <n v="402.09"/>
    <n v="497.24"/>
    <n v="775.67"/>
    <n v="599.41"/>
    <n v="1675"/>
    <n v="2274.41"/>
    <m/>
  </r>
  <r>
    <d v="2020-02-01T00:00:00"/>
    <s v="2019-20"/>
    <n v="2020"/>
    <x v="6"/>
    <x v="6"/>
    <s v="Dadra and Nagar Haveli and Daman and Diu"/>
    <n v="38"/>
    <s v="Union Territory"/>
    <n v="27.39"/>
    <n v="39.07"/>
    <n v="173.35"/>
    <n v="0.08"/>
    <n v="239.81"/>
    <n v="239.89"/>
    <m/>
  </r>
  <r>
    <d v="2020-02-01T00:00:00"/>
    <s v="2019-20"/>
    <n v="2020"/>
    <x v="6"/>
    <x v="6"/>
    <s v="Delhi"/>
    <n v="7"/>
    <s v="Union Territory"/>
    <n v="782.09"/>
    <n v="993.45"/>
    <n v="1965.09"/>
    <n v="94.12"/>
    <n v="3740.63"/>
    <n v="3834.75"/>
    <m/>
  </r>
  <r>
    <d v="2020-02-01T00:00:00"/>
    <s v="2019-20"/>
    <n v="2020"/>
    <x v="6"/>
    <x v="6"/>
    <s v="Goa"/>
    <n v="30"/>
    <s v="State"/>
    <n v="107.93"/>
    <n v="148.28"/>
    <n v="151.18"/>
    <n v="3.22"/>
    <n v="407.39"/>
    <n v="410.61"/>
    <m/>
  </r>
  <r>
    <d v="2020-02-01T00:00:00"/>
    <s v="2019-20"/>
    <n v="2020"/>
    <x v="6"/>
    <x v="6"/>
    <s v="Gujarat"/>
    <n v="24"/>
    <s v="State"/>
    <n v="1983.73"/>
    <n v="2534.41"/>
    <n v="2208.14"/>
    <n v="489.26"/>
    <n v="6726.28"/>
    <n v="7215.54"/>
    <m/>
  </r>
  <r>
    <d v="2020-02-01T00:00:00"/>
    <s v="2019-20"/>
    <n v="2020"/>
    <x v="6"/>
    <x v="6"/>
    <s v="Haryana"/>
    <n v="6"/>
    <s v="State"/>
    <n v="883.07"/>
    <n v="1269.3599999999999"/>
    <n v="2868.45"/>
    <n v="245.55"/>
    <n v="5020.88"/>
    <n v="5266.43"/>
    <m/>
  </r>
  <r>
    <d v="2020-02-01T00:00:00"/>
    <s v="2019-20"/>
    <n v="2020"/>
    <x v="6"/>
    <x v="6"/>
    <s v="Himachal Pradesh"/>
    <n v="2"/>
    <s v="State"/>
    <n v="102.18"/>
    <n v="140.37"/>
    <n v="376.8"/>
    <n v="1.34"/>
    <n v="619.35"/>
    <n v="620.69000000000005"/>
    <m/>
  </r>
  <r>
    <d v="2020-02-01T00:00:00"/>
    <s v="2019-20"/>
    <n v="2020"/>
    <x v="6"/>
    <x v="6"/>
    <s v="Jammu and Kashmir"/>
    <n v="1"/>
    <s v="Union Territory"/>
    <n v="93.82"/>
    <n v="144.4"/>
    <n v="76.08"/>
    <n v="1.87"/>
    <n v="314.3"/>
    <n v="316.17"/>
    <m/>
  </r>
  <r>
    <d v="2020-02-01T00:00:00"/>
    <s v="2019-20"/>
    <n v="2020"/>
    <x v="6"/>
    <x v="6"/>
    <s v="Jharkhand"/>
    <n v="20"/>
    <s v="State"/>
    <n v="367.84"/>
    <n v="476.85"/>
    <n v="755.25"/>
    <n v="470.93"/>
    <n v="1599.94"/>
    <n v="2070.87"/>
    <m/>
  </r>
  <r>
    <d v="2020-02-01T00:00:00"/>
    <s v="2019-20"/>
    <n v="2020"/>
    <x v="6"/>
    <x v="6"/>
    <s v="Karnataka"/>
    <n v="29"/>
    <s v="State"/>
    <n v="1826.93"/>
    <n v="2380.61"/>
    <n v="2516.9499999999998"/>
    <n v="689.34"/>
    <n v="6724.49"/>
    <n v="7413.83"/>
    <m/>
  </r>
  <r>
    <d v="2020-02-01T00:00:00"/>
    <s v="2019-20"/>
    <n v="2020"/>
    <x v="6"/>
    <x v="6"/>
    <s v="Kerala"/>
    <n v="32"/>
    <s v="State"/>
    <n v="574.63"/>
    <n v="845.43"/>
    <n v="320.52999999999997"/>
    <n v="13.53"/>
    <n v="1740.59"/>
    <n v="1754.12"/>
    <m/>
  </r>
  <r>
    <d v="2020-02-01T00:00:00"/>
    <s v="2019-20"/>
    <n v="2020"/>
    <x v="6"/>
    <x v="6"/>
    <s v="Ladakh"/>
    <n v="37"/>
    <s v="Union Territory"/>
    <n v="0.71"/>
    <n v="0.71"/>
    <n v="0.09"/>
    <n v="2.96"/>
    <n v="1.51"/>
    <n v="4.47"/>
    <m/>
  </r>
  <r>
    <d v="2020-02-01T00:00:00"/>
    <s v="2019-20"/>
    <n v="2020"/>
    <x v="6"/>
    <x v="6"/>
    <s v="Lakshadweep"/>
    <n v="31"/>
    <s v="Union Territory"/>
    <n v="0.99"/>
    <n v="1.1100000000000001"/>
    <n v="0.04"/>
    <n v="0"/>
    <n v="2.14"/>
    <n v="2.14"/>
    <m/>
  </r>
  <r>
    <d v="2020-02-01T00:00:00"/>
    <s v="2019-20"/>
    <n v="2020"/>
    <x v="6"/>
    <x v="6"/>
    <s v="Madhya Pradesh"/>
    <n v="23"/>
    <s v="State"/>
    <n v="620.12"/>
    <n v="820.25"/>
    <n v="667.92"/>
    <n v="512.74"/>
    <n v="2108.29"/>
    <n v="2621.0300000000002"/>
    <m/>
  </r>
  <r>
    <d v="2020-02-01T00:00:00"/>
    <s v="2019-20"/>
    <n v="2020"/>
    <x v="6"/>
    <x v="6"/>
    <s v="Maharashtra"/>
    <n v="27"/>
    <s v="State"/>
    <n v="4437.5600000000004"/>
    <n v="5443.23"/>
    <n v="4853.54"/>
    <n v="1000.33"/>
    <n v="14734.33"/>
    <n v="15734.66"/>
    <m/>
  </r>
  <r>
    <d v="2020-02-01T00:00:00"/>
    <s v="2019-20"/>
    <n v="2020"/>
    <x v="6"/>
    <x v="6"/>
    <s v="Manipur"/>
    <n v="14"/>
    <s v="State"/>
    <n v="13.97"/>
    <n v="20.440000000000001"/>
    <n v="2.79"/>
    <n v="0.16"/>
    <n v="37.200000000000003"/>
    <n v="37.36"/>
    <m/>
  </r>
  <r>
    <d v="2020-02-01T00:00:00"/>
    <s v="2019-20"/>
    <n v="2020"/>
    <x v="6"/>
    <x v="6"/>
    <s v="Meghalaya"/>
    <n v="17"/>
    <s v="State"/>
    <n v="19.98"/>
    <n v="29.18"/>
    <n v="107.18"/>
    <n v="0.23"/>
    <n v="156.34"/>
    <n v="156.57"/>
    <m/>
  </r>
  <r>
    <d v="2020-02-01T00:00:00"/>
    <s v="2019-20"/>
    <n v="2020"/>
    <x v="6"/>
    <x v="6"/>
    <s v="Mizoram"/>
    <n v="15"/>
    <s v="State"/>
    <n v="7.42"/>
    <n v="12.99"/>
    <n v="4.3"/>
    <n v="0.13"/>
    <n v="24.71"/>
    <n v="24.84"/>
    <m/>
  </r>
  <r>
    <d v="2020-02-01T00:00:00"/>
    <s v="2019-20"/>
    <n v="2020"/>
    <x v="6"/>
    <x v="6"/>
    <s v="Nagaland"/>
    <n v="13"/>
    <s v="State"/>
    <n v="8.26"/>
    <n v="11.31"/>
    <n v="4.3600000000000003"/>
    <n v="1"/>
    <n v="23.93"/>
    <n v="24.93"/>
    <m/>
  </r>
  <r>
    <d v="2020-02-01T00:00:00"/>
    <s v="2019-20"/>
    <n v="2020"/>
    <x v="6"/>
    <x v="6"/>
    <s v="Odisha"/>
    <n v="21"/>
    <s v="State"/>
    <n v="618.78"/>
    <n v="804.85"/>
    <n v="792.59"/>
    <n v="573.94000000000005"/>
    <n v="2216.2199999999998"/>
    <n v="2790.16"/>
    <m/>
  </r>
  <r>
    <d v="2020-02-01T00:00:00"/>
    <s v="2019-20"/>
    <n v="2020"/>
    <x v="6"/>
    <x v="6"/>
    <s v="Puducherry"/>
    <n v="34"/>
    <s v="Union Territory"/>
    <n v="22.56"/>
    <n v="34.369999999999997"/>
    <n v="100.99"/>
    <n v="0.94"/>
    <n v="157.91999999999999"/>
    <n v="158.86000000000001"/>
    <m/>
  </r>
  <r>
    <d v="2020-02-01T00:00:00"/>
    <s v="2019-20"/>
    <n v="2020"/>
    <x v="6"/>
    <x v="6"/>
    <s v="Punjab"/>
    <n v="3"/>
    <s v="State"/>
    <n v="308.58"/>
    <n v="503.82"/>
    <n v="403.5"/>
    <n v="13.04"/>
    <n v="1215.9000000000001"/>
    <n v="1228.94"/>
    <m/>
  </r>
  <r>
    <d v="2020-02-01T00:00:00"/>
    <s v="2019-20"/>
    <n v="2020"/>
    <x v="6"/>
    <x v="6"/>
    <s v="Rajasthan"/>
    <n v="8"/>
    <s v="State"/>
    <n v="801.02"/>
    <n v="1046.69"/>
    <n v="968.05"/>
    <n v="116.33"/>
    <n v="2815.76"/>
    <n v="2932.09"/>
    <m/>
  </r>
  <r>
    <d v="2020-02-01T00:00:00"/>
    <s v="2019-20"/>
    <n v="2020"/>
    <x v="6"/>
    <x v="6"/>
    <s v="Sikkim"/>
    <n v="11"/>
    <s v="State"/>
    <n v="9.76"/>
    <n v="15.98"/>
    <n v="156.85"/>
    <n v="0.06"/>
    <n v="182.59"/>
    <n v="182.65"/>
    <m/>
  </r>
  <r>
    <d v="2020-02-01T00:00:00"/>
    <s v="2019-20"/>
    <n v="2020"/>
    <x v="6"/>
    <x v="6"/>
    <s v="Tamil Nadu"/>
    <n v="33"/>
    <s v="State"/>
    <n v="1702.54"/>
    <n v="2332.04"/>
    <n v="1988.5"/>
    <n v="403.41"/>
    <n v="6023.08"/>
    <n v="6426.49"/>
    <m/>
  </r>
  <r>
    <d v="2020-02-01T00:00:00"/>
    <s v="2019-20"/>
    <n v="2020"/>
    <x v="6"/>
    <x v="6"/>
    <s v="Telangana"/>
    <n v="36"/>
    <s v="State"/>
    <n v="932.54"/>
    <n v="1208.5999999999999"/>
    <n v="933.38"/>
    <n v="592.61"/>
    <n v="3074.52"/>
    <n v="3667.13"/>
    <m/>
  </r>
  <r>
    <d v="2020-02-01T00:00:00"/>
    <s v="2019-20"/>
    <n v="2020"/>
    <x v="6"/>
    <x v="6"/>
    <s v="Tripura"/>
    <n v="16"/>
    <s v="State"/>
    <n v="22.55"/>
    <n v="33.57"/>
    <n v="6.92"/>
    <n v="0.22"/>
    <n v="63.04"/>
    <n v="63.26"/>
    <m/>
  </r>
  <r>
    <d v="2020-02-01T00:00:00"/>
    <s v="2019-20"/>
    <n v="2020"/>
    <x v="6"/>
    <x v="6"/>
    <s v="Uttar Pradesh"/>
    <n v="9"/>
    <s v="State"/>
    <n v="1229.3"/>
    <n v="1869.38"/>
    <n v="1478.92"/>
    <n v="1198.31"/>
    <n v="4577.6000000000004"/>
    <n v="5775.91"/>
    <m/>
  </r>
  <r>
    <d v="2020-02-01T00:00:00"/>
    <s v="2019-20"/>
    <n v="2020"/>
    <x v="6"/>
    <x v="6"/>
    <s v="Uttarakhand"/>
    <n v="5"/>
    <s v="State"/>
    <n v="229.59"/>
    <n v="310.31"/>
    <n v="723.23"/>
    <n v="17.8"/>
    <n v="1263.1300000000001"/>
    <n v="1280.93"/>
    <m/>
  </r>
  <r>
    <d v="2020-02-01T00:00:00"/>
    <s v="2019-20"/>
    <n v="2020"/>
    <x v="6"/>
    <x v="6"/>
    <s v="West Bengal"/>
    <n v="19"/>
    <s v="State"/>
    <n v="1140.54"/>
    <n v="1539.89"/>
    <n v="910.58"/>
    <n v="350.53"/>
    <n v="3591.01"/>
    <n v="3941.54"/>
    <m/>
  </r>
  <r>
    <d v="2020-03-01T00:00:00"/>
    <s v="2019-20"/>
    <n v="2020"/>
    <x v="7"/>
    <x v="7"/>
    <s v="Andaman and Nicobar Islands"/>
    <n v="35"/>
    <s v="Union Territory"/>
    <n v="15.87"/>
    <n v="19.61"/>
    <n v="3.04"/>
    <n v="0.06"/>
    <n v="38.520000000000003"/>
    <n v="38.58"/>
    <m/>
  </r>
  <r>
    <d v="2020-03-01T00:00:00"/>
    <s v="2019-20"/>
    <n v="2020"/>
    <x v="7"/>
    <x v="7"/>
    <s v="Andhra Pradesh"/>
    <n v="28"/>
    <s v="State"/>
    <n v="561.24"/>
    <n v="789.01"/>
    <n v="896.06"/>
    <n v="301.83"/>
    <n v="2246.31"/>
    <n v="2548.14"/>
    <m/>
  </r>
  <r>
    <d v="2020-03-01T00:00:00"/>
    <s v="2019-20"/>
    <n v="2020"/>
    <x v="7"/>
    <x v="7"/>
    <s v="Arunachal Pradesh"/>
    <n v="12"/>
    <s v="State"/>
    <n v="27.5"/>
    <n v="33.229999999999997"/>
    <n v="5.96"/>
    <n v="0.01"/>
    <n v="66.69"/>
    <n v="66.7"/>
    <m/>
  </r>
  <r>
    <d v="2020-03-01T00:00:00"/>
    <s v="2019-20"/>
    <n v="2020"/>
    <x v="7"/>
    <x v="7"/>
    <s v="Assam"/>
    <n v="18"/>
    <s v="State"/>
    <n v="288.87"/>
    <n v="389.2"/>
    <n v="213.26"/>
    <n v="40.39"/>
    <n v="891.33"/>
    <n v="931.72"/>
    <m/>
  </r>
  <r>
    <d v="2020-03-01T00:00:00"/>
    <s v="2019-20"/>
    <n v="2020"/>
    <x v="7"/>
    <x v="7"/>
    <s v="Bihar"/>
    <n v="10"/>
    <s v="State"/>
    <n v="305.76"/>
    <n v="496.81"/>
    <n v="118.13"/>
    <n v="135.25"/>
    <n v="920.7"/>
    <n v="1055.95"/>
    <m/>
  </r>
  <r>
    <d v="2020-03-01T00:00:00"/>
    <s v="2019-20"/>
    <n v="2020"/>
    <x v="7"/>
    <x v="7"/>
    <s v="Chandigarh"/>
    <n v="4"/>
    <s v="Union Territory"/>
    <n v="30.03"/>
    <n v="41.32"/>
    <n v="79.41"/>
    <n v="2.5"/>
    <n v="150.76"/>
    <n v="153.26"/>
    <m/>
  </r>
  <r>
    <d v="2020-03-01T00:00:00"/>
    <s v="2019-20"/>
    <n v="2020"/>
    <x v="7"/>
    <x v="7"/>
    <s v="Chhattisgarh"/>
    <n v="22"/>
    <s v="State"/>
    <n v="418.63"/>
    <n v="500.24"/>
    <n v="595.26"/>
    <n v="579.03"/>
    <n v="1514.13"/>
    <n v="2093.16"/>
    <m/>
  </r>
  <r>
    <d v="2020-03-01T00:00:00"/>
    <s v="2019-20"/>
    <n v="2020"/>
    <x v="7"/>
    <x v="7"/>
    <s v="Dadra and Nagar Haveli and Daman and Diu"/>
    <n v="38"/>
    <s v="Union Territory"/>
    <n v="29.41"/>
    <n v="40.26"/>
    <n v="193.93"/>
    <n v="0.2"/>
    <n v="263.60000000000002"/>
    <n v="263.8"/>
    <m/>
  </r>
  <r>
    <d v="2020-03-01T00:00:00"/>
    <s v="2019-20"/>
    <n v="2020"/>
    <x v="7"/>
    <x v="7"/>
    <s v="Delhi"/>
    <n v="7"/>
    <s v="Union Territory"/>
    <n v="680.88"/>
    <n v="881.72"/>
    <n v="1617.06"/>
    <n v="93.33"/>
    <n v="3179.66"/>
    <n v="3272.99"/>
    <m/>
  </r>
  <r>
    <d v="2020-03-01T00:00:00"/>
    <s v="2019-20"/>
    <n v="2020"/>
    <x v="7"/>
    <x v="7"/>
    <s v="Goa"/>
    <n v="30"/>
    <s v="State"/>
    <n v="77.180000000000007"/>
    <n v="111.96"/>
    <n v="125.14"/>
    <n v="2.2000000000000002"/>
    <n v="314.27999999999997"/>
    <n v="316.48"/>
    <m/>
  </r>
  <r>
    <d v="2020-03-01T00:00:00"/>
    <s v="2019-20"/>
    <n v="2020"/>
    <x v="7"/>
    <x v="7"/>
    <s v="Gujarat"/>
    <n v="24"/>
    <s v="State"/>
    <n v="1886.25"/>
    <n v="2359.5500000000002"/>
    <n v="2218.04"/>
    <n v="356.62"/>
    <n v="6463.84"/>
    <n v="6820.46"/>
    <m/>
  </r>
  <r>
    <d v="2020-03-01T00:00:00"/>
    <s v="2019-20"/>
    <n v="2020"/>
    <x v="7"/>
    <x v="7"/>
    <s v="Haryana"/>
    <n v="6"/>
    <s v="State"/>
    <n v="736.47"/>
    <n v="1074.1400000000001"/>
    <n v="2678.42"/>
    <n v="385.26"/>
    <n v="4489.03"/>
    <n v="4874.29"/>
    <m/>
  </r>
  <r>
    <d v="2020-03-01T00:00:00"/>
    <s v="2019-20"/>
    <n v="2020"/>
    <x v="7"/>
    <x v="7"/>
    <s v="Himachal Pradesh"/>
    <n v="2"/>
    <s v="State"/>
    <n v="91.2"/>
    <n v="135.87"/>
    <n v="367.61"/>
    <n v="1.21"/>
    <n v="594.67999999999995"/>
    <n v="595.89"/>
    <m/>
  </r>
  <r>
    <d v="2020-03-01T00:00:00"/>
    <s v="2019-20"/>
    <n v="2020"/>
    <x v="7"/>
    <x v="7"/>
    <s v="Jammu and Kashmir"/>
    <n v="1"/>
    <s v="Union Territory"/>
    <n v="69.89"/>
    <n v="126"/>
    <n v="77.12"/>
    <n v="3.16"/>
    <n v="273.01"/>
    <n v="276.17"/>
    <m/>
  </r>
  <r>
    <d v="2020-03-01T00:00:00"/>
    <s v="2019-20"/>
    <n v="2020"/>
    <x v="7"/>
    <x v="7"/>
    <s v="Jharkhand"/>
    <n v="20"/>
    <s v="State"/>
    <n v="388.64"/>
    <n v="499.95"/>
    <n v="666.91"/>
    <n v="493.93"/>
    <n v="1555.5"/>
    <n v="2049.4299999999998"/>
    <m/>
  </r>
  <r>
    <d v="2020-03-01T00:00:00"/>
    <s v="2019-20"/>
    <n v="2020"/>
    <x v="7"/>
    <x v="7"/>
    <s v="Karnataka"/>
    <n v="29"/>
    <s v="State"/>
    <n v="1716.85"/>
    <n v="2230.64"/>
    <n v="2386.8000000000002"/>
    <n v="810.01"/>
    <n v="6334.29"/>
    <n v="7144.3"/>
    <m/>
  </r>
  <r>
    <d v="2020-03-01T00:00:00"/>
    <s v="2019-20"/>
    <n v="2020"/>
    <x v="7"/>
    <x v="7"/>
    <s v="Kerala"/>
    <n v="32"/>
    <s v="State"/>
    <n v="476.03"/>
    <n v="714.6"/>
    <n v="277.68"/>
    <n v="6.95"/>
    <n v="1468.31"/>
    <n v="1475.26"/>
    <m/>
  </r>
  <r>
    <d v="2020-03-01T00:00:00"/>
    <s v="2019-20"/>
    <n v="2020"/>
    <x v="7"/>
    <x v="7"/>
    <s v="Ladakh"/>
    <n v="37"/>
    <s v="Union Territory"/>
    <n v="0.22"/>
    <n v="0.22"/>
    <n v="0.15"/>
    <n v="0.25"/>
    <n v="0.59"/>
    <n v="0.84"/>
    <m/>
  </r>
  <r>
    <d v="2020-03-01T00:00:00"/>
    <s v="2019-20"/>
    <n v="2020"/>
    <x v="7"/>
    <x v="7"/>
    <s v="Lakshadweep"/>
    <n v="31"/>
    <s v="Union Territory"/>
    <n v="0.13"/>
    <n v="1.18"/>
    <n v="0.03"/>
    <n v="0"/>
    <n v="1.34"/>
    <n v="1.34"/>
    <m/>
  </r>
  <r>
    <d v="2020-03-01T00:00:00"/>
    <s v="2019-20"/>
    <n v="2020"/>
    <x v="7"/>
    <x v="7"/>
    <s v="Madhya Pradesh"/>
    <n v="23"/>
    <s v="State"/>
    <n v="541.53"/>
    <n v="746.66"/>
    <n v="645.04"/>
    <n v="474.16"/>
    <n v="1933.23"/>
    <n v="2407.39"/>
    <m/>
  </r>
  <r>
    <d v="2020-03-01T00:00:00"/>
    <s v="2019-20"/>
    <n v="2020"/>
    <x v="7"/>
    <x v="7"/>
    <s v="Maharashtra"/>
    <n v="27"/>
    <s v="State"/>
    <n v="4232.3999999999996"/>
    <n v="5126.62"/>
    <n v="4755.47"/>
    <n v="887.61"/>
    <n v="14114.49"/>
    <n v="15002.1"/>
    <m/>
  </r>
  <r>
    <d v="2020-03-01T00:00:00"/>
    <s v="2019-20"/>
    <n v="2020"/>
    <x v="7"/>
    <x v="7"/>
    <s v="Manipur"/>
    <n v="14"/>
    <s v="State"/>
    <n v="13.67"/>
    <n v="20.350000000000001"/>
    <n v="1.73"/>
    <n v="0.14000000000000001"/>
    <n v="35.75"/>
    <n v="35.89"/>
    <m/>
  </r>
  <r>
    <d v="2020-03-01T00:00:00"/>
    <s v="2019-20"/>
    <n v="2020"/>
    <x v="7"/>
    <x v="7"/>
    <s v="Meghalaya"/>
    <n v="17"/>
    <s v="State"/>
    <n v="18.440000000000001"/>
    <n v="23.82"/>
    <n v="90.4"/>
    <n v="7.0000000000000007E-2"/>
    <n v="132.66"/>
    <n v="132.72999999999999"/>
    <m/>
  </r>
  <r>
    <d v="2020-03-01T00:00:00"/>
    <s v="2019-20"/>
    <n v="2020"/>
    <x v="7"/>
    <x v="7"/>
    <s v="Mizoram"/>
    <n v="15"/>
    <s v="State"/>
    <n v="11.65"/>
    <n v="17"/>
    <n v="4.51"/>
    <n v="0.02"/>
    <n v="33.159999999999997"/>
    <n v="33.18"/>
    <m/>
  </r>
  <r>
    <d v="2020-03-01T00:00:00"/>
    <s v="2019-20"/>
    <n v="2020"/>
    <x v="7"/>
    <x v="7"/>
    <s v="Nagaland"/>
    <n v="13"/>
    <s v="State"/>
    <n v="14.1"/>
    <n v="18.32"/>
    <n v="5.9"/>
    <n v="0.44"/>
    <n v="38.32"/>
    <n v="38.76"/>
    <m/>
  </r>
  <r>
    <d v="2020-03-01T00:00:00"/>
    <s v="2019-20"/>
    <n v="2020"/>
    <x v="7"/>
    <x v="7"/>
    <s v="Odisha"/>
    <n v="21"/>
    <s v="State"/>
    <n v="583.79"/>
    <n v="776.28"/>
    <n v="731.77"/>
    <n v="541.04"/>
    <n v="2091.84"/>
    <n v="2632.88"/>
    <m/>
  </r>
  <r>
    <d v="2020-03-01T00:00:00"/>
    <s v="2019-20"/>
    <n v="2020"/>
    <x v="7"/>
    <x v="7"/>
    <s v="Puducherry"/>
    <n v="34"/>
    <s v="Union Territory"/>
    <n v="20.53"/>
    <n v="30.34"/>
    <n v="98.08"/>
    <n v="0.37"/>
    <n v="148.94999999999999"/>
    <n v="149.32"/>
    <m/>
  </r>
  <r>
    <d v="2020-03-01T00:00:00"/>
    <s v="2019-20"/>
    <n v="2020"/>
    <x v="7"/>
    <x v="7"/>
    <s v="Punjab"/>
    <n v="3"/>
    <s v="State"/>
    <n v="301.44"/>
    <n v="484.36"/>
    <n v="374.6"/>
    <n v="20.41"/>
    <n v="1160.4000000000001"/>
    <n v="1180.81"/>
    <m/>
  </r>
  <r>
    <d v="2020-03-01T00:00:00"/>
    <s v="2019-20"/>
    <n v="2020"/>
    <x v="7"/>
    <x v="7"/>
    <s v="Rajasthan"/>
    <n v="8"/>
    <s v="State"/>
    <n v="729.83"/>
    <n v="1007.84"/>
    <n v="978.25"/>
    <n v="104.51"/>
    <n v="2715.92"/>
    <n v="2820.43"/>
    <m/>
  </r>
  <r>
    <d v="2020-03-01T00:00:00"/>
    <s v="2019-20"/>
    <n v="2020"/>
    <x v="7"/>
    <x v="7"/>
    <s v="Sikkim"/>
    <n v="11"/>
    <s v="State"/>
    <n v="12.23"/>
    <n v="16.149999999999999"/>
    <n v="160.88"/>
    <n v="7.0000000000000007E-2"/>
    <n v="189.26"/>
    <n v="189.33"/>
    <m/>
  </r>
  <r>
    <d v="2020-03-01T00:00:00"/>
    <s v="2019-20"/>
    <n v="2020"/>
    <x v="7"/>
    <x v="7"/>
    <s v="Tamil Nadu"/>
    <n v="33"/>
    <s v="State"/>
    <n v="1580.73"/>
    <n v="2223.19"/>
    <n v="1939.88"/>
    <n v="434.02"/>
    <n v="5743.8"/>
    <n v="6177.82"/>
    <m/>
  </r>
  <r>
    <d v="2020-03-01T00:00:00"/>
    <s v="2019-20"/>
    <n v="2020"/>
    <x v="7"/>
    <x v="7"/>
    <s v="Telangana"/>
    <n v="36"/>
    <s v="State"/>
    <n v="846.3"/>
    <n v="1139.9000000000001"/>
    <n v="996.38"/>
    <n v="579.99"/>
    <n v="2982.58"/>
    <n v="3562.57"/>
    <m/>
  </r>
  <r>
    <d v="2020-03-01T00:00:00"/>
    <s v="2019-20"/>
    <n v="2020"/>
    <x v="7"/>
    <x v="7"/>
    <s v="Tripura"/>
    <n v="16"/>
    <s v="State"/>
    <n v="23.46"/>
    <n v="36.67"/>
    <n v="6.74"/>
    <n v="0.25"/>
    <n v="66.87"/>
    <n v="67.12"/>
    <m/>
  </r>
  <r>
    <d v="2020-03-01T00:00:00"/>
    <s v="2019-20"/>
    <n v="2020"/>
    <x v="7"/>
    <x v="7"/>
    <s v="Uttar Pradesh"/>
    <n v="9"/>
    <s v="State"/>
    <n v="1182.98"/>
    <n v="1794.76"/>
    <n v="1432.72"/>
    <n v="883.26"/>
    <n v="4410.46"/>
    <n v="5293.72"/>
    <m/>
  </r>
  <r>
    <d v="2020-03-01T00:00:00"/>
    <s v="2019-20"/>
    <n v="2020"/>
    <x v="7"/>
    <x v="7"/>
    <s v="Uttarakhand"/>
    <n v="5"/>
    <s v="State"/>
    <n v="221.45"/>
    <n v="277.36"/>
    <n v="686.08"/>
    <n v="9.84"/>
    <n v="1184.8900000000001"/>
    <n v="1194.73"/>
    <m/>
  </r>
  <r>
    <d v="2020-03-01T00:00:00"/>
    <s v="2019-20"/>
    <n v="2020"/>
    <x v="7"/>
    <x v="7"/>
    <s v="West Bengal"/>
    <n v="19"/>
    <s v="State"/>
    <n v="1035.42"/>
    <n v="1401.37"/>
    <n v="829.19"/>
    <n v="316.27"/>
    <n v="3265.98"/>
    <n v="3582.25"/>
    <m/>
  </r>
  <r>
    <d v="2020-04-01T00:00:00"/>
    <s v="2020-21"/>
    <n v="2020"/>
    <x v="8"/>
    <x v="8"/>
    <s v="Andaman and Nicobar Islands"/>
    <n v="35"/>
    <s v="Union Territory"/>
    <n v="4.0199999999999996"/>
    <n v="4.5599999999999996"/>
    <n v="2.59"/>
    <n v="0.01"/>
    <n v="11.17"/>
    <n v="11.18"/>
    <m/>
  </r>
  <r>
    <d v="2020-04-01T00:00:00"/>
    <s v="2020-21"/>
    <n v="2020"/>
    <x v="8"/>
    <x v="8"/>
    <s v="Andhra Pradesh"/>
    <n v="28"/>
    <s v="State"/>
    <n v="181.93"/>
    <n v="211.97"/>
    <n v="145.57"/>
    <n v="9.3000000000000007"/>
    <n v="539.47"/>
    <n v="548.77"/>
    <m/>
  </r>
  <r>
    <d v="2020-04-01T00:00:00"/>
    <s v="2020-21"/>
    <n v="2020"/>
    <x v="8"/>
    <x v="8"/>
    <s v="Arunachal Pradesh"/>
    <n v="12"/>
    <s v="State"/>
    <n v="18.399999999999999"/>
    <n v="21.3"/>
    <n v="2.4700000000000002"/>
    <n v="0.5"/>
    <n v="42.17"/>
    <n v="42.67"/>
    <m/>
  </r>
  <r>
    <d v="2020-04-01T00:00:00"/>
    <s v="2020-21"/>
    <n v="2020"/>
    <x v="8"/>
    <x v="8"/>
    <s v="Assam"/>
    <n v="18"/>
    <s v="State"/>
    <n v="80.2"/>
    <n v="100.64"/>
    <n v="78.540000000000006"/>
    <n v="5.0999999999999996"/>
    <n v="259.38"/>
    <n v="264.48"/>
    <m/>
  </r>
  <r>
    <d v="2020-04-01T00:00:00"/>
    <s v="2020-21"/>
    <n v="2020"/>
    <x v="8"/>
    <x v="8"/>
    <s v="Bihar"/>
    <n v="10"/>
    <s v="State"/>
    <n v="112.93"/>
    <n v="137.57"/>
    <n v="32.049999999999997"/>
    <n v="0.03"/>
    <n v="282.55"/>
    <n v="282.58"/>
    <m/>
  </r>
  <r>
    <d v="2020-04-01T00:00:00"/>
    <s v="2020-21"/>
    <n v="2020"/>
    <x v="8"/>
    <x v="8"/>
    <s v="Chandigarh"/>
    <n v="4"/>
    <s v="Union Territory"/>
    <n v="8.35"/>
    <n v="9.34"/>
    <n v="22.64"/>
    <n v="0.01"/>
    <n v="40.33"/>
    <n v="40.340000000000003"/>
    <m/>
  </r>
  <r>
    <d v="2020-04-01T00:00:00"/>
    <s v="2020-21"/>
    <n v="2020"/>
    <x v="8"/>
    <x v="8"/>
    <s v="Chhattisgarh"/>
    <n v="22"/>
    <s v="State"/>
    <n v="82.62"/>
    <n v="93.38"/>
    <n v="171.36"/>
    <n v="3.49"/>
    <n v="347.36"/>
    <n v="350.85"/>
    <m/>
  </r>
  <r>
    <d v="2020-04-01T00:00:00"/>
    <s v="2020-21"/>
    <n v="2020"/>
    <x v="8"/>
    <x v="8"/>
    <s v="Dadra and Nagar Haveli and Daman and Diu"/>
    <n v="38"/>
    <s v="Union Territory"/>
    <n v="5.52"/>
    <n v="5.94"/>
    <n v="27.27"/>
    <n v="0.02"/>
    <n v="38.729999999999997"/>
    <n v="38.75"/>
    <m/>
  </r>
  <r>
    <d v="2020-04-01T00:00:00"/>
    <s v="2020-21"/>
    <n v="2020"/>
    <x v="8"/>
    <x v="8"/>
    <s v="Delhi"/>
    <n v="7"/>
    <s v="Union Territory"/>
    <n v="216.38"/>
    <n v="240.7"/>
    <n v="526.28"/>
    <n v="6.55"/>
    <n v="983.36"/>
    <n v="989.91"/>
    <m/>
  </r>
  <r>
    <d v="2020-04-01T00:00:00"/>
    <s v="2020-21"/>
    <n v="2020"/>
    <x v="8"/>
    <x v="8"/>
    <s v="Goa"/>
    <n v="30"/>
    <s v="State"/>
    <n v="19.079999999999998"/>
    <n v="24.33"/>
    <n v="23.82"/>
    <n v="0.01"/>
    <n v="67.23"/>
    <n v="67.239999999999995"/>
    <m/>
  </r>
  <r>
    <d v="2020-04-01T00:00:00"/>
    <s v="2020-21"/>
    <n v="2020"/>
    <x v="8"/>
    <x v="8"/>
    <s v="Gujarat"/>
    <n v="24"/>
    <s v="State"/>
    <n v="411.21"/>
    <n v="464.24"/>
    <n v="325.7"/>
    <n v="94.95"/>
    <n v="1201.1500000000001"/>
    <n v="1296.0999999999999"/>
    <m/>
  </r>
  <r>
    <d v="2020-04-01T00:00:00"/>
    <s v="2020-21"/>
    <n v="2020"/>
    <x v="8"/>
    <x v="8"/>
    <s v="Haryana"/>
    <n v="6"/>
    <s v="State"/>
    <n v="211.73"/>
    <n v="253.81"/>
    <n v="1088.94"/>
    <n v="152.16999999999999"/>
    <n v="1554.48"/>
    <n v="1706.65"/>
    <m/>
  </r>
  <r>
    <d v="2020-04-01T00:00:00"/>
    <s v="2020-21"/>
    <n v="2020"/>
    <x v="8"/>
    <x v="8"/>
    <s v="Himachal Pradesh"/>
    <n v="2"/>
    <s v="State"/>
    <n v="26.47"/>
    <n v="31.59"/>
    <n v="68.84"/>
    <n v="0.01"/>
    <n v="126.9"/>
    <n v="126.91"/>
    <m/>
  </r>
  <r>
    <d v="2020-04-01T00:00:00"/>
    <s v="2020-21"/>
    <n v="2020"/>
    <x v="8"/>
    <x v="8"/>
    <s v="Jammu and Kashmir"/>
    <n v="1"/>
    <s v="Union Territory"/>
    <n v="31.54"/>
    <n v="37.119999999999997"/>
    <n v="22.4"/>
    <n v="7.0000000000000007E-2"/>
    <n v="91.06"/>
    <n v="91.13"/>
    <m/>
  </r>
  <r>
    <d v="2020-04-01T00:00:00"/>
    <s v="2020-21"/>
    <n v="2020"/>
    <x v="8"/>
    <x v="8"/>
    <s v="Jharkhand"/>
    <n v="20"/>
    <s v="State"/>
    <n v="74.64"/>
    <n v="89.09"/>
    <n v="44.95"/>
    <n v="35.04"/>
    <n v="208.68"/>
    <n v="243.72"/>
    <m/>
  </r>
  <r>
    <d v="2020-04-01T00:00:00"/>
    <s v="2020-21"/>
    <n v="2020"/>
    <x v="8"/>
    <x v="8"/>
    <s v="Karnataka"/>
    <n v="29"/>
    <s v="State"/>
    <n v="484.21"/>
    <n v="576.9"/>
    <n v="930.72"/>
    <n v="36.71"/>
    <n v="1991.83"/>
    <n v="2028.54"/>
    <m/>
  </r>
  <r>
    <d v="2020-04-01T00:00:00"/>
    <s v="2020-21"/>
    <n v="2020"/>
    <x v="8"/>
    <x v="8"/>
    <s v="Kerala"/>
    <n v="32"/>
    <s v="State"/>
    <n v="93.56"/>
    <n v="127.46"/>
    <n v="57.98"/>
    <n v="1.18"/>
    <n v="279"/>
    <n v="280.18"/>
    <m/>
  </r>
  <r>
    <d v="2020-04-01T00:00:00"/>
    <s v="2020-21"/>
    <n v="2020"/>
    <x v="8"/>
    <x v="8"/>
    <s v="Ladakh"/>
    <n v="37"/>
    <s v="Union Territory"/>
    <n v="1.24"/>
    <n v="1.29"/>
    <n v="0.52"/>
    <n v="0.78"/>
    <n v="3.05"/>
    <n v="3.83"/>
    <m/>
  </r>
  <r>
    <d v="2020-04-01T00:00:00"/>
    <s v="2020-21"/>
    <n v="2020"/>
    <x v="8"/>
    <x v="8"/>
    <s v="Lakshadweep"/>
    <n v="31"/>
    <s v="Union Territory"/>
    <n v="0.21"/>
    <n v="0.21"/>
    <n v="7.0000000000000007E-2"/>
    <n v="0"/>
    <n v="0.49"/>
    <n v="0.49"/>
    <m/>
  </r>
  <r>
    <d v="2020-04-01T00:00:00"/>
    <s v="2020-21"/>
    <n v="2020"/>
    <x v="8"/>
    <x v="8"/>
    <s v="Madhya Pradesh"/>
    <n v="23"/>
    <s v="State"/>
    <n v="149.04"/>
    <n v="176.19"/>
    <n v="104.08"/>
    <n v="33.619999999999997"/>
    <n v="429.31"/>
    <n v="462.93"/>
    <m/>
  </r>
  <r>
    <d v="2020-04-01T00:00:00"/>
    <s v="2020-21"/>
    <n v="2020"/>
    <x v="8"/>
    <x v="8"/>
    <s v="Maharashtra"/>
    <n v="27"/>
    <s v="State"/>
    <n v="1059.94"/>
    <n v="1231.44"/>
    <n v="2256.87"/>
    <n v="38.479999999999997"/>
    <n v="4548.25"/>
    <n v="4586.7299999999996"/>
    <m/>
  </r>
  <r>
    <d v="2020-04-01T00:00:00"/>
    <s v="2020-21"/>
    <n v="2020"/>
    <x v="8"/>
    <x v="8"/>
    <s v="Manipur"/>
    <n v="14"/>
    <s v="State"/>
    <n v="8.59"/>
    <n v="11.47"/>
    <n v="1.44"/>
    <n v="0"/>
    <n v="21.5"/>
    <n v="21.5"/>
    <m/>
  </r>
  <r>
    <d v="2020-04-01T00:00:00"/>
    <s v="2020-21"/>
    <n v="2020"/>
    <x v="8"/>
    <x v="8"/>
    <s v="Meghalaya"/>
    <n v="17"/>
    <s v="State"/>
    <n v="8.1999999999999993"/>
    <n v="9.09"/>
    <n v="3.4"/>
    <n v="0.01"/>
    <n v="20.69"/>
    <n v="20.7"/>
    <m/>
  </r>
  <r>
    <d v="2020-04-01T00:00:00"/>
    <s v="2020-21"/>
    <n v="2020"/>
    <x v="8"/>
    <x v="8"/>
    <s v="Mizoram"/>
    <n v="15"/>
    <s v="State"/>
    <n v="3.35"/>
    <n v="4.16"/>
    <n v="1.73"/>
    <n v="0"/>
    <n v="9.24"/>
    <n v="9.24"/>
    <m/>
  </r>
  <r>
    <d v="2020-04-01T00:00:00"/>
    <s v="2020-21"/>
    <n v="2020"/>
    <x v="8"/>
    <x v="8"/>
    <s v="Nagaland"/>
    <n v="13"/>
    <s v="State"/>
    <n v="6.29"/>
    <n v="7.47"/>
    <n v="0.59"/>
    <n v="0.02"/>
    <n v="14.35"/>
    <n v="14.37"/>
    <m/>
  </r>
  <r>
    <d v="2020-04-01T00:00:00"/>
    <s v="2020-21"/>
    <n v="2020"/>
    <x v="8"/>
    <x v="8"/>
    <s v="Odisha"/>
    <n v="21"/>
    <s v="State"/>
    <n v="310.12"/>
    <n v="360.36"/>
    <n v="101.36"/>
    <n v="2.4500000000000002"/>
    <n v="771.84"/>
    <n v="774.29"/>
    <m/>
  </r>
  <r>
    <d v="2020-04-01T00:00:00"/>
    <s v="2020-21"/>
    <n v="2020"/>
    <x v="8"/>
    <x v="8"/>
    <s v="Puducherry"/>
    <n v="34"/>
    <s v="Union Territory"/>
    <n v="4.25"/>
    <n v="5.33"/>
    <n v="21.94"/>
    <n v="0.01"/>
    <n v="31.52"/>
    <n v="31.53"/>
    <m/>
  </r>
  <r>
    <d v="2020-04-01T00:00:00"/>
    <s v="2020-21"/>
    <n v="2020"/>
    <x v="8"/>
    <x v="8"/>
    <s v="Punjab"/>
    <n v="3"/>
    <s v="State"/>
    <n v="85.14"/>
    <n v="101.94"/>
    <n v="86.29"/>
    <n v="0.19"/>
    <n v="273.37"/>
    <n v="273.56"/>
    <m/>
  </r>
  <r>
    <d v="2020-04-01T00:00:00"/>
    <s v="2020-21"/>
    <n v="2020"/>
    <x v="8"/>
    <x v="8"/>
    <s v="Rajasthan"/>
    <n v="8"/>
    <s v="State"/>
    <n v="177.78"/>
    <n v="183.86"/>
    <n v="92.62"/>
    <n v="42.59"/>
    <n v="454.26"/>
    <n v="496.85"/>
    <m/>
  </r>
  <r>
    <d v="2020-04-01T00:00:00"/>
    <s v="2020-21"/>
    <n v="2020"/>
    <x v="8"/>
    <x v="8"/>
    <s v="Sikkim"/>
    <n v="11"/>
    <s v="State"/>
    <n v="4.53"/>
    <n v="5.53"/>
    <n v="70.98"/>
    <n v="0"/>
    <n v="81.040000000000006"/>
    <n v="81.040000000000006"/>
    <m/>
  </r>
  <r>
    <d v="2020-04-01T00:00:00"/>
    <s v="2020-21"/>
    <n v="2020"/>
    <x v="8"/>
    <x v="8"/>
    <s v="Tamil Nadu"/>
    <n v="33"/>
    <s v="State"/>
    <n v="371.71"/>
    <n v="451.05"/>
    <n v="594.51"/>
    <n v="2.78"/>
    <n v="1417.27"/>
    <n v="1420.05"/>
    <m/>
  </r>
  <r>
    <d v="2020-04-01T00:00:00"/>
    <s v="2020-21"/>
    <n v="2020"/>
    <x v="8"/>
    <x v="8"/>
    <s v="Telangana"/>
    <n v="36"/>
    <s v="State"/>
    <n v="214.09"/>
    <n v="252.67"/>
    <n v="318.55"/>
    <n v="142.83000000000001"/>
    <n v="785.31"/>
    <n v="928.14"/>
    <m/>
  </r>
  <r>
    <d v="2020-04-01T00:00:00"/>
    <s v="2020-21"/>
    <n v="2020"/>
    <x v="8"/>
    <x v="8"/>
    <s v="Tripura"/>
    <n v="16"/>
    <s v="State"/>
    <n v="7.99"/>
    <n v="9.7100000000000009"/>
    <n v="1.95"/>
    <n v="0.01"/>
    <n v="19.649999999999999"/>
    <n v="19.66"/>
    <m/>
  </r>
  <r>
    <d v="2020-04-01T00:00:00"/>
    <s v="2020-21"/>
    <n v="2020"/>
    <x v="8"/>
    <x v="8"/>
    <s v="Uttar Pradesh"/>
    <n v="9"/>
    <s v="State"/>
    <n v="312.66000000000003"/>
    <n v="376.17"/>
    <n v="284.2"/>
    <n v="17.04"/>
    <n v="973.03"/>
    <n v="990.07"/>
    <m/>
  </r>
  <r>
    <d v="2020-04-01T00:00:00"/>
    <s v="2020-21"/>
    <n v="2020"/>
    <x v="8"/>
    <x v="8"/>
    <s v="Uttarakhand"/>
    <n v="5"/>
    <s v="State"/>
    <n v="49.79"/>
    <n v="61.95"/>
    <n v="141.63"/>
    <n v="3.26"/>
    <n v="253.37"/>
    <n v="256.63"/>
    <m/>
  </r>
  <r>
    <d v="2020-04-01T00:00:00"/>
    <s v="2020-21"/>
    <n v="2020"/>
    <x v="8"/>
    <x v="8"/>
    <s v="West Bengal"/>
    <n v="19"/>
    <s v="State"/>
    <n v="220.64"/>
    <n v="260.61"/>
    <n v="149.1"/>
    <n v="3.11"/>
    <n v="630.35"/>
    <n v="633.46"/>
    <m/>
  </r>
  <r>
    <d v="2020-05-01T00:00:00"/>
    <s v="2020-21"/>
    <n v="2020"/>
    <x v="9"/>
    <x v="9"/>
    <s v="Andaman and Nicobar Islands"/>
    <n v="35"/>
    <s v="Union Territory"/>
    <n v="2.86"/>
    <n v="3.91"/>
    <n v="1.05"/>
    <n v="0.01"/>
    <n v="7.82"/>
    <n v="7.83"/>
    <m/>
  </r>
  <r>
    <d v="2020-05-01T00:00:00"/>
    <s v="2020-21"/>
    <n v="2020"/>
    <x v="9"/>
    <x v="9"/>
    <s v="Andhra Pradesh"/>
    <n v="28"/>
    <s v="State"/>
    <n v="294.75"/>
    <n v="379.5"/>
    <n v="373.5"/>
    <n v="180.25"/>
    <n v="1047.75"/>
    <n v="1228"/>
    <m/>
  </r>
  <r>
    <d v="2020-05-01T00:00:00"/>
    <s v="2020-21"/>
    <n v="2020"/>
    <x v="9"/>
    <x v="9"/>
    <s v="Arunachal Pradesh"/>
    <n v="12"/>
    <s v="State"/>
    <n v="16.059999999999999"/>
    <n v="19.86"/>
    <n v="2.73"/>
    <n v="0.05"/>
    <n v="38.65"/>
    <n v="38.700000000000003"/>
    <m/>
  </r>
  <r>
    <d v="2020-05-01T00:00:00"/>
    <s v="2020-21"/>
    <n v="2020"/>
    <x v="9"/>
    <x v="9"/>
    <s v="Assam"/>
    <n v="18"/>
    <s v="State"/>
    <n v="166.97"/>
    <n v="190.7"/>
    <n v="105.87"/>
    <n v="44.46"/>
    <n v="463.54"/>
    <n v="508"/>
    <m/>
  </r>
  <r>
    <d v="2020-05-01T00:00:00"/>
    <s v="2020-21"/>
    <n v="2020"/>
    <x v="9"/>
    <x v="9"/>
    <s v="Bihar"/>
    <n v="10"/>
    <s v="State"/>
    <n v="167.53"/>
    <n v="248.01"/>
    <n v="68.95"/>
    <n v="123.61"/>
    <n v="484.49"/>
    <n v="608.1"/>
    <m/>
  </r>
  <r>
    <d v="2020-05-01T00:00:00"/>
    <s v="2020-21"/>
    <n v="2020"/>
    <x v="9"/>
    <x v="9"/>
    <s v="Chandigarh"/>
    <n v="4"/>
    <s v="Union Territory"/>
    <n v="16.16"/>
    <n v="22.06"/>
    <n v="63.58"/>
    <n v="1.64"/>
    <n v="101.8"/>
    <n v="103.44"/>
    <m/>
  </r>
  <r>
    <d v="2020-05-01T00:00:00"/>
    <s v="2020-21"/>
    <n v="2020"/>
    <x v="9"/>
    <x v="9"/>
    <s v="Chhattisgarh"/>
    <n v="22"/>
    <s v="State"/>
    <n v="278.02"/>
    <n v="314.73"/>
    <n v="665.48"/>
    <n v="564.67999999999995"/>
    <n v="1258.23"/>
    <n v="1822.91"/>
    <m/>
  </r>
  <r>
    <d v="2020-05-01T00:00:00"/>
    <s v="2020-21"/>
    <n v="2020"/>
    <x v="9"/>
    <x v="9"/>
    <s v="Dadra and Nagar Haveli and Daman and Diu"/>
    <n v="38"/>
    <s v="Union Territory"/>
    <n v="13.11"/>
    <n v="16.690000000000001"/>
    <n v="68.36"/>
    <n v="0.04"/>
    <n v="98.16"/>
    <n v="98.2"/>
    <m/>
  </r>
  <r>
    <d v="2020-05-01T00:00:00"/>
    <s v="2020-21"/>
    <n v="2020"/>
    <x v="9"/>
    <x v="9"/>
    <s v="Delhi"/>
    <n v="7"/>
    <s v="Union Territory"/>
    <n v="415.34"/>
    <n v="494.26"/>
    <n v="1191.83"/>
    <n v="57.35"/>
    <n v="2101.4299999999998"/>
    <n v="2158.7800000000002"/>
    <m/>
  </r>
  <r>
    <d v="2020-05-01T00:00:00"/>
    <s v="2020-21"/>
    <n v="2020"/>
    <x v="9"/>
    <x v="9"/>
    <s v="Goa"/>
    <n v="30"/>
    <s v="State"/>
    <n v="39.25"/>
    <n v="52.64"/>
    <n v="58.11"/>
    <n v="0.85"/>
    <n v="150"/>
    <n v="150.85"/>
    <m/>
  </r>
  <r>
    <d v="2020-05-01T00:00:00"/>
    <s v="2020-21"/>
    <n v="2020"/>
    <x v="9"/>
    <x v="9"/>
    <s v="Gujarat"/>
    <n v="24"/>
    <s v="State"/>
    <n v="855.01"/>
    <n v="1022.56"/>
    <n v="1015.66"/>
    <n v="184.5"/>
    <n v="2893.23"/>
    <n v="3077.73"/>
    <m/>
  </r>
  <r>
    <d v="2020-05-01T00:00:00"/>
    <s v="2020-21"/>
    <n v="2020"/>
    <x v="9"/>
    <x v="9"/>
    <s v="Haryana"/>
    <n v="6"/>
    <s v="State"/>
    <n v="424.52"/>
    <n v="546.11"/>
    <n v="1556.35"/>
    <n v="81.59"/>
    <n v="2526.98"/>
    <n v="2608.5700000000002"/>
    <m/>
  </r>
  <r>
    <d v="2020-05-01T00:00:00"/>
    <s v="2020-21"/>
    <n v="2020"/>
    <x v="9"/>
    <x v="9"/>
    <s v="Himachal Pradesh"/>
    <n v="2"/>
    <s v="State"/>
    <n v="53.06"/>
    <n v="72.239999999999995"/>
    <n v="146.38999999999999"/>
    <n v="0.35"/>
    <n v="271.69"/>
    <n v="272.04000000000002"/>
    <m/>
  </r>
  <r>
    <d v="2020-05-01T00:00:00"/>
    <s v="2020-21"/>
    <n v="2020"/>
    <x v="9"/>
    <x v="9"/>
    <s v="Jammu and Kashmir"/>
    <n v="1"/>
    <s v="Union Territory"/>
    <n v="40.130000000000003"/>
    <n v="62.74"/>
    <n v="24.51"/>
    <n v="1.74"/>
    <n v="127.38"/>
    <n v="129.12"/>
    <m/>
  </r>
  <r>
    <d v="2020-05-01T00:00:00"/>
    <s v="2020-21"/>
    <n v="2020"/>
    <x v="9"/>
    <x v="9"/>
    <s v="Jharkhand"/>
    <n v="20"/>
    <s v="State"/>
    <n v="202.92"/>
    <n v="241.15"/>
    <n v="359.03"/>
    <n v="438.84"/>
    <n v="803.1"/>
    <n v="1241.94"/>
    <m/>
  </r>
  <r>
    <d v="2020-05-01T00:00:00"/>
    <s v="2020-21"/>
    <n v="2020"/>
    <x v="9"/>
    <x v="9"/>
    <s v="Karnataka"/>
    <n v="29"/>
    <s v="State"/>
    <n v="1058.82"/>
    <n v="1296.28"/>
    <n v="1532.32"/>
    <n v="621.32000000000005"/>
    <n v="3887.42"/>
    <n v="4508.74"/>
    <m/>
  </r>
  <r>
    <d v="2020-05-01T00:00:00"/>
    <s v="2020-21"/>
    <n v="2020"/>
    <x v="9"/>
    <x v="9"/>
    <s v="Kerala"/>
    <n v="32"/>
    <s v="State"/>
    <n v="277.8"/>
    <n v="365.75"/>
    <n v="216.68"/>
    <n v="1.97"/>
    <n v="860.23"/>
    <n v="862.2"/>
    <m/>
  </r>
  <r>
    <d v="2020-05-01T00:00:00"/>
    <s v="2020-21"/>
    <n v="2020"/>
    <x v="9"/>
    <x v="9"/>
    <s v="Ladakh"/>
    <n v="37"/>
    <s v="Union Territory"/>
    <n v="4.7699999999999996"/>
    <n v="5.35"/>
    <n v="1.64"/>
    <n v="0.4"/>
    <n v="11.76"/>
    <n v="12.16"/>
    <m/>
  </r>
  <r>
    <d v="2020-05-01T00:00:00"/>
    <s v="2020-21"/>
    <n v="2020"/>
    <x v="9"/>
    <x v="9"/>
    <s v="Lakshadweep"/>
    <n v="31"/>
    <s v="Union Territory"/>
    <n v="1.21"/>
    <n v="1.24"/>
    <n v="0.03"/>
    <n v="0"/>
    <n v="2.48"/>
    <n v="2.48"/>
    <m/>
  </r>
  <r>
    <d v="2020-05-01T00:00:00"/>
    <s v="2020-21"/>
    <n v="2020"/>
    <x v="9"/>
    <x v="9"/>
    <s v="Madhya Pradesh"/>
    <n v="23"/>
    <s v="State"/>
    <n v="301.48"/>
    <n v="368.55"/>
    <n v="298.52"/>
    <n v="370.57"/>
    <n v="968.55"/>
    <n v="1339.12"/>
    <m/>
  </r>
  <r>
    <d v="2020-05-01T00:00:00"/>
    <s v="2020-21"/>
    <n v="2020"/>
    <x v="9"/>
    <x v="9"/>
    <s v="Maharashtra"/>
    <n v="27"/>
    <s v="State"/>
    <n v="2060.79"/>
    <n v="2483.04"/>
    <n v="3374.13"/>
    <n v="552.92999999999995"/>
    <n v="7917.96"/>
    <n v="8470.89"/>
    <m/>
  </r>
  <r>
    <d v="2020-05-01T00:00:00"/>
    <s v="2020-21"/>
    <n v="2020"/>
    <x v="9"/>
    <x v="9"/>
    <s v="Manipur"/>
    <n v="14"/>
    <s v="State"/>
    <n v="7.93"/>
    <n v="9.59"/>
    <n v="1"/>
    <n v="0"/>
    <n v="18.52"/>
    <n v="18.52"/>
    <m/>
  </r>
  <r>
    <d v="2020-05-01T00:00:00"/>
    <s v="2020-21"/>
    <n v="2020"/>
    <x v="9"/>
    <x v="9"/>
    <s v="Meghalaya"/>
    <n v="17"/>
    <s v="State"/>
    <n v="13.98"/>
    <n v="16.7"/>
    <n v="62.43"/>
    <n v="0.21"/>
    <n v="93.11"/>
    <n v="93.32"/>
    <m/>
  </r>
  <r>
    <d v="2020-05-01T00:00:00"/>
    <s v="2020-21"/>
    <n v="2020"/>
    <x v="9"/>
    <x v="9"/>
    <s v="Mizoram"/>
    <n v="15"/>
    <s v="State"/>
    <n v="3.74"/>
    <n v="5.47"/>
    <n v="1.43"/>
    <n v="0"/>
    <n v="10.64"/>
    <n v="10.64"/>
    <m/>
  </r>
  <r>
    <d v="2020-05-01T00:00:00"/>
    <s v="2020-21"/>
    <n v="2020"/>
    <x v="9"/>
    <x v="9"/>
    <s v="Nagaland"/>
    <n v="13"/>
    <s v="State"/>
    <n v="12.06"/>
    <n v="18.38"/>
    <n v="1.45"/>
    <n v="0.85"/>
    <n v="31.89"/>
    <n v="32.74"/>
    <m/>
  </r>
  <r>
    <d v="2020-05-01T00:00:00"/>
    <s v="2020-21"/>
    <n v="2020"/>
    <x v="9"/>
    <x v="9"/>
    <s v="Odisha"/>
    <n v="21"/>
    <s v="State"/>
    <n v="349.83"/>
    <n v="440.67"/>
    <n v="381.15"/>
    <n v="552.61"/>
    <n v="1171.6500000000001"/>
    <n v="1724.26"/>
    <m/>
  </r>
  <r>
    <d v="2020-05-01T00:00:00"/>
    <s v="2020-21"/>
    <n v="2020"/>
    <x v="9"/>
    <x v="9"/>
    <s v="Puducherry"/>
    <n v="34"/>
    <s v="Union Territory"/>
    <n v="14.74"/>
    <n v="17.2"/>
    <n v="67.03"/>
    <n v="0.02"/>
    <n v="98.97"/>
    <n v="98.99"/>
    <m/>
  </r>
  <r>
    <d v="2020-05-01T00:00:00"/>
    <s v="2020-21"/>
    <n v="2020"/>
    <x v="9"/>
    <x v="9"/>
    <s v="Punjab"/>
    <n v="3"/>
    <s v="State"/>
    <n v="171.36"/>
    <n v="240.67"/>
    <n v="236.13"/>
    <n v="8.7899999999999991"/>
    <n v="648.16"/>
    <n v="656.95"/>
    <m/>
  </r>
  <r>
    <d v="2020-05-01T00:00:00"/>
    <s v="2020-21"/>
    <n v="2020"/>
    <x v="9"/>
    <x v="9"/>
    <s v="Rajasthan"/>
    <n v="8"/>
    <s v="State"/>
    <n v="379.21"/>
    <n v="463.22"/>
    <n v="525.83000000000004"/>
    <n v="47.75"/>
    <n v="1368.26"/>
    <n v="1416.01"/>
    <m/>
  </r>
  <r>
    <d v="2020-05-01T00:00:00"/>
    <s v="2020-21"/>
    <n v="2020"/>
    <x v="9"/>
    <x v="9"/>
    <s v="Sikkim"/>
    <n v="11"/>
    <s v="State"/>
    <n v="8.91"/>
    <n v="10.96"/>
    <n v="74.319999999999993"/>
    <n v="0.31"/>
    <n v="94.19"/>
    <n v="94.5"/>
    <m/>
  </r>
  <r>
    <d v="2020-05-01T00:00:00"/>
    <s v="2020-21"/>
    <n v="2020"/>
    <x v="9"/>
    <x v="9"/>
    <s v="Tamil Nadu"/>
    <n v="33"/>
    <s v="State"/>
    <n v="793.88"/>
    <n v="1064.6500000000001"/>
    <n v="1217.97"/>
    <n v="446.28"/>
    <n v="3076.5"/>
    <n v="3522.78"/>
    <m/>
  </r>
  <r>
    <d v="2020-05-01T00:00:00"/>
    <s v="2020-21"/>
    <n v="2020"/>
    <x v="9"/>
    <x v="9"/>
    <s v="Telangana"/>
    <n v="36"/>
    <s v="State"/>
    <n v="432.73"/>
    <n v="543.23"/>
    <n v="685.39"/>
    <n v="227.07"/>
    <n v="1661.35"/>
    <n v="1888.42"/>
    <m/>
  </r>
  <r>
    <d v="2020-05-01T00:00:00"/>
    <s v="2020-21"/>
    <n v="2020"/>
    <x v="9"/>
    <x v="9"/>
    <s v="Tripura"/>
    <n v="16"/>
    <s v="State"/>
    <n v="36.4"/>
    <n v="42.11"/>
    <n v="16.34"/>
    <n v="0.19"/>
    <n v="94.85"/>
    <n v="95.04"/>
    <m/>
  </r>
  <r>
    <d v="2020-05-01T00:00:00"/>
    <s v="2020-21"/>
    <n v="2020"/>
    <x v="9"/>
    <x v="9"/>
    <s v="Uttar Pradesh"/>
    <n v="9"/>
    <s v="State"/>
    <n v="710.21"/>
    <n v="945.92"/>
    <n v="758.01"/>
    <n v="768.52"/>
    <n v="2414.14"/>
    <n v="3182.66"/>
    <m/>
  </r>
  <r>
    <d v="2020-05-01T00:00:00"/>
    <s v="2020-21"/>
    <n v="2020"/>
    <x v="9"/>
    <x v="9"/>
    <s v="Uttarakhand"/>
    <n v="5"/>
    <s v="State"/>
    <n v="144.84"/>
    <n v="170"/>
    <n v="299.19"/>
    <n v="0.56000000000000005"/>
    <n v="614.03"/>
    <n v="614.59"/>
    <m/>
  </r>
  <r>
    <d v="2020-05-01T00:00:00"/>
    <s v="2020-21"/>
    <n v="2020"/>
    <x v="9"/>
    <x v="9"/>
    <s v="West Bengal"/>
    <n v="19"/>
    <s v="State"/>
    <n v="549.45000000000005"/>
    <n v="702.23"/>
    <n v="405.94"/>
    <n v="298.82"/>
    <n v="1657.62"/>
    <n v="1956.44"/>
    <m/>
  </r>
  <r>
    <d v="2020-06-01T00:00:00"/>
    <s v="2020-21"/>
    <n v="2020"/>
    <x v="10"/>
    <x v="10"/>
    <s v="Andaman and Nicobar Islands"/>
    <n v="35"/>
    <s v="Union Territory"/>
    <n v="23.65"/>
    <n v="26.73"/>
    <n v="3.74"/>
    <n v="7.0000000000000007E-2"/>
    <n v="54.12"/>
    <n v="54.19"/>
    <m/>
  </r>
  <r>
    <d v="2020-06-01T00:00:00"/>
    <s v="2020-21"/>
    <n v="2020"/>
    <x v="10"/>
    <x v="10"/>
    <s v="Andhra Pradesh"/>
    <n v="28"/>
    <s v="State"/>
    <n v="627.42999999999995"/>
    <n v="846.94"/>
    <n v="805.05"/>
    <n v="87.66"/>
    <n v="2279.42"/>
    <n v="2367.08"/>
    <m/>
  </r>
  <r>
    <d v="2020-06-01T00:00:00"/>
    <s v="2020-21"/>
    <n v="2020"/>
    <x v="10"/>
    <x v="10"/>
    <s v="Arunachal Pradesh"/>
    <n v="12"/>
    <s v="State"/>
    <n v="19.420000000000002"/>
    <n v="25.43"/>
    <n v="4.07"/>
    <n v="0.47"/>
    <n v="48.92"/>
    <n v="49.39"/>
    <m/>
  </r>
  <r>
    <d v="2020-06-01T00:00:00"/>
    <s v="2020-21"/>
    <n v="2020"/>
    <x v="10"/>
    <x v="10"/>
    <s v="Assam"/>
    <n v="18"/>
    <s v="State"/>
    <n v="279.85000000000002"/>
    <n v="359.88"/>
    <n v="298.87"/>
    <n v="27.87"/>
    <n v="938.6"/>
    <n v="966.47"/>
    <m/>
  </r>
  <r>
    <d v="2020-06-01T00:00:00"/>
    <s v="2020-21"/>
    <n v="2020"/>
    <x v="10"/>
    <x v="10"/>
    <s v="Bihar"/>
    <n v="10"/>
    <s v="State"/>
    <n v="341.6"/>
    <n v="569.77"/>
    <n v="119.18"/>
    <n v="131.83000000000001"/>
    <n v="1030.55"/>
    <n v="1162.3800000000001"/>
    <m/>
  </r>
  <r>
    <d v="2020-06-01T00:00:00"/>
    <s v="2020-21"/>
    <n v="2020"/>
    <x v="10"/>
    <x v="10"/>
    <s v="Chandigarh"/>
    <n v="4"/>
    <s v="Union Territory"/>
    <n v="26.85"/>
    <n v="35.200000000000003"/>
    <n v="94.76"/>
    <n v="1.88"/>
    <n v="156.81"/>
    <n v="158.69"/>
    <m/>
  </r>
  <r>
    <d v="2020-06-01T00:00:00"/>
    <s v="2020-21"/>
    <n v="2020"/>
    <x v="10"/>
    <x v="10"/>
    <s v="Chhattisgarh"/>
    <n v="22"/>
    <s v="State"/>
    <n v="472.28"/>
    <n v="546.34"/>
    <n v="744.26"/>
    <n v="785.71"/>
    <n v="1762.88"/>
    <n v="2548.59"/>
    <m/>
  </r>
  <r>
    <d v="2020-06-01T00:00:00"/>
    <s v="2020-21"/>
    <n v="2020"/>
    <x v="10"/>
    <x v="10"/>
    <s v="Dadra and Nagar Haveli and Daman and Diu"/>
    <n v="38"/>
    <s v="Union Territory"/>
    <n v="20.6"/>
    <n v="27.52"/>
    <n v="144.08000000000001"/>
    <n v="0.11"/>
    <n v="192.2"/>
    <n v="192.31"/>
    <m/>
  </r>
  <r>
    <d v="2020-06-01T00:00:00"/>
    <s v="2020-21"/>
    <n v="2020"/>
    <x v="10"/>
    <x v="10"/>
    <s v="Delhi"/>
    <n v="7"/>
    <s v="Union Territory"/>
    <n v="651.99"/>
    <n v="762.25"/>
    <n v="1790.27"/>
    <n v="44.72"/>
    <n v="3204.51"/>
    <n v="3249.23"/>
    <m/>
  </r>
  <r>
    <d v="2020-06-01T00:00:00"/>
    <s v="2020-21"/>
    <n v="2020"/>
    <x v="10"/>
    <x v="10"/>
    <s v="Goa"/>
    <n v="30"/>
    <s v="State"/>
    <n v="75.83"/>
    <n v="102.63"/>
    <n v="141.36000000000001"/>
    <n v="4.13"/>
    <n v="319.82"/>
    <n v="323.95"/>
    <m/>
  </r>
  <r>
    <d v="2020-06-01T00:00:00"/>
    <s v="2020-21"/>
    <n v="2020"/>
    <x v="10"/>
    <x v="10"/>
    <s v="Gujarat"/>
    <n v="24"/>
    <s v="State"/>
    <n v="1747.47"/>
    <n v="2068.35"/>
    <n v="1973.11"/>
    <n v="235.71"/>
    <n v="5788.93"/>
    <n v="6024.64"/>
    <m/>
  </r>
  <r>
    <d v="2020-06-01T00:00:00"/>
    <s v="2020-21"/>
    <n v="2020"/>
    <x v="10"/>
    <x v="10"/>
    <s v="Haryana"/>
    <n v="6"/>
    <s v="State"/>
    <n v="712.4"/>
    <n v="878.41"/>
    <n v="1998.32"/>
    <n v="108.01"/>
    <n v="3589.13"/>
    <n v="3697.14"/>
    <m/>
  </r>
  <r>
    <d v="2020-06-01T00:00:00"/>
    <s v="2020-21"/>
    <n v="2020"/>
    <x v="10"/>
    <x v="10"/>
    <s v="Himachal Pradesh"/>
    <n v="2"/>
    <s v="State"/>
    <n v="106.72"/>
    <n v="152.68"/>
    <n v="357.99"/>
    <n v="1.1100000000000001"/>
    <n v="617.39"/>
    <n v="618.5"/>
    <m/>
  </r>
  <r>
    <d v="2020-06-01T00:00:00"/>
    <s v="2020-21"/>
    <n v="2020"/>
    <x v="10"/>
    <x v="10"/>
    <s v="Jammu and Kashmir"/>
    <n v="1"/>
    <s v="Union Territory"/>
    <n v="81.16"/>
    <n v="136.31"/>
    <n v="82.44"/>
    <n v="24.85"/>
    <n v="299.91000000000003"/>
    <n v="324.76"/>
    <m/>
  </r>
  <r>
    <d v="2020-06-01T00:00:00"/>
    <s v="2020-21"/>
    <n v="2020"/>
    <x v="10"/>
    <x v="10"/>
    <s v="Jharkhand"/>
    <n v="20"/>
    <s v="State"/>
    <n v="328.95"/>
    <n v="398.96"/>
    <n v="371.62"/>
    <n v="543.75"/>
    <n v="1099.53"/>
    <n v="1643.28"/>
    <m/>
  </r>
  <r>
    <d v="2020-06-01T00:00:00"/>
    <s v="2020-21"/>
    <n v="2020"/>
    <x v="10"/>
    <x v="10"/>
    <s v="Karnataka"/>
    <n v="29"/>
    <s v="State"/>
    <n v="1795.6"/>
    <n v="2221.71"/>
    <n v="2033.28"/>
    <n v="659.18"/>
    <n v="6050.59"/>
    <n v="6709.77"/>
    <m/>
  </r>
  <r>
    <d v="2020-06-01T00:00:00"/>
    <s v="2020-21"/>
    <n v="2020"/>
    <x v="10"/>
    <x v="10"/>
    <s v="Kerala"/>
    <n v="32"/>
    <s v="State"/>
    <n v="506.93"/>
    <n v="746.15"/>
    <n v="246.57"/>
    <n v="30.29"/>
    <n v="1499.65"/>
    <n v="1529.94"/>
    <m/>
  </r>
  <r>
    <d v="2020-06-01T00:00:00"/>
    <s v="2020-21"/>
    <n v="2020"/>
    <x v="10"/>
    <x v="10"/>
    <s v="Ladakh"/>
    <n v="37"/>
    <s v="Union Territory"/>
    <n v="2.67"/>
    <n v="3.29"/>
    <n v="0.71"/>
    <n v="0.79"/>
    <n v="6.67"/>
    <n v="7.46"/>
    <m/>
  </r>
  <r>
    <d v="2020-06-01T00:00:00"/>
    <s v="2020-21"/>
    <n v="2020"/>
    <x v="10"/>
    <x v="10"/>
    <s v="Lakshadweep"/>
    <n v="31"/>
    <s v="Union Territory"/>
    <n v="0.36"/>
    <n v="0.63"/>
    <n v="0.03"/>
    <n v="0"/>
    <n v="1.02"/>
    <n v="1.02"/>
    <m/>
  </r>
  <r>
    <d v="2020-06-01T00:00:00"/>
    <s v="2020-21"/>
    <n v="2020"/>
    <x v="10"/>
    <x v="10"/>
    <s v="Madhya Pradesh"/>
    <n v="23"/>
    <s v="State"/>
    <n v="596.53"/>
    <n v="762.02"/>
    <n v="617.27"/>
    <n v="765.81"/>
    <n v="1975.82"/>
    <n v="2741.63"/>
    <m/>
  </r>
  <r>
    <d v="2020-06-01T00:00:00"/>
    <s v="2020-21"/>
    <n v="2020"/>
    <x v="10"/>
    <x v="10"/>
    <s v="Maharashtra"/>
    <n v="27"/>
    <s v="State"/>
    <n v="4269.6400000000003"/>
    <n v="4924.05"/>
    <n v="5250.02"/>
    <n v="543.19000000000005"/>
    <n v="14443.71"/>
    <n v="14986.9"/>
    <m/>
  </r>
  <r>
    <d v="2020-06-01T00:00:00"/>
    <s v="2020-21"/>
    <n v="2020"/>
    <x v="10"/>
    <x v="10"/>
    <s v="Manipur"/>
    <n v="14"/>
    <s v="State"/>
    <n v="10.45"/>
    <n v="16.13"/>
    <n v="2.2200000000000002"/>
    <n v="0.08"/>
    <n v="28.8"/>
    <n v="28.88"/>
    <m/>
  </r>
  <r>
    <d v="2020-06-01T00:00:00"/>
    <s v="2020-21"/>
    <n v="2020"/>
    <x v="10"/>
    <x v="10"/>
    <s v="Meghalaya"/>
    <n v="17"/>
    <s v="State"/>
    <n v="15.57"/>
    <n v="20.84"/>
    <n v="79.23"/>
    <n v="0.31"/>
    <n v="115.64"/>
    <n v="115.95"/>
    <m/>
  </r>
  <r>
    <d v="2020-06-01T00:00:00"/>
    <s v="2020-21"/>
    <n v="2020"/>
    <x v="10"/>
    <x v="10"/>
    <s v="Mizoram"/>
    <n v="15"/>
    <s v="State"/>
    <n v="7.42"/>
    <n v="11.85"/>
    <n v="4.82"/>
    <n v="0.11"/>
    <n v="24.09"/>
    <n v="24.2"/>
    <m/>
  </r>
  <r>
    <d v="2020-06-01T00:00:00"/>
    <s v="2020-21"/>
    <n v="2020"/>
    <x v="10"/>
    <x v="10"/>
    <s v="Nagaland"/>
    <n v="13"/>
    <s v="State"/>
    <n v="11.12"/>
    <n v="16.920000000000002"/>
    <n v="4.0999999999999996"/>
    <n v="0.27"/>
    <n v="32.14"/>
    <n v="32.409999999999997"/>
    <m/>
  </r>
  <r>
    <d v="2020-06-01T00:00:00"/>
    <s v="2020-21"/>
    <n v="2020"/>
    <x v="10"/>
    <x v="10"/>
    <s v="Odisha"/>
    <n v="21"/>
    <s v="State"/>
    <n v="574.01"/>
    <n v="759.17"/>
    <n v="452.09"/>
    <n v="908.48"/>
    <n v="1785.27"/>
    <n v="2693.75"/>
    <m/>
  </r>
  <r>
    <d v="2020-06-01T00:00:00"/>
    <s v="2020-21"/>
    <n v="2020"/>
    <x v="10"/>
    <x v="10"/>
    <s v="Puducherry"/>
    <n v="34"/>
    <s v="Union Territory"/>
    <n v="18.100000000000001"/>
    <n v="28.51"/>
    <n v="93.72"/>
    <n v="0.25"/>
    <n v="140.33000000000001"/>
    <n v="140.58000000000001"/>
    <m/>
  </r>
  <r>
    <d v="2020-06-01T00:00:00"/>
    <s v="2020-21"/>
    <n v="2020"/>
    <x v="10"/>
    <x v="10"/>
    <s v="Punjab"/>
    <n v="3"/>
    <s v="State"/>
    <n v="358.69"/>
    <n v="508.07"/>
    <n v="429.31"/>
    <n v="27.32"/>
    <n v="1296.07"/>
    <n v="1323.39"/>
    <m/>
  </r>
  <r>
    <d v="2020-06-01T00:00:00"/>
    <s v="2020-21"/>
    <n v="2020"/>
    <x v="10"/>
    <x v="10"/>
    <s v="Rajasthan"/>
    <n v="8"/>
    <s v="State"/>
    <n v="798.07"/>
    <n v="1037.01"/>
    <n v="826.39"/>
    <n v="112.64"/>
    <n v="2661.47"/>
    <n v="2774.11"/>
    <m/>
  </r>
  <r>
    <d v="2020-06-01T00:00:00"/>
    <s v="2020-21"/>
    <n v="2020"/>
    <x v="10"/>
    <x v="10"/>
    <s v="Sikkim"/>
    <n v="11"/>
    <s v="State"/>
    <n v="11.98"/>
    <n v="17.37"/>
    <n v="316.19"/>
    <n v="0.01"/>
    <n v="345.54"/>
    <n v="345.55"/>
    <m/>
  </r>
  <r>
    <d v="2020-06-01T00:00:00"/>
    <s v="2020-21"/>
    <n v="2020"/>
    <x v="10"/>
    <x v="10"/>
    <s v="Tamil Nadu"/>
    <n v="33"/>
    <s v="State"/>
    <n v="1347.16"/>
    <n v="1723.18"/>
    <n v="1607.53"/>
    <n v="297.64"/>
    <n v="4677.87"/>
    <n v="4975.51"/>
    <m/>
  </r>
  <r>
    <d v="2020-06-01T00:00:00"/>
    <s v="2020-21"/>
    <n v="2020"/>
    <x v="10"/>
    <x v="10"/>
    <s v="Telangana"/>
    <n v="36"/>
    <s v="State"/>
    <n v="813.51"/>
    <n v="1073.58"/>
    <n v="899.09"/>
    <n v="489.99"/>
    <n v="2786.18"/>
    <n v="3276.17"/>
    <m/>
  </r>
  <r>
    <d v="2020-06-01T00:00:00"/>
    <s v="2020-21"/>
    <n v="2020"/>
    <x v="10"/>
    <x v="10"/>
    <s v="Tripura"/>
    <n v="16"/>
    <s v="State"/>
    <n v="22.52"/>
    <n v="35.85"/>
    <n v="5.47"/>
    <n v="0.7"/>
    <n v="63.84"/>
    <n v="64.540000000000006"/>
    <m/>
  </r>
  <r>
    <d v="2020-06-01T00:00:00"/>
    <s v="2020-21"/>
    <n v="2020"/>
    <x v="10"/>
    <x v="10"/>
    <s v="Uttar Pradesh"/>
    <n v="9"/>
    <s v="State"/>
    <n v="1251.9000000000001"/>
    <n v="1775.87"/>
    <n v="1277.69"/>
    <n v="888.12"/>
    <n v="4305.46"/>
    <n v="5193.58"/>
    <m/>
  </r>
  <r>
    <d v="2020-06-01T00:00:00"/>
    <s v="2020-21"/>
    <n v="2020"/>
    <x v="10"/>
    <x v="10"/>
    <s v="Uttarakhand"/>
    <n v="5"/>
    <s v="State"/>
    <n v="184.09"/>
    <n v="238.62"/>
    <n v="469.81"/>
    <n v="2.42"/>
    <n v="892.52"/>
    <n v="894.94"/>
    <m/>
  </r>
  <r>
    <d v="2020-06-01T00:00:00"/>
    <s v="2020-21"/>
    <n v="2020"/>
    <x v="10"/>
    <x v="10"/>
    <s v="West Bengal"/>
    <n v="19"/>
    <s v="State"/>
    <n v="858.86"/>
    <n v="1102.1500000000001"/>
    <n v="834.58"/>
    <n v="332.79"/>
    <n v="2795.59"/>
    <n v="3128.38"/>
    <m/>
  </r>
  <r>
    <d v="2020-07-01T00:00:00"/>
    <s v="2020-21"/>
    <n v="2020"/>
    <x v="11"/>
    <x v="11"/>
    <s v="Andaman and Nicobar Islands"/>
    <n v="35"/>
    <s v="Union Territory"/>
    <n v="6.42"/>
    <n v="8.82"/>
    <n v="2.27"/>
    <n v="0.02"/>
    <n v="17.510000000000002"/>
    <n v="17.53"/>
    <m/>
  </r>
  <r>
    <d v="2020-07-01T00:00:00"/>
    <s v="2020-21"/>
    <n v="2020"/>
    <x v="11"/>
    <x v="11"/>
    <s v="Andhra Pradesh"/>
    <n v="28"/>
    <s v="State"/>
    <n v="546.47"/>
    <n v="755.24"/>
    <n v="701.47"/>
    <n v="135.03"/>
    <n v="2003.18"/>
    <n v="2138.21"/>
    <m/>
  </r>
  <r>
    <d v="2020-07-01T00:00:00"/>
    <s v="2020-21"/>
    <n v="2020"/>
    <x v="11"/>
    <x v="11"/>
    <s v="Arunachal Pradesh"/>
    <n v="12"/>
    <s v="State"/>
    <n v="12.32"/>
    <n v="17.12"/>
    <n v="3.36"/>
    <n v="7.0000000000000007E-2"/>
    <n v="32.799999999999997"/>
    <n v="32.869999999999997"/>
    <m/>
  </r>
  <r>
    <d v="2020-07-01T00:00:00"/>
    <s v="2020-21"/>
    <n v="2020"/>
    <x v="11"/>
    <x v="11"/>
    <s v="Assam"/>
    <n v="18"/>
    <s v="State"/>
    <n v="200.86"/>
    <n v="270.63"/>
    <n v="231.3"/>
    <n v="20.03"/>
    <n v="702.79"/>
    <n v="722.82"/>
    <m/>
  </r>
  <r>
    <d v="2020-07-01T00:00:00"/>
    <s v="2020-21"/>
    <n v="2020"/>
    <x v="11"/>
    <x v="11"/>
    <s v="Bihar"/>
    <n v="10"/>
    <s v="State"/>
    <n v="297"/>
    <n v="467.13"/>
    <n v="107.17"/>
    <n v="189.51"/>
    <n v="871.3"/>
    <n v="1060.81"/>
    <m/>
  </r>
  <r>
    <d v="2020-07-01T00:00:00"/>
    <s v="2020-21"/>
    <n v="2020"/>
    <x v="11"/>
    <x v="11"/>
    <s v="Chandigarh"/>
    <n v="4"/>
    <s v="Union Territory"/>
    <n v="25.66"/>
    <n v="36.67"/>
    <n v="73.989999999999995"/>
    <n v="1.01"/>
    <n v="136.32"/>
    <n v="137.33000000000001"/>
    <m/>
  </r>
  <r>
    <d v="2020-07-01T00:00:00"/>
    <s v="2020-21"/>
    <n v="2020"/>
    <x v="11"/>
    <x v="11"/>
    <s v="Chhattisgarh"/>
    <n v="22"/>
    <s v="State"/>
    <n v="375.37"/>
    <n v="456.29"/>
    <n v="561.92999999999995"/>
    <n v="438.73"/>
    <n v="1393.59"/>
    <n v="1832.32"/>
    <m/>
  </r>
  <r>
    <d v="2020-07-01T00:00:00"/>
    <s v="2020-21"/>
    <n v="2020"/>
    <x v="11"/>
    <x v="11"/>
    <s v="Dadra and Nagar Haveli and Daman and Diu"/>
    <n v="38"/>
    <s v="Union Territory"/>
    <n v="20.92"/>
    <n v="29.1"/>
    <n v="156.69999999999999"/>
    <n v="0.23"/>
    <n v="206.72"/>
    <n v="206.95"/>
    <m/>
  </r>
  <r>
    <d v="2020-07-01T00:00:00"/>
    <s v="2020-21"/>
    <n v="2020"/>
    <x v="11"/>
    <x v="11"/>
    <s v="Delhi"/>
    <n v="7"/>
    <s v="Union Territory"/>
    <n v="521.96"/>
    <n v="653.16999999999996"/>
    <n v="1375.09"/>
    <n v="78.56"/>
    <n v="2550.2199999999998"/>
    <n v="2628.78"/>
    <m/>
  </r>
  <r>
    <d v="2020-07-01T00:00:00"/>
    <s v="2020-21"/>
    <n v="2020"/>
    <x v="11"/>
    <x v="11"/>
    <s v="Goa"/>
    <n v="30"/>
    <s v="State"/>
    <n v="60.14"/>
    <n v="80.709999999999994"/>
    <n v="114.89"/>
    <n v="1.04"/>
    <n v="255.74"/>
    <n v="256.77999999999997"/>
    <m/>
  </r>
  <r>
    <d v="2020-07-01T00:00:00"/>
    <s v="2020-21"/>
    <n v="2020"/>
    <x v="11"/>
    <x v="11"/>
    <s v="Gujarat"/>
    <n v="24"/>
    <s v="State"/>
    <n v="1560.85"/>
    <n v="1888.71"/>
    <n v="1689.87"/>
    <n v="481.27"/>
    <n v="5139.43"/>
    <n v="5620.7"/>
    <m/>
  </r>
  <r>
    <d v="2020-07-01T00:00:00"/>
    <s v="2020-21"/>
    <n v="2020"/>
    <x v="11"/>
    <x v="11"/>
    <s v="Haryana"/>
    <n v="6"/>
    <s v="State"/>
    <n v="610.65"/>
    <n v="804.29"/>
    <n v="1854.43"/>
    <n v="213.67"/>
    <n v="3269.37"/>
    <n v="3483.04"/>
    <m/>
  </r>
  <r>
    <d v="2020-07-01T00:00:00"/>
    <s v="2020-21"/>
    <n v="2020"/>
    <x v="11"/>
    <x v="11"/>
    <s v="Himachal Pradesh"/>
    <n v="2"/>
    <s v="State"/>
    <n v="101.82"/>
    <n v="147.44999999999999"/>
    <n v="354.21"/>
    <n v="1.59"/>
    <n v="603.48"/>
    <n v="605.07000000000005"/>
    <m/>
  </r>
  <r>
    <d v="2020-07-01T00:00:00"/>
    <s v="2020-21"/>
    <n v="2020"/>
    <x v="11"/>
    <x v="11"/>
    <s v="Jammu and Kashmir"/>
    <n v="1"/>
    <s v="Union Territory"/>
    <n v="75.31"/>
    <n v="130.38"/>
    <n v="85.74"/>
    <n v="6.41"/>
    <n v="291.43"/>
    <n v="297.83999999999997"/>
    <m/>
  </r>
  <r>
    <d v="2020-07-01T00:00:00"/>
    <s v="2020-21"/>
    <n v="2020"/>
    <x v="11"/>
    <x v="11"/>
    <s v="Jharkhand"/>
    <n v="20"/>
    <s v="State"/>
    <n v="274.12"/>
    <n v="361.54"/>
    <n v="360.85"/>
    <n v="343.07"/>
    <n v="996.51"/>
    <n v="1339.58"/>
    <m/>
  </r>
  <r>
    <d v="2020-07-01T00:00:00"/>
    <s v="2020-21"/>
    <n v="2020"/>
    <x v="11"/>
    <x v="11"/>
    <s v="Karnataka"/>
    <n v="29"/>
    <s v="State"/>
    <n v="1412.94"/>
    <n v="1841.27"/>
    <n v="2055.7800000000002"/>
    <n v="703.8"/>
    <n v="5309.99"/>
    <n v="6013.79"/>
    <m/>
  </r>
  <r>
    <d v="2020-07-01T00:00:00"/>
    <s v="2020-21"/>
    <n v="2020"/>
    <x v="11"/>
    <x v="11"/>
    <s v="Kerala"/>
    <n v="32"/>
    <s v="State"/>
    <n v="417.07"/>
    <n v="662.03"/>
    <n v="234.77"/>
    <n v="4.41"/>
    <n v="1313.87"/>
    <n v="1318.28"/>
    <m/>
  </r>
  <r>
    <d v="2020-07-01T00:00:00"/>
    <s v="2020-21"/>
    <n v="2020"/>
    <x v="11"/>
    <x v="11"/>
    <s v="Ladakh"/>
    <n v="37"/>
    <s v="Union Territory"/>
    <n v="2.61"/>
    <n v="3.04"/>
    <n v="0.96"/>
    <n v="0.03"/>
    <n v="6.61"/>
    <n v="6.64"/>
    <m/>
  </r>
  <r>
    <d v="2020-07-01T00:00:00"/>
    <s v="2020-21"/>
    <n v="2020"/>
    <x v="11"/>
    <x v="11"/>
    <s v="Lakshadweep"/>
    <n v="31"/>
    <s v="Union Territory"/>
    <n v="0.78"/>
    <n v="0.86"/>
    <n v="0.02"/>
    <n v="0"/>
    <n v="1.66"/>
    <n v="1.66"/>
    <m/>
  </r>
  <r>
    <d v="2020-07-01T00:00:00"/>
    <s v="2020-21"/>
    <n v="2020"/>
    <x v="11"/>
    <x v="11"/>
    <s v="Madhya Pradesh"/>
    <n v="23"/>
    <s v="State"/>
    <n v="523.76"/>
    <n v="713.93"/>
    <n v="584.35"/>
    <n v="466.81"/>
    <n v="1822.04"/>
    <n v="2288.85"/>
    <m/>
  </r>
  <r>
    <d v="2020-07-01T00:00:00"/>
    <s v="2020-21"/>
    <n v="2020"/>
    <x v="11"/>
    <x v="11"/>
    <s v="Maharashtra"/>
    <n v="27"/>
    <s v="State"/>
    <n v="3235.22"/>
    <n v="3831.92"/>
    <n v="4811.57"/>
    <n v="628.82000000000005"/>
    <n v="11878.71"/>
    <n v="12507.53"/>
    <m/>
  </r>
  <r>
    <d v="2020-07-01T00:00:00"/>
    <s v="2020-21"/>
    <n v="2020"/>
    <x v="11"/>
    <x v="11"/>
    <s v="Manipur"/>
    <n v="14"/>
    <s v="State"/>
    <n v="9.3000000000000007"/>
    <n v="14.84"/>
    <n v="1.1599999999999999"/>
    <n v="0.02"/>
    <n v="25.3"/>
    <n v="25.32"/>
    <m/>
  </r>
  <r>
    <d v="2020-07-01T00:00:00"/>
    <s v="2020-21"/>
    <n v="2020"/>
    <x v="11"/>
    <x v="11"/>
    <s v="Meghalaya"/>
    <n v="17"/>
    <s v="State"/>
    <n v="18.25"/>
    <n v="23.54"/>
    <n v="78.63"/>
    <n v="0.01"/>
    <n v="120.42"/>
    <n v="120.43"/>
    <m/>
  </r>
  <r>
    <d v="2020-07-01T00:00:00"/>
    <s v="2020-21"/>
    <n v="2020"/>
    <x v="11"/>
    <x v="11"/>
    <s v="Mizoram"/>
    <n v="15"/>
    <s v="State"/>
    <n v="5.34"/>
    <n v="9.0299999999999994"/>
    <n v="1.64"/>
    <n v="0"/>
    <n v="16.010000000000002"/>
    <n v="16.010000000000002"/>
    <m/>
  </r>
  <r>
    <d v="2020-07-01T00:00:00"/>
    <s v="2020-21"/>
    <n v="2020"/>
    <x v="11"/>
    <x v="11"/>
    <s v="Nagaland"/>
    <n v="13"/>
    <s v="State"/>
    <n v="9.34"/>
    <n v="11.98"/>
    <n v="3.6"/>
    <n v="0.41"/>
    <n v="24.92"/>
    <n v="25.33"/>
    <m/>
  </r>
  <r>
    <d v="2020-07-01T00:00:00"/>
    <s v="2020-21"/>
    <n v="2020"/>
    <x v="11"/>
    <x v="11"/>
    <s v="Odisha"/>
    <n v="21"/>
    <s v="State"/>
    <n v="641.76"/>
    <n v="794.02"/>
    <n v="444.01"/>
    <n v="468.62"/>
    <n v="1879.79"/>
    <n v="2348.41"/>
    <m/>
  </r>
  <r>
    <d v="2020-07-01T00:00:00"/>
    <s v="2020-21"/>
    <n v="2020"/>
    <x v="11"/>
    <x v="11"/>
    <s v="Puducherry"/>
    <n v="34"/>
    <s v="Union Territory"/>
    <n v="17.55"/>
    <n v="26.91"/>
    <n v="91.45"/>
    <n v="0.42"/>
    <n v="135.91"/>
    <n v="136.33000000000001"/>
    <m/>
  </r>
  <r>
    <d v="2020-07-01T00:00:00"/>
    <s v="2020-21"/>
    <n v="2020"/>
    <x v="11"/>
    <x v="11"/>
    <s v="Punjab"/>
    <n v="3"/>
    <s v="State"/>
    <n v="308.75"/>
    <n v="489.57"/>
    <n v="364.63"/>
    <n v="24.8"/>
    <n v="1162.95"/>
    <n v="1187.75"/>
    <m/>
  </r>
  <r>
    <d v="2020-07-01T00:00:00"/>
    <s v="2020-21"/>
    <n v="2020"/>
    <x v="11"/>
    <x v="11"/>
    <s v="Rajasthan"/>
    <n v="8"/>
    <s v="State"/>
    <n v="754.19"/>
    <n v="1032.2"/>
    <n v="856.31"/>
    <n v="153.97999999999999"/>
    <n v="2642.7"/>
    <n v="2796.68"/>
    <m/>
  </r>
  <r>
    <d v="2020-07-01T00:00:00"/>
    <s v="2020-21"/>
    <n v="2020"/>
    <x v="11"/>
    <x v="11"/>
    <s v="Sikkim"/>
    <n v="11"/>
    <s v="State"/>
    <n v="13.99"/>
    <n v="17"/>
    <n v="155.41999999999999"/>
    <n v="0.02"/>
    <n v="186.41"/>
    <n v="186.43"/>
    <m/>
  </r>
  <r>
    <d v="2020-07-01T00:00:00"/>
    <s v="2020-21"/>
    <n v="2020"/>
    <x v="11"/>
    <x v="11"/>
    <s v="Tamil Nadu"/>
    <n v="33"/>
    <s v="State"/>
    <n v="1262.3"/>
    <n v="1687.56"/>
    <n v="1379.63"/>
    <n v="305.27"/>
    <n v="4329.49"/>
    <n v="4634.76"/>
    <m/>
  </r>
  <r>
    <d v="2020-07-01T00:00:00"/>
    <s v="2020-21"/>
    <n v="2020"/>
    <x v="11"/>
    <x v="11"/>
    <s v="Telangana"/>
    <n v="36"/>
    <s v="State"/>
    <n v="633.30999999999995"/>
    <n v="923.49"/>
    <n v="882.42"/>
    <n v="436.79"/>
    <n v="2439.2199999999998"/>
    <n v="2876.01"/>
    <m/>
  </r>
  <r>
    <d v="2020-07-01T00:00:00"/>
    <s v="2020-21"/>
    <n v="2020"/>
    <x v="11"/>
    <x v="11"/>
    <s v="Tripura"/>
    <n v="16"/>
    <s v="State"/>
    <n v="18.77"/>
    <n v="25.23"/>
    <n v="3.94"/>
    <n v="0.05"/>
    <n v="47.94"/>
    <n v="47.99"/>
    <m/>
  </r>
  <r>
    <d v="2020-07-01T00:00:00"/>
    <s v="2020-21"/>
    <n v="2020"/>
    <x v="11"/>
    <x v="11"/>
    <s v="Uttar Pradesh"/>
    <n v="9"/>
    <s v="State"/>
    <n v="1115.5"/>
    <n v="1785.56"/>
    <n v="1131.2"/>
    <n v="1066.67"/>
    <n v="4032.26"/>
    <n v="5098.93"/>
    <m/>
  </r>
  <r>
    <d v="2020-07-01T00:00:00"/>
    <s v="2020-21"/>
    <n v="2020"/>
    <x v="11"/>
    <x v="11"/>
    <s v="Uttarakhand"/>
    <n v="5"/>
    <s v="State"/>
    <n v="190.62"/>
    <n v="247.03"/>
    <n v="543.15"/>
    <n v="7.01"/>
    <n v="980.8"/>
    <n v="987.81"/>
    <m/>
  </r>
  <r>
    <d v="2020-07-01T00:00:00"/>
    <s v="2020-21"/>
    <n v="2020"/>
    <x v="11"/>
    <x v="11"/>
    <s v="West Bengal"/>
    <n v="19"/>
    <s v="State"/>
    <n v="850.43"/>
    <n v="1151.54"/>
    <n v="727.54"/>
    <n v="280.04000000000002"/>
    <n v="2729.51"/>
    <n v="3009.55"/>
    <m/>
  </r>
  <r>
    <d v="2020-08-01T00:00:00"/>
    <s v="2020-21"/>
    <n v="2020"/>
    <x v="0"/>
    <x v="0"/>
    <s v="Andaman and Nicobar Islands"/>
    <n v="35"/>
    <s v="Union Territory"/>
    <n v="4.4400000000000004"/>
    <n v="6.96"/>
    <n v="1.1599999999999999"/>
    <n v="0.02"/>
    <n v="12.56"/>
    <n v="12.58"/>
    <m/>
  </r>
  <r>
    <d v="2020-08-01T00:00:00"/>
    <s v="2020-21"/>
    <n v="2020"/>
    <x v="0"/>
    <x v="0"/>
    <s v="Andhra Pradesh"/>
    <n v="28"/>
    <s v="State"/>
    <n v="501.87"/>
    <n v="675.12"/>
    <n v="636.28"/>
    <n v="141.75"/>
    <n v="1813.27"/>
    <n v="1955.02"/>
    <m/>
  </r>
  <r>
    <d v="2020-08-01T00:00:00"/>
    <s v="2020-21"/>
    <n v="2020"/>
    <x v="0"/>
    <x v="0"/>
    <s v="Arunachal Pradesh"/>
    <n v="12"/>
    <s v="State"/>
    <n v="13.15"/>
    <n v="17.329999999999998"/>
    <n v="4.54"/>
    <n v="0.02"/>
    <n v="35.020000000000003"/>
    <n v="35.04"/>
    <m/>
  </r>
  <r>
    <d v="2020-08-01T00:00:00"/>
    <s v="2020-21"/>
    <n v="2020"/>
    <x v="0"/>
    <x v="0"/>
    <s v="Assam"/>
    <n v="18"/>
    <s v="State"/>
    <n v="201.16"/>
    <n v="270.35000000000002"/>
    <n v="232.11"/>
    <n v="5.35"/>
    <n v="703.62"/>
    <n v="708.97"/>
    <m/>
  </r>
  <r>
    <d v="2020-08-01T00:00:00"/>
    <s v="2020-21"/>
    <n v="2020"/>
    <x v="0"/>
    <x v="0"/>
    <s v="Bihar"/>
    <n v="10"/>
    <s v="State"/>
    <n v="249"/>
    <n v="437"/>
    <n v="121.21"/>
    <n v="159.63"/>
    <n v="807.21"/>
    <n v="966.84"/>
    <m/>
  </r>
  <r>
    <d v="2020-08-01T00:00:00"/>
    <s v="2020-21"/>
    <n v="2020"/>
    <x v="0"/>
    <x v="0"/>
    <s v="Chandigarh"/>
    <n v="4"/>
    <s v="Union Territory"/>
    <n v="26.34"/>
    <n v="36.61"/>
    <n v="74.88"/>
    <n v="0.69"/>
    <n v="137.83000000000001"/>
    <n v="138.52000000000001"/>
    <m/>
  </r>
  <r>
    <d v="2020-08-01T00:00:00"/>
    <s v="2020-21"/>
    <n v="2020"/>
    <x v="0"/>
    <x v="0"/>
    <s v="Chhattisgarh"/>
    <n v="22"/>
    <s v="State"/>
    <n v="378.44"/>
    <n v="443.94"/>
    <n v="697.35"/>
    <n v="474.7"/>
    <n v="1519.73"/>
    <n v="1994.43"/>
    <m/>
  </r>
  <r>
    <d v="2020-08-01T00:00:00"/>
    <s v="2020-21"/>
    <n v="2020"/>
    <x v="0"/>
    <x v="0"/>
    <s v="Dadra and Nagar Haveli and Daman and Diu"/>
    <n v="38"/>
    <s v="Union Territory"/>
    <n v="21.73"/>
    <n v="27.74"/>
    <n v="166.27"/>
    <n v="0.03"/>
    <n v="215.74"/>
    <n v="215.77"/>
    <m/>
  </r>
  <r>
    <d v="2020-08-01T00:00:00"/>
    <s v="2020-21"/>
    <n v="2020"/>
    <x v="0"/>
    <x v="0"/>
    <s v="Delhi"/>
    <n v="7"/>
    <s v="Union Territory"/>
    <n v="565.26"/>
    <n v="697.42"/>
    <n v="1535.15"/>
    <n v="82.5"/>
    <n v="2797.83"/>
    <n v="2880.33"/>
    <m/>
  </r>
  <r>
    <d v="2020-08-01T00:00:00"/>
    <s v="2020-21"/>
    <n v="2020"/>
    <x v="0"/>
    <x v="0"/>
    <s v="Goa"/>
    <n v="30"/>
    <s v="State"/>
    <n v="41.92"/>
    <n v="60.52"/>
    <n v="110.19"/>
    <n v="0.61"/>
    <n v="212.63"/>
    <n v="213.24"/>
    <m/>
  </r>
  <r>
    <d v="2020-08-01T00:00:00"/>
    <s v="2020-21"/>
    <n v="2020"/>
    <x v="0"/>
    <x v="0"/>
    <s v="Gujarat"/>
    <n v="24"/>
    <s v="State"/>
    <n v="1591.56"/>
    <n v="1902.64"/>
    <n v="2079.7600000000002"/>
    <n v="455.73"/>
    <n v="5573.96"/>
    <n v="6029.69"/>
    <m/>
  </r>
  <r>
    <d v="2020-08-01T00:00:00"/>
    <s v="2020-21"/>
    <n v="2020"/>
    <x v="0"/>
    <x v="0"/>
    <s v="Haryana"/>
    <n v="6"/>
    <s v="State"/>
    <n v="678.45"/>
    <n v="942.07"/>
    <n v="2379.38"/>
    <n v="373.29"/>
    <n v="3999.9"/>
    <n v="4373.1899999999996"/>
    <m/>
  </r>
  <r>
    <d v="2020-08-01T00:00:00"/>
    <s v="2020-21"/>
    <n v="2020"/>
    <x v="0"/>
    <x v="0"/>
    <s v="Himachal Pradesh"/>
    <n v="2"/>
    <s v="State"/>
    <n v="99.84"/>
    <n v="140.79"/>
    <n v="354.85"/>
    <n v="1.19"/>
    <n v="595.48"/>
    <n v="596.66999999999996"/>
    <m/>
  </r>
  <r>
    <d v="2020-08-01T00:00:00"/>
    <s v="2020-21"/>
    <n v="2020"/>
    <x v="0"/>
    <x v="0"/>
    <s v="Jammu and Kashmir"/>
    <n v="1"/>
    <s v="Union Territory"/>
    <n v="69.61"/>
    <n v="121.56"/>
    <n v="130.32"/>
    <n v="4.34"/>
    <n v="321.49"/>
    <n v="325.83"/>
    <m/>
  </r>
  <r>
    <d v="2020-08-01T00:00:00"/>
    <s v="2020-21"/>
    <n v="2020"/>
    <x v="0"/>
    <x v="0"/>
    <s v="Jharkhand"/>
    <n v="20"/>
    <s v="State"/>
    <n v="278.98"/>
    <n v="360.14"/>
    <n v="514.76"/>
    <n v="344.16"/>
    <n v="1153.8800000000001"/>
    <n v="1498.04"/>
    <m/>
  </r>
  <r>
    <d v="2020-08-01T00:00:00"/>
    <s v="2020-21"/>
    <n v="2020"/>
    <x v="0"/>
    <x v="0"/>
    <s v="Karnataka"/>
    <n v="29"/>
    <s v="State"/>
    <n v="1440.66"/>
    <n v="1848.19"/>
    <n v="1717.39"/>
    <n v="495.75"/>
    <n v="5006.24"/>
    <n v="5501.99"/>
    <m/>
  </r>
  <r>
    <d v="2020-08-01T00:00:00"/>
    <s v="2020-21"/>
    <n v="2020"/>
    <x v="0"/>
    <x v="0"/>
    <s v="Kerala"/>
    <n v="32"/>
    <s v="State"/>
    <n v="407.98"/>
    <n v="598.63"/>
    <n v="219.71"/>
    <n v="2.93"/>
    <n v="1226.32"/>
    <n v="1229.25"/>
    <m/>
  </r>
  <r>
    <d v="2020-08-01T00:00:00"/>
    <s v="2020-21"/>
    <n v="2020"/>
    <x v="0"/>
    <x v="0"/>
    <s v="Ladakh"/>
    <n v="37"/>
    <s v="Union Territory"/>
    <n v="1.53"/>
    <n v="1.99"/>
    <n v="0.82"/>
    <n v="0.24"/>
    <n v="4.34"/>
    <n v="4.58"/>
    <m/>
  </r>
  <r>
    <d v="2020-08-01T00:00:00"/>
    <s v="2020-21"/>
    <n v="2020"/>
    <x v="0"/>
    <x v="0"/>
    <s v="Lakshadweep"/>
    <n v="31"/>
    <s v="Union Territory"/>
    <n v="0.16"/>
    <n v="0.17"/>
    <n v="7.0000000000000007E-2"/>
    <n v="0"/>
    <n v="0.4"/>
    <n v="0.4"/>
    <m/>
  </r>
  <r>
    <d v="2020-08-01T00:00:00"/>
    <s v="2020-21"/>
    <n v="2020"/>
    <x v="0"/>
    <x v="0"/>
    <s v="Madhya Pradesh"/>
    <n v="23"/>
    <s v="State"/>
    <n v="520.69000000000005"/>
    <n v="698.85"/>
    <n v="560.57000000000005"/>
    <n v="428.73"/>
    <n v="1780.11"/>
    <n v="2208.84"/>
    <m/>
  </r>
  <r>
    <d v="2020-08-01T00:00:00"/>
    <s v="2020-21"/>
    <n v="2020"/>
    <x v="0"/>
    <x v="0"/>
    <s v="Maharashtra"/>
    <n v="27"/>
    <s v="State"/>
    <n v="2993"/>
    <n v="3690.06"/>
    <n v="4197.79"/>
    <n v="720.92"/>
    <n v="10880.85"/>
    <n v="11601.77"/>
    <m/>
  </r>
  <r>
    <d v="2020-08-01T00:00:00"/>
    <s v="2020-21"/>
    <n v="2020"/>
    <x v="0"/>
    <x v="0"/>
    <s v="Manipur"/>
    <n v="14"/>
    <s v="State"/>
    <n v="9.75"/>
    <n v="14.21"/>
    <n v="2.14"/>
    <n v="0"/>
    <n v="26.1"/>
    <n v="26.1"/>
    <m/>
  </r>
  <r>
    <d v="2020-08-01T00:00:00"/>
    <s v="2020-21"/>
    <n v="2020"/>
    <x v="0"/>
    <x v="0"/>
    <s v="Meghalaya"/>
    <n v="17"/>
    <s v="State"/>
    <n v="16.46"/>
    <n v="21.38"/>
    <n v="70.209999999999994"/>
    <n v="0.13"/>
    <n v="108.05"/>
    <n v="108.18"/>
    <m/>
  </r>
  <r>
    <d v="2020-08-01T00:00:00"/>
    <s v="2020-21"/>
    <n v="2020"/>
    <x v="0"/>
    <x v="0"/>
    <s v="Mizoram"/>
    <n v="15"/>
    <s v="State"/>
    <n v="3.94"/>
    <n v="6.74"/>
    <n v="1.44"/>
    <n v="0.02"/>
    <n v="12.12"/>
    <n v="12.14"/>
    <m/>
  </r>
  <r>
    <d v="2020-08-01T00:00:00"/>
    <s v="2020-21"/>
    <n v="2020"/>
    <x v="0"/>
    <x v="0"/>
    <s v="Nagaland"/>
    <n v="13"/>
    <s v="State"/>
    <n v="12.14"/>
    <n v="15.66"/>
    <n v="3.24"/>
    <n v="0.32"/>
    <n v="31.04"/>
    <n v="31.36"/>
    <m/>
  </r>
  <r>
    <d v="2020-08-01T00:00:00"/>
    <s v="2020-21"/>
    <n v="2020"/>
    <x v="0"/>
    <x v="0"/>
    <s v="Odisha"/>
    <n v="21"/>
    <s v="State"/>
    <n v="538.91"/>
    <n v="686.15"/>
    <n v="630.14"/>
    <n v="493.08"/>
    <n v="1855.2"/>
    <n v="2348.2800000000002"/>
    <m/>
  </r>
  <r>
    <d v="2020-08-01T00:00:00"/>
    <s v="2020-21"/>
    <n v="2020"/>
    <x v="0"/>
    <x v="0"/>
    <s v="Puducherry"/>
    <n v="34"/>
    <s v="Union Territory"/>
    <n v="15.9"/>
    <n v="24.73"/>
    <n v="95.98"/>
    <n v="0.18"/>
    <n v="136.61000000000001"/>
    <n v="136.79"/>
    <m/>
  </r>
  <r>
    <d v="2020-08-01T00:00:00"/>
    <s v="2020-21"/>
    <n v="2020"/>
    <x v="0"/>
    <x v="0"/>
    <s v="Punjab"/>
    <n v="3"/>
    <s v="State"/>
    <n v="277.24"/>
    <n v="457.08"/>
    <n v="385.9"/>
    <n v="18.28"/>
    <n v="1120.22"/>
    <n v="1138.5"/>
    <m/>
  </r>
  <r>
    <d v="2020-08-01T00:00:00"/>
    <s v="2020-21"/>
    <n v="2020"/>
    <x v="0"/>
    <x v="0"/>
    <s v="Rajasthan"/>
    <n v="8"/>
    <s v="State"/>
    <n v="693.36"/>
    <n v="951.07"/>
    <n v="836.95"/>
    <n v="100.6"/>
    <n v="2481.38"/>
    <n v="2581.98"/>
    <m/>
  </r>
  <r>
    <d v="2020-08-01T00:00:00"/>
    <s v="2020-21"/>
    <n v="2020"/>
    <x v="0"/>
    <x v="0"/>
    <s v="Sikkim"/>
    <n v="11"/>
    <s v="State"/>
    <n v="11"/>
    <n v="12.96"/>
    <n v="123.23"/>
    <n v="0.01"/>
    <n v="147.19"/>
    <n v="147.19999999999999"/>
    <m/>
  </r>
  <r>
    <d v="2020-08-01T00:00:00"/>
    <s v="2020-21"/>
    <n v="2020"/>
    <x v="0"/>
    <x v="0"/>
    <s v="Tamil Nadu"/>
    <n v="33"/>
    <s v="State"/>
    <n v="1381.18"/>
    <n v="1868.69"/>
    <n v="1534.78"/>
    <n v="458.82"/>
    <n v="4784.6499999999996"/>
    <n v="5243.47"/>
    <m/>
  </r>
  <r>
    <d v="2020-08-01T00:00:00"/>
    <s v="2020-21"/>
    <n v="2020"/>
    <x v="0"/>
    <x v="0"/>
    <s v="Telangana"/>
    <n v="36"/>
    <s v="State"/>
    <n v="660.91"/>
    <n v="904.44"/>
    <n v="792.54"/>
    <n v="435.01"/>
    <n v="2357.89"/>
    <n v="2792.9"/>
    <m/>
  </r>
  <r>
    <d v="2020-08-01T00:00:00"/>
    <s v="2020-21"/>
    <n v="2020"/>
    <x v="0"/>
    <x v="0"/>
    <s v="Tripura"/>
    <n v="16"/>
    <s v="State"/>
    <n v="15.8"/>
    <n v="22.07"/>
    <n v="5.16"/>
    <n v="0.11"/>
    <n v="43.03"/>
    <n v="43.14"/>
    <m/>
  </r>
  <r>
    <d v="2020-08-01T00:00:00"/>
    <s v="2020-21"/>
    <n v="2020"/>
    <x v="0"/>
    <x v="0"/>
    <s v="Uttar Pradesh"/>
    <n v="9"/>
    <s v="State"/>
    <n v="1076.44"/>
    <n v="1659.68"/>
    <n v="1265.02"/>
    <n v="1096.4100000000001"/>
    <n v="4001.14"/>
    <n v="5097.55"/>
    <m/>
  </r>
  <r>
    <d v="2020-08-01T00:00:00"/>
    <s v="2020-21"/>
    <n v="2020"/>
    <x v="0"/>
    <x v="0"/>
    <s v="Uttarakhand"/>
    <n v="5"/>
    <s v="State"/>
    <n v="184.6"/>
    <n v="249.44"/>
    <n v="564.19000000000005"/>
    <n v="7.52"/>
    <n v="998.23"/>
    <n v="1005.75"/>
    <m/>
  </r>
  <r>
    <d v="2020-08-01T00:00:00"/>
    <s v="2020-21"/>
    <n v="2020"/>
    <x v="0"/>
    <x v="0"/>
    <s v="West Bengal"/>
    <n v="19"/>
    <s v="State"/>
    <n v="896.77"/>
    <n v="1162.76"/>
    <n v="754.09"/>
    <n v="239.32"/>
    <n v="2813.62"/>
    <n v="3052.94"/>
    <m/>
  </r>
  <r>
    <d v="2020-09-01T00:00:00"/>
    <s v="2020-21"/>
    <n v="2020"/>
    <x v="1"/>
    <x v="1"/>
    <s v="Andaman and Nicobar Islands"/>
    <n v="35"/>
    <s v="Union Territory"/>
    <n v="6.86"/>
    <n v="9.27"/>
    <n v="2.91"/>
    <n v="0.02"/>
    <n v="19.04"/>
    <n v="19.059999999999999"/>
    <m/>
  </r>
  <r>
    <d v="2020-09-01T00:00:00"/>
    <s v="2020-21"/>
    <n v="2020"/>
    <x v="1"/>
    <x v="1"/>
    <s v="Andhra Pradesh"/>
    <n v="28"/>
    <s v="State"/>
    <n v="533.13"/>
    <n v="724.76"/>
    <n v="700.35"/>
    <n v="182.41"/>
    <n v="1958.24"/>
    <n v="2140.65"/>
    <m/>
  </r>
  <r>
    <d v="2020-09-01T00:00:00"/>
    <s v="2020-21"/>
    <n v="2020"/>
    <x v="1"/>
    <x v="1"/>
    <s v="Arunachal Pradesh"/>
    <n v="12"/>
    <s v="State"/>
    <n v="12.68"/>
    <n v="17.47"/>
    <n v="5.26"/>
    <n v="0.01"/>
    <n v="35.409999999999997"/>
    <n v="35.42"/>
    <m/>
  </r>
  <r>
    <d v="2020-09-01T00:00:00"/>
    <s v="2020-21"/>
    <n v="2020"/>
    <x v="1"/>
    <x v="1"/>
    <s v="Assam"/>
    <n v="18"/>
    <s v="State"/>
    <n v="275.37"/>
    <n v="362.1"/>
    <n v="257.69"/>
    <n v="17.260000000000002"/>
    <n v="895.16"/>
    <n v="912.42"/>
    <m/>
  </r>
  <r>
    <d v="2020-09-01T00:00:00"/>
    <s v="2020-21"/>
    <n v="2020"/>
    <x v="1"/>
    <x v="1"/>
    <s v="Bihar"/>
    <n v="10"/>
    <s v="State"/>
    <n v="263.48"/>
    <n v="458.23"/>
    <n v="114.14"/>
    <n v="159.91"/>
    <n v="835.85"/>
    <n v="995.76"/>
    <m/>
  </r>
  <r>
    <d v="2020-09-01T00:00:00"/>
    <s v="2020-21"/>
    <n v="2020"/>
    <x v="1"/>
    <x v="1"/>
    <s v="Chandigarh"/>
    <n v="4"/>
    <s v="Union Territory"/>
    <n v="25.99"/>
    <n v="33.18"/>
    <n v="81.77"/>
    <n v="0.54"/>
    <n v="140.94"/>
    <n v="141.47999999999999"/>
    <m/>
  </r>
  <r>
    <d v="2020-09-01T00:00:00"/>
    <s v="2020-21"/>
    <n v="2020"/>
    <x v="1"/>
    <x v="1"/>
    <s v="Chhattisgarh"/>
    <n v="22"/>
    <s v="State"/>
    <n v="341.1"/>
    <n v="413.23"/>
    <n v="640.09"/>
    <n v="447.05"/>
    <n v="1394.42"/>
    <n v="1841.47"/>
    <m/>
  </r>
  <r>
    <d v="2020-09-01T00:00:00"/>
    <s v="2020-21"/>
    <n v="2020"/>
    <x v="1"/>
    <x v="1"/>
    <s v="Dadra and Nagar Haveli and Daman and Diu"/>
    <n v="38"/>
    <s v="Union Territory"/>
    <n v="26.7"/>
    <n v="34.44"/>
    <n v="178.53"/>
    <n v="0.22"/>
    <n v="239.67"/>
    <n v="239.89"/>
    <m/>
  </r>
  <r>
    <d v="2020-09-01T00:00:00"/>
    <s v="2020-21"/>
    <n v="2020"/>
    <x v="1"/>
    <x v="1"/>
    <s v="Delhi"/>
    <n v="7"/>
    <s v="Union Territory"/>
    <n v="615.34"/>
    <n v="760.64"/>
    <n v="1703.69"/>
    <n v="65.83"/>
    <n v="3079.67"/>
    <n v="3145.5"/>
    <m/>
  </r>
  <r>
    <d v="2020-09-01T00:00:00"/>
    <s v="2020-21"/>
    <n v="2020"/>
    <x v="1"/>
    <x v="1"/>
    <s v="Goa"/>
    <n v="30"/>
    <s v="State"/>
    <n v="55.66"/>
    <n v="75.349999999999994"/>
    <n v="107.92"/>
    <n v="1.34"/>
    <n v="238.93"/>
    <n v="240.27"/>
    <m/>
  </r>
  <r>
    <d v="2020-09-01T00:00:00"/>
    <s v="2020-21"/>
    <n v="2020"/>
    <x v="1"/>
    <x v="1"/>
    <s v="Gujarat"/>
    <n v="24"/>
    <s v="State"/>
    <n v="1646.57"/>
    <n v="2003.99"/>
    <n v="2048.0300000000002"/>
    <n v="391.68"/>
    <n v="5698.59"/>
    <n v="6090.27"/>
    <m/>
  </r>
  <r>
    <d v="2020-09-01T00:00:00"/>
    <s v="2020-21"/>
    <n v="2020"/>
    <x v="1"/>
    <x v="1"/>
    <s v="Haryana"/>
    <n v="6"/>
    <s v="State"/>
    <n v="740.4"/>
    <n v="1048.1300000000001"/>
    <n v="2562.79"/>
    <n v="360.59"/>
    <n v="4351.32"/>
    <n v="4711.91"/>
    <m/>
  </r>
  <r>
    <d v="2020-09-01T00:00:00"/>
    <s v="2020-21"/>
    <n v="2020"/>
    <x v="1"/>
    <x v="1"/>
    <s v="Himachal Pradesh"/>
    <n v="2"/>
    <s v="State"/>
    <n v="104.81"/>
    <n v="151.80000000000001"/>
    <n v="396.03"/>
    <n v="0.72"/>
    <n v="652.64"/>
    <n v="653.36"/>
    <m/>
  </r>
  <r>
    <d v="2020-09-01T00:00:00"/>
    <s v="2020-21"/>
    <n v="2020"/>
    <x v="1"/>
    <x v="1"/>
    <s v="Jammu and Kashmir"/>
    <n v="1"/>
    <s v="Union Territory"/>
    <n v="82.69"/>
    <n v="143.84"/>
    <n v="135.30000000000001"/>
    <n v="5.73"/>
    <n v="361.83"/>
    <n v="367.56"/>
    <m/>
  </r>
  <r>
    <d v="2020-09-01T00:00:00"/>
    <s v="2020-21"/>
    <n v="2020"/>
    <x v="1"/>
    <x v="1"/>
    <s v="Jharkhand"/>
    <n v="20"/>
    <s v="State"/>
    <n v="286.36"/>
    <n v="366.89"/>
    <n v="624.66999999999996"/>
    <n v="377.64"/>
    <n v="1277.92"/>
    <n v="1655.56"/>
    <m/>
  </r>
  <r>
    <d v="2020-09-01T00:00:00"/>
    <s v="2020-21"/>
    <n v="2020"/>
    <x v="1"/>
    <x v="1"/>
    <s v="Karnataka"/>
    <n v="29"/>
    <s v="State"/>
    <n v="1548.22"/>
    <n v="1989.73"/>
    <n v="1974.56"/>
    <n v="537.91999999999996"/>
    <n v="5512.51"/>
    <n v="6050.43"/>
    <m/>
  </r>
  <r>
    <d v="2020-09-01T00:00:00"/>
    <s v="2020-21"/>
    <n v="2020"/>
    <x v="1"/>
    <x v="1"/>
    <s v="Kerala"/>
    <n v="32"/>
    <s v="State"/>
    <n v="520.45000000000005"/>
    <n v="778.08"/>
    <n v="249.44"/>
    <n v="4.0999999999999996"/>
    <n v="1547.97"/>
    <n v="1552.07"/>
    <m/>
  </r>
  <r>
    <d v="2020-09-01T00:00:00"/>
    <s v="2020-21"/>
    <n v="2020"/>
    <x v="1"/>
    <x v="1"/>
    <s v="Ladakh"/>
    <n v="37"/>
    <s v="Union Territory"/>
    <n v="3.14"/>
    <n v="4.29"/>
    <n v="1.99"/>
    <n v="0.03"/>
    <n v="9.42"/>
    <n v="9.4499999999999993"/>
    <m/>
  </r>
  <r>
    <d v="2020-09-01T00:00:00"/>
    <s v="2020-21"/>
    <n v="2020"/>
    <x v="1"/>
    <x v="1"/>
    <s v="Lakshadweep"/>
    <n v="31"/>
    <s v="Union Territory"/>
    <n v="0.19"/>
    <n v="0.42"/>
    <n v="0.1"/>
    <n v="0"/>
    <n v="0.71"/>
    <n v="0.71"/>
    <m/>
  </r>
  <r>
    <d v="2020-09-01T00:00:00"/>
    <s v="2020-21"/>
    <n v="2020"/>
    <x v="1"/>
    <x v="1"/>
    <s v="Madhya Pradesh"/>
    <n v="23"/>
    <s v="State"/>
    <n v="484.64"/>
    <n v="639.25"/>
    <n v="598.19000000000005"/>
    <n v="454.36"/>
    <n v="1722.08"/>
    <n v="2176.44"/>
    <m/>
  </r>
  <r>
    <d v="2020-09-01T00:00:00"/>
    <s v="2020-21"/>
    <n v="2020"/>
    <x v="1"/>
    <x v="1"/>
    <s v="Maharashtra"/>
    <n v="27"/>
    <s v="State"/>
    <n v="3786.63"/>
    <n v="4463.92"/>
    <n v="4699.53"/>
    <n v="596.05999999999995"/>
    <n v="12950.08"/>
    <n v="13546.14"/>
    <m/>
  </r>
  <r>
    <d v="2020-09-01T00:00:00"/>
    <s v="2020-21"/>
    <n v="2020"/>
    <x v="1"/>
    <x v="1"/>
    <s v="Manipur"/>
    <n v="14"/>
    <s v="State"/>
    <n v="13"/>
    <n v="17.97"/>
    <n v="2.21"/>
    <n v="0.35"/>
    <n v="33.18"/>
    <n v="33.53"/>
    <m/>
  </r>
  <r>
    <d v="2020-09-01T00:00:00"/>
    <s v="2020-21"/>
    <n v="2020"/>
    <x v="1"/>
    <x v="1"/>
    <s v="Meghalaya"/>
    <n v="17"/>
    <s v="State"/>
    <n v="15.47"/>
    <n v="20.49"/>
    <n v="63.65"/>
    <n v="0.04"/>
    <n v="99.61"/>
    <n v="99.65"/>
    <m/>
  </r>
  <r>
    <d v="2020-09-01T00:00:00"/>
    <s v="2020-21"/>
    <n v="2020"/>
    <x v="1"/>
    <x v="1"/>
    <s v="Mizoram"/>
    <n v="15"/>
    <s v="State"/>
    <n v="5.51"/>
    <n v="8.23"/>
    <n v="3.07"/>
    <n v="0.08"/>
    <n v="16.809999999999999"/>
    <n v="16.89"/>
    <m/>
  </r>
  <r>
    <d v="2020-09-01T00:00:00"/>
    <s v="2020-21"/>
    <n v="2020"/>
    <x v="1"/>
    <x v="1"/>
    <s v="Nagaland"/>
    <n v="13"/>
    <s v="State"/>
    <n v="11.43"/>
    <n v="13.82"/>
    <n v="4.01"/>
    <n v="0.19"/>
    <n v="29.26"/>
    <n v="29.45"/>
    <m/>
  </r>
  <r>
    <d v="2020-09-01T00:00:00"/>
    <s v="2020-21"/>
    <n v="2020"/>
    <x v="1"/>
    <x v="1"/>
    <s v="Odisha"/>
    <n v="21"/>
    <s v="State"/>
    <n v="497.18"/>
    <n v="631.08000000000004"/>
    <n v="763.24"/>
    <n v="492.49"/>
    <n v="1891.5"/>
    <n v="2383.9899999999998"/>
    <m/>
  </r>
  <r>
    <d v="2020-09-01T00:00:00"/>
    <s v="2020-21"/>
    <n v="2020"/>
    <x v="1"/>
    <x v="1"/>
    <s v="Puducherry"/>
    <n v="34"/>
    <s v="Union Territory"/>
    <n v="20.81"/>
    <n v="33.92"/>
    <n v="93.49"/>
    <n v="7.0000000000000007E-2"/>
    <n v="148.22"/>
    <n v="148.29"/>
    <m/>
  </r>
  <r>
    <d v="2020-09-01T00:00:00"/>
    <s v="2020-21"/>
    <n v="2020"/>
    <x v="1"/>
    <x v="1"/>
    <s v="Punjab"/>
    <n v="3"/>
    <s v="State"/>
    <n v="287.83"/>
    <n v="483.73"/>
    <n v="408.81"/>
    <n v="14.12"/>
    <n v="1180.3699999999999"/>
    <n v="1194.49"/>
    <m/>
  </r>
  <r>
    <d v="2020-09-01T00:00:00"/>
    <s v="2020-21"/>
    <n v="2020"/>
    <x v="1"/>
    <x v="1"/>
    <s v="Rajasthan"/>
    <n v="8"/>
    <s v="State"/>
    <n v="702.76"/>
    <n v="934.71"/>
    <n v="900.08"/>
    <n v="109.26"/>
    <n v="2537.5500000000002"/>
    <n v="2646.81"/>
    <m/>
  </r>
  <r>
    <d v="2020-09-01T00:00:00"/>
    <s v="2020-21"/>
    <n v="2020"/>
    <x v="1"/>
    <x v="1"/>
    <s v="Sikkim"/>
    <n v="11"/>
    <s v="State"/>
    <n v="10.83"/>
    <n v="14.53"/>
    <n v="81.02"/>
    <n v="0.01"/>
    <n v="106.38"/>
    <n v="106.39"/>
    <m/>
  </r>
  <r>
    <d v="2020-09-01T00:00:00"/>
    <s v="2020-21"/>
    <n v="2020"/>
    <x v="1"/>
    <x v="1"/>
    <s v="Tamil Nadu"/>
    <n v="33"/>
    <s v="State"/>
    <n v="1709.96"/>
    <n v="2230.39"/>
    <n v="2004.02"/>
    <n v="509.65"/>
    <n v="5944.37"/>
    <n v="6454.02"/>
    <m/>
  </r>
  <r>
    <d v="2020-09-01T00:00:00"/>
    <s v="2020-21"/>
    <n v="2020"/>
    <x v="1"/>
    <x v="1"/>
    <s v="Telangana"/>
    <n v="36"/>
    <s v="State"/>
    <n v="678.14"/>
    <n v="919.81"/>
    <n v="801.48"/>
    <n v="397.06"/>
    <n v="2399.4299999999998"/>
    <n v="2796.49"/>
    <m/>
  </r>
  <r>
    <d v="2020-09-01T00:00:00"/>
    <s v="2020-21"/>
    <n v="2020"/>
    <x v="1"/>
    <x v="1"/>
    <s v="Tripura"/>
    <n v="16"/>
    <s v="State"/>
    <n v="18.559999999999999"/>
    <n v="26.33"/>
    <n v="5.37"/>
    <n v="0.12"/>
    <n v="50.26"/>
    <n v="50.38"/>
    <m/>
  </r>
  <r>
    <d v="2020-09-01T00:00:00"/>
    <s v="2020-21"/>
    <n v="2020"/>
    <x v="1"/>
    <x v="1"/>
    <s v="Uttar Pradesh"/>
    <n v="9"/>
    <s v="State"/>
    <n v="1143.83"/>
    <n v="1700.43"/>
    <n v="1284.27"/>
    <n v="946.32"/>
    <n v="4128.53"/>
    <n v="5074.8500000000004"/>
    <m/>
  </r>
  <r>
    <d v="2020-09-01T00:00:00"/>
    <s v="2020-21"/>
    <n v="2020"/>
    <x v="1"/>
    <x v="1"/>
    <s v="Uttarakhand"/>
    <n v="5"/>
    <s v="State"/>
    <n v="205.63"/>
    <n v="276.95"/>
    <n v="572.42999999999995"/>
    <n v="9.73"/>
    <n v="1055.01"/>
    <n v="1064.74"/>
    <m/>
  </r>
  <r>
    <d v="2020-09-01T00:00:00"/>
    <s v="2020-21"/>
    <n v="2020"/>
    <x v="1"/>
    <x v="1"/>
    <s v="West Bengal"/>
    <n v="19"/>
    <s v="State"/>
    <n v="1046"/>
    <n v="1325.71"/>
    <n v="768.96"/>
    <n v="252.6"/>
    <n v="3140.67"/>
    <n v="3393.27"/>
    <m/>
  </r>
  <r>
    <d v="2020-10-01T00:00:00"/>
    <s v="2020-21"/>
    <n v="2020"/>
    <x v="2"/>
    <x v="2"/>
    <s v="Andaman and Nicobar Islands"/>
    <n v="35"/>
    <s v="Union Territory"/>
    <n v="6.16"/>
    <n v="10.28"/>
    <n v="1.96"/>
    <n v="0.14000000000000001"/>
    <n v="18.399999999999999"/>
    <n v="18.54"/>
    <m/>
  </r>
  <r>
    <d v="2020-10-01T00:00:00"/>
    <s v="2020-21"/>
    <n v="2020"/>
    <x v="2"/>
    <x v="2"/>
    <s v="Andhra Pradesh"/>
    <n v="28"/>
    <s v="State"/>
    <n v="573.54"/>
    <n v="805.42"/>
    <n v="832.63"/>
    <n v="268.77999999999997"/>
    <n v="2211.59"/>
    <n v="2480.37"/>
    <m/>
  </r>
  <r>
    <d v="2020-10-01T00:00:00"/>
    <s v="2020-21"/>
    <n v="2020"/>
    <x v="2"/>
    <x v="2"/>
    <s v="Arunachal Pradesh"/>
    <n v="12"/>
    <s v="State"/>
    <n v="39.35"/>
    <n v="50.35"/>
    <n v="7.42"/>
    <n v="0.46"/>
    <n v="97.12"/>
    <n v="97.58"/>
    <m/>
  </r>
  <r>
    <d v="2020-10-01T00:00:00"/>
    <s v="2020-21"/>
    <n v="2020"/>
    <x v="2"/>
    <x v="2"/>
    <s v="Assam"/>
    <n v="18"/>
    <s v="State"/>
    <n v="302.64"/>
    <n v="410.39"/>
    <n v="290.72000000000003"/>
    <n v="12.9"/>
    <n v="1003.75"/>
    <n v="1016.65"/>
    <m/>
  </r>
  <r>
    <d v="2020-10-01T00:00:00"/>
    <s v="2020-21"/>
    <n v="2020"/>
    <x v="2"/>
    <x v="2"/>
    <s v="Bihar"/>
    <n v="10"/>
    <s v="State"/>
    <n v="277.08"/>
    <n v="478.33"/>
    <n v="119.12"/>
    <n v="135.93"/>
    <n v="874.53"/>
    <n v="1010.46"/>
    <m/>
  </r>
  <r>
    <d v="2020-10-01T00:00:00"/>
    <s v="2020-21"/>
    <n v="2020"/>
    <x v="2"/>
    <x v="2"/>
    <s v="Chandigarh"/>
    <n v="4"/>
    <s v="Union Territory"/>
    <n v="26.27"/>
    <n v="34.380000000000003"/>
    <n v="90.63"/>
    <n v="0.7"/>
    <n v="151.28"/>
    <n v="151.97999999999999"/>
    <m/>
  </r>
  <r>
    <d v="2020-10-01T00:00:00"/>
    <s v="2020-21"/>
    <n v="2020"/>
    <x v="2"/>
    <x v="2"/>
    <s v="Chhattisgarh"/>
    <n v="22"/>
    <s v="State"/>
    <n v="383.31"/>
    <n v="450.12"/>
    <n v="698.7"/>
    <n v="441.84"/>
    <n v="1532.13"/>
    <n v="1973.97"/>
    <m/>
  </r>
  <r>
    <d v="2020-10-01T00:00:00"/>
    <s v="2020-21"/>
    <n v="2020"/>
    <x v="2"/>
    <x v="2"/>
    <s v="Dadra and Nagar Haveli and Daman and Diu"/>
    <n v="38"/>
    <s v="Union Territory"/>
    <n v="31.5"/>
    <n v="38.54"/>
    <n v="220.09"/>
    <n v="0.23"/>
    <n v="290.13"/>
    <n v="290.36"/>
    <m/>
  </r>
  <r>
    <d v="2020-10-01T00:00:00"/>
    <s v="2020-21"/>
    <n v="2020"/>
    <x v="2"/>
    <x v="2"/>
    <s v="Delhi"/>
    <n v="7"/>
    <s v="Union Territory"/>
    <n v="637.64"/>
    <n v="813.35"/>
    <n v="1682.96"/>
    <n v="76.8"/>
    <n v="3133.95"/>
    <n v="3210.75"/>
    <m/>
  </r>
  <r>
    <d v="2020-10-01T00:00:00"/>
    <s v="2020-21"/>
    <n v="2020"/>
    <x v="2"/>
    <x v="2"/>
    <s v="Goa"/>
    <n v="30"/>
    <s v="State"/>
    <n v="59.7"/>
    <n v="84.46"/>
    <n v="164.53"/>
    <n v="0.97"/>
    <n v="308.69"/>
    <n v="309.66000000000003"/>
    <m/>
  </r>
  <r>
    <d v="2020-10-01T00:00:00"/>
    <s v="2020-21"/>
    <n v="2020"/>
    <x v="2"/>
    <x v="2"/>
    <s v="Gujarat"/>
    <n v="24"/>
    <s v="State"/>
    <n v="1752.86"/>
    <n v="2230.71"/>
    <n v="2403.16"/>
    <n v="399.8"/>
    <n v="6386.73"/>
    <n v="6786.53"/>
    <m/>
  </r>
  <r>
    <d v="2020-10-01T00:00:00"/>
    <s v="2020-21"/>
    <n v="2020"/>
    <x v="2"/>
    <x v="2"/>
    <s v="Haryana"/>
    <n v="6"/>
    <s v="State"/>
    <n v="866.43"/>
    <n v="1195.94"/>
    <n v="2974.29"/>
    <n v="396.6"/>
    <n v="5036.66"/>
    <n v="5433.26"/>
    <m/>
  </r>
  <r>
    <d v="2020-10-01T00:00:00"/>
    <s v="2020-21"/>
    <n v="2020"/>
    <x v="2"/>
    <x v="2"/>
    <s v="Himachal Pradesh"/>
    <n v="2"/>
    <s v="State"/>
    <n v="113.59"/>
    <n v="163.03"/>
    <n v="413.51"/>
    <n v="0.85"/>
    <n v="690.13"/>
    <n v="690.98"/>
    <m/>
  </r>
  <r>
    <d v="2020-10-01T00:00:00"/>
    <s v="2020-21"/>
    <n v="2020"/>
    <x v="2"/>
    <x v="2"/>
    <s v="Jammu and Kashmir"/>
    <n v="1"/>
    <s v="Union Territory"/>
    <n v="98.23"/>
    <n v="163.62"/>
    <n v="111.29"/>
    <n v="4"/>
    <n v="373.14"/>
    <n v="377.14"/>
    <m/>
  </r>
  <r>
    <d v="2020-10-01T00:00:00"/>
    <s v="2020-21"/>
    <n v="2020"/>
    <x v="2"/>
    <x v="2"/>
    <s v="Jharkhand"/>
    <n v="20"/>
    <s v="State"/>
    <n v="312.70999999999998"/>
    <n v="415.86"/>
    <n v="646.37"/>
    <n v="396.23"/>
    <n v="1374.94"/>
    <n v="1771.17"/>
    <m/>
  </r>
  <r>
    <d v="2020-10-01T00:00:00"/>
    <s v="2020-21"/>
    <n v="2020"/>
    <x v="2"/>
    <x v="2"/>
    <s v="Karnataka"/>
    <n v="29"/>
    <s v="State"/>
    <n v="1597.37"/>
    <n v="2087.02"/>
    <n v="2549.5300000000002"/>
    <n v="764.16"/>
    <n v="6233.92"/>
    <n v="6998.08"/>
    <m/>
  </r>
  <r>
    <d v="2020-10-01T00:00:00"/>
    <s v="2020-21"/>
    <n v="2020"/>
    <x v="2"/>
    <x v="2"/>
    <s v="Kerala"/>
    <n v="32"/>
    <s v="State"/>
    <n v="541.87"/>
    <n v="798.87"/>
    <n v="319.97000000000003"/>
    <n v="3.82"/>
    <n v="1660.71"/>
    <n v="1664.53"/>
    <m/>
  </r>
  <r>
    <d v="2020-10-01T00:00:00"/>
    <s v="2020-21"/>
    <n v="2020"/>
    <x v="2"/>
    <x v="2"/>
    <s v="Ladakh"/>
    <n v="37"/>
    <s v="Union Territory"/>
    <n v="5.64"/>
    <n v="6.91"/>
    <n v="1.96"/>
    <n v="0"/>
    <n v="14.51"/>
    <n v="14.51"/>
    <m/>
  </r>
  <r>
    <d v="2020-10-01T00:00:00"/>
    <s v="2020-21"/>
    <n v="2020"/>
    <x v="2"/>
    <x v="2"/>
    <s v="Lakshadweep"/>
    <n v="31"/>
    <s v="Union Territory"/>
    <n v="0.36"/>
    <n v="0.66"/>
    <n v="0.1"/>
    <n v="0"/>
    <n v="1.1200000000000001"/>
    <n v="1.1200000000000001"/>
    <m/>
  </r>
  <r>
    <d v="2020-10-01T00:00:00"/>
    <s v="2020-21"/>
    <n v="2020"/>
    <x v="2"/>
    <x v="2"/>
    <s v="Madhya Pradesh"/>
    <n v="23"/>
    <s v="State"/>
    <n v="547"/>
    <n v="754.35"/>
    <n v="642.05999999999995"/>
    <n v="459.89"/>
    <n v="1943.41"/>
    <n v="2403.3000000000002"/>
    <m/>
  </r>
  <r>
    <d v="2020-10-01T00:00:00"/>
    <s v="2020-21"/>
    <n v="2020"/>
    <x v="2"/>
    <x v="2"/>
    <s v="Maharashtra"/>
    <n v="27"/>
    <s v="State"/>
    <n v="4188.9399999999996"/>
    <n v="4975.66"/>
    <n v="5808.3"/>
    <n v="825.98"/>
    <n v="14972.9"/>
    <n v="15798.88"/>
    <m/>
  </r>
  <r>
    <d v="2020-10-01T00:00:00"/>
    <s v="2020-21"/>
    <n v="2020"/>
    <x v="2"/>
    <x v="2"/>
    <s v="Manipur"/>
    <n v="14"/>
    <s v="State"/>
    <n v="15.98"/>
    <n v="25.18"/>
    <n v="1.92"/>
    <n v="0.1"/>
    <n v="43.08"/>
    <n v="43.18"/>
    <m/>
  </r>
  <r>
    <d v="2020-10-01T00:00:00"/>
    <s v="2020-21"/>
    <n v="2020"/>
    <x v="2"/>
    <x v="2"/>
    <s v="Meghalaya"/>
    <n v="17"/>
    <s v="State"/>
    <n v="21.22"/>
    <n v="28.61"/>
    <n v="67.180000000000007"/>
    <n v="0.38"/>
    <n v="117.01"/>
    <n v="117.39"/>
    <m/>
  </r>
  <r>
    <d v="2020-10-01T00:00:00"/>
    <s v="2020-21"/>
    <n v="2020"/>
    <x v="2"/>
    <x v="2"/>
    <s v="Mizoram"/>
    <n v="15"/>
    <s v="State"/>
    <n v="10.56"/>
    <n v="17.7"/>
    <n v="3.19"/>
    <n v="0.2"/>
    <n v="31.45"/>
    <n v="31.65"/>
    <m/>
  </r>
  <r>
    <d v="2020-10-01T00:00:00"/>
    <s v="2020-21"/>
    <n v="2020"/>
    <x v="2"/>
    <x v="2"/>
    <s v="Nagaland"/>
    <n v="13"/>
    <s v="State"/>
    <n v="10.58"/>
    <n v="13.16"/>
    <n v="5.58"/>
    <n v="0.18"/>
    <n v="29.32"/>
    <n v="29.5"/>
    <m/>
  </r>
  <r>
    <d v="2020-10-01T00:00:00"/>
    <s v="2020-21"/>
    <n v="2020"/>
    <x v="2"/>
    <x v="2"/>
    <s v="Odisha"/>
    <n v="21"/>
    <s v="State"/>
    <n v="523.72"/>
    <n v="660.09"/>
    <n v="731.65"/>
    <n v="503.81"/>
    <n v="1915.46"/>
    <n v="2419.27"/>
    <m/>
  </r>
  <r>
    <d v="2020-10-01T00:00:00"/>
    <s v="2020-21"/>
    <n v="2020"/>
    <x v="2"/>
    <x v="2"/>
    <s v="Puducherry"/>
    <n v="34"/>
    <s v="Union Territory"/>
    <n v="20.12"/>
    <n v="30.96"/>
    <n v="109.66"/>
    <n v="0.21"/>
    <n v="160.74"/>
    <n v="160.94999999999999"/>
    <m/>
  </r>
  <r>
    <d v="2020-10-01T00:00:00"/>
    <s v="2020-21"/>
    <n v="2020"/>
    <x v="2"/>
    <x v="2"/>
    <s v="Punjab"/>
    <n v="3"/>
    <s v="State"/>
    <n v="331.48"/>
    <n v="538"/>
    <n v="492.67"/>
    <n v="14.07"/>
    <n v="1362.15"/>
    <n v="1376.22"/>
    <m/>
  </r>
  <r>
    <d v="2020-10-01T00:00:00"/>
    <s v="2020-21"/>
    <n v="2020"/>
    <x v="2"/>
    <x v="2"/>
    <s v="Rajasthan"/>
    <n v="8"/>
    <s v="State"/>
    <n v="739.3"/>
    <n v="1018.58"/>
    <n v="1072.1400000000001"/>
    <n v="135.5"/>
    <n v="2830.02"/>
    <n v="2965.52"/>
    <m/>
  </r>
  <r>
    <d v="2020-10-01T00:00:00"/>
    <s v="2020-21"/>
    <n v="2020"/>
    <x v="2"/>
    <x v="2"/>
    <s v="Sikkim"/>
    <n v="11"/>
    <s v="State"/>
    <n v="13.06"/>
    <n v="17.91"/>
    <n v="145.88999999999999"/>
    <n v="0.01"/>
    <n v="176.86"/>
    <n v="176.87"/>
    <m/>
  </r>
  <r>
    <d v="2020-10-01T00:00:00"/>
    <s v="2020-21"/>
    <n v="2020"/>
    <x v="2"/>
    <x v="2"/>
    <s v="Tamil Nadu"/>
    <n v="33"/>
    <s v="State"/>
    <n v="1745.08"/>
    <n v="2402.5500000000002"/>
    <n v="2284.79"/>
    <n v="468.45"/>
    <n v="6432.42"/>
    <n v="6900.87"/>
    <m/>
  </r>
  <r>
    <d v="2020-10-01T00:00:00"/>
    <s v="2020-21"/>
    <n v="2020"/>
    <x v="2"/>
    <x v="2"/>
    <s v="Telangana"/>
    <n v="36"/>
    <s v="State"/>
    <n v="835.94"/>
    <n v="1122.5"/>
    <n v="1001.24"/>
    <n v="423.76"/>
    <n v="2959.68"/>
    <n v="3383.44"/>
    <m/>
  </r>
  <r>
    <d v="2020-10-01T00:00:00"/>
    <s v="2020-21"/>
    <n v="2020"/>
    <x v="2"/>
    <x v="2"/>
    <s v="Tripura"/>
    <n v="16"/>
    <s v="State"/>
    <n v="22.09"/>
    <n v="29.44"/>
    <n v="5.6"/>
    <n v="0.06"/>
    <n v="57.13"/>
    <n v="57.19"/>
    <m/>
  </r>
  <r>
    <d v="2020-10-01T00:00:00"/>
    <s v="2020-21"/>
    <n v="2020"/>
    <x v="2"/>
    <x v="2"/>
    <s v="Uttar Pradesh"/>
    <n v="9"/>
    <s v="State"/>
    <n v="1207.8699999999999"/>
    <n v="1768.77"/>
    <n v="1467"/>
    <n v="1027.8"/>
    <n v="4443.6400000000003"/>
    <n v="5471.44"/>
    <m/>
  </r>
  <r>
    <d v="2020-10-01T00:00:00"/>
    <s v="2020-21"/>
    <n v="2020"/>
    <x v="2"/>
    <x v="2"/>
    <s v="Uttarakhand"/>
    <n v="5"/>
    <s v="State"/>
    <n v="228.93"/>
    <n v="335.97"/>
    <n v="696.33"/>
    <n v="11.01"/>
    <n v="1261.23"/>
    <n v="1272.24"/>
    <m/>
  </r>
  <r>
    <d v="2020-10-01T00:00:00"/>
    <s v="2020-21"/>
    <n v="2020"/>
    <x v="2"/>
    <x v="2"/>
    <s v="West Bengal"/>
    <n v="19"/>
    <s v="State"/>
    <n v="1100.1500000000001"/>
    <n v="1427.98"/>
    <n v="906.28"/>
    <n v="303.26"/>
    <n v="3434.41"/>
    <n v="3737.67"/>
    <m/>
  </r>
  <r>
    <d v="2020-11-01T00:00:00"/>
    <s v="2020-21"/>
    <n v="2020"/>
    <x v="3"/>
    <x v="3"/>
    <s v="Andaman and Nicobar Islands"/>
    <n v="35"/>
    <s v="Union Territory"/>
    <n v="9.48"/>
    <n v="11.67"/>
    <n v="1.92"/>
    <n v="0.04"/>
    <n v="23.07"/>
    <n v="23.11"/>
    <m/>
  </r>
  <r>
    <d v="2020-11-01T00:00:00"/>
    <s v="2020-21"/>
    <n v="2020"/>
    <x v="3"/>
    <x v="3"/>
    <s v="Andhra Pradesh"/>
    <n v="28"/>
    <s v="State"/>
    <n v="605.38"/>
    <n v="823.12"/>
    <n v="828.67"/>
    <n v="249.42"/>
    <n v="2257.17"/>
    <n v="2506.59"/>
    <m/>
  </r>
  <r>
    <d v="2020-11-01T00:00:00"/>
    <s v="2020-21"/>
    <n v="2020"/>
    <x v="3"/>
    <x v="3"/>
    <s v="Arunachal Pradesh"/>
    <n v="12"/>
    <s v="State"/>
    <n v="25.02"/>
    <n v="28.82"/>
    <n v="6.14"/>
    <n v="0.01"/>
    <n v="59.98"/>
    <n v="59.99"/>
    <m/>
  </r>
  <r>
    <d v="2020-11-01T00:00:00"/>
    <s v="2020-21"/>
    <n v="2020"/>
    <x v="3"/>
    <x v="3"/>
    <s v="Assam"/>
    <n v="18"/>
    <s v="State"/>
    <n v="275.86"/>
    <n v="355.91"/>
    <n v="280.18"/>
    <n v="33.979999999999997"/>
    <n v="911.95"/>
    <n v="945.93"/>
    <m/>
  </r>
  <r>
    <d v="2020-11-01T00:00:00"/>
    <s v="2020-21"/>
    <n v="2020"/>
    <x v="3"/>
    <x v="3"/>
    <s v="Bihar"/>
    <n v="10"/>
    <s v="State"/>
    <n v="252.57"/>
    <n v="463.04"/>
    <n v="122.69"/>
    <n v="131.57"/>
    <n v="838.3"/>
    <n v="969.87"/>
    <m/>
  </r>
  <r>
    <d v="2020-11-01T00:00:00"/>
    <s v="2020-21"/>
    <n v="2020"/>
    <x v="3"/>
    <x v="3"/>
    <s v="Chandigarh"/>
    <n v="4"/>
    <s v="Union Territory"/>
    <n v="27.12"/>
    <n v="35.26"/>
    <n v="78.34"/>
    <n v="0.64"/>
    <n v="140.72"/>
    <n v="141.36000000000001"/>
    <m/>
  </r>
  <r>
    <d v="2020-11-01T00:00:00"/>
    <s v="2020-21"/>
    <n v="2020"/>
    <x v="3"/>
    <x v="3"/>
    <s v="Chhattisgarh"/>
    <n v="22"/>
    <s v="State"/>
    <n v="398.49"/>
    <n v="469.54"/>
    <n v="799.3"/>
    <n v="513.75"/>
    <n v="1667.33"/>
    <n v="2181.08"/>
    <m/>
  </r>
  <r>
    <d v="2020-11-01T00:00:00"/>
    <s v="2020-21"/>
    <n v="2020"/>
    <x v="3"/>
    <x v="3"/>
    <s v="Dadra and Nagar Haveli and Daman and Diu"/>
    <n v="38"/>
    <s v="Union Territory"/>
    <n v="30.36"/>
    <n v="42.93"/>
    <n v="224.94"/>
    <n v="0.04"/>
    <n v="298.23"/>
    <n v="298.27"/>
    <m/>
  </r>
  <r>
    <d v="2020-11-01T00:00:00"/>
    <s v="2020-21"/>
    <n v="2020"/>
    <x v="3"/>
    <x v="3"/>
    <s v="Delhi"/>
    <n v="7"/>
    <s v="Union Territory"/>
    <n v="653.51"/>
    <n v="832.92"/>
    <n v="1838.82"/>
    <n v="87.88"/>
    <n v="3325.25"/>
    <n v="3413.13"/>
    <m/>
  </r>
  <r>
    <d v="2020-11-01T00:00:00"/>
    <s v="2020-21"/>
    <n v="2020"/>
    <x v="3"/>
    <x v="3"/>
    <s v="Goa"/>
    <n v="30"/>
    <s v="State"/>
    <n v="58.66"/>
    <n v="85.28"/>
    <n v="154.38"/>
    <n v="1.8"/>
    <n v="298.32"/>
    <n v="300.12"/>
    <m/>
  </r>
  <r>
    <d v="2020-11-01T00:00:00"/>
    <s v="2020-21"/>
    <n v="2020"/>
    <x v="3"/>
    <x v="3"/>
    <s v="Gujarat"/>
    <n v="24"/>
    <s v="State"/>
    <n v="1950.51"/>
    <n v="2448.0700000000002"/>
    <n v="2692.95"/>
    <n v="474.84"/>
    <n v="7091.53"/>
    <n v="7566.37"/>
    <m/>
  </r>
  <r>
    <d v="2020-11-01T00:00:00"/>
    <s v="2020-21"/>
    <n v="2020"/>
    <x v="3"/>
    <x v="3"/>
    <s v="Haryana"/>
    <n v="6"/>
    <s v="State"/>
    <n v="894.96"/>
    <n v="1264.21"/>
    <n v="3321.52"/>
    <n v="447.56"/>
    <n v="5480.69"/>
    <n v="5928.25"/>
    <m/>
  </r>
  <r>
    <d v="2020-11-01T00:00:00"/>
    <s v="2020-21"/>
    <n v="2020"/>
    <x v="3"/>
    <x v="3"/>
    <s v="Himachal Pradesh"/>
    <n v="2"/>
    <s v="State"/>
    <n v="113.18"/>
    <n v="161.59"/>
    <n v="482.7"/>
    <n v="0.89"/>
    <n v="757.47"/>
    <n v="758.36"/>
    <m/>
  </r>
  <r>
    <d v="2020-11-01T00:00:00"/>
    <s v="2020-21"/>
    <n v="2020"/>
    <x v="3"/>
    <x v="3"/>
    <s v="Jammu and Kashmir"/>
    <n v="1"/>
    <s v="Union Territory"/>
    <n v="91.07"/>
    <n v="147.5"/>
    <n v="118.25"/>
    <n v="2.96"/>
    <n v="356.82"/>
    <n v="359.78"/>
    <m/>
  </r>
  <r>
    <d v="2020-11-01T00:00:00"/>
    <s v="2020-21"/>
    <n v="2020"/>
    <x v="3"/>
    <x v="3"/>
    <s v="Jharkhand"/>
    <n v="20"/>
    <s v="State"/>
    <n v="317.02"/>
    <n v="422.37"/>
    <n v="753.16"/>
    <n v="414.66"/>
    <n v="1492.55"/>
    <n v="1907.21"/>
    <m/>
  </r>
  <r>
    <d v="2020-11-01T00:00:00"/>
    <s v="2020-21"/>
    <n v="2020"/>
    <x v="3"/>
    <x v="3"/>
    <s v="Karnataka"/>
    <n v="29"/>
    <s v="State"/>
    <n v="1656.86"/>
    <n v="2146.59"/>
    <n v="2440.06"/>
    <n v="671.74"/>
    <n v="6243.51"/>
    <n v="6915.25"/>
    <m/>
  </r>
  <r>
    <d v="2020-11-01T00:00:00"/>
    <s v="2020-21"/>
    <n v="2020"/>
    <x v="3"/>
    <x v="3"/>
    <s v="Kerala"/>
    <n v="32"/>
    <s v="State"/>
    <n v="512.26"/>
    <n v="745.81"/>
    <n v="307.51"/>
    <n v="2.65"/>
    <n v="1565.58"/>
    <n v="1568.23"/>
    <m/>
  </r>
  <r>
    <d v="2020-11-01T00:00:00"/>
    <s v="2020-21"/>
    <n v="2020"/>
    <x v="3"/>
    <x v="3"/>
    <s v="Ladakh"/>
    <n v="37"/>
    <s v="Union Territory"/>
    <n v="2.86"/>
    <n v="4.47"/>
    <n v="1.86"/>
    <n v="0"/>
    <n v="9.19"/>
    <n v="9.19"/>
    <m/>
  </r>
  <r>
    <d v="2020-11-01T00:00:00"/>
    <s v="2020-21"/>
    <n v="2020"/>
    <x v="3"/>
    <x v="3"/>
    <s v="Lakshadweep"/>
    <n v="31"/>
    <s v="Union Territory"/>
    <n v="0.16"/>
    <n v="0.28999999999999998"/>
    <n v="0.03"/>
    <n v="0"/>
    <n v="0.48"/>
    <n v="0.48"/>
    <m/>
  </r>
  <r>
    <d v="2020-11-01T00:00:00"/>
    <s v="2020-21"/>
    <n v="2020"/>
    <x v="3"/>
    <x v="3"/>
    <s v="Madhya Pradesh"/>
    <n v="23"/>
    <s v="State"/>
    <n v="569.72"/>
    <n v="744.96"/>
    <n v="696.93"/>
    <n v="481.45"/>
    <n v="2011.61"/>
    <n v="2493.06"/>
    <m/>
  </r>
  <r>
    <d v="2020-11-01T00:00:00"/>
    <s v="2020-21"/>
    <n v="2020"/>
    <x v="3"/>
    <x v="3"/>
    <s v="Maharashtra"/>
    <n v="27"/>
    <s v="State"/>
    <n v="3992.81"/>
    <n v="4875.3599999999997"/>
    <n v="5144.67"/>
    <n v="988.01"/>
    <n v="14012.84"/>
    <n v="15000.85"/>
    <m/>
  </r>
  <r>
    <d v="2020-11-01T00:00:00"/>
    <s v="2020-21"/>
    <n v="2020"/>
    <x v="3"/>
    <x v="3"/>
    <s v="Manipur"/>
    <n v="14"/>
    <s v="State"/>
    <n v="11.67"/>
    <n v="17.600000000000001"/>
    <n v="2.67"/>
    <n v="0.03"/>
    <n v="31.94"/>
    <n v="31.97"/>
    <m/>
  </r>
  <r>
    <d v="2020-11-01T00:00:00"/>
    <s v="2020-21"/>
    <n v="2020"/>
    <x v="3"/>
    <x v="3"/>
    <s v="Meghalaya"/>
    <n v="17"/>
    <s v="State"/>
    <n v="20.27"/>
    <n v="25.61"/>
    <n v="73.739999999999995"/>
    <n v="0.41"/>
    <n v="119.62"/>
    <n v="120.03"/>
    <m/>
  </r>
  <r>
    <d v="2020-11-01T00:00:00"/>
    <s v="2020-21"/>
    <n v="2020"/>
    <x v="3"/>
    <x v="3"/>
    <s v="Mizoram"/>
    <n v="15"/>
    <s v="State"/>
    <n v="5.68"/>
    <n v="8.7200000000000006"/>
    <n v="2.35"/>
    <n v="0.01"/>
    <n v="16.75"/>
    <n v="16.760000000000002"/>
    <m/>
  </r>
  <r>
    <d v="2020-11-01T00:00:00"/>
    <s v="2020-21"/>
    <n v="2020"/>
    <x v="3"/>
    <x v="3"/>
    <s v="Nagaland"/>
    <n v="13"/>
    <s v="State"/>
    <n v="10.53"/>
    <n v="12.4"/>
    <n v="4.87"/>
    <n v="1.81"/>
    <n v="27.8"/>
    <n v="29.61"/>
    <m/>
  </r>
  <r>
    <d v="2020-11-01T00:00:00"/>
    <s v="2020-21"/>
    <n v="2020"/>
    <x v="3"/>
    <x v="3"/>
    <s v="Odisha"/>
    <n v="21"/>
    <s v="State"/>
    <n v="533.57000000000005"/>
    <n v="681.96"/>
    <n v="787.63"/>
    <n v="524.85"/>
    <n v="2003.16"/>
    <n v="2528.0100000000002"/>
    <m/>
  </r>
  <r>
    <d v="2020-11-01T00:00:00"/>
    <s v="2020-21"/>
    <n v="2020"/>
    <x v="3"/>
    <x v="3"/>
    <s v="Puducherry"/>
    <n v="34"/>
    <s v="Union Territory"/>
    <n v="19.18"/>
    <n v="29.6"/>
    <n v="109.27"/>
    <n v="0.17"/>
    <n v="158.05000000000001"/>
    <n v="158.22"/>
    <m/>
  </r>
  <r>
    <d v="2020-11-01T00:00:00"/>
    <s v="2020-21"/>
    <n v="2020"/>
    <x v="3"/>
    <x v="3"/>
    <s v="Punjab"/>
    <n v="3"/>
    <s v="State"/>
    <n v="322.95999999999998"/>
    <n v="548.85"/>
    <n v="511.68"/>
    <n v="12.79"/>
    <n v="1383.49"/>
    <n v="1396.28"/>
    <m/>
  </r>
  <r>
    <d v="2020-11-01T00:00:00"/>
    <s v="2020-21"/>
    <n v="2020"/>
    <x v="3"/>
    <x v="3"/>
    <s v="Rajasthan"/>
    <n v="8"/>
    <s v="State"/>
    <n v="781.21"/>
    <n v="1061.6199999999999"/>
    <n v="1121.6199999999999"/>
    <n v="165.94"/>
    <n v="2964.45"/>
    <n v="3130.39"/>
    <m/>
  </r>
  <r>
    <d v="2020-11-01T00:00:00"/>
    <s v="2020-21"/>
    <n v="2020"/>
    <x v="3"/>
    <x v="3"/>
    <s v="Sikkim"/>
    <n v="11"/>
    <s v="State"/>
    <n v="15.72"/>
    <n v="25.02"/>
    <n v="182.62"/>
    <n v="0.01"/>
    <n v="223.36"/>
    <n v="223.37"/>
    <m/>
  </r>
  <r>
    <d v="2020-11-01T00:00:00"/>
    <s v="2020-21"/>
    <n v="2020"/>
    <x v="3"/>
    <x v="3"/>
    <s v="Tamil Nadu"/>
    <n v="33"/>
    <s v="State"/>
    <n v="1735.11"/>
    <n v="2397.58"/>
    <n v="2383.83"/>
    <n v="567.54999999999995"/>
    <n v="6516.52"/>
    <n v="7084.07"/>
    <m/>
  </r>
  <r>
    <d v="2020-11-01T00:00:00"/>
    <s v="2020-21"/>
    <n v="2020"/>
    <x v="3"/>
    <x v="3"/>
    <s v="Telangana"/>
    <n v="36"/>
    <s v="State"/>
    <n v="766.82"/>
    <n v="1077.3900000000001"/>
    <n v="914.83"/>
    <n v="415.48"/>
    <n v="2759.04"/>
    <n v="3174.52"/>
    <m/>
  </r>
  <r>
    <d v="2020-11-01T00:00:00"/>
    <s v="2020-21"/>
    <n v="2020"/>
    <x v="3"/>
    <x v="3"/>
    <s v="Tripura"/>
    <n v="16"/>
    <s v="State"/>
    <n v="20.69"/>
    <n v="29.97"/>
    <n v="7.21"/>
    <n v="0.23"/>
    <n v="57.87"/>
    <n v="58.1"/>
    <m/>
  </r>
  <r>
    <d v="2020-11-01T00:00:00"/>
    <s v="2020-21"/>
    <n v="2020"/>
    <x v="3"/>
    <x v="3"/>
    <s v="Uttar Pradesh"/>
    <n v="9"/>
    <s v="State"/>
    <n v="1171.76"/>
    <n v="1768.28"/>
    <n v="1636.13"/>
    <n v="951.79"/>
    <n v="4576.17"/>
    <n v="5527.96"/>
    <m/>
  </r>
  <r>
    <d v="2020-11-01T00:00:00"/>
    <s v="2020-21"/>
    <n v="2020"/>
    <x v="3"/>
    <x v="3"/>
    <s v="Uttarakhand"/>
    <n v="5"/>
    <s v="State"/>
    <n v="204.48"/>
    <n v="323.76"/>
    <n v="748.02"/>
    <n v="9.24"/>
    <n v="1276.26"/>
    <n v="1285.5"/>
    <m/>
  </r>
  <r>
    <d v="2020-11-01T00:00:00"/>
    <s v="2020-21"/>
    <n v="2020"/>
    <x v="3"/>
    <x v="3"/>
    <s v="West Bengal"/>
    <n v="19"/>
    <s v="State"/>
    <n v="1127.51"/>
    <n v="1416.23"/>
    <n v="925.16"/>
    <n v="278.07"/>
    <n v="3468.9"/>
    <n v="3746.97"/>
    <m/>
  </r>
  <r>
    <d v="2020-12-01T00:00:00"/>
    <s v="2020-21"/>
    <n v="2020"/>
    <x v="4"/>
    <x v="4"/>
    <s v="Andaman and Nicobar Islands"/>
    <n v="35"/>
    <s v="Union Territory"/>
    <n v="6.98"/>
    <n v="10.61"/>
    <n v="4.29"/>
    <n v="0.02"/>
    <n v="21.88"/>
    <n v="21.9"/>
    <m/>
  </r>
  <r>
    <d v="2020-12-01T00:00:00"/>
    <s v="2020-21"/>
    <n v="2020"/>
    <x v="4"/>
    <x v="4"/>
    <s v="Andhra Pradesh"/>
    <n v="28"/>
    <s v="State"/>
    <n v="607.07000000000005"/>
    <n v="817.35"/>
    <n v="925.12"/>
    <n v="231.36"/>
    <n v="2349.54"/>
    <n v="2580.9"/>
    <m/>
  </r>
  <r>
    <d v="2020-12-01T00:00:00"/>
    <s v="2020-21"/>
    <n v="2020"/>
    <x v="4"/>
    <x v="4"/>
    <s v="Arunachal Pradesh"/>
    <n v="12"/>
    <s v="State"/>
    <n v="16.68"/>
    <n v="23.67"/>
    <n v="5.17"/>
    <n v="0.04"/>
    <n v="45.52"/>
    <n v="45.56"/>
    <m/>
  </r>
  <r>
    <d v="2020-12-01T00:00:00"/>
    <s v="2020-21"/>
    <n v="2020"/>
    <x v="4"/>
    <x v="4"/>
    <s v="Assam"/>
    <n v="18"/>
    <s v="State"/>
    <n v="286.89999999999998"/>
    <n v="393.95"/>
    <n v="271.43"/>
    <n v="31.54"/>
    <n v="952.28"/>
    <n v="983.82"/>
    <m/>
  </r>
  <r>
    <d v="2020-12-01T00:00:00"/>
    <s v="2020-21"/>
    <n v="2020"/>
    <x v="4"/>
    <x v="4"/>
    <s v="Bihar"/>
    <n v="10"/>
    <s v="State"/>
    <n v="280.57"/>
    <n v="484.72"/>
    <n v="129.86000000000001"/>
    <n v="172.28"/>
    <n v="895.15"/>
    <n v="1067.43"/>
    <m/>
  </r>
  <r>
    <d v="2020-12-01T00:00:00"/>
    <s v="2020-21"/>
    <n v="2020"/>
    <x v="4"/>
    <x v="4"/>
    <s v="Chandigarh"/>
    <n v="4"/>
    <s v="Union Territory"/>
    <n v="29.46"/>
    <n v="40.69"/>
    <n v="87.61"/>
    <n v="0.57999999999999996"/>
    <n v="157.76"/>
    <n v="158.34"/>
    <m/>
  </r>
  <r>
    <d v="2020-12-01T00:00:00"/>
    <s v="2020-21"/>
    <n v="2020"/>
    <x v="4"/>
    <x v="4"/>
    <s v="Chhattisgarh"/>
    <n v="22"/>
    <s v="State"/>
    <n v="466.66"/>
    <n v="551.63"/>
    <n v="795.42"/>
    <n v="535.69000000000005"/>
    <n v="1813.71"/>
    <n v="2349.4"/>
    <m/>
  </r>
  <r>
    <d v="2020-12-01T00:00:00"/>
    <s v="2020-21"/>
    <n v="2020"/>
    <x v="4"/>
    <x v="4"/>
    <s v="Dadra and Nagar Haveli and Daman and Diu"/>
    <n v="38"/>
    <s v="Union Territory"/>
    <n v="36.229999999999997"/>
    <n v="46.84"/>
    <n v="179.58"/>
    <n v="0.09"/>
    <n v="262.64999999999998"/>
    <n v="262.74"/>
    <m/>
  </r>
  <r>
    <d v="2020-12-01T00:00:00"/>
    <s v="2020-21"/>
    <n v="2020"/>
    <x v="4"/>
    <x v="4"/>
    <s v="Delhi"/>
    <n v="7"/>
    <s v="Union Territory"/>
    <n v="701.05"/>
    <n v="876.45"/>
    <n v="1784.95"/>
    <n v="88.83"/>
    <n v="3362.45"/>
    <n v="3451.28"/>
    <m/>
  </r>
  <r>
    <d v="2020-12-01T00:00:00"/>
    <s v="2020-21"/>
    <n v="2020"/>
    <x v="4"/>
    <x v="4"/>
    <s v="Goa"/>
    <n v="30"/>
    <s v="State"/>
    <n v="80.28"/>
    <n v="114.33"/>
    <n v="145.04"/>
    <n v="2.0499999999999998"/>
    <n v="339.65"/>
    <n v="341.7"/>
    <m/>
  </r>
  <r>
    <d v="2020-12-01T00:00:00"/>
    <s v="2020-21"/>
    <n v="2020"/>
    <x v="4"/>
    <x v="4"/>
    <s v="Gujarat"/>
    <n v="24"/>
    <s v="State"/>
    <n v="1997.66"/>
    <n v="2464.5700000000002"/>
    <n v="2491.79"/>
    <n v="514.78"/>
    <n v="6954.02"/>
    <n v="7468.8"/>
    <m/>
  </r>
  <r>
    <d v="2020-12-01T00:00:00"/>
    <s v="2020-21"/>
    <n v="2020"/>
    <x v="4"/>
    <x v="4"/>
    <s v="Haryana"/>
    <n v="6"/>
    <s v="State"/>
    <n v="938.85"/>
    <n v="1280.9000000000001"/>
    <n v="3101.55"/>
    <n v="425.7"/>
    <n v="5321.3"/>
    <n v="5747"/>
    <m/>
  </r>
  <r>
    <d v="2020-12-01T00:00:00"/>
    <s v="2020-21"/>
    <n v="2020"/>
    <x v="4"/>
    <x v="4"/>
    <s v="Himachal Pradesh"/>
    <n v="2"/>
    <s v="State"/>
    <n v="114.45"/>
    <n v="165.7"/>
    <n v="389.03"/>
    <n v="0.6"/>
    <n v="669.18"/>
    <n v="669.78"/>
    <m/>
  </r>
  <r>
    <d v="2020-12-01T00:00:00"/>
    <s v="2020-21"/>
    <n v="2020"/>
    <x v="4"/>
    <x v="4"/>
    <s v="Jammu and Kashmir"/>
    <n v="1"/>
    <s v="Union Territory"/>
    <n v="79.38"/>
    <n v="132.41"/>
    <n v="104.73"/>
    <n v="1.93"/>
    <n v="316.52"/>
    <n v="318.45"/>
    <m/>
  </r>
  <r>
    <d v="2020-12-01T00:00:00"/>
    <s v="2020-21"/>
    <n v="2020"/>
    <x v="4"/>
    <x v="4"/>
    <s v="Jharkhand"/>
    <n v="20"/>
    <s v="State"/>
    <n v="350.66"/>
    <n v="493"/>
    <n v="871.09"/>
    <n v="435.43"/>
    <n v="1714.75"/>
    <n v="2150.1799999999998"/>
    <m/>
  </r>
  <r>
    <d v="2020-12-01T00:00:00"/>
    <s v="2020-21"/>
    <n v="2020"/>
    <x v="4"/>
    <x v="4"/>
    <s v="Karnataka"/>
    <n v="29"/>
    <s v="State"/>
    <n v="1752.76"/>
    <n v="2274.89"/>
    <n v="2785.21"/>
    <n v="646.42999999999995"/>
    <n v="6812.86"/>
    <n v="7459.29"/>
    <m/>
  </r>
  <r>
    <d v="2020-12-01T00:00:00"/>
    <s v="2020-21"/>
    <n v="2020"/>
    <x v="4"/>
    <x v="4"/>
    <s v="Kerala"/>
    <n v="32"/>
    <s v="State"/>
    <n v="585.04"/>
    <n v="847.83"/>
    <n v="339.72"/>
    <n v="3.8"/>
    <n v="1772.59"/>
    <n v="1776.39"/>
    <m/>
  </r>
  <r>
    <d v="2020-12-01T00:00:00"/>
    <s v="2020-21"/>
    <n v="2020"/>
    <x v="4"/>
    <x v="4"/>
    <s v="Ladakh"/>
    <n v="37"/>
    <s v="Union Territory"/>
    <n v="2.59"/>
    <n v="3.98"/>
    <n v="1.72"/>
    <n v="0.02"/>
    <n v="8.2899999999999991"/>
    <n v="8.31"/>
    <m/>
  </r>
  <r>
    <d v="2020-12-01T00:00:00"/>
    <s v="2020-21"/>
    <n v="2020"/>
    <x v="4"/>
    <x v="4"/>
    <s v="Lakshadweep"/>
    <n v="31"/>
    <s v="Union Territory"/>
    <n v="0.19"/>
    <n v="0.25"/>
    <n v="0.09"/>
    <n v="0"/>
    <n v="0.53"/>
    <n v="0.53"/>
    <m/>
  </r>
  <r>
    <d v="2020-12-01T00:00:00"/>
    <s v="2020-21"/>
    <n v="2020"/>
    <x v="4"/>
    <x v="4"/>
    <s v="Madhya Pradesh"/>
    <n v="23"/>
    <s v="State"/>
    <n v="628.48"/>
    <n v="823.38"/>
    <n v="651.59"/>
    <n v="511.15"/>
    <n v="2103.4499999999998"/>
    <n v="2614.6"/>
    <m/>
  </r>
  <r>
    <d v="2020-12-01T00:00:00"/>
    <s v="2020-21"/>
    <n v="2020"/>
    <x v="4"/>
    <x v="4"/>
    <s v="Maharashtra"/>
    <n v="27"/>
    <s v="State"/>
    <n v="5098.3900000000003"/>
    <n v="5916.56"/>
    <n v="5760.9"/>
    <n v="923.06"/>
    <n v="16775.849999999999"/>
    <n v="17698.91"/>
    <m/>
  </r>
  <r>
    <d v="2020-12-01T00:00:00"/>
    <s v="2020-21"/>
    <n v="2020"/>
    <x v="4"/>
    <x v="4"/>
    <s v="Manipur"/>
    <n v="14"/>
    <s v="State"/>
    <n v="15.09"/>
    <n v="20.29"/>
    <n v="5.18"/>
    <n v="0.13"/>
    <n v="40.56"/>
    <n v="40.69"/>
    <m/>
  </r>
  <r>
    <d v="2020-12-01T00:00:00"/>
    <s v="2020-21"/>
    <n v="2020"/>
    <x v="4"/>
    <x v="4"/>
    <s v="Meghalaya"/>
    <n v="17"/>
    <s v="State"/>
    <n v="19.309999999999999"/>
    <n v="27.79"/>
    <n v="58.45"/>
    <n v="0.33"/>
    <n v="105.55"/>
    <n v="105.88"/>
    <m/>
  </r>
  <r>
    <d v="2020-12-01T00:00:00"/>
    <s v="2020-21"/>
    <n v="2020"/>
    <x v="4"/>
    <x v="4"/>
    <s v="Mizoram"/>
    <n v="15"/>
    <s v="State"/>
    <n v="7.61"/>
    <n v="11.55"/>
    <n v="6.22"/>
    <n v="0.01"/>
    <n v="25.38"/>
    <n v="25.39"/>
    <m/>
  </r>
  <r>
    <d v="2020-12-01T00:00:00"/>
    <s v="2020-21"/>
    <n v="2020"/>
    <x v="4"/>
    <x v="4"/>
    <s v="Nagaland"/>
    <n v="13"/>
    <s v="State"/>
    <n v="15.62"/>
    <n v="17.739999999999998"/>
    <n v="4.5199999999999996"/>
    <n v="0.34"/>
    <n v="37.880000000000003"/>
    <n v="38.22"/>
    <m/>
  </r>
  <r>
    <d v="2020-12-01T00:00:00"/>
    <s v="2020-21"/>
    <n v="2020"/>
    <x v="4"/>
    <x v="4"/>
    <s v="Odisha"/>
    <n v="21"/>
    <s v="State"/>
    <n v="589.41"/>
    <n v="765.26"/>
    <n v="965.75"/>
    <n v="539.78"/>
    <n v="2320.42"/>
    <n v="2860.2"/>
    <m/>
  </r>
  <r>
    <d v="2020-12-01T00:00:00"/>
    <s v="2020-21"/>
    <n v="2020"/>
    <x v="4"/>
    <x v="4"/>
    <s v="Puducherry"/>
    <n v="34"/>
    <s v="Union Territory"/>
    <n v="19.46"/>
    <n v="30.18"/>
    <n v="109.13"/>
    <n v="0.23"/>
    <n v="158.77000000000001"/>
    <n v="159"/>
    <m/>
  </r>
  <r>
    <d v="2020-12-01T00:00:00"/>
    <s v="2020-21"/>
    <n v="2020"/>
    <x v="4"/>
    <x v="4"/>
    <s v="Punjab"/>
    <n v="3"/>
    <s v="State"/>
    <n v="341.87"/>
    <n v="531.67999999999995"/>
    <n v="469.66"/>
    <n v="9.5500000000000007"/>
    <n v="1343.21"/>
    <n v="1352.76"/>
    <m/>
  </r>
  <r>
    <d v="2020-12-01T00:00:00"/>
    <s v="2020-21"/>
    <n v="2020"/>
    <x v="4"/>
    <x v="4"/>
    <s v="Rajasthan"/>
    <n v="8"/>
    <s v="State"/>
    <n v="790.71"/>
    <n v="1095.77"/>
    <n v="1078.97"/>
    <n v="170"/>
    <n v="2965.45"/>
    <n v="3135.45"/>
    <m/>
  </r>
  <r>
    <d v="2020-12-01T00:00:00"/>
    <s v="2020-21"/>
    <n v="2020"/>
    <x v="4"/>
    <x v="4"/>
    <s v="Sikkim"/>
    <n v="11"/>
    <s v="State"/>
    <n v="13.06"/>
    <n v="18.78"/>
    <n v="193.18"/>
    <n v="0.11"/>
    <n v="225.02"/>
    <n v="225.13"/>
    <m/>
  </r>
  <r>
    <d v="2020-12-01T00:00:00"/>
    <s v="2020-21"/>
    <n v="2020"/>
    <x v="4"/>
    <x v="4"/>
    <s v="Tamil Nadu"/>
    <n v="33"/>
    <s v="State"/>
    <n v="1814.91"/>
    <n v="2427.4299999999998"/>
    <n v="2148.9699999999998"/>
    <n v="513.6"/>
    <n v="6391.31"/>
    <n v="6904.91"/>
    <m/>
  </r>
  <r>
    <d v="2020-12-01T00:00:00"/>
    <s v="2020-21"/>
    <n v="2020"/>
    <x v="4"/>
    <x v="4"/>
    <s v="Telangana"/>
    <n v="36"/>
    <s v="State"/>
    <n v="869.85"/>
    <n v="1154.53"/>
    <n v="1032.49"/>
    <n v="486.5"/>
    <n v="3056.87"/>
    <n v="3543.37"/>
    <m/>
  </r>
  <r>
    <d v="2020-12-01T00:00:00"/>
    <s v="2020-21"/>
    <n v="2020"/>
    <x v="4"/>
    <x v="4"/>
    <s v="Tripura"/>
    <n v="16"/>
    <s v="State"/>
    <n v="27.68"/>
    <n v="39.97"/>
    <n v="6.48"/>
    <n v="0.15"/>
    <n v="74.13"/>
    <n v="74.28"/>
    <m/>
  </r>
  <r>
    <d v="2020-12-01T00:00:00"/>
    <s v="2020-21"/>
    <n v="2020"/>
    <x v="4"/>
    <x v="4"/>
    <s v="Uttar Pradesh"/>
    <n v="9"/>
    <s v="State"/>
    <n v="1342.98"/>
    <n v="1997.9"/>
    <n v="1537.24"/>
    <n v="1058.8"/>
    <n v="4878.12"/>
    <n v="5936.92"/>
    <m/>
  </r>
  <r>
    <d v="2020-12-01T00:00:00"/>
    <s v="2020-21"/>
    <n v="2020"/>
    <x v="4"/>
    <x v="4"/>
    <s v="Uttarakhand"/>
    <n v="5"/>
    <s v="State"/>
    <n v="209.08"/>
    <n v="337.54"/>
    <n v="690.11"/>
    <n v="9.07"/>
    <n v="1236.73"/>
    <n v="1245.8"/>
    <m/>
  </r>
  <r>
    <d v="2020-12-01T00:00:00"/>
    <s v="2020-21"/>
    <n v="2020"/>
    <x v="4"/>
    <x v="4"/>
    <s v="West Bengal"/>
    <n v="19"/>
    <s v="State"/>
    <n v="1221.6600000000001"/>
    <n v="1555.14"/>
    <n v="1043.05"/>
    <n v="294.5"/>
    <n v="3819.85"/>
    <n v="4114.3500000000004"/>
    <m/>
  </r>
  <r>
    <d v="2021-01-01T00:00:00"/>
    <s v="2020-21"/>
    <n v="2021"/>
    <x v="5"/>
    <x v="5"/>
    <s v="Andaman and Nicobar Islands"/>
    <n v="35"/>
    <s v="Union Territory"/>
    <n v="7.67"/>
    <n v="10.94"/>
    <n v="1.88"/>
    <n v="0.03"/>
    <n v="20.49"/>
    <n v="20.52"/>
    <m/>
  </r>
  <r>
    <d v="2021-01-01T00:00:00"/>
    <s v="2020-21"/>
    <n v="2021"/>
    <x v="5"/>
    <x v="5"/>
    <s v="Andhra Pradesh"/>
    <n v="28"/>
    <s v="State"/>
    <n v="673.6"/>
    <n v="922.79"/>
    <n v="1102.74"/>
    <n v="180.77"/>
    <n v="2699.13"/>
    <n v="2879.9"/>
    <m/>
  </r>
  <r>
    <d v="2021-01-01T00:00:00"/>
    <s v="2020-21"/>
    <n v="2021"/>
    <x v="5"/>
    <x v="5"/>
    <s v="Arunachal Pradesh"/>
    <n v="12"/>
    <s v="State"/>
    <n v="23.48"/>
    <n v="29.35"/>
    <n v="7.1"/>
    <n v="7.0000000000000007E-2"/>
    <n v="59.93"/>
    <n v="60"/>
    <m/>
  </r>
  <r>
    <d v="2021-01-01T00:00:00"/>
    <s v="2020-21"/>
    <n v="2021"/>
    <x v="5"/>
    <x v="5"/>
    <s v="Assam"/>
    <n v="18"/>
    <s v="State"/>
    <n v="309.06"/>
    <n v="406.6"/>
    <n v="290.97000000000003"/>
    <n v="43.6"/>
    <n v="1006.63"/>
    <n v="1050.23"/>
    <m/>
  </r>
  <r>
    <d v="2021-01-01T00:00:00"/>
    <s v="2020-21"/>
    <n v="2021"/>
    <x v="5"/>
    <x v="5"/>
    <s v="Bihar"/>
    <n v="10"/>
    <s v="State"/>
    <n v="316.82"/>
    <n v="576.72"/>
    <n v="128.4"/>
    <n v="168.14"/>
    <n v="1021.94"/>
    <n v="1190.08"/>
    <m/>
  </r>
  <r>
    <d v="2021-01-01T00:00:00"/>
    <s v="2020-21"/>
    <n v="2021"/>
    <x v="5"/>
    <x v="5"/>
    <s v="Chandigarh"/>
    <n v="4"/>
    <s v="Union Territory"/>
    <n v="29.08"/>
    <n v="47.61"/>
    <n v="85.97"/>
    <n v="2.75"/>
    <n v="162.66"/>
    <n v="165.41"/>
    <m/>
  </r>
  <r>
    <d v="2021-01-01T00:00:00"/>
    <s v="2020-21"/>
    <n v="2021"/>
    <x v="5"/>
    <x v="5"/>
    <s v="Chhattisgarh"/>
    <n v="22"/>
    <s v="State"/>
    <n v="475.6"/>
    <n v="558.04"/>
    <n v="923.28"/>
    <n v="570.17999999999995"/>
    <n v="1956.92"/>
    <n v="2527.1"/>
    <m/>
  </r>
  <r>
    <d v="2021-01-01T00:00:00"/>
    <s v="2020-21"/>
    <n v="2021"/>
    <x v="5"/>
    <x v="5"/>
    <s v="Dadra and Nagar Haveli and Daman and Diu"/>
    <n v="38"/>
    <s v="Union Territory"/>
    <n v="34.29"/>
    <n v="44.03"/>
    <n v="203.43"/>
    <n v="0.34"/>
    <n v="281.75"/>
    <n v="282.08999999999997"/>
    <m/>
  </r>
  <r>
    <d v="2021-01-01T00:00:00"/>
    <s v="2020-21"/>
    <n v="2021"/>
    <x v="5"/>
    <x v="5"/>
    <s v="Delhi"/>
    <n v="7"/>
    <s v="Union Territory"/>
    <n v="713.35"/>
    <n v="922.79"/>
    <n v="2039.99"/>
    <n v="111.07"/>
    <n v="3676.13"/>
    <n v="3787.2"/>
    <m/>
  </r>
  <r>
    <d v="2021-01-01T00:00:00"/>
    <s v="2020-21"/>
    <n v="2021"/>
    <x v="5"/>
    <x v="5"/>
    <s v="Goa"/>
    <n v="30"/>
    <s v="State"/>
    <n v="95.64"/>
    <n v="135.22999999999999"/>
    <n v="144.55000000000001"/>
    <n v="2.34"/>
    <n v="375.42"/>
    <n v="377.76"/>
    <m/>
  </r>
  <r>
    <d v="2021-01-01T00:00:00"/>
    <s v="2020-21"/>
    <n v="2021"/>
    <x v="5"/>
    <x v="5"/>
    <s v="Gujarat"/>
    <n v="24"/>
    <s v="State"/>
    <n v="2175.58"/>
    <n v="2664.01"/>
    <n v="2612.96"/>
    <n v="514.35"/>
    <n v="7452.55"/>
    <n v="7966.9"/>
    <m/>
  </r>
  <r>
    <d v="2021-01-01T00:00:00"/>
    <s v="2020-21"/>
    <n v="2021"/>
    <x v="5"/>
    <x v="5"/>
    <s v="Haryana"/>
    <n v="6"/>
    <s v="State"/>
    <n v="926.71"/>
    <n v="1286.9100000000001"/>
    <n v="3258.17"/>
    <n v="430.19"/>
    <n v="5471.79"/>
    <n v="5901.98"/>
    <m/>
  </r>
  <r>
    <d v="2021-01-01T00:00:00"/>
    <s v="2020-21"/>
    <n v="2021"/>
    <x v="5"/>
    <x v="5"/>
    <s v="Himachal Pradesh"/>
    <n v="2"/>
    <s v="State"/>
    <n v="117.58"/>
    <n v="173.84"/>
    <n v="420.2"/>
    <n v="1.66"/>
    <n v="711.62"/>
    <n v="713.28"/>
    <m/>
  </r>
  <r>
    <d v="2021-01-01T00:00:00"/>
    <s v="2020-21"/>
    <n v="2021"/>
    <x v="5"/>
    <x v="5"/>
    <s v="Jammu and Kashmir"/>
    <n v="1"/>
    <s v="Union Territory"/>
    <n v="105.16"/>
    <n v="173.06"/>
    <n v="93.79"/>
    <n v="2.39"/>
    <n v="372.01"/>
    <n v="374.4"/>
    <m/>
  </r>
  <r>
    <d v="2021-01-01T00:00:00"/>
    <s v="2020-21"/>
    <n v="2021"/>
    <x v="5"/>
    <x v="5"/>
    <s v="Jharkhand"/>
    <n v="20"/>
    <s v="State"/>
    <n v="383.54"/>
    <n v="522.58000000000004"/>
    <n v="975.91"/>
    <n v="412.2"/>
    <n v="1882.03"/>
    <n v="2294.23"/>
    <m/>
  </r>
  <r>
    <d v="2021-01-01T00:00:00"/>
    <s v="2020-21"/>
    <n v="2021"/>
    <x v="5"/>
    <x v="5"/>
    <s v="Karnataka"/>
    <n v="29"/>
    <s v="State"/>
    <n v="1813.82"/>
    <n v="2346.21"/>
    <n v="3101.01"/>
    <n v="716.34"/>
    <n v="7261.04"/>
    <n v="7977.38"/>
    <m/>
  </r>
  <r>
    <d v="2021-01-01T00:00:00"/>
    <s v="2020-21"/>
    <n v="2021"/>
    <x v="5"/>
    <x v="5"/>
    <s v="Kerala"/>
    <n v="32"/>
    <s v="State"/>
    <n v="628.46"/>
    <n v="946.46"/>
    <n v="345.32"/>
    <n v="13.38"/>
    <n v="1920.24"/>
    <n v="1933.62"/>
    <m/>
  </r>
  <r>
    <d v="2021-01-01T00:00:00"/>
    <s v="2020-21"/>
    <n v="2021"/>
    <x v="5"/>
    <x v="5"/>
    <s v="Ladakh"/>
    <n v="37"/>
    <s v="Union Territory"/>
    <n v="4.9400000000000004"/>
    <n v="8.0299999999999994"/>
    <n v="1.99"/>
    <n v="0.13"/>
    <n v="14.96"/>
    <n v="15.09"/>
    <m/>
  </r>
  <r>
    <d v="2021-01-01T00:00:00"/>
    <s v="2020-21"/>
    <n v="2021"/>
    <x v="5"/>
    <x v="5"/>
    <s v="Lakshadweep"/>
    <n v="31"/>
    <s v="Union Territory"/>
    <n v="1.22"/>
    <n v="1.32"/>
    <n v="0.02"/>
    <n v="0"/>
    <n v="2.56"/>
    <n v="2.56"/>
    <m/>
  </r>
  <r>
    <d v="2021-01-01T00:00:00"/>
    <s v="2020-21"/>
    <n v="2021"/>
    <x v="5"/>
    <x v="5"/>
    <s v="Madhya Pradesh"/>
    <n v="23"/>
    <s v="State"/>
    <n v="660.78"/>
    <n v="863.64"/>
    <n v="719.97"/>
    <n v="511.92"/>
    <n v="2244.39"/>
    <n v="2756.31"/>
    <m/>
  </r>
  <r>
    <d v="2021-01-01T00:00:00"/>
    <s v="2020-21"/>
    <n v="2021"/>
    <x v="5"/>
    <x v="5"/>
    <s v="Maharashtra"/>
    <n v="27"/>
    <s v="State"/>
    <n v="4858.3500000000004"/>
    <n v="5856.33"/>
    <n v="6320.26"/>
    <n v="932.49"/>
    <n v="17034.939999999999"/>
    <n v="17967.43"/>
    <m/>
  </r>
  <r>
    <d v="2021-01-01T00:00:00"/>
    <s v="2020-21"/>
    <n v="2021"/>
    <x v="5"/>
    <x v="5"/>
    <s v="Manipur"/>
    <n v="14"/>
    <s v="State"/>
    <n v="13.83"/>
    <n v="22.51"/>
    <n v="2.8"/>
    <n v="0.53"/>
    <n v="39.14"/>
    <n v="39.67"/>
    <m/>
  </r>
  <r>
    <d v="2021-01-01T00:00:00"/>
    <s v="2020-21"/>
    <n v="2021"/>
    <x v="5"/>
    <x v="5"/>
    <s v="Meghalaya"/>
    <n v="17"/>
    <s v="State"/>
    <n v="24.91"/>
    <n v="36.61"/>
    <n v="75.38"/>
    <n v="0.12"/>
    <n v="136.9"/>
    <n v="137.02000000000001"/>
    <m/>
  </r>
  <r>
    <d v="2021-01-01T00:00:00"/>
    <s v="2020-21"/>
    <n v="2021"/>
    <x v="5"/>
    <x v="5"/>
    <s v="Mizoram"/>
    <n v="15"/>
    <s v="State"/>
    <n v="9.69"/>
    <n v="14.62"/>
    <n v="13.27"/>
    <n v="0.03"/>
    <n v="37.58"/>
    <n v="37.61"/>
    <m/>
  </r>
  <r>
    <d v="2021-01-01T00:00:00"/>
    <s v="2020-21"/>
    <n v="2021"/>
    <x v="5"/>
    <x v="5"/>
    <s v="Nagaland"/>
    <n v="13"/>
    <s v="State"/>
    <n v="17.16"/>
    <n v="22.17"/>
    <n v="5.74"/>
    <n v="0.28000000000000003"/>
    <n v="45.07"/>
    <n v="45.35"/>
    <m/>
  </r>
  <r>
    <d v="2021-01-01T00:00:00"/>
    <s v="2020-21"/>
    <n v="2021"/>
    <x v="5"/>
    <x v="5"/>
    <s v="Odisha"/>
    <n v="21"/>
    <s v="State"/>
    <n v="609.92999999999995"/>
    <n v="777.71"/>
    <n v="1158.77"/>
    <n v="591.04"/>
    <n v="2546.41"/>
    <n v="3137.45"/>
    <m/>
  </r>
  <r>
    <d v="2021-01-01T00:00:00"/>
    <s v="2020-21"/>
    <n v="2021"/>
    <x v="5"/>
    <x v="5"/>
    <s v="Puducherry"/>
    <n v="34"/>
    <s v="Union Territory"/>
    <n v="19.920000000000002"/>
    <n v="34.28"/>
    <n v="100.46"/>
    <n v="1.78"/>
    <n v="154.66"/>
    <n v="156.44"/>
    <m/>
  </r>
  <r>
    <d v="2021-01-01T00:00:00"/>
    <s v="2020-21"/>
    <n v="2021"/>
    <x v="5"/>
    <x v="5"/>
    <s v="Punjab"/>
    <n v="3"/>
    <s v="State"/>
    <n v="324.76"/>
    <n v="566.74"/>
    <n v="444.35"/>
    <n v="16.11"/>
    <n v="1335.85"/>
    <n v="1351.96"/>
    <m/>
  </r>
  <r>
    <d v="2021-01-01T00:00:00"/>
    <s v="2020-21"/>
    <n v="2021"/>
    <x v="5"/>
    <x v="5"/>
    <s v="Rajasthan"/>
    <n v="8"/>
    <s v="State"/>
    <n v="835.13"/>
    <n v="1129.3599999999999"/>
    <n v="1160.17"/>
    <n v="152.94"/>
    <n v="3124.66"/>
    <n v="3277.6"/>
    <m/>
  </r>
  <r>
    <d v="2021-01-01T00:00:00"/>
    <s v="2020-21"/>
    <n v="2021"/>
    <x v="5"/>
    <x v="5"/>
    <s v="Sikkim"/>
    <n v="11"/>
    <s v="State"/>
    <n v="12.24"/>
    <n v="15.71"/>
    <n v="215.75"/>
    <n v="0.17"/>
    <n v="243.7"/>
    <n v="243.87"/>
    <m/>
  </r>
  <r>
    <d v="2021-01-01T00:00:00"/>
    <s v="2020-21"/>
    <n v="2021"/>
    <x v="5"/>
    <x v="5"/>
    <s v="Tamil Nadu"/>
    <n v="33"/>
    <s v="State"/>
    <n v="1865.72"/>
    <n v="2589.41"/>
    <n v="2370.9899999999998"/>
    <n v="567.1"/>
    <n v="6826.12"/>
    <n v="7393.22"/>
    <m/>
  </r>
  <r>
    <d v="2021-01-01T00:00:00"/>
    <s v="2020-21"/>
    <n v="2021"/>
    <x v="5"/>
    <x v="5"/>
    <s v="Telangana"/>
    <n v="36"/>
    <s v="State"/>
    <n v="958.19"/>
    <n v="1307.47"/>
    <n v="1109.53"/>
    <n v="508.3"/>
    <n v="3375.19"/>
    <n v="3883.49"/>
    <m/>
  </r>
  <r>
    <d v="2021-01-01T00:00:00"/>
    <s v="2020-21"/>
    <n v="2021"/>
    <x v="5"/>
    <x v="5"/>
    <s v="Tripura"/>
    <n v="16"/>
    <s v="State"/>
    <n v="25.15"/>
    <n v="35.35"/>
    <n v="9.5299999999999994"/>
    <n v="0.44"/>
    <n v="70.03"/>
    <n v="70.47"/>
    <m/>
  </r>
  <r>
    <d v="2021-01-01T00:00:00"/>
    <s v="2020-21"/>
    <n v="2021"/>
    <x v="5"/>
    <x v="5"/>
    <s v="Uttar Pradesh"/>
    <n v="9"/>
    <s v="State"/>
    <n v="1358.1"/>
    <n v="2037.09"/>
    <n v="1526.81"/>
    <n v="963.7"/>
    <n v="4922"/>
    <n v="5885.7"/>
    <m/>
  </r>
  <r>
    <d v="2021-01-01T00:00:00"/>
    <s v="2020-21"/>
    <n v="2021"/>
    <x v="5"/>
    <x v="5"/>
    <s v="Uttarakhand"/>
    <n v="5"/>
    <s v="State"/>
    <n v="218.53"/>
    <n v="327.66000000000003"/>
    <n v="669.94"/>
    <n v="9.92"/>
    <n v="1216.1300000000001"/>
    <n v="1226.05"/>
    <m/>
  </r>
  <r>
    <d v="2021-01-01T00:00:00"/>
    <s v="2020-21"/>
    <n v="2021"/>
    <x v="5"/>
    <x v="5"/>
    <s v="West Bengal"/>
    <n v="19"/>
    <s v="State"/>
    <n v="1278.23"/>
    <n v="1604.54"/>
    <n v="1003.56"/>
    <n v="312.52999999999997"/>
    <n v="3886.33"/>
    <n v="4198.8599999999997"/>
    <m/>
  </r>
  <r>
    <d v="2021-02-01T00:00:00"/>
    <s v="2020-21"/>
    <n v="2021"/>
    <x v="6"/>
    <x v="6"/>
    <s v="Andaman and Nicobar Islands"/>
    <n v="35"/>
    <s v="Union Territory"/>
    <n v="7.44"/>
    <n v="12.77"/>
    <n v="2.97"/>
    <n v="0.08"/>
    <n v="23.18"/>
    <n v="23.26"/>
    <m/>
  </r>
  <r>
    <d v="2021-02-01T00:00:00"/>
    <s v="2020-21"/>
    <n v="2021"/>
    <x v="6"/>
    <x v="6"/>
    <s v="Andhra Pradesh"/>
    <n v="28"/>
    <s v="State"/>
    <n v="592.54999999999995"/>
    <n v="814.07"/>
    <n v="1016.49"/>
    <n v="229.47"/>
    <n v="2423.11"/>
    <n v="2652.58"/>
    <m/>
  </r>
  <r>
    <d v="2021-02-01T00:00:00"/>
    <s v="2020-21"/>
    <n v="2021"/>
    <x v="6"/>
    <x v="6"/>
    <s v="Arunachal Pradesh"/>
    <n v="12"/>
    <s v="State"/>
    <n v="23.18"/>
    <n v="30.55"/>
    <n v="7.6"/>
    <n v="0.04"/>
    <n v="61.33"/>
    <n v="61.37"/>
    <m/>
  </r>
  <r>
    <d v="2021-02-01T00:00:00"/>
    <s v="2020-21"/>
    <n v="2021"/>
    <x v="6"/>
    <x v="6"/>
    <s v="Assam"/>
    <n v="18"/>
    <s v="State"/>
    <n v="288.39999999999998"/>
    <n v="374.3"/>
    <n v="244.37"/>
    <n v="38.770000000000003"/>
    <n v="907.07"/>
    <n v="945.84"/>
    <m/>
  </r>
  <r>
    <d v="2021-02-01T00:00:00"/>
    <s v="2020-21"/>
    <n v="2021"/>
    <x v="6"/>
    <x v="6"/>
    <s v="Bihar"/>
    <n v="10"/>
    <s v="State"/>
    <n v="302.68"/>
    <n v="468.16"/>
    <n v="168.6"/>
    <n v="188.55"/>
    <n v="939.44"/>
    <n v="1127.99"/>
    <m/>
  </r>
  <r>
    <d v="2021-02-01T00:00:00"/>
    <s v="2020-21"/>
    <n v="2021"/>
    <x v="6"/>
    <x v="6"/>
    <s v="Chandigarh"/>
    <n v="4"/>
    <s v="Union Territory"/>
    <n v="28.96"/>
    <n v="37.94"/>
    <n v="81.17"/>
    <n v="0.43"/>
    <n v="148.07"/>
    <n v="148.5"/>
    <m/>
  </r>
  <r>
    <d v="2021-02-01T00:00:00"/>
    <s v="2020-21"/>
    <n v="2021"/>
    <x v="6"/>
    <x v="6"/>
    <s v="Chhattisgarh"/>
    <n v="22"/>
    <s v="State"/>
    <n v="456.04"/>
    <n v="524.01"/>
    <n v="868.97"/>
    <n v="604.07000000000005"/>
    <n v="1849.02"/>
    <n v="2453.09"/>
    <m/>
  </r>
  <r>
    <d v="2021-02-01T00:00:00"/>
    <s v="2020-21"/>
    <n v="2021"/>
    <x v="6"/>
    <x v="6"/>
    <s v="Dadra and Nagar Haveli and Daman and Diu"/>
    <n v="38"/>
    <s v="Union Territory"/>
    <n v="32.82"/>
    <n v="42.21"/>
    <n v="162.44999999999999"/>
    <n v="0.22"/>
    <n v="237.48"/>
    <n v="237.7"/>
    <m/>
  </r>
  <r>
    <d v="2021-02-01T00:00:00"/>
    <s v="2020-21"/>
    <n v="2021"/>
    <x v="6"/>
    <x v="6"/>
    <s v="Delhi"/>
    <n v="7"/>
    <s v="Union Territory"/>
    <n v="720.27"/>
    <n v="892.96"/>
    <n v="2026.94"/>
    <n v="87.29"/>
    <n v="3640.17"/>
    <n v="3727.46"/>
    <m/>
  </r>
  <r>
    <d v="2021-02-01T00:00:00"/>
    <s v="2020-21"/>
    <n v="2021"/>
    <x v="6"/>
    <x v="6"/>
    <s v="Goa"/>
    <n v="30"/>
    <s v="State"/>
    <n v="97.41"/>
    <n v="128.38"/>
    <n v="116.41"/>
    <n v="1.59"/>
    <n v="342.2"/>
    <n v="343.79"/>
    <m/>
  </r>
  <r>
    <d v="2021-02-01T00:00:00"/>
    <s v="2020-21"/>
    <n v="2021"/>
    <x v="6"/>
    <x v="6"/>
    <s v="Gujarat"/>
    <n v="24"/>
    <s v="State"/>
    <n v="2217.59"/>
    <n v="2727.93"/>
    <n v="2645.02"/>
    <n v="630.69000000000005"/>
    <n v="7590.54"/>
    <n v="8221.23"/>
    <m/>
  </r>
  <r>
    <d v="2021-02-01T00:00:00"/>
    <s v="2020-21"/>
    <n v="2021"/>
    <x v="6"/>
    <x v="6"/>
    <s v="Haryana"/>
    <n v="6"/>
    <s v="State"/>
    <n v="859.97"/>
    <n v="1198.1500000000001"/>
    <n v="3118.85"/>
    <n v="412.84"/>
    <n v="5176.97"/>
    <n v="5589.81"/>
    <m/>
  </r>
  <r>
    <d v="2021-02-01T00:00:00"/>
    <s v="2020-21"/>
    <n v="2021"/>
    <x v="6"/>
    <x v="6"/>
    <s v="Himachal Pradesh"/>
    <n v="2"/>
    <s v="State"/>
    <n v="108.92"/>
    <n v="146.62"/>
    <n v="406.83"/>
    <n v="0.75"/>
    <n v="662.37"/>
    <n v="663.12"/>
    <m/>
  </r>
  <r>
    <d v="2021-02-01T00:00:00"/>
    <s v="2020-21"/>
    <n v="2021"/>
    <x v="6"/>
    <x v="6"/>
    <s v="Jammu and Kashmir"/>
    <n v="1"/>
    <s v="Union Territory"/>
    <n v="97.22"/>
    <n v="141.12"/>
    <n v="89.88"/>
    <n v="1.67"/>
    <n v="328.22"/>
    <n v="329.89"/>
    <m/>
  </r>
  <r>
    <d v="2021-02-01T00:00:00"/>
    <s v="2020-21"/>
    <n v="2021"/>
    <x v="6"/>
    <x v="6"/>
    <s v="Jharkhand"/>
    <n v="20"/>
    <s v="State"/>
    <n v="427.79"/>
    <n v="552.95000000000005"/>
    <n v="941.19"/>
    <n v="399.09"/>
    <n v="1921.93"/>
    <n v="2321.02"/>
    <m/>
  </r>
  <r>
    <d v="2021-02-01T00:00:00"/>
    <s v="2020-21"/>
    <n v="2021"/>
    <x v="6"/>
    <x v="6"/>
    <s v="Karnataka"/>
    <n v="29"/>
    <s v="State"/>
    <n v="1747.06"/>
    <n v="2230.65"/>
    <n v="2759.87"/>
    <n v="843.86"/>
    <n v="6737.58"/>
    <n v="7581.44"/>
    <m/>
  </r>
  <r>
    <d v="2021-02-01T00:00:00"/>
    <s v="2020-21"/>
    <n v="2021"/>
    <x v="6"/>
    <x v="6"/>
    <s v="Kerala"/>
    <n v="32"/>
    <s v="State"/>
    <n v="599.27"/>
    <n v="856.89"/>
    <n v="344.42"/>
    <n v="5.52"/>
    <n v="1800.58"/>
    <n v="1806.1"/>
    <m/>
  </r>
  <r>
    <d v="2021-02-01T00:00:00"/>
    <s v="2020-21"/>
    <n v="2021"/>
    <x v="6"/>
    <x v="6"/>
    <s v="Ladakh"/>
    <n v="37"/>
    <s v="Union Territory"/>
    <n v="3.48"/>
    <n v="4.32"/>
    <n v="1.25"/>
    <n v="0.02"/>
    <n v="9.0500000000000007"/>
    <n v="9.07"/>
    <m/>
  </r>
  <r>
    <d v="2021-02-01T00:00:00"/>
    <s v="2020-21"/>
    <n v="2021"/>
    <x v="6"/>
    <x v="6"/>
    <s v="Lakshadweep"/>
    <n v="31"/>
    <s v="Union Territory"/>
    <n v="0.21"/>
    <n v="0.22"/>
    <n v="0.02"/>
    <n v="0"/>
    <n v="0.45"/>
    <n v="0.45"/>
    <m/>
  </r>
  <r>
    <d v="2021-02-01T00:00:00"/>
    <s v="2020-21"/>
    <n v="2021"/>
    <x v="6"/>
    <x v="6"/>
    <s v="Madhya Pradesh"/>
    <n v="23"/>
    <s v="State"/>
    <n v="657.2"/>
    <n v="832.56"/>
    <n v="712.09"/>
    <n v="589.72"/>
    <n v="2201.85"/>
    <n v="2791.57"/>
    <m/>
  </r>
  <r>
    <d v="2021-02-01T00:00:00"/>
    <s v="2020-21"/>
    <n v="2021"/>
    <x v="6"/>
    <x v="6"/>
    <s v="Maharashtra"/>
    <n v="27"/>
    <s v="State"/>
    <n v="4469.8999999999996"/>
    <n v="5426.54"/>
    <n v="5095.79"/>
    <n v="1111.27"/>
    <n v="14992.23"/>
    <n v="16103.5"/>
    <m/>
  </r>
  <r>
    <d v="2021-02-01T00:00:00"/>
    <s v="2020-21"/>
    <n v="2021"/>
    <x v="6"/>
    <x v="6"/>
    <s v="Manipur"/>
    <n v="14"/>
    <s v="State"/>
    <n v="10.56"/>
    <n v="15.03"/>
    <n v="6.59"/>
    <n v="0.17"/>
    <n v="32.18"/>
    <n v="32.35"/>
    <m/>
  </r>
  <r>
    <d v="2021-02-01T00:00:00"/>
    <s v="2020-21"/>
    <n v="2021"/>
    <x v="6"/>
    <x v="6"/>
    <s v="Meghalaya"/>
    <n v="17"/>
    <s v="State"/>
    <n v="25.55"/>
    <n v="30.54"/>
    <n v="88.22"/>
    <n v="2.2000000000000002"/>
    <n v="144.31"/>
    <n v="146.51"/>
    <m/>
  </r>
  <r>
    <d v="2021-02-01T00:00:00"/>
    <s v="2020-21"/>
    <n v="2021"/>
    <x v="6"/>
    <x v="6"/>
    <s v="Mizoram"/>
    <n v="15"/>
    <s v="State"/>
    <n v="6.05"/>
    <n v="9.8000000000000007"/>
    <n v="5.18"/>
    <n v="0.03"/>
    <n v="21.03"/>
    <n v="21.06"/>
    <m/>
  </r>
  <r>
    <d v="2021-02-01T00:00:00"/>
    <s v="2020-21"/>
    <n v="2021"/>
    <x v="6"/>
    <x v="6"/>
    <s v="Nagaland"/>
    <n v="13"/>
    <s v="State"/>
    <n v="12.01"/>
    <n v="16.54"/>
    <n v="5.91"/>
    <n v="0.37"/>
    <n v="34.46"/>
    <n v="34.83"/>
    <m/>
  </r>
  <r>
    <d v="2021-02-01T00:00:00"/>
    <s v="2020-21"/>
    <n v="2021"/>
    <x v="6"/>
    <x v="6"/>
    <s v="Odisha"/>
    <n v="21"/>
    <s v="State"/>
    <n v="624.16"/>
    <n v="781.06"/>
    <n v="1345.79"/>
    <n v="589.54999999999995"/>
    <n v="2751.01"/>
    <n v="3340.56"/>
    <m/>
  </r>
  <r>
    <d v="2021-02-01T00:00:00"/>
    <s v="2020-21"/>
    <n v="2021"/>
    <x v="6"/>
    <x v="6"/>
    <s v="Puducherry"/>
    <n v="34"/>
    <s v="Union Territory"/>
    <n v="19.22"/>
    <n v="29.09"/>
    <n v="109.61"/>
    <n v="0.14000000000000001"/>
    <n v="157.91999999999999"/>
    <n v="158.06"/>
    <m/>
  </r>
  <r>
    <d v="2021-02-01T00:00:00"/>
    <s v="2020-21"/>
    <n v="2021"/>
    <x v="6"/>
    <x v="6"/>
    <s v="Punjab"/>
    <n v="3"/>
    <s v="State"/>
    <n v="330.06"/>
    <n v="510.88"/>
    <n v="447.67"/>
    <n v="10.77"/>
    <n v="1288.6099999999999"/>
    <n v="1299.3800000000001"/>
    <m/>
  </r>
  <r>
    <d v="2021-02-01T00:00:00"/>
    <s v="2020-21"/>
    <n v="2021"/>
    <x v="6"/>
    <x v="6"/>
    <s v="Rajasthan"/>
    <n v="8"/>
    <s v="State"/>
    <n v="814"/>
    <n v="1068.46"/>
    <n v="1154.8499999999999"/>
    <n v="186.39"/>
    <n v="3037.31"/>
    <n v="3223.7"/>
    <m/>
  </r>
  <r>
    <d v="2021-02-01T00:00:00"/>
    <s v="2020-21"/>
    <n v="2021"/>
    <x v="6"/>
    <x v="6"/>
    <s v="Sikkim"/>
    <n v="11"/>
    <s v="State"/>
    <n v="12.97"/>
    <n v="18.48"/>
    <n v="190.84"/>
    <n v="0.05"/>
    <n v="222.29"/>
    <n v="222.34"/>
    <m/>
  </r>
  <r>
    <d v="2021-02-01T00:00:00"/>
    <s v="2020-21"/>
    <n v="2021"/>
    <x v="6"/>
    <x v="6"/>
    <s v="Tamil Nadu"/>
    <n v="33"/>
    <s v="State"/>
    <n v="1770.87"/>
    <n v="2459.52"/>
    <n v="2109.4899999999998"/>
    <n v="668.33"/>
    <n v="6339.88"/>
    <n v="7008.21"/>
    <m/>
  </r>
  <r>
    <d v="2021-02-01T00:00:00"/>
    <s v="2020-21"/>
    <n v="2021"/>
    <x v="6"/>
    <x v="6"/>
    <s v="Telangana"/>
    <n v="36"/>
    <s v="State"/>
    <n v="900.57"/>
    <n v="1173.4100000000001"/>
    <n v="986.92"/>
    <n v="575.54"/>
    <n v="3060.9"/>
    <n v="3636.44"/>
    <m/>
  </r>
  <r>
    <d v="2021-02-01T00:00:00"/>
    <s v="2020-21"/>
    <n v="2021"/>
    <x v="6"/>
    <x v="6"/>
    <s v="Tripura"/>
    <n v="16"/>
    <s v="State"/>
    <n v="22.75"/>
    <n v="30.76"/>
    <n v="9.1199999999999992"/>
    <n v="0.62"/>
    <n v="62.63"/>
    <n v="63.25"/>
    <m/>
  </r>
  <r>
    <d v="2021-02-01T00:00:00"/>
    <s v="2020-21"/>
    <n v="2021"/>
    <x v="6"/>
    <x v="6"/>
    <s v="Uttar Pradesh"/>
    <n v="9"/>
    <s v="State"/>
    <n v="1281.2"/>
    <n v="1790.55"/>
    <n v="1626.48"/>
    <n v="1298.4000000000001"/>
    <n v="4698.2299999999996"/>
    <n v="5996.63"/>
    <m/>
  </r>
  <r>
    <d v="2021-02-01T00:00:00"/>
    <s v="2020-21"/>
    <n v="2021"/>
    <x v="6"/>
    <x v="6"/>
    <s v="Uttarakhand"/>
    <n v="5"/>
    <s v="State"/>
    <n v="212.69"/>
    <n v="308.44"/>
    <n v="647.44000000000005"/>
    <n v="12.56"/>
    <n v="1168.57"/>
    <n v="1181.1300000000001"/>
    <m/>
  </r>
  <r>
    <d v="2021-02-01T00:00:00"/>
    <s v="2020-21"/>
    <n v="2021"/>
    <x v="6"/>
    <x v="6"/>
    <s v="West Bengal"/>
    <n v="19"/>
    <s v="State"/>
    <n v="1291.8900000000001"/>
    <n v="1563"/>
    <n v="1105.93"/>
    <n v="374.17"/>
    <n v="3960.82"/>
    <n v="4334.99"/>
    <m/>
  </r>
  <r>
    <d v="2021-03-01T00:00:00"/>
    <s v="2020-21"/>
    <n v="2021"/>
    <x v="7"/>
    <x v="7"/>
    <s v="Andaman and Nicobar Islands"/>
    <n v="35"/>
    <s v="Union Territory"/>
    <n v="9.7200000000000006"/>
    <n v="12.93"/>
    <n v="2.9"/>
    <n v="0.11"/>
    <n v="25.55"/>
    <n v="25.66"/>
    <m/>
  </r>
  <r>
    <d v="2021-03-01T00:00:00"/>
    <s v="2020-21"/>
    <n v="2021"/>
    <x v="7"/>
    <x v="7"/>
    <s v="Andhra Pradesh"/>
    <n v="28"/>
    <s v="State"/>
    <n v="590.25"/>
    <n v="803.23"/>
    <n v="1075.06"/>
    <n v="216.54"/>
    <n v="2468.54"/>
    <n v="2685.08"/>
    <m/>
  </r>
  <r>
    <d v="2021-03-01T00:00:00"/>
    <s v="2020-21"/>
    <n v="2021"/>
    <x v="7"/>
    <x v="7"/>
    <s v="Arunachal Pradesh"/>
    <n v="12"/>
    <s v="State"/>
    <n v="38.590000000000003"/>
    <n v="44.79"/>
    <n v="8.6300000000000008"/>
    <n v="0.02"/>
    <n v="92.01"/>
    <n v="92.03"/>
    <m/>
  </r>
  <r>
    <d v="2021-03-01T00:00:00"/>
    <s v="2020-21"/>
    <n v="2021"/>
    <x v="7"/>
    <x v="7"/>
    <s v="Assam"/>
    <n v="18"/>
    <s v="State"/>
    <n v="319.07"/>
    <n v="399.89"/>
    <n v="257.79000000000002"/>
    <n v="27.89"/>
    <n v="976.75"/>
    <n v="1004.64"/>
    <m/>
  </r>
  <r>
    <d v="2021-03-01T00:00:00"/>
    <s v="2020-21"/>
    <n v="2021"/>
    <x v="7"/>
    <x v="7"/>
    <s v="Bihar"/>
    <n v="10"/>
    <s v="State"/>
    <n v="347.2"/>
    <n v="581.77"/>
    <n v="150.9"/>
    <n v="115.88"/>
    <n v="1079.8699999999999"/>
    <n v="1195.75"/>
    <m/>
  </r>
  <r>
    <d v="2021-03-01T00:00:00"/>
    <s v="2020-21"/>
    <n v="2021"/>
    <x v="7"/>
    <x v="7"/>
    <s v="Chandigarh"/>
    <n v="4"/>
    <s v="Union Territory"/>
    <n v="31.81"/>
    <n v="41.05"/>
    <n v="91.94"/>
    <n v="0.47"/>
    <n v="164.8"/>
    <n v="165.27"/>
    <m/>
  </r>
  <r>
    <d v="2021-03-01T00:00:00"/>
    <s v="2020-21"/>
    <n v="2021"/>
    <x v="7"/>
    <x v="7"/>
    <s v="Chhattisgarh"/>
    <n v="22"/>
    <s v="State"/>
    <n v="542.20000000000005"/>
    <n v="622.47"/>
    <n v="890.17"/>
    <n v="489.29"/>
    <n v="2054.84"/>
    <n v="2544.13"/>
    <m/>
  </r>
  <r>
    <d v="2021-03-01T00:00:00"/>
    <s v="2020-21"/>
    <n v="2021"/>
    <x v="7"/>
    <x v="7"/>
    <s v="Dadra and Nagar Haveli and Daman and Diu"/>
    <n v="38"/>
    <s v="Union Territory"/>
    <n v="38.549999999999997"/>
    <n v="50.88"/>
    <n v="202.28"/>
    <n v="7.0000000000000007E-2"/>
    <n v="291.70999999999998"/>
    <n v="291.77999999999997"/>
    <m/>
  </r>
  <r>
    <d v="2021-03-01T00:00:00"/>
    <s v="2020-21"/>
    <n v="2021"/>
    <x v="7"/>
    <x v="7"/>
    <s v="Delhi"/>
    <n v="7"/>
    <s v="Union Territory"/>
    <n v="783.41"/>
    <n v="951.94"/>
    <n v="2090.31"/>
    <n v="100.31"/>
    <n v="3825.66"/>
    <n v="3925.97"/>
    <m/>
  </r>
  <r>
    <d v="2021-03-01T00:00:00"/>
    <s v="2020-21"/>
    <n v="2021"/>
    <x v="7"/>
    <x v="7"/>
    <s v="Goa"/>
    <n v="30"/>
    <s v="State"/>
    <n v="98.18"/>
    <n v="136.06"/>
    <n v="108.26"/>
    <n v="1.78"/>
    <n v="342.5"/>
    <n v="344.28"/>
    <m/>
  </r>
  <r>
    <d v="2021-03-01T00:00:00"/>
    <s v="2020-21"/>
    <n v="2021"/>
    <x v="7"/>
    <x v="7"/>
    <s v="Gujarat"/>
    <n v="24"/>
    <s v="State"/>
    <n v="2310.4299999999998"/>
    <n v="2815.06"/>
    <n v="2629.04"/>
    <n v="442.51"/>
    <n v="7754.53"/>
    <n v="8197.0400000000009"/>
    <m/>
  </r>
  <r>
    <d v="2021-03-01T00:00:00"/>
    <s v="2020-21"/>
    <n v="2021"/>
    <x v="7"/>
    <x v="7"/>
    <s v="Haryana"/>
    <n v="6"/>
    <s v="State"/>
    <n v="930.02"/>
    <n v="1260.76"/>
    <n v="3104.72"/>
    <n v="414.11"/>
    <n v="5295.5"/>
    <n v="5709.61"/>
    <m/>
  </r>
  <r>
    <d v="2021-03-01T00:00:00"/>
    <s v="2020-21"/>
    <n v="2021"/>
    <x v="7"/>
    <x v="7"/>
    <s v="Himachal Pradesh"/>
    <n v="2"/>
    <s v="State"/>
    <n v="117.59"/>
    <n v="157.05000000000001"/>
    <n v="411.72"/>
    <n v="0.52"/>
    <n v="686.36"/>
    <n v="686.88"/>
    <m/>
  </r>
  <r>
    <d v="2021-03-01T00:00:00"/>
    <s v="2020-21"/>
    <n v="2021"/>
    <x v="7"/>
    <x v="7"/>
    <s v="Jammu and Kashmir"/>
    <n v="1"/>
    <s v="Union Territory"/>
    <n v="99.41"/>
    <n v="163.18"/>
    <n v="85.98"/>
    <n v="3.05"/>
    <n v="348.57"/>
    <n v="351.62"/>
    <m/>
  </r>
  <r>
    <d v="2021-03-01T00:00:00"/>
    <s v="2020-21"/>
    <n v="2021"/>
    <x v="7"/>
    <x v="7"/>
    <s v="Jharkhand"/>
    <n v="20"/>
    <s v="State"/>
    <n v="498.21"/>
    <n v="640.27"/>
    <n v="846.43"/>
    <n v="431.22"/>
    <n v="1984.91"/>
    <n v="2416.13"/>
    <m/>
  </r>
  <r>
    <d v="2021-03-01T00:00:00"/>
    <s v="2020-21"/>
    <n v="2021"/>
    <x v="7"/>
    <x v="7"/>
    <s v="Karnataka"/>
    <n v="29"/>
    <s v="State"/>
    <n v="1878.91"/>
    <n v="2377.71"/>
    <n v="2834.15"/>
    <n v="824.2"/>
    <n v="7090.77"/>
    <n v="7914.97"/>
    <m/>
  </r>
  <r>
    <d v="2021-03-01T00:00:00"/>
    <s v="2020-21"/>
    <n v="2021"/>
    <x v="7"/>
    <x v="7"/>
    <s v="Kerala"/>
    <n v="32"/>
    <s v="State"/>
    <n v="637.29"/>
    <n v="863.89"/>
    <n v="322.10000000000002"/>
    <n v="4.66"/>
    <n v="1823.28"/>
    <n v="1827.94"/>
    <m/>
  </r>
  <r>
    <d v="2021-03-01T00:00:00"/>
    <s v="2020-21"/>
    <n v="2021"/>
    <x v="7"/>
    <x v="7"/>
    <s v="Ladakh"/>
    <n v="37"/>
    <s v="Union Territory"/>
    <n v="5.67"/>
    <n v="6.37"/>
    <n v="1.59"/>
    <n v="0.04"/>
    <n v="13.63"/>
    <n v="13.67"/>
    <m/>
  </r>
  <r>
    <d v="2021-03-01T00:00:00"/>
    <s v="2020-21"/>
    <n v="2021"/>
    <x v="7"/>
    <x v="7"/>
    <s v="Lakshadweep"/>
    <n v="31"/>
    <s v="Union Territory"/>
    <n v="0.64"/>
    <n v="0.82"/>
    <n v="0.08"/>
    <n v="0"/>
    <n v="1.54"/>
    <n v="1.54"/>
    <m/>
  </r>
  <r>
    <d v="2021-03-01T00:00:00"/>
    <s v="2020-21"/>
    <n v="2021"/>
    <x v="7"/>
    <x v="7"/>
    <s v="Madhya Pradesh"/>
    <n v="23"/>
    <s v="State"/>
    <n v="669.54"/>
    <n v="847.35"/>
    <n v="755.99"/>
    <n v="455.61"/>
    <n v="2272.88"/>
    <n v="2728.49"/>
    <m/>
  </r>
  <r>
    <d v="2021-03-01T00:00:00"/>
    <s v="2020-21"/>
    <n v="2021"/>
    <x v="7"/>
    <x v="7"/>
    <s v="Maharashtra"/>
    <n v="27"/>
    <s v="State"/>
    <n v="4833.74"/>
    <n v="5669.22"/>
    <n v="5444.22"/>
    <n v="1091.31"/>
    <n v="15947.18"/>
    <n v="17038.490000000002"/>
    <m/>
  </r>
  <r>
    <d v="2021-03-01T00:00:00"/>
    <s v="2020-21"/>
    <n v="2021"/>
    <x v="7"/>
    <x v="7"/>
    <s v="Manipur"/>
    <n v="14"/>
    <s v="State"/>
    <n v="20.69"/>
    <n v="24.92"/>
    <n v="4.59"/>
    <n v="0.16"/>
    <n v="50.2"/>
    <n v="50.36"/>
    <m/>
  </r>
  <r>
    <d v="2021-03-01T00:00:00"/>
    <s v="2020-21"/>
    <n v="2021"/>
    <x v="7"/>
    <x v="7"/>
    <s v="Meghalaya"/>
    <n v="17"/>
    <s v="State"/>
    <n v="23.27"/>
    <n v="34.130000000000003"/>
    <n v="94.28"/>
    <n v="0.28000000000000003"/>
    <n v="151.68"/>
    <n v="151.96"/>
    <m/>
  </r>
  <r>
    <d v="2021-03-01T00:00:00"/>
    <s v="2020-21"/>
    <n v="2021"/>
    <x v="7"/>
    <x v="7"/>
    <s v="Mizoram"/>
    <n v="15"/>
    <s v="State"/>
    <n v="10.84"/>
    <n v="14.7"/>
    <n v="9.2799999999999994"/>
    <n v="0.1"/>
    <n v="34.82"/>
    <n v="34.92"/>
    <m/>
  </r>
  <r>
    <d v="2021-03-01T00:00:00"/>
    <s v="2020-21"/>
    <n v="2021"/>
    <x v="7"/>
    <x v="7"/>
    <s v="Nagaland"/>
    <n v="13"/>
    <s v="State"/>
    <n v="17.23"/>
    <n v="21.64"/>
    <n v="6.04"/>
    <n v="0.56999999999999995"/>
    <n v="44.91"/>
    <n v="45.48"/>
    <m/>
  </r>
  <r>
    <d v="2021-03-01T00:00:00"/>
    <s v="2020-21"/>
    <n v="2021"/>
    <x v="7"/>
    <x v="7"/>
    <s v="Odisha"/>
    <n v="21"/>
    <s v="State"/>
    <n v="762.99"/>
    <n v="954.62"/>
    <n v="1036.5899999999999"/>
    <n v="531.09"/>
    <n v="2754.2"/>
    <n v="3285.29"/>
    <m/>
  </r>
  <r>
    <d v="2021-03-01T00:00:00"/>
    <s v="2020-21"/>
    <n v="2021"/>
    <x v="7"/>
    <x v="7"/>
    <s v="Puducherry"/>
    <n v="34"/>
    <s v="Union Territory"/>
    <n v="21.33"/>
    <n v="31.68"/>
    <n v="107.9"/>
    <n v="0.13"/>
    <n v="160.91"/>
    <n v="161.04"/>
    <m/>
  </r>
  <r>
    <d v="2021-03-01T00:00:00"/>
    <s v="2020-21"/>
    <n v="2021"/>
    <x v="7"/>
    <x v="7"/>
    <s v="Punjab"/>
    <n v="3"/>
    <s v="State"/>
    <n v="349.54"/>
    <n v="544.35"/>
    <n v="450.88"/>
    <n v="17.079999999999998"/>
    <n v="1344.77"/>
    <n v="1361.85"/>
    <m/>
  </r>
  <r>
    <d v="2021-03-01T00:00:00"/>
    <s v="2020-21"/>
    <n v="2021"/>
    <x v="7"/>
    <x v="7"/>
    <s v="Rajasthan"/>
    <n v="8"/>
    <s v="State"/>
    <n v="852.35"/>
    <n v="1132.52"/>
    <n v="1236.9100000000001"/>
    <n v="130"/>
    <n v="3221.78"/>
    <n v="3351.78"/>
    <m/>
  </r>
  <r>
    <d v="2021-03-01T00:00:00"/>
    <s v="2020-21"/>
    <n v="2021"/>
    <x v="7"/>
    <x v="7"/>
    <s v="Sikkim"/>
    <n v="11"/>
    <s v="State"/>
    <n v="13.66"/>
    <n v="19.95"/>
    <n v="179.82"/>
    <n v="0.23"/>
    <n v="213.43"/>
    <n v="213.66"/>
    <m/>
  </r>
  <r>
    <d v="2021-03-01T00:00:00"/>
    <s v="2020-21"/>
    <n v="2021"/>
    <x v="7"/>
    <x v="7"/>
    <s v="Tamil Nadu"/>
    <n v="33"/>
    <s v="State"/>
    <n v="1914.53"/>
    <n v="2568.17"/>
    <n v="2315.88"/>
    <n v="780.59"/>
    <n v="6798.58"/>
    <n v="7579.17"/>
    <m/>
  </r>
  <r>
    <d v="2021-03-01T00:00:00"/>
    <s v="2020-21"/>
    <n v="2021"/>
    <x v="7"/>
    <x v="7"/>
    <s v="Telangana"/>
    <n v="36"/>
    <s v="State"/>
    <n v="1057.6500000000001"/>
    <n v="1343.76"/>
    <n v="1142.6600000000001"/>
    <n v="622.35"/>
    <n v="3544.07"/>
    <n v="4166.42"/>
    <m/>
  </r>
  <r>
    <d v="2021-03-01T00:00:00"/>
    <s v="2020-21"/>
    <n v="2021"/>
    <x v="7"/>
    <x v="7"/>
    <s v="Tripura"/>
    <n v="16"/>
    <s v="State"/>
    <n v="35.340000000000003"/>
    <n v="44.48"/>
    <n v="7.9"/>
    <n v="0.18"/>
    <n v="87.72"/>
    <n v="87.9"/>
    <m/>
  </r>
  <r>
    <d v="2021-03-01T00:00:00"/>
    <s v="2020-21"/>
    <n v="2021"/>
    <x v="7"/>
    <x v="7"/>
    <s v="Uttar Pradesh"/>
    <n v="9"/>
    <s v="State"/>
    <n v="1533.88"/>
    <n v="2119.04"/>
    <n v="1785.63"/>
    <n v="826.45"/>
    <n v="5438.55"/>
    <n v="6265"/>
    <m/>
  </r>
  <r>
    <d v="2021-03-01T00:00:00"/>
    <s v="2020-21"/>
    <n v="2021"/>
    <x v="7"/>
    <x v="7"/>
    <s v="Uttarakhand"/>
    <n v="5"/>
    <s v="State"/>
    <n v="230.19"/>
    <n v="354.39"/>
    <n v="711.04"/>
    <n v="7.95"/>
    <n v="1295.6199999999999"/>
    <n v="1303.57"/>
    <m/>
  </r>
  <r>
    <d v="2021-03-01T00:00:00"/>
    <s v="2020-21"/>
    <n v="2021"/>
    <x v="7"/>
    <x v="7"/>
    <s v="West Bengal"/>
    <n v="19"/>
    <s v="State"/>
    <n v="1342.61"/>
    <n v="1665.1"/>
    <n v="1093.8599999999999"/>
    <n v="285.22000000000003"/>
    <n v="4101.57"/>
    <n v="4386.79"/>
    <m/>
  </r>
  <r>
    <d v="2021-04-01T00:00:00"/>
    <s v="2021-22"/>
    <n v="2021"/>
    <x v="8"/>
    <x v="8"/>
    <s v="Andaman and Nicobar Islands"/>
    <n v="35"/>
    <s v="Union Territory"/>
    <n v="23.94"/>
    <n v="32.090000000000003"/>
    <n v="4.5599999999999996"/>
    <n v="0.01"/>
    <n v="60.59"/>
    <n v="60.6"/>
    <m/>
  </r>
  <r>
    <d v="2021-04-01T00:00:00"/>
    <s v="2021-22"/>
    <n v="2021"/>
    <x v="8"/>
    <x v="8"/>
    <s v="Andhra Pradesh"/>
    <n v="28"/>
    <s v="State"/>
    <n v="804.04"/>
    <n v="1079.07"/>
    <n v="1192.56"/>
    <n v="269.62"/>
    <n v="3075.67"/>
    <n v="3345.29"/>
    <m/>
  </r>
  <r>
    <d v="2021-04-01T00:00:00"/>
    <s v="2021-22"/>
    <n v="2021"/>
    <x v="8"/>
    <x v="8"/>
    <s v="Arunachal Pradesh"/>
    <n v="12"/>
    <s v="State"/>
    <n v="43.65"/>
    <n v="51.05"/>
    <n v="8.32"/>
    <n v="0.22"/>
    <n v="103.02"/>
    <n v="103.24"/>
    <m/>
  </r>
  <r>
    <d v="2021-04-01T00:00:00"/>
    <s v="2021-22"/>
    <n v="2021"/>
    <x v="8"/>
    <x v="8"/>
    <s v="Assam"/>
    <n v="18"/>
    <s v="State"/>
    <n v="376.46"/>
    <n v="457.33"/>
    <n v="269.04000000000002"/>
    <n v="47.76"/>
    <n v="1102.83"/>
    <n v="1150.5899999999999"/>
    <m/>
  </r>
  <r>
    <d v="2021-04-01T00:00:00"/>
    <s v="2021-22"/>
    <n v="2021"/>
    <x v="8"/>
    <x v="8"/>
    <s v="Bihar"/>
    <n v="10"/>
    <s v="State"/>
    <n v="440.54"/>
    <n v="675.73"/>
    <n v="227.95"/>
    <n v="164"/>
    <n v="1344.22"/>
    <n v="1508.22"/>
    <m/>
  </r>
  <r>
    <d v="2021-04-01T00:00:00"/>
    <s v="2021-22"/>
    <n v="2021"/>
    <x v="8"/>
    <x v="8"/>
    <s v="Chandigarh"/>
    <n v="4"/>
    <s v="Union Territory"/>
    <n v="35.28"/>
    <n v="48.97"/>
    <n v="118.23"/>
    <n v="0.81"/>
    <n v="202.48"/>
    <n v="203.29"/>
    <m/>
  </r>
  <r>
    <d v="2021-04-01T00:00:00"/>
    <s v="2021-22"/>
    <n v="2021"/>
    <x v="8"/>
    <x v="8"/>
    <s v="Chhattisgarh"/>
    <n v="22"/>
    <s v="State"/>
    <n v="514.13"/>
    <n v="586.17999999999995"/>
    <n v="869.88"/>
    <n v="702.39"/>
    <n v="1970.19"/>
    <n v="2672.58"/>
    <m/>
  </r>
  <r>
    <d v="2021-04-01T00:00:00"/>
    <s v="2021-22"/>
    <n v="2021"/>
    <x v="8"/>
    <x v="8"/>
    <s v="Dadra and Nagar Haveli and Daman and Diu"/>
    <n v="38"/>
    <s v="Union Territory"/>
    <n v="35.94"/>
    <n v="45.8"/>
    <n v="211.06"/>
    <n v="0.06"/>
    <n v="292.8"/>
    <n v="292.86"/>
    <m/>
  </r>
  <r>
    <d v="2021-04-01T00:00:00"/>
    <s v="2021-22"/>
    <n v="2021"/>
    <x v="8"/>
    <x v="8"/>
    <s v="Delhi"/>
    <n v="7"/>
    <s v="Union Territory"/>
    <n v="1146.0999999999999"/>
    <n v="1375.87"/>
    <n v="2449.0300000000002"/>
    <n v="82.29"/>
    <n v="4971"/>
    <n v="5053.29"/>
    <m/>
  </r>
  <r>
    <d v="2021-04-01T00:00:00"/>
    <s v="2021-22"/>
    <n v="2021"/>
    <x v="8"/>
    <x v="8"/>
    <s v="Goa"/>
    <n v="30"/>
    <s v="State"/>
    <n v="107.41"/>
    <n v="146.84"/>
    <n v="143.85"/>
    <n v="2.62"/>
    <n v="398.1"/>
    <n v="400.72"/>
    <m/>
  </r>
  <r>
    <d v="2021-04-01T00:00:00"/>
    <s v="2021-22"/>
    <n v="2021"/>
    <x v="8"/>
    <x v="8"/>
    <s v="Gujarat"/>
    <n v="24"/>
    <s v="State"/>
    <n v="2769.85"/>
    <n v="3323.04"/>
    <n v="2967.19"/>
    <n v="572.28"/>
    <n v="9060.08"/>
    <n v="9632.36"/>
    <m/>
  </r>
  <r>
    <d v="2021-04-01T00:00:00"/>
    <s v="2021-22"/>
    <n v="2021"/>
    <x v="8"/>
    <x v="8"/>
    <s v="Haryana"/>
    <n v="6"/>
    <s v="State"/>
    <n v="1038.46"/>
    <n v="1450.92"/>
    <n v="3677.26"/>
    <n v="491.67"/>
    <n v="6166.64"/>
    <n v="6658.31"/>
    <m/>
  </r>
  <r>
    <d v="2021-04-01T00:00:00"/>
    <s v="2021-22"/>
    <n v="2021"/>
    <x v="8"/>
    <x v="8"/>
    <s v="Himachal Pradesh"/>
    <n v="2"/>
    <s v="State"/>
    <n v="142.41"/>
    <n v="196.7"/>
    <n v="423.87"/>
    <n v="0.87"/>
    <n v="762.98"/>
    <n v="763.85"/>
    <m/>
  </r>
  <r>
    <d v="2021-04-01T00:00:00"/>
    <s v="2021-22"/>
    <n v="2021"/>
    <x v="8"/>
    <x v="8"/>
    <s v="Jammu and Kashmir"/>
    <n v="1"/>
    <s v="Union Territory"/>
    <n v="150.80000000000001"/>
    <n v="244.63"/>
    <n v="109.02"/>
    <n v="4.42"/>
    <n v="504.45"/>
    <n v="508.87"/>
    <m/>
  </r>
  <r>
    <d v="2021-04-01T00:00:00"/>
    <s v="2021-22"/>
    <n v="2021"/>
    <x v="8"/>
    <x v="8"/>
    <s v="Jharkhand"/>
    <n v="20"/>
    <s v="State"/>
    <n v="574.44000000000005"/>
    <n v="734.3"/>
    <n v="1103.5899999999999"/>
    <n v="543.92999999999995"/>
    <n v="2412.33"/>
    <n v="2956.26"/>
    <m/>
  </r>
  <r>
    <d v="2021-04-01T00:00:00"/>
    <s v="2021-22"/>
    <n v="2021"/>
    <x v="8"/>
    <x v="8"/>
    <s v="Karnataka"/>
    <n v="29"/>
    <s v="State"/>
    <n v="2438.17"/>
    <n v="3064.05"/>
    <n v="3570.32"/>
    <n v="882.87"/>
    <n v="9072.5400000000009"/>
    <n v="9955.41"/>
    <m/>
  </r>
  <r>
    <d v="2021-04-01T00:00:00"/>
    <s v="2021-22"/>
    <n v="2021"/>
    <x v="8"/>
    <x v="8"/>
    <s v="Kerala"/>
    <n v="32"/>
    <s v="State"/>
    <n v="796.31"/>
    <n v="1075.8800000000001"/>
    <n v="582.29999999999995"/>
    <n v="11.83"/>
    <n v="2454.4899999999998"/>
    <n v="2466.3200000000002"/>
    <m/>
  </r>
  <r>
    <d v="2021-04-01T00:00:00"/>
    <s v="2021-22"/>
    <n v="2021"/>
    <x v="8"/>
    <x v="8"/>
    <s v="Ladakh"/>
    <n v="37"/>
    <s v="Union Territory"/>
    <n v="12.02"/>
    <n v="15.33"/>
    <n v="3.44"/>
    <n v="0.02"/>
    <n v="30.79"/>
    <n v="30.81"/>
    <m/>
  </r>
  <r>
    <d v="2021-04-01T00:00:00"/>
    <s v="2021-22"/>
    <n v="2021"/>
    <x v="8"/>
    <x v="8"/>
    <s v="Lakshadweep"/>
    <n v="31"/>
    <s v="Union Territory"/>
    <n v="1.62"/>
    <n v="1.76"/>
    <n v="0.34"/>
    <n v="0"/>
    <n v="3.72"/>
    <n v="3.72"/>
    <m/>
  </r>
  <r>
    <d v="2021-04-01T00:00:00"/>
    <s v="2021-22"/>
    <n v="2021"/>
    <x v="8"/>
    <x v="8"/>
    <s v="Madhya Pradesh"/>
    <n v="23"/>
    <s v="State"/>
    <n v="745.02"/>
    <n v="970.14"/>
    <n v="796.31"/>
    <n v="538.55999999999995"/>
    <n v="2511.4699999999998"/>
    <n v="3050.03"/>
    <m/>
  </r>
  <r>
    <d v="2021-04-01T00:00:00"/>
    <s v="2021-22"/>
    <n v="2021"/>
    <x v="8"/>
    <x v="8"/>
    <s v="Maharashtra"/>
    <n v="27"/>
    <s v="State"/>
    <n v="5900.29"/>
    <n v="7029.04"/>
    <n v="8012.67"/>
    <n v="1070.6199999999999"/>
    <n v="20942"/>
    <n v="22012.62"/>
    <m/>
  </r>
  <r>
    <d v="2021-04-01T00:00:00"/>
    <s v="2021-22"/>
    <n v="2021"/>
    <x v="8"/>
    <x v="8"/>
    <s v="Manipur"/>
    <n v="14"/>
    <s v="State"/>
    <n v="43.43"/>
    <n v="55.39"/>
    <n v="3.61"/>
    <n v="0.25"/>
    <n v="102.43"/>
    <n v="102.68"/>
    <m/>
  </r>
  <r>
    <d v="2021-04-01T00:00:00"/>
    <s v="2021-22"/>
    <n v="2021"/>
    <x v="8"/>
    <x v="8"/>
    <s v="Meghalaya"/>
    <n v="17"/>
    <s v="State"/>
    <n v="39.67"/>
    <n v="46.35"/>
    <n v="119.67"/>
    <n v="0.43"/>
    <n v="205.69"/>
    <n v="206.12"/>
    <m/>
  </r>
  <r>
    <d v="2021-04-01T00:00:00"/>
    <s v="2021-22"/>
    <n v="2021"/>
    <x v="8"/>
    <x v="8"/>
    <s v="Mizoram"/>
    <n v="15"/>
    <s v="State"/>
    <n v="22.14"/>
    <n v="30.1"/>
    <n v="5.09"/>
    <n v="0.01"/>
    <n v="57.33"/>
    <n v="57.34"/>
    <m/>
  </r>
  <r>
    <d v="2021-04-01T00:00:00"/>
    <s v="2021-22"/>
    <n v="2021"/>
    <x v="8"/>
    <x v="8"/>
    <s v="Nagaland"/>
    <n v="13"/>
    <s v="State"/>
    <n v="19.13"/>
    <n v="24.38"/>
    <n v="7.62"/>
    <n v="0.47"/>
    <n v="51.13"/>
    <n v="51.6"/>
    <m/>
  </r>
  <r>
    <d v="2021-04-01T00:00:00"/>
    <s v="2021-22"/>
    <n v="2021"/>
    <x v="8"/>
    <x v="8"/>
    <s v="Odisha"/>
    <n v="21"/>
    <s v="State"/>
    <n v="952.43"/>
    <n v="1126.67"/>
    <n v="1157.05"/>
    <n v="613.33000000000004"/>
    <n v="3236.15"/>
    <n v="3849.48"/>
    <m/>
  </r>
  <r>
    <d v="2021-04-01T00:00:00"/>
    <s v="2021-22"/>
    <n v="2021"/>
    <x v="8"/>
    <x v="8"/>
    <s v="Puducherry"/>
    <n v="34"/>
    <s v="Union Territory"/>
    <n v="22.03"/>
    <n v="34.979999999999997"/>
    <n v="112.2"/>
    <n v="0.28000000000000003"/>
    <n v="169.21"/>
    <n v="169.49"/>
    <m/>
  </r>
  <r>
    <d v="2021-04-01T00:00:00"/>
    <s v="2021-22"/>
    <n v="2021"/>
    <x v="8"/>
    <x v="8"/>
    <s v="Punjab"/>
    <n v="3"/>
    <s v="State"/>
    <n v="466.4"/>
    <n v="728.68"/>
    <n v="708.49"/>
    <n v="20.53"/>
    <n v="1903.57"/>
    <n v="1924.1"/>
    <m/>
  </r>
  <r>
    <d v="2021-04-01T00:00:00"/>
    <s v="2021-22"/>
    <n v="2021"/>
    <x v="8"/>
    <x v="8"/>
    <s v="Rajasthan"/>
    <n v="8"/>
    <s v="State"/>
    <n v="1044.75"/>
    <n v="1368.78"/>
    <n v="1276.01"/>
    <n v="130.79"/>
    <n v="3689.54"/>
    <n v="3820.33"/>
    <m/>
  </r>
  <r>
    <d v="2021-04-01T00:00:00"/>
    <s v="2021-22"/>
    <n v="2021"/>
    <x v="8"/>
    <x v="8"/>
    <s v="Sikkim"/>
    <n v="11"/>
    <s v="State"/>
    <n v="25.02"/>
    <n v="34.94"/>
    <n v="197.75"/>
    <n v="0.15"/>
    <n v="257.70999999999998"/>
    <n v="257.86"/>
    <m/>
  </r>
  <r>
    <d v="2021-04-01T00:00:00"/>
    <s v="2021-22"/>
    <n v="2021"/>
    <x v="8"/>
    <x v="8"/>
    <s v="Tamil Nadu"/>
    <n v="33"/>
    <s v="State"/>
    <n v="2294.0300000000002"/>
    <n v="3121.79"/>
    <n v="3022.38"/>
    <n v="411.17"/>
    <n v="8438.2000000000007"/>
    <n v="8849.3700000000008"/>
    <m/>
  </r>
  <r>
    <d v="2021-04-01T00:00:00"/>
    <s v="2021-22"/>
    <n v="2021"/>
    <x v="8"/>
    <x v="8"/>
    <s v="Telangana"/>
    <n v="36"/>
    <s v="State"/>
    <n v="1121.6600000000001"/>
    <n v="1460.28"/>
    <n v="1251.08"/>
    <n v="429.13"/>
    <n v="3833.02"/>
    <n v="4262.1499999999996"/>
    <m/>
  </r>
  <r>
    <d v="2021-04-01T00:00:00"/>
    <s v="2021-22"/>
    <n v="2021"/>
    <x v="8"/>
    <x v="8"/>
    <s v="Tripura"/>
    <n v="16"/>
    <s v="State"/>
    <n v="43.53"/>
    <n v="56.93"/>
    <n v="9.4499999999999993"/>
    <n v="0.16"/>
    <n v="109.91"/>
    <n v="110.07"/>
    <m/>
  </r>
  <r>
    <d v="2021-04-01T00:00:00"/>
    <s v="2021-22"/>
    <n v="2021"/>
    <x v="8"/>
    <x v="8"/>
    <s v="Uttar Pradesh"/>
    <n v="9"/>
    <s v="State"/>
    <n v="1746.12"/>
    <n v="2493.75"/>
    <n v="2031.18"/>
    <n v="1083.95"/>
    <n v="6271.05"/>
    <n v="7355"/>
    <m/>
  </r>
  <r>
    <d v="2021-04-01T00:00:00"/>
    <s v="2021-22"/>
    <n v="2021"/>
    <x v="8"/>
    <x v="8"/>
    <s v="Uttarakhand"/>
    <n v="5"/>
    <s v="State"/>
    <n v="256.16000000000003"/>
    <n v="389.9"/>
    <n v="761.4"/>
    <n v="14.47"/>
    <n v="1407.46"/>
    <n v="1421.93"/>
    <m/>
  </r>
  <r>
    <d v="2021-04-01T00:00:00"/>
    <s v="2021-22"/>
    <n v="2021"/>
    <x v="8"/>
    <x v="8"/>
    <s v="West Bengal"/>
    <n v="19"/>
    <s v="State"/>
    <n v="1624.73"/>
    <n v="2019.54"/>
    <n v="1219.83"/>
    <n v="371.75"/>
    <n v="4864.1000000000004"/>
    <n v="5235.8500000000004"/>
    <m/>
  </r>
  <r>
    <d v="2021-05-01T00:00:00"/>
    <s v="2021-22"/>
    <n v="2021"/>
    <x v="9"/>
    <x v="9"/>
    <s v="Andaman and Nicobar Islands"/>
    <n v="35"/>
    <s v="Union Territory"/>
    <n v="19.420000000000002"/>
    <n v="25.84"/>
    <n v="3.04"/>
    <n v="0"/>
    <n v="48.3"/>
    <n v="48.3"/>
    <m/>
  </r>
  <r>
    <d v="2021-05-01T00:00:00"/>
    <s v="2021-22"/>
    <n v="2021"/>
    <x v="9"/>
    <x v="9"/>
    <s v="Andhra Pradesh"/>
    <n v="28"/>
    <s v="State"/>
    <n v="431.5"/>
    <n v="611.37"/>
    <n v="856.47"/>
    <n v="174.56"/>
    <n v="1899.34"/>
    <n v="2073.9"/>
    <m/>
  </r>
  <r>
    <d v="2021-05-01T00:00:00"/>
    <s v="2021-22"/>
    <n v="2021"/>
    <x v="9"/>
    <x v="9"/>
    <s v="Arunachal Pradesh"/>
    <n v="12"/>
    <s v="State"/>
    <n v="13.7"/>
    <n v="17.649999999999999"/>
    <n v="5.13"/>
    <n v="0.01"/>
    <n v="36.479999999999997"/>
    <n v="36.49"/>
    <m/>
  </r>
  <r>
    <d v="2021-05-01T00:00:00"/>
    <s v="2021-22"/>
    <n v="2021"/>
    <x v="9"/>
    <x v="9"/>
    <s v="Assam"/>
    <n v="18"/>
    <s v="State"/>
    <n v="218.68"/>
    <n v="294.68"/>
    <n v="234.72"/>
    <n v="21.53"/>
    <n v="748.08"/>
    <n v="769.61"/>
    <m/>
  </r>
  <r>
    <d v="2021-05-01T00:00:00"/>
    <s v="2021-22"/>
    <n v="2021"/>
    <x v="9"/>
    <x v="9"/>
    <s v="Bihar"/>
    <n v="10"/>
    <s v="State"/>
    <n v="198.92"/>
    <n v="366.65"/>
    <n v="110.92"/>
    <n v="172.55"/>
    <n v="676.49"/>
    <n v="849.04"/>
    <m/>
  </r>
  <r>
    <d v="2021-05-01T00:00:00"/>
    <s v="2021-22"/>
    <n v="2021"/>
    <x v="9"/>
    <x v="9"/>
    <s v="Chandigarh"/>
    <n v="4"/>
    <s v="Union Territory"/>
    <n v="21.68"/>
    <n v="25.5"/>
    <n v="81.569999999999993"/>
    <n v="1.21"/>
    <n v="128.75"/>
    <n v="129.96"/>
    <m/>
  </r>
  <r>
    <d v="2021-05-01T00:00:00"/>
    <s v="2021-22"/>
    <n v="2021"/>
    <x v="9"/>
    <x v="9"/>
    <s v="Chhattisgarh"/>
    <n v="22"/>
    <s v="State"/>
    <n v="337.88"/>
    <n v="389.15"/>
    <n v="774.06"/>
    <n v="524.88"/>
    <n v="1501.09"/>
    <n v="2025.97"/>
    <m/>
  </r>
  <r>
    <d v="2021-05-01T00:00:00"/>
    <s v="2021-22"/>
    <n v="2021"/>
    <x v="9"/>
    <x v="9"/>
    <s v="Dadra and Nagar Haveli and Daman and Diu"/>
    <n v="38"/>
    <s v="Union Territory"/>
    <n v="28.1"/>
    <n v="34.799999999999997"/>
    <n v="165.61"/>
    <n v="0.09"/>
    <n v="228.51"/>
    <n v="228.6"/>
    <m/>
  </r>
  <r>
    <d v="2021-05-01T00:00:00"/>
    <s v="2021-22"/>
    <n v="2021"/>
    <x v="9"/>
    <x v="9"/>
    <s v="Delhi"/>
    <n v="7"/>
    <s v="Union Territory"/>
    <n v="538.04"/>
    <n v="624.07000000000005"/>
    <n v="1533.24"/>
    <n v="75.48"/>
    <n v="2695.35"/>
    <n v="2770.83"/>
    <m/>
  </r>
  <r>
    <d v="2021-05-01T00:00:00"/>
    <s v="2021-22"/>
    <n v="2021"/>
    <x v="9"/>
    <x v="9"/>
    <s v="Goa"/>
    <n v="30"/>
    <s v="State"/>
    <n v="52.01"/>
    <n v="74.459999999999994"/>
    <n v="101.52"/>
    <n v="0.97"/>
    <n v="227.99"/>
    <n v="228.96"/>
    <m/>
  </r>
  <r>
    <d v="2021-05-01T00:00:00"/>
    <s v="2021-22"/>
    <n v="2021"/>
    <x v="9"/>
    <x v="9"/>
    <s v="Gujarat"/>
    <n v="24"/>
    <s v="State"/>
    <n v="1655.66"/>
    <n v="2042.77"/>
    <n v="2074.08"/>
    <n v="609.29"/>
    <n v="5772.51"/>
    <n v="6381.8"/>
    <m/>
  </r>
  <r>
    <d v="2021-05-01T00:00:00"/>
    <s v="2021-22"/>
    <n v="2021"/>
    <x v="9"/>
    <x v="9"/>
    <s v="Haryana"/>
    <n v="6"/>
    <s v="State"/>
    <n v="722.18"/>
    <n v="921.83"/>
    <n v="2591.7399999999998"/>
    <n v="427.23"/>
    <n v="4235.75"/>
    <n v="4662.9799999999996"/>
    <m/>
  </r>
  <r>
    <d v="2021-05-01T00:00:00"/>
    <s v="2021-22"/>
    <n v="2021"/>
    <x v="9"/>
    <x v="9"/>
    <s v="Himachal Pradesh"/>
    <n v="2"/>
    <s v="State"/>
    <n v="75.16"/>
    <n v="109.61"/>
    <n v="354.68"/>
    <n v="0.63"/>
    <n v="539.45000000000005"/>
    <n v="540.08000000000004"/>
    <m/>
  </r>
  <r>
    <d v="2021-05-01T00:00:00"/>
    <s v="2021-22"/>
    <n v="2021"/>
    <x v="9"/>
    <x v="9"/>
    <s v="Jammu and Kashmir"/>
    <n v="1"/>
    <s v="Union Territory"/>
    <n v="60.74"/>
    <n v="93.22"/>
    <n v="74.39"/>
    <n v="3.68"/>
    <n v="228.35"/>
    <n v="232.03"/>
    <m/>
  </r>
  <r>
    <d v="2021-05-01T00:00:00"/>
    <s v="2021-22"/>
    <n v="2021"/>
    <x v="9"/>
    <x v="9"/>
    <s v="Jharkhand"/>
    <n v="20"/>
    <s v="State"/>
    <n v="300.81"/>
    <n v="382.32"/>
    <n v="841.35"/>
    <n v="488.51"/>
    <n v="1524.48"/>
    <n v="2012.99"/>
    <m/>
  </r>
  <r>
    <d v="2021-05-01T00:00:00"/>
    <s v="2021-22"/>
    <n v="2021"/>
    <x v="9"/>
    <x v="9"/>
    <s v="Karnataka"/>
    <n v="29"/>
    <s v="State"/>
    <n v="1229.73"/>
    <n v="1538.5"/>
    <n v="2156.7600000000002"/>
    <n v="828.88"/>
    <n v="4924.99"/>
    <n v="5753.87"/>
    <m/>
  </r>
  <r>
    <d v="2021-05-01T00:00:00"/>
    <s v="2021-22"/>
    <n v="2021"/>
    <x v="9"/>
    <x v="9"/>
    <s v="Kerala"/>
    <n v="32"/>
    <s v="State"/>
    <n v="319.92"/>
    <n v="477.18"/>
    <n v="346.99"/>
    <n v="2.4300000000000002"/>
    <n v="1144.0899999999999"/>
    <n v="1146.52"/>
    <m/>
  </r>
  <r>
    <d v="2021-05-01T00:00:00"/>
    <s v="2021-22"/>
    <n v="2021"/>
    <x v="9"/>
    <x v="9"/>
    <s v="Ladakh"/>
    <n v="37"/>
    <s v="Union Territory"/>
    <n v="1.81"/>
    <n v="3.05"/>
    <n v="0.45"/>
    <n v="0"/>
    <n v="5.31"/>
    <n v="5.31"/>
    <m/>
  </r>
  <r>
    <d v="2021-05-01T00:00:00"/>
    <s v="2021-22"/>
    <n v="2021"/>
    <x v="9"/>
    <x v="9"/>
    <s v="Lakshadweep"/>
    <n v="31"/>
    <s v="Union Territory"/>
    <n v="0.09"/>
    <n v="0.15"/>
    <n v="0.03"/>
    <n v="0"/>
    <n v="0.27"/>
    <n v="0.27"/>
    <m/>
  </r>
  <r>
    <d v="2021-05-01T00:00:00"/>
    <s v="2021-22"/>
    <n v="2021"/>
    <x v="9"/>
    <x v="9"/>
    <s v="Madhya Pradesh"/>
    <n v="23"/>
    <s v="State"/>
    <n v="382.9"/>
    <n v="491.04"/>
    <n v="578.98"/>
    <n v="475.48"/>
    <n v="1452.92"/>
    <n v="1928.4"/>
    <m/>
  </r>
  <r>
    <d v="2021-05-01T00:00:00"/>
    <s v="2021-22"/>
    <n v="2021"/>
    <x v="9"/>
    <x v="9"/>
    <s v="Maharashtra"/>
    <n v="27"/>
    <s v="State"/>
    <n v="3760.78"/>
    <n v="4433.1899999999996"/>
    <n v="4360.53"/>
    <n v="1010.93"/>
    <n v="12554.5"/>
    <n v="13565.43"/>
    <m/>
  </r>
  <r>
    <d v="2021-05-01T00:00:00"/>
    <s v="2021-22"/>
    <n v="2021"/>
    <x v="9"/>
    <x v="9"/>
    <s v="Manipur"/>
    <n v="14"/>
    <s v="State"/>
    <n v="7.71"/>
    <n v="10.53"/>
    <n v="3.37"/>
    <n v="0"/>
    <n v="21.61"/>
    <n v="21.61"/>
    <m/>
  </r>
  <r>
    <d v="2021-05-01T00:00:00"/>
    <s v="2021-22"/>
    <n v="2021"/>
    <x v="9"/>
    <x v="9"/>
    <s v="Meghalaya"/>
    <n v="17"/>
    <s v="State"/>
    <n v="14.23"/>
    <n v="16.75"/>
    <n v="93.14"/>
    <n v="0.21"/>
    <n v="124.12"/>
    <n v="124.33"/>
    <m/>
  </r>
  <r>
    <d v="2021-05-01T00:00:00"/>
    <s v="2021-22"/>
    <n v="2021"/>
    <x v="9"/>
    <x v="9"/>
    <s v="Mizoram"/>
    <n v="15"/>
    <s v="State"/>
    <n v="4.9400000000000004"/>
    <n v="6.89"/>
    <n v="2.89"/>
    <n v="0.01"/>
    <n v="14.72"/>
    <n v="14.73"/>
    <m/>
  </r>
  <r>
    <d v="2021-05-01T00:00:00"/>
    <s v="2021-22"/>
    <n v="2021"/>
    <x v="9"/>
    <x v="9"/>
    <s v="Nagaland"/>
    <n v="13"/>
    <s v="State"/>
    <n v="11.27"/>
    <n v="14.63"/>
    <n v="3.46"/>
    <n v="0.05"/>
    <n v="29.36"/>
    <n v="29.41"/>
    <m/>
  </r>
  <r>
    <d v="2021-05-01T00:00:00"/>
    <s v="2021-22"/>
    <n v="2021"/>
    <x v="9"/>
    <x v="9"/>
    <s v="Odisha"/>
    <n v="21"/>
    <s v="State"/>
    <n v="690.32"/>
    <n v="827.43"/>
    <n v="1094.7"/>
    <n v="584.29999999999995"/>
    <n v="2612.4499999999998"/>
    <n v="3196.75"/>
    <m/>
  </r>
  <r>
    <d v="2021-05-01T00:00:00"/>
    <s v="2021-22"/>
    <n v="2021"/>
    <x v="9"/>
    <x v="9"/>
    <s v="Puducherry"/>
    <n v="34"/>
    <s v="Union Territory"/>
    <n v="11.67"/>
    <n v="17.3"/>
    <n v="93.75"/>
    <n v="0.4"/>
    <n v="122.72"/>
    <n v="123.12"/>
    <m/>
  </r>
  <r>
    <d v="2021-05-01T00:00:00"/>
    <s v="2021-22"/>
    <n v="2021"/>
    <x v="9"/>
    <x v="9"/>
    <s v="Punjab"/>
    <n v="3"/>
    <s v="State"/>
    <n v="288.27"/>
    <n v="462.95"/>
    <n v="493.13"/>
    <n v="21.43"/>
    <n v="1244.3499999999999"/>
    <n v="1265.78"/>
    <m/>
  </r>
  <r>
    <d v="2021-05-01T00:00:00"/>
    <s v="2021-22"/>
    <n v="2021"/>
    <x v="9"/>
    <x v="9"/>
    <s v="Rajasthan"/>
    <n v="8"/>
    <s v="State"/>
    <n v="579.26"/>
    <n v="782.08"/>
    <n v="913.53"/>
    <n v="189.01"/>
    <n v="2274.87"/>
    <n v="2463.88"/>
    <m/>
  </r>
  <r>
    <d v="2021-05-01T00:00:00"/>
    <s v="2021-22"/>
    <n v="2021"/>
    <x v="9"/>
    <x v="9"/>
    <s v="Sikkim"/>
    <n v="11"/>
    <s v="State"/>
    <n v="10.3"/>
    <n v="11.87"/>
    <n v="227.6"/>
    <n v="0.03"/>
    <n v="249.77"/>
    <n v="249.8"/>
    <m/>
  </r>
  <r>
    <d v="2021-05-01T00:00:00"/>
    <s v="2021-22"/>
    <n v="2021"/>
    <x v="9"/>
    <x v="9"/>
    <s v="Tamil Nadu"/>
    <n v="33"/>
    <s v="State"/>
    <n v="1325.49"/>
    <n v="1764.11"/>
    <n v="1834.61"/>
    <n v="667.52"/>
    <n v="4924.21"/>
    <n v="5591.73"/>
    <m/>
  </r>
  <r>
    <d v="2021-05-01T00:00:00"/>
    <s v="2021-22"/>
    <n v="2021"/>
    <x v="9"/>
    <x v="9"/>
    <s v="Telangana"/>
    <n v="36"/>
    <s v="State"/>
    <n v="622.63"/>
    <n v="856.3"/>
    <n v="904.67"/>
    <n v="600.76"/>
    <n v="2383.6"/>
    <n v="2984.36"/>
    <m/>
  </r>
  <r>
    <d v="2021-05-01T00:00:00"/>
    <s v="2021-22"/>
    <n v="2021"/>
    <x v="9"/>
    <x v="9"/>
    <s v="Tripura"/>
    <n v="16"/>
    <s v="State"/>
    <n v="13.9"/>
    <n v="19.22"/>
    <n v="5.98"/>
    <n v="0.05"/>
    <n v="39.1"/>
    <n v="39.15"/>
    <m/>
  </r>
  <r>
    <d v="2021-05-01T00:00:00"/>
    <s v="2021-22"/>
    <n v="2021"/>
    <x v="9"/>
    <x v="9"/>
    <s v="Uttar Pradesh"/>
    <n v="9"/>
    <s v="State"/>
    <n v="1002.21"/>
    <n v="1436.93"/>
    <n v="1223.24"/>
    <n v="1047.18"/>
    <n v="3662.38"/>
    <n v="4709.5600000000004"/>
    <m/>
  </r>
  <r>
    <d v="2021-05-01T00:00:00"/>
    <s v="2021-22"/>
    <n v="2021"/>
    <x v="9"/>
    <x v="9"/>
    <s v="Uttarakhand"/>
    <n v="5"/>
    <s v="State"/>
    <n v="156.33000000000001"/>
    <n v="224.74"/>
    <n v="503.27"/>
    <n v="9.07"/>
    <n v="884.34"/>
    <n v="893.41"/>
    <m/>
  </r>
  <r>
    <d v="2021-05-01T00:00:00"/>
    <s v="2021-22"/>
    <n v="2021"/>
    <x v="9"/>
    <x v="9"/>
    <s v="West Bengal"/>
    <n v="19"/>
    <s v="State"/>
    <n v="1007.05"/>
    <n v="1322.1"/>
    <n v="842.2"/>
    <n v="418.86"/>
    <n v="3171.35"/>
    <n v="3590.21"/>
    <m/>
  </r>
  <r>
    <d v="2021-06-01T00:00:00"/>
    <s v="2021-22"/>
    <n v="2021"/>
    <x v="10"/>
    <x v="10"/>
    <s v="Andaman and Nicobar Islands"/>
    <n v="35"/>
    <s v="Union Territory"/>
    <n v="4.25"/>
    <n v="5.62"/>
    <n v="1.66"/>
    <n v="0.01"/>
    <n v="11.53"/>
    <n v="11.54"/>
    <m/>
  </r>
  <r>
    <d v="2021-06-01T00:00:00"/>
    <s v="2021-22"/>
    <n v="2021"/>
    <x v="10"/>
    <x v="10"/>
    <s v="Andhra Pradesh"/>
    <n v="28"/>
    <s v="State"/>
    <n v="512.11"/>
    <n v="653.82000000000005"/>
    <n v="784.26"/>
    <n v="100.57"/>
    <n v="1950.19"/>
    <n v="2050.7600000000002"/>
    <m/>
  </r>
  <r>
    <d v="2021-06-01T00:00:00"/>
    <s v="2021-22"/>
    <n v="2021"/>
    <x v="10"/>
    <x v="10"/>
    <s v="Arunachal Pradesh"/>
    <n v="12"/>
    <s v="State"/>
    <n v="13.18"/>
    <n v="15.91"/>
    <n v="3.87"/>
    <n v="0.13"/>
    <n v="32.96"/>
    <n v="33.090000000000003"/>
    <m/>
  </r>
  <r>
    <d v="2021-06-01T00:00:00"/>
    <s v="2021-22"/>
    <n v="2021"/>
    <x v="10"/>
    <x v="10"/>
    <s v="Assam"/>
    <n v="18"/>
    <s v="State"/>
    <n v="187.91"/>
    <n v="235.16"/>
    <n v="208.82"/>
    <n v="29.93"/>
    <n v="631.89"/>
    <n v="661.82"/>
    <m/>
  </r>
  <r>
    <d v="2021-06-01T00:00:00"/>
    <s v="2021-22"/>
    <n v="2021"/>
    <x v="10"/>
    <x v="10"/>
    <s v="Bihar"/>
    <n v="10"/>
    <s v="State"/>
    <n v="242.46"/>
    <n v="368.62"/>
    <n v="119.86"/>
    <n v="158.01"/>
    <n v="730.94"/>
    <n v="888.95"/>
    <m/>
  </r>
  <r>
    <d v="2021-06-01T00:00:00"/>
    <s v="2021-22"/>
    <n v="2021"/>
    <x v="10"/>
    <x v="10"/>
    <s v="Chandigarh"/>
    <n v="4"/>
    <s v="Union Territory"/>
    <n v="21.01"/>
    <n v="28.42"/>
    <n v="69.64"/>
    <n v="1.38"/>
    <n v="119.07"/>
    <n v="120.45"/>
    <m/>
  </r>
  <r>
    <d v="2021-06-01T00:00:00"/>
    <s v="2021-22"/>
    <n v="2021"/>
    <x v="10"/>
    <x v="10"/>
    <s v="Chhattisgarh"/>
    <n v="22"/>
    <s v="State"/>
    <n v="439.57"/>
    <n v="488.1"/>
    <n v="744.44"/>
    <n v="557.51"/>
    <n v="1672.11"/>
    <n v="2229.62"/>
    <m/>
  </r>
  <r>
    <d v="2021-06-01T00:00:00"/>
    <s v="2021-22"/>
    <n v="2021"/>
    <x v="10"/>
    <x v="10"/>
    <s v="Dadra and Nagar Haveli and Daman and Diu"/>
    <n v="38"/>
    <s v="Union Territory"/>
    <n v="38.82"/>
    <n v="46.86"/>
    <n v="157.35"/>
    <n v="0.08"/>
    <n v="243.03"/>
    <n v="243.11"/>
    <m/>
  </r>
  <r>
    <d v="2021-06-01T00:00:00"/>
    <s v="2021-22"/>
    <n v="2021"/>
    <x v="10"/>
    <x v="10"/>
    <s v="Delhi"/>
    <n v="7"/>
    <s v="Union Territory"/>
    <n v="497.13"/>
    <n v="601.89"/>
    <n v="1494.28"/>
    <n v="62.32"/>
    <n v="2593.3000000000002"/>
    <n v="2655.62"/>
    <m/>
  </r>
  <r>
    <d v="2021-06-01T00:00:00"/>
    <s v="2021-22"/>
    <n v="2021"/>
    <x v="10"/>
    <x v="10"/>
    <s v="Goa"/>
    <n v="30"/>
    <s v="State"/>
    <n v="65.5"/>
    <n v="84.45"/>
    <n v="105.09"/>
    <n v="1.29"/>
    <n v="255.04"/>
    <n v="256.33"/>
    <m/>
  </r>
  <r>
    <d v="2021-06-01T00:00:00"/>
    <s v="2021-22"/>
    <n v="2021"/>
    <x v="10"/>
    <x v="10"/>
    <s v="Gujarat"/>
    <n v="24"/>
    <s v="State"/>
    <n v="1739.55"/>
    <n v="2081.7199999999998"/>
    <n v="1952.49"/>
    <n v="353.97"/>
    <n v="5773.76"/>
    <n v="6127.73"/>
    <m/>
  </r>
  <r>
    <d v="2021-06-01T00:00:00"/>
    <s v="2021-22"/>
    <n v="2021"/>
    <x v="10"/>
    <x v="10"/>
    <s v="Haryana"/>
    <n v="6"/>
    <s v="State"/>
    <n v="678.7"/>
    <n v="870.28"/>
    <n v="2096.92"/>
    <n v="155.09"/>
    <n v="3645.9"/>
    <n v="3800.99"/>
    <m/>
  </r>
  <r>
    <d v="2021-06-01T00:00:00"/>
    <s v="2021-22"/>
    <n v="2021"/>
    <x v="10"/>
    <x v="10"/>
    <s v="Himachal Pradesh"/>
    <n v="2"/>
    <s v="State"/>
    <n v="87.31"/>
    <n v="119.87"/>
    <n v="311.13"/>
    <n v="0.78"/>
    <n v="518.30999999999995"/>
    <n v="519.09"/>
    <m/>
  </r>
  <r>
    <d v="2021-06-01T00:00:00"/>
    <s v="2021-22"/>
    <n v="2021"/>
    <x v="10"/>
    <x v="10"/>
    <s v="Jammu and Kashmir"/>
    <n v="1"/>
    <s v="Union Territory"/>
    <n v="75.58"/>
    <n v="123.78"/>
    <n v="95.25"/>
    <n v="5.13"/>
    <n v="294.61"/>
    <n v="299.74"/>
    <m/>
  </r>
  <r>
    <d v="2021-06-01T00:00:00"/>
    <s v="2021-22"/>
    <n v="2021"/>
    <x v="10"/>
    <x v="10"/>
    <s v="Jharkhand"/>
    <n v="20"/>
    <s v="State"/>
    <n v="316.16000000000003"/>
    <n v="391.82"/>
    <n v="843.62"/>
    <n v="479.94"/>
    <n v="1551.6"/>
    <n v="2031.54"/>
    <m/>
  </r>
  <r>
    <d v="2021-06-01T00:00:00"/>
    <s v="2021-22"/>
    <n v="2021"/>
    <x v="10"/>
    <x v="10"/>
    <s v="Karnataka"/>
    <n v="29"/>
    <s v="State"/>
    <n v="1237.19"/>
    <n v="1501.72"/>
    <n v="2119.16"/>
    <n v="245.02"/>
    <n v="4858.07"/>
    <n v="5103.09"/>
    <m/>
  </r>
  <r>
    <d v="2021-06-01T00:00:00"/>
    <s v="2021-22"/>
    <n v="2021"/>
    <x v="10"/>
    <x v="10"/>
    <s v="Kerala"/>
    <n v="32"/>
    <s v="State"/>
    <n v="313.19"/>
    <n v="438.46"/>
    <n v="244.61"/>
    <n v="2.12"/>
    <n v="996.26"/>
    <n v="998.38"/>
    <m/>
  </r>
  <r>
    <d v="2021-06-01T00:00:00"/>
    <s v="2021-22"/>
    <n v="2021"/>
    <x v="10"/>
    <x v="10"/>
    <s v="Ladakh"/>
    <n v="37"/>
    <s v="Union Territory"/>
    <n v="2.13"/>
    <n v="2.94"/>
    <n v="0.99"/>
    <n v="0"/>
    <n v="6.06"/>
    <n v="6.06"/>
    <m/>
  </r>
  <r>
    <d v="2021-06-01T00:00:00"/>
    <s v="2021-22"/>
    <n v="2021"/>
    <x v="10"/>
    <x v="10"/>
    <s v="Lakshadweep"/>
    <n v="31"/>
    <s v="Union Territory"/>
    <n v="0.18"/>
    <n v="0.18"/>
    <n v="0.11"/>
    <n v="0"/>
    <n v="0.47"/>
    <n v="0.47"/>
    <m/>
  </r>
  <r>
    <d v="2021-06-01T00:00:00"/>
    <s v="2021-22"/>
    <n v="2021"/>
    <x v="10"/>
    <x v="10"/>
    <s v="Madhya Pradesh"/>
    <n v="23"/>
    <s v="State"/>
    <n v="437.98"/>
    <n v="556.08000000000004"/>
    <n v="545.76"/>
    <n v="558.62"/>
    <n v="1539.82"/>
    <n v="2098.44"/>
    <m/>
  </r>
  <r>
    <d v="2021-06-01T00:00:00"/>
    <s v="2021-22"/>
    <n v="2021"/>
    <x v="10"/>
    <x v="10"/>
    <s v="Maharashtra"/>
    <n v="27"/>
    <s v="State"/>
    <n v="3814.76"/>
    <n v="4411.37"/>
    <n v="4553.3"/>
    <n v="942.43"/>
    <n v="12779.43"/>
    <n v="13721.86"/>
    <m/>
  </r>
  <r>
    <d v="2021-06-01T00:00:00"/>
    <s v="2021-22"/>
    <n v="2021"/>
    <x v="10"/>
    <x v="10"/>
    <s v="Manipur"/>
    <n v="14"/>
    <s v="State"/>
    <n v="8.64"/>
    <n v="11.06"/>
    <n v="2.11"/>
    <n v="0.04"/>
    <n v="21.81"/>
    <n v="21.85"/>
    <m/>
  </r>
  <r>
    <d v="2021-06-01T00:00:00"/>
    <s v="2021-22"/>
    <n v="2021"/>
    <x v="10"/>
    <x v="10"/>
    <s v="Meghalaya"/>
    <n v="17"/>
    <s v="State"/>
    <n v="13.98"/>
    <n v="17.260000000000002"/>
    <n v="73.459999999999994"/>
    <n v="0.15"/>
    <n v="104.7"/>
    <n v="104.85"/>
    <m/>
  </r>
  <r>
    <d v="2021-06-01T00:00:00"/>
    <s v="2021-22"/>
    <n v="2021"/>
    <x v="10"/>
    <x v="10"/>
    <s v="Mizoram"/>
    <n v="15"/>
    <s v="State"/>
    <n v="5.79"/>
    <n v="7.92"/>
    <n v="3.64"/>
    <n v="0.02"/>
    <n v="17.350000000000001"/>
    <n v="17.37"/>
    <m/>
  </r>
  <r>
    <d v="2021-06-01T00:00:00"/>
    <s v="2021-22"/>
    <n v="2021"/>
    <x v="10"/>
    <x v="10"/>
    <s v="Nagaland"/>
    <n v="13"/>
    <s v="State"/>
    <n v="11.3"/>
    <n v="15.55"/>
    <n v="2.89"/>
    <n v="0.39"/>
    <n v="29.74"/>
    <n v="30.13"/>
    <m/>
  </r>
  <r>
    <d v="2021-06-01T00:00:00"/>
    <s v="2021-22"/>
    <n v="2021"/>
    <x v="10"/>
    <x v="10"/>
    <s v="Odisha"/>
    <n v="21"/>
    <s v="State"/>
    <n v="743.16"/>
    <n v="858.83"/>
    <n v="842.65"/>
    <n v="555.27"/>
    <n v="2444.64"/>
    <n v="2999.91"/>
    <m/>
  </r>
  <r>
    <d v="2021-06-01T00:00:00"/>
    <s v="2021-22"/>
    <n v="2021"/>
    <x v="10"/>
    <x v="10"/>
    <s v="Puducherry"/>
    <n v="34"/>
    <s v="Union Territory"/>
    <n v="12.84"/>
    <n v="20.48"/>
    <n v="70.55"/>
    <n v="0.22"/>
    <n v="103.87"/>
    <n v="104.09"/>
    <m/>
  </r>
  <r>
    <d v="2021-06-01T00:00:00"/>
    <s v="2021-22"/>
    <n v="2021"/>
    <x v="10"/>
    <x v="10"/>
    <s v="Punjab"/>
    <n v="3"/>
    <s v="State"/>
    <n v="274.91000000000003"/>
    <n v="410.85"/>
    <n v="407.81"/>
    <n v="17.559999999999999"/>
    <n v="1093.57"/>
    <n v="1111.1300000000001"/>
    <m/>
  </r>
  <r>
    <d v="2021-06-01T00:00:00"/>
    <s v="2021-22"/>
    <n v="2021"/>
    <x v="10"/>
    <x v="10"/>
    <s v="Rajasthan"/>
    <n v="8"/>
    <s v="State"/>
    <n v="621.09"/>
    <n v="781.45"/>
    <n v="683.54"/>
    <n v="89.88"/>
    <n v="2086.08"/>
    <n v="2175.96"/>
    <m/>
  </r>
  <r>
    <d v="2021-06-01T00:00:00"/>
    <s v="2021-22"/>
    <n v="2021"/>
    <x v="10"/>
    <x v="10"/>
    <s v="Sikkim"/>
    <n v="11"/>
    <s v="State"/>
    <n v="11.04"/>
    <n v="17.75"/>
    <n v="182.92"/>
    <n v="0.01"/>
    <n v="211.71"/>
    <n v="211.72"/>
    <m/>
  </r>
  <r>
    <d v="2021-06-01T00:00:00"/>
    <s v="2021-22"/>
    <n v="2021"/>
    <x v="10"/>
    <x v="10"/>
    <s v="Tamil Nadu"/>
    <n v="33"/>
    <s v="State"/>
    <n v="1152.6400000000001"/>
    <n v="1499.14"/>
    <n v="1395.94"/>
    <n v="331.89"/>
    <n v="4047.72"/>
    <n v="4379.6099999999997"/>
    <m/>
  </r>
  <r>
    <d v="2021-06-01T00:00:00"/>
    <s v="2021-22"/>
    <n v="2021"/>
    <x v="10"/>
    <x v="10"/>
    <s v="Telangana"/>
    <n v="36"/>
    <s v="State"/>
    <n v="662.31"/>
    <n v="872.76"/>
    <n v="850.31"/>
    <n v="459.8"/>
    <n v="2385.38"/>
    <n v="2845.18"/>
    <m/>
  </r>
  <r>
    <d v="2021-06-01T00:00:00"/>
    <s v="2021-22"/>
    <n v="2021"/>
    <x v="10"/>
    <x v="10"/>
    <s v="Tripura"/>
    <n v="16"/>
    <s v="State"/>
    <n v="16.190000000000001"/>
    <n v="21.85"/>
    <n v="4.58"/>
    <n v="0.09"/>
    <n v="42.62"/>
    <n v="42.71"/>
    <m/>
  </r>
  <r>
    <d v="2021-06-01T00:00:00"/>
    <s v="2021-22"/>
    <n v="2021"/>
    <x v="10"/>
    <x v="10"/>
    <s v="Uttar Pradesh"/>
    <n v="9"/>
    <s v="State"/>
    <n v="1091.48"/>
    <n v="1540.3"/>
    <n v="1175.67"/>
    <n v="780.91"/>
    <n v="3807.45"/>
    <n v="4588.3599999999997"/>
    <m/>
  </r>
  <r>
    <d v="2021-06-01T00:00:00"/>
    <s v="2021-22"/>
    <n v="2021"/>
    <x v="10"/>
    <x v="10"/>
    <s v="Uttarakhand"/>
    <n v="5"/>
    <s v="State"/>
    <n v="154.88999999999999"/>
    <n v="209.14"/>
    <n v="332.49"/>
    <n v="5.77"/>
    <n v="696.52"/>
    <n v="702.29"/>
    <m/>
  </r>
  <r>
    <d v="2021-06-01T00:00:00"/>
    <s v="2021-22"/>
    <n v="2021"/>
    <x v="10"/>
    <x v="10"/>
    <s v="West Bengal"/>
    <n v="19"/>
    <s v="State"/>
    <n v="820.11"/>
    <n v="1020.95"/>
    <n v="659.21"/>
    <n v="243.68"/>
    <n v="2500.27"/>
    <n v="2743.95"/>
    <m/>
  </r>
  <r>
    <d v="2021-07-01T00:00:00"/>
    <s v="2021-22"/>
    <n v="2021"/>
    <x v="11"/>
    <x v="11"/>
    <s v="Andaman and Nicobar Islands"/>
    <n v="35"/>
    <s v="Union Territory"/>
    <n v="5.93"/>
    <n v="10.09"/>
    <n v="2.4900000000000002"/>
    <n v="0.06"/>
    <n v="18.510000000000002"/>
    <n v="18.57"/>
    <m/>
  </r>
  <r>
    <d v="2021-07-01T00:00:00"/>
    <s v="2021-22"/>
    <n v="2021"/>
    <x v="11"/>
    <x v="11"/>
    <s v="Andhra Pradesh"/>
    <n v="28"/>
    <s v="State"/>
    <n v="669.41"/>
    <n v="927.77"/>
    <n v="956.19"/>
    <n v="176.97"/>
    <n v="2553.37"/>
    <n v="2730.34"/>
    <m/>
  </r>
  <r>
    <d v="2021-07-01T00:00:00"/>
    <s v="2021-22"/>
    <n v="2021"/>
    <x v="11"/>
    <x v="11"/>
    <s v="Arunachal Pradesh"/>
    <n v="12"/>
    <s v="State"/>
    <n v="21.25"/>
    <n v="26.15"/>
    <n v="8.06"/>
    <n v="0.03"/>
    <n v="55.46"/>
    <n v="55.49"/>
    <m/>
  </r>
  <r>
    <d v="2021-07-01T00:00:00"/>
    <s v="2021-22"/>
    <n v="2021"/>
    <x v="11"/>
    <x v="11"/>
    <s v="Assam"/>
    <n v="18"/>
    <s v="State"/>
    <n v="281.39999999999998"/>
    <n v="355.61"/>
    <n v="225.69"/>
    <n v="19.260000000000002"/>
    <n v="862.7"/>
    <n v="881.96"/>
    <m/>
  </r>
  <r>
    <d v="2021-07-01T00:00:00"/>
    <s v="2021-22"/>
    <n v="2021"/>
    <x v="11"/>
    <x v="11"/>
    <s v="Bihar"/>
    <n v="10"/>
    <s v="State"/>
    <n v="357.19"/>
    <n v="603.26"/>
    <n v="149.34"/>
    <n v="171.21"/>
    <n v="1109.79"/>
    <n v="1281"/>
    <m/>
  </r>
  <r>
    <d v="2021-07-01T00:00:00"/>
    <s v="2021-22"/>
    <n v="2021"/>
    <x v="11"/>
    <x v="11"/>
    <s v="Chandigarh"/>
    <n v="4"/>
    <s v="Union Territory"/>
    <n v="30.58"/>
    <n v="42.03"/>
    <n v="95.92"/>
    <n v="0.38"/>
    <n v="168.53"/>
    <n v="168.91"/>
    <m/>
  </r>
  <r>
    <d v="2021-07-01T00:00:00"/>
    <s v="2021-22"/>
    <n v="2021"/>
    <x v="11"/>
    <x v="11"/>
    <s v="Chhattisgarh"/>
    <n v="22"/>
    <s v="State"/>
    <n v="536.46"/>
    <n v="618.74"/>
    <n v="772.13"/>
    <n v="505.12"/>
    <n v="1927.33"/>
    <n v="2432.4499999999998"/>
    <m/>
  </r>
  <r>
    <d v="2021-07-01T00:00:00"/>
    <s v="2021-22"/>
    <n v="2021"/>
    <x v="11"/>
    <x v="11"/>
    <s v="Dadra and Nagar Haveli and Daman and Diu"/>
    <n v="38"/>
    <s v="Union Territory"/>
    <n v="33.22"/>
    <n v="42.52"/>
    <n v="151.57"/>
    <n v="0.04"/>
    <n v="227.31"/>
    <n v="227.35"/>
    <m/>
  </r>
  <r>
    <d v="2021-07-01T00:00:00"/>
    <s v="2021-22"/>
    <n v="2021"/>
    <x v="11"/>
    <x v="11"/>
    <s v="Delhi"/>
    <n v="7"/>
    <s v="Union Territory"/>
    <n v="773.76"/>
    <n v="947.34"/>
    <n v="2040.37"/>
    <n v="53.59"/>
    <n v="3761.47"/>
    <n v="3815.06"/>
    <m/>
  </r>
  <r>
    <d v="2021-07-01T00:00:00"/>
    <s v="2021-22"/>
    <n v="2021"/>
    <x v="11"/>
    <x v="11"/>
    <s v="Goa"/>
    <n v="30"/>
    <s v="State"/>
    <n v="76.569999999999993"/>
    <n v="104.99"/>
    <n v="120.7"/>
    <n v="1.0900000000000001"/>
    <n v="302.26"/>
    <n v="303.35000000000002"/>
    <m/>
  </r>
  <r>
    <d v="2021-07-01T00:00:00"/>
    <s v="2021-22"/>
    <n v="2021"/>
    <x v="11"/>
    <x v="11"/>
    <s v="Gujarat"/>
    <n v="24"/>
    <s v="State"/>
    <n v="2183.06"/>
    <n v="2703.74"/>
    <n v="2310.17"/>
    <n v="431.68"/>
    <n v="7196.97"/>
    <n v="7628.65"/>
    <m/>
  </r>
  <r>
    <d v="2021-07-01T00:00:00"/>
    <s v="2021-22"/>
    <n v="2021"/>
    <x v="11"/>
    <x v="11"/>
    <s v="Haryana"/>
    <n v="6"/>
    <s v="State"/>
    <n v="944.68"/>
    <n v="1259.8"/>
    <n v="2700.66"/>
    <n v="424.5"/>
    <n v="4905.1400000000003"/>
    <n v="5329.64"/>
    <m/>
  </r>
  <r>
    <d v="2021-07-01T00:00:00"/>
    <s v="2021-22"/>
    <n v="2021"/>
    <x v="11"/>
    <x v="11"/>
    <s v="Himachal Pradesh"/>
    <n v="2"/>
    <s v="State"/>
    <n v="120.78"/>
    <n v="184.6"/>
    <n v="360.38"/>
    <n v="0.89"/>
    <n v="665.76"/>
    <n v="666.65"/>
    <m/>
  </r>
  <r>
    <d v="2021-07-01T00:00:00"/>
    <s v="2021-22"/>
    <n v="2021"/>
    <x v="11"/>
    <x v="11"/>
    <s v="Jammu and Kashmir"/>
    <n v="1"/>
    <s v="Union Territory"/>
    <n v="112.07"/>
    <n v="182.95"/>
    <n v="129.4"/>
    <n v="7.36"/>
    <n v="424.42"/>
    <n v="431.78"/>
    <m/>
  </r>
  <r>
    <d v="2021-07-01T00:00:00"/>
    <s v="2021-22"/>
    <n v="2021"/>
    <x v="11"/>
    <x v="11"/>
    <s v="Jharkhand"/>
    <n v="20"/>
    <s v="State"/>
    <n v="365.12"/>
    <n v="482.49"/>
    <n v="792.87"/>
    <n v="415.92"/>
    <n v="1640.48"/>
    <n v="2056.4"/>
    <m/>
  </r>
  <r>
    <d v="2021-07-01T00:00:00"/>
    <s v="2021-22"/>
    <n v="2021"/>
    <x v="11"/>
    <x v="11"/>
    <s v="Karnataka"/>
    <n v="29"/>
    <s v="State"/>
    <n v="1797.44"/>
    <n v="2263.5300000000002"/>
    <n v="2393.7399999999998"/>
    <n v="281.8"/>
    <n v="6454.71"/>
    <n v="6736.51"/>
    <m/>
  </r>
  <r>
    <d v="2021-07-01T00:00:00"/>
    <s v="2021-22"/>
    <n v="2021"/>
    <x v="11"/>
    <x v="11"/>
    <s v="Kerala"/>
    <n v="32"/>
    <s v="State"/>
    <n v="522.62"/>
    <n v="750.57"/>
    <n v="399.1"/>
    <n v="2.86"/>
    <n v="1672.29"/>
    <n v="1675.15"/>
    <m/>
  </r>
  <r>
    <d v="2021-07-01T00:00:00"/>
    <s v="2021-22"/>
    <n v="2021"/>
    <x v="11"/>
    <x v="11"/>
    <s v="Ladakh"/>
    <n v="37"/>
    <s v="Union Territory"/>
    <n v="4.4400000000000004"/>
    <n v="6.08"/>
    <n v="2.4300000000000002"/>
    <n v="0"/>
    <n v="12.95"/>
    <n v="12.95"/>
    <m/>
  </r>
  <r>
    <d v="2021-07-01T00:00:00"/>
    <s v="2021-22"/>
    <n v="2021"/>
    <x v="11"/>
    <x v="11"/>
    <s v="Lakshadweep"/>
    <n v="31"/>
    <s v="Union Territory"/>
    <n v="0.45"/>
    <n v="0.48"/>
    <n v="0.03"/>
    <n v="0"/>
    <n v="0.96"/>
    <n v="0.96"/>
    <m/>
  </r>
  <r>
    <d v="2021-07-01T00:00:00"/>
    <s v="2021-22"/>
    <n v="2021"/>
    <x v="11"/>
    <x v="11"/>
    <s v="Madhya Pradesh"/>
    <n v="23"/>
    <s v="State"/>
    <n v="644.39"/>
    <n v="855.94"/>
    <n v="672.68"/>
    <n v="484.03"/>
    <n v="2173.0100000000002"/>
    <n v="2657.04"/>
    <m/>
  </r>
  <r>
    <d v="2021-07-01T00:00:00"/>
    <s v="2021-22"/>
    <n v="2021"/>
    <x v="11"/>
    <x v="11"/>
    <s v="Maharashtra"/>
    <n v="27"/>
    <s v="State"/>
    <n v="5133.1099999999997"/>
    <n v="6092.96"/>
    <n v="6605.47"/>
    <n v="1067.73"/>
    <n v="17831.54"/>
    <n v="18899.27"/>
    <m/>
  </r>
  <r>
    <d v="2021-07-01T00:00:00"/>
    <s v="2021-22"/>
    <n v="2021"/>
    <x v="11"/>
    <x v="11"/>
    <s v="Manipur"/>
    <n v="14"/>
    <s v="State"/>
    <n v="14.09"/>
    <n v="19.84"/>
    <n v="3.19"/>
    <n v="0.27"/>
    <n v="37.119999999999997"/>
    <n v="37.39"/>
    <m/>
  </r>
  <r>
    <d v="2021-07-01T00:00:00"/>
    <s v="2021-22"/>
    <n v="2021"/>
    <x v="11"/>
    <x v="11"/>
    <s v="Meghalaya"/>
    <n v="17"/>
    <s v="State"/>
    <n v="21.9"/>
    <n v="28.98"/>
    <n v="70.099999999999994"/>
    <n v="0.12"/>
    <n v="120.98"/>
    <n v="121.1"/>
    <m/>
  </r>
  <r>
    <d v="2021-07-01T00:00:00"/>
    <s v="2021-22"/>
    <n v="2021"/>
    <x v="11"/>
    <x v="11"/>
    <s v="Mizoram"/>
    <n v="15"/>
    <s v="State"/>
    <n v="6.94"/>
    <n v="11.38"/>
    <n v="2.64"/>
    <n v="0.03"/>
    <n v="20.96"/>
    <n v="20.99"/>
    <m/>
  </r>
  <r>
    <d v="2021-07-01T00:00:00"/>
    <s v="2021-22"/>
    <n v="2021"/>
    <x v="11"/>
    <x v="11"/>
    <s v="Nagaland"/>
    <n v="13"/>
    <s v="State"/>
    <n v="8.89"/>
    <n v="12.5"/>
    <n v="6.2"/>
    <n v="0.59"/>
    <n v="27.59"/>
    <n v="28.18"/>
    <m/>
  </r>
  <r>
    <d v="2021-07-01T00:00:00"/>
    <s v="2021-22"/>
    <n v="2021"/>
    <x v="11"/>
    <x v="11"/>
    <s v="Odisha"/>
    <n v="21"/>
    <s v="State"/>
    <n v="927.52"/>
    <n v="1067.3499999999999"/>
    <n v="1028.1600000000001"/>
    <n v="592.20000000000005"/>
    <n v="3023.03"/>
    <n v="3615.23"/>
    <m/>
  </r>
  <r>
    <d v="2021-07-01T00:00:00"/>
    <s v="2021-22"/>
    <n v="2021"/>
    <x v="11"/>
    <x v="11"/>
    <s v="Puducherry"/>
    <n v="34"/>
    <s v="Union Territory"/>
    <n v="18.97"/>
    <n v="32.89"/>
    <n v="76.67"/>
    <n v="0.08"/>
    <n v="128.53"/>
    <n v="128.61000000000001"/>
    <m/>
  </r>
  <r>
    <d v="2021-07-01T00:00:00"/>
    <s v="2021-22"/>
    <n v="2021"/>
    <x v="11"/>
    <x v="11"/>
    <s v="Punjab"/>
    <n v="3"/>
    <s v="State"/>
    <n v="398.27"/>
    <n v="597.67999999999995"/>
    <n v="516.73"/>
    <n v="20.350000000000001"/>
    <n v="1512.68"/>
    <n v="1533.03"/>
    <m/>
  </r>
  <r>
    <d v="2021-07-01T00:00:00"/>
    <s v="2021-22"/>
    <n v="2021"/>
    <x v="11"/>
    <x v="11"/>
    <s v="Rajasthan"/>
    <n v="8"/>
    <s v="State"/>
    <n v="858.43"/>
    <n v="1144.6300000000001"/>
    <n v="1006.67"/>
    <n v="119.06"/>
    <n v="3009.73"/>
    <n v="3128.79"/>
    <m/>
  </r>
  <r>
    <d v="2021-07-01T00:00:00"/>
    <s v="2021-22"/>
    <n v="2021"/>
    <x v="11"/>
    <x v="11"/>
    <s v="Sikkim"/>
    <n v="11"/>
    <s v="State"/>
    <n v="15.64"/>
    <n v="23.67"/>
    <n v="158"/>
    <n v="0.02"/>
    <n v="197.31"/>
    <n v="197.33"/>
    <m/>
  </r>
  <r>
    <d v="2021-07-01T00:00:00"/>
    <s v="2021-22"/>
    <n v="2021"/>
    <x v="11"/>
    <x v="11"/>
    <s v="Tamil Nadu"/>
    <n v="33"/>
    <s v="State"/>
    <n v="1722.26"/>
    <n v="2257.0100000000002"/>
    <n v="1764.38"/>
    <n v="558.47"/>
    <n v="5743.65"/>
    <n v="6302.12"/>
    <m/>
  </r>
  <r>
    <d v="2021-07-01T00:00:00"/>
    <s v="2021-22"/>
    <n v="2021"/>
    <x v="11"/>
    <x v="11"/>
    <s v="Telangana"/>
    <n v="36"/>
    <s v="State"/>
    <n v="855.69"/>
    <n v="1151.57"/>
    <n v="1101.58"/>
    <n v="500.72"/>
    <n v="3108.84"/>
    <n v="3609.56"/>
    <m/>
  </r>
  <r>
    <d v="2021-07-01T00:00:00"/>
    <s v="2021-22"/>
    <n v="2021"/>
    <x v="11"/>
    <x v="11"/>
    <s v="Tripura"/>
    <n v="16"/>
    <s v="State"/>
    <n v="24.54"/>
    <n v="32.68"/>
    <n v="7.58"/>
    <n v="0.43"/>
    <n v="64.8"/>
    <n v="65.23"/>
    <m/>
  </r>
  <r>
    <d v="2021-07-01T00:00:00"/>
    <s v="2021-22"/>
    <n v="2021"/>
    <x v="11"/>
    <x v="11"/>
    <s v="Uttar Pradesh"/>
    <n v="9"/>
    <s v="State"/>
    <n v="1414.22"/>
    <n v="2030.79"/>
    <n v="1565.3"/>
    <n v="1000.33"/>
    <n v="5010.3100000000004"/>
    <n v="6010.64"/>
    <m/>
  </r>
  <r>
    <d v="2021-07-01T00:00:00"/>
    <s v="2021-22"/>
    <n v="2021"/>
    <x v="11"/>
    <x v="11"/>
    <s v="Uttarakhand"/>
    <n v="5"/>
    <s v="State"/>
    <n v="226.84"/>
    <n v="313.22000000000003"/>
    <n v="558.27"/>
    <n v="7.3"/>
    <n v="1098.33"/>
    <n v="1105.6300000000001"/>
    <m/>
  </r>
  <r>
    <d v="2021-07-01T00:00:00"/>
    <s v="2021-22"/>
    <n v="2021"/>
    <x v="11"/>
    <x v="11"/>
    <s v="West Bengal"/>
    <n v="19"/>
    <s v="State"/>
    <n v="1061.18"/>
    <n v="1346.36"/>
    <n v="924.37"/>
    <n v="130.77000000000001"/>
    <n v="3331.91"/>
    <n v="3462.68"/>
    <m/>
  </r>
  <r>
    <d v="2021-08-01T00:00:00"/>
    <s v="2021-22"/>
    <n v="2021"/>
    <x v="0"/>
    <x v="0"/>
    <s v="Andaman and Nicobar Islands"/>
    <n v="35"/>
    <s v="Union Territory"/>
    <n v="7.7"/>
    <n v="10.52"/>
    <n v="1.57"/>
    <n v="0.04"/>
    <n v="19.79"/>
    <n v="19.829999999999998"/>
    <m/>
  </r>
  <r>
    <d v="2021-08-01T00:00:00"/>
    <s v="2021-22"/>
    <n v="2021"/>
    <x v="0"/>
    <x v="0"/>
    <s v="Andhra Pradesh"/>
    <n v="28"/>
    <s v="State"/>
    <n v="626.61"/>
    <n v="867.83"/>
    <n v="956.48"/>
    <n v="140.57"/>
    <n v="2450.92"/>
    <n v="2591.4899999999998"/>
    <m/>
  </r>
  <r>
    <d v="2021-08-01T00:00:00"/>
    <s v="2021-22"/>
    <n v="2021"/>
    <x v="0"/>
    <x v="0"/>
    <s v="Arunachal Pradesh"/>
    <n v="12"/>
    <s v="State"/>
    <n v="19.600000000000001"/>
    <n v="23.72"/>
    <n v="9.81"/>
    <n v="0.22"/>
    <n v="53.13"/>
    <n v="53.35"/>
    <m/>
  </r>
  <r>
    <d v="2021-08-01T00:00:00"/>
    <s v="2021-22"/>
    <n v="2021"/>
    <x v="0"/>
    <x v="0"/>
    <s v="Assam"/>
    <n v="18"/>
    <s v="State"/>
    <n v="273.32"/>
    <n v="338.02"/>
    <n v="315.81"/>
    <n v="31.63"/>
    <n v="927.15"/>
    <n v="958.78"/>
    <m/>
  </r>
  <r>
    <d v="2021-08-01T00:00:00"/>
    <s v="2021-22"/>
    <n v="2021"/>
    <x v="0"/>
    <x v="0"/>
    <s v="Bihar"/>
    <n v="10"/>
    <s v="State"/>
    <n v="287.83"/>
    <n v="478.67"/>
    <n v="144.72999999999999"/>
    <n v="125.72"/>
    <n v="911.23"/>
    <n v="1036.95"/>
    <m/>
  </r>
  <r>
    <d v="2021-08-01T00:00:00"/>
    <s v="2021-22"/>
    <n v="2021"/>
    <x v="0"/>
    <x v="0"/>
    <s v="Chandigarh"/>
    <n v="4"/>
    <s v="Union Territory"/>
    <n v="27.83"/>
    <n v="38.4"/>
    <n v="77.52"/>
    <n v="0.41"/>
    <n v="143.75"/>
    <n v="144.16"/>
    <m/>
  </r>
  <r>
    <d v="2021-08-01T00:00:00"/>
    <s v="2021-22"/>
    <n v="2021"/>
    <x v="0"/>
    <x v="0"/>
    <s v="Chhattisgarh"/>
    <n v="22"/>
    <s v="State"/>
    <n v="455.56"/>
    <n v="536.63"/>
    <n v="812.9"/>
    <n v="585.41"/>
    <n v="1805.09"/>
    <n v="2390.5"/>
    <m/>
  </r>
  <r>
    <d v="2021-08-01T00:00:00"/>
    <s v="2021-22"/>
    <n v="2021"/>
    <x v="0"/>
    <x v="0"/>
    <s v="Dadra and Nagar Haveli and Daman and Diu"/>
    <n v="38"/>
    <s v="Union Territory"/>
    <n v="29.39"/>
    <n v="40.36"/>
    <n v="184.69"/>
    <n v="0.1"/>
    <n v="254.44"/>
    <n v="254.54"/>
    <m/>
  </r>
  <r>
    <d v="2021-08-01T00:00:00"/>
    <s v="2021-22"/>
    <n v="2021"/>
    <x v="0"/>
    <x v="0"/>
    <s v="Delhi"/>
    <n v="7"/>
    <s v="Union Territory"/>
    <n v="721.39"/>
    <n v="876.01"/>
    <n v="1926.19"/>
    <n v="81.89"/>
    <n v="3523.59"/>
    <n v="3605.48"/>
    <m/>
  </r>
  <r>
    <d v="2021-08-01T00:00:00"/>
    <s v="2021-22"/>
    <n v="2021"/>
    <x v="0"/>
    <x v="0"/>
    <s v="Goa"/>
    <n v="30"/>
    <s v="State"/>
    <n v="63.28"/>
    <n v="92.37"/>
    <n v="128.26"/>
    <n v="1.1100000000000001"/>
    <n v="283.91000000000003"/>
    <n v="285.02"/>
    <m/>
  </r>
  <r>
    <d v="2021-08-01T00:00:00"/>
    <s v="2021-22"/>
    <n v="2021"/>
    <x v="0"/>
    <x v="0"/>
    <s v="Gujarat"/>
    <n v="24"/>
    <s v="State"/>
    <n v="2000.89"/>
    <n v="2499.9499999999998"/>
    <n v="2507.44"/>
    <n v="547.96"/>
    <n v="7008.28"/>
    <n v="7556.24"/>
    <m/>
  </r>
  <r>
    <d v="2021-08-01T00:00:00"/>
    <s v="2021-22"/>
    <n v="2021"/>
    <x v="0"/>
    <x v="0"/>
    <s v="Haryana"/>
    <n v="6"/>
    <s v="State"/>
    <n v="941.23"/>
    <n v="1287.06"/>
    <n v="2902.08"/>
    <n v="487.29"/>
    <n v="5130.37"/>
    <n v="5617.66"/>
    <m/>
  </r>
  <r>
    <d v="2021-08-01T00:00:00"/>
    <s v="2021-22"/>
    <n v="2021"/>
    <x v="0"/>
    <x v="0"/>
    <s v="Himachal Pradesh"/>
    <n v="2"/>
    <s v="State"/>
    <n v="115.23"/>
    <n v="173.99"/>
    <n v="414.16"/>
    <n v="0.79"/>
    <n v="703.38"/>
    <n v="704.17"/>
    <m/>
  </r>
  <r>
    <d v="2021-08-01T00:00:00"/>
    <s v="2021-22"/>
    <n v="2021"/>
    <x v="0"/>
    <x v="0"/>
    <s v="Jammu and Kashmir"/>
    <n v="1"/>
    <s v="Union Territory"/>
    <n v="102.62"/>
    <n v="154.29"/>
    <n v="126.34"/>
    <n v="8.57"/>
    <n v="383.25"/>
    <n v="391.82"/>
    <m/>
  </r>
  <r>
    <d v="2021-08-01T00:00:00"/>
    <s v="2021-22"/>
    <n v="2021"/>
    <x v="0"/>
    <x v="0"/>
    <s v="Jharkhand"/>
    <n v="20"/>
    <s v="State"/>
    <n v="377.7"/>
    <n v="492.92"/>
    <n v="911.71"/>
    <n v="384.14"/>
    <n v="1782.33"/>
    <n v="2166.4699999999998"/>
    <m/>
  </r>
  <r>
    <d v="2021-08-01T00:00:00"/>
    <s v="2021-22"/>
    <n v="2021"/>
    <x v="0"/>
    <x v="0"/>
    <s v="Karnataka"/>
    <n v="29"/>
    <s v="State"/>
    <n v="1789.71"/>
    <n v="2284.4699999999998"/>
    <n v="2551.2600000000002"/>
    <n v="804.02"/>
    <n v="6625.44"/>
    <n v="7429.46"/>
    <m/>
  </r>
  <r>
    <d v="2021-08-01T00:00:00"/>
    <s v="2021-22"/>
    <n v="2021"/>
    <x v="0"/>
    <x v="0"/>
    <s v="Kerala"/>
    <n v="32"/>
    <s v="State"/>
    <n v="494.29"/>
    <n v="710.69"/>
    <n v="404.19"/>
    <n v="2.76"/>
    <n v="1609.17"/>
    <n v="1611.93"/>
    <m/>
  </r>
  <r>
    <d v="2021-08-01T00:00:00"/>
    <s v="2021-22"/>
    <n v="2021"/>
    <x v="0"/>
    <x v="0"/>
    <s v="Ladakh"/>
    <n v="37"/>
    <s v="Union Territory"/>
    <n v="4.7300000000000004"/>
    <n v="6.05"/>
    <n v="3.57"/>
    <n v="0"/>
    <n v="14.35"/>
    <n v="14.35"/>
    <m/>
  </r>
  <r>
    <d v="2021-08-01T00:00:00"/>
    <s v="2021-22"/>
    <n v="2021"/>
    <x v="0"/>
    <x v="0"/>
    <s v="Lakshadweep"/>
    <n v="31"/>
    <s v="Union Territory"/>
    <n v="0.6"/>
    <n v="0.65"/>
    <n v="0.06"/>
    <n v="0"/>
    <n v="1.31"/>
    <n v="1.31"/>
    <m/>
  </r>
  <r>
    <d v="2021-08-01T00:00:00"/>
    <s v="2021-22"/>
    <n v="2021"/>
    <x v="0"/>
    <x v="0"/>
    <s v="Madhya Pradesh"/>
    <n v="23"/>
    <s v="State"/>
    <n v="578.87"/>
    <n v="767.31"/>
    <n v="630.01"/>
    <n v="461.87"/>
    <n v="1976.19"/>
    <n v="2438.06"/>
    <m/>
  </r>
  <r>
    <d v="2021-08-01T00:00:00"/>
    <s v="2021-22"/>
    <n v="2021"/>
    <x v="0"/>
    <x v="0"/>
    <s v="Maharashtra"/>
    <n v="27"/>
    <s v="State"/>
    <n v="4114.79"/>
    <n v="5068.3100000000004"/>
    <n v="4974.45"/>
    <n v="1017.09"/>
    <n v="14157.55"/>
    <n v="15174.64"/>
    <m/>
  </r>
  <r>
    <d v="2021-08-01T00:00:00"/>
    <s v="2021-22"/>
    <n v="2021"/>
    <x v="0"/>
    <x v="0"/>
    <s v="Manipur"/>
    <n v="14"/>
    <s v="State"/>
    <n v="15.84"/>
    <n v="23.2"/>
    <n v="5.43"/>
    <n v="0.04"/>
    <n v="44.47"/>
    <n v="44.51"/>
    <m/>
  </r>
  <r>
    <d v="2021-08-01T00:00:00"/>
    <s v="2021-22"/>
    <n v="2021"/>
    <x v="0"/>
    <x v="0"/>
    <s v="Meghalaya"/>
    <n v="17"/>
    <s v="State"/>
    <n v="22.64"/>
    <n v="27.6"/>
    <n v="66.95"/>
    <n v="2.17"/>
    <n v="117.19"/>
    <n v="119.36"/>
    <m/>
  </r>
  <r>
    <d v="2021-08-01T00:00:00"/>
    <s v="2021-22"/>
    <n v="2021"/>
    <x v="0"/>
    <x v="0"/>
    <s v="Mizoram"/>
    <n v="15"/>
    <s v="State"/>
    <n v="5.89"/>
    <n v="8.0500000000000007"/>
    <n v="1.97"/>
    <n v="0.03"/>
    <n v="15.91"/>
    <n v="15.94"/>
    <m/>
  </r>
  <r>
    <d v="2021-08-01T00:00:00"/>
    <s v="2021-22"/>
    <n v="2021"/>
    <x v="0"/>
    <x v="0"/>
    <s v="Nagaland"/>
    <n v="13"/>
    <s v="State"/>
    <n v="11.31"/>
    <n v="14.71"/>
    <n v="5.39"/>
    <n v="0.43"/>
    <n v="31.41"/>
    <n v="31.84"/>
    <m/>
  </r>
  <r>
    <d v="2021-08-01T00:00:00"/>
    <s v="2021-22"/>
    <n v="2021"/>
    <x v="0"/>
    <x v="0"/>
    <s v="Odisha"/>
    <n v="21"/>
    <s v="State"/>
    <n v="792.93"/>
    <n v="956.47"/>
    <n v="948.21"/>
    <n v="618.94000000000005"/>
    <n v="2697.61"/>
    <n v="3316.55"/>
    <m/>
  </r>
  <r>
    <d v="2021-08-01T00:00:00"/>
    <s v="2021-22"/>
    <n v="2021"/>
    <x v="0"/>
    <x v="0"/>
    <s v="Puducherry"/>
    <n v="34"/>
    <s v="Union Territory"/>
    <n v="17.489999999999998"/>
    <n v="30.93"/>
    <n v="107.5"/>
    <n v="0.45"/>
    <n v="155.91999999999999"/>
    <n v="156.37"/>
    <m/>
  </r>
  <r>
    <d v="2021-08-01T00:00:00"/>
    <s v="2021-22"/>
    <n v="2021"/>
    <x v="0"/>
    <x v="0"/>
    <s v="Punjab"/>
    <n v="3"/>
    <s v="State"/>
    <n v="363.17"/>
    <n v="529.76"/>
    <n v="502.94"/>
    <n v="18.27"/>
    <n v="1395.87"/>
    <n v="1414.14"/>
    <m/>
  </r>
  <r>
    <d v="2021-08-01T00:00:00"/>
    <s v="2021-22"/>
    <n v="2021"/>
    <x v="0"/>
    <x v="0"/>
    <s v="Rajasthan"/>
    <n v="8"/>
    <s v="State"/>
    <n v="797.71"/>
    <n v="1029.31"/>
    <n v="1057.05"/>
    <n v="164.45"/>
    <n v="2884.07"/>
    <n v="3048.52"/>
    <m/>
  </r>
  <r>
    <d v="2021-08-01T00:00:00"/>
    <s v="2021-22"/>
    <n v="2021"/>
    <x v="0"/>
    <x v="0"/>
    <s v="Sikkim"/>
    <n v="11"/>
    <s v="State"/>
    <n v="12.57"/>
    <n v="16.23"/>
    <n v="190.26"/>
    <n v="0.03"/>
    <n v="219.06"/>
    <n v="219.09"/>
    <m/>
  </r>
  <r>
    <d v="2021-08-01T00:00:00"/>
    <s v="2021-22"/>
    <n v="2021"/>
    <x v="0"/>
    <x v="0"/>
    <s v="Tamil Nadu"/>
    <n v="33"/>
    <s v="State"/>
    <n v="1857.14"/>
    <n v="2460.3000000000002"/>
    <n v="2048.17"/>
    <n v="694.32"/>
    <n v="6365.61"/>
    <n v="7059.93"/>
    <m/>
  </r>
  <r>
    <d v="2021-08-01T00:00:00"/>
    <s v="2021-22"/>
    <n v="2021"/>
    <x v="0"/>
    <x v="0"/>
    <s v="Telangana"/>
    <n v="36"/>
    <s v="State"/>
    <n v="855.52"/>
    <n v="1123.0899999999999"/>
    <n v="1041.72"/>
    <n v="505.2"/>
    <n v="3020.33"/>
    <n v="3525.53"/>
    <m/>
  </r>
  <r>
    <d v="2021-08-01T00:00:00"/>
    <s v="2021-22"/>
    <n v="2021"/>
    <x v="0"/>
    <x v="0"/>
    <s v="Tripura"/>
    <n v="16"/>
    <s v="State"/>
    <n v="21.14"/>
    <n v="27.65"/>
    <n v="6.96"/>
    <n v="0.16"/>
    <n v="55.75"/>
    <n v="55.91"/>
    <m/>
  </r>
  <r>
    <d v="2021-08-01T00:00:00"/>
    <s v="2021-22"/>
    <n v="2021"/>
    <x v="0"/>
    <x v="0"/>
    <s v="Uttar Pradesh"/>
    <n v="9"/>
    <s v="State"/>
    <n v="1377.19"/>
    <n v="1903.54"/>
    <n v="1621.48"/>
    <n v="1043.9100000000001"/>
    <n v="4902.21"/>
    <n v="5946.12"/>
    <m/>
  </r>
  <r>
    <d v="2021-08-01T00:00:00"/>
    <s v="2021-22"/>
    <n v="2021"/>
    <x v="0"/>
    <x v="0"/>
    <s v="Uttarakhand"/>
    <n v="5"/>
    <s v="State"/>
    <n v="213.29"/>
    <n v="303.17"/>
    <n v="566.17999999999995"/>
    <n v="6.84"/>
    <n v="1082.6400000000001"/>
    <n v="1089.48"/>
    <m/>
  </r>
  <r>
    <d v="2021-08-01T00:00:00"/>
    <s v="2021-22"/>
    <n v="2021"/>
    <x v="0"/>
    <x v="0"/>
    <s v="West Bengal"/>
    <n v="19"/>
    <s v="State"/>
    <n v="1118.6099999999999"/>
    <n v="1396.35"/>
    <n v="900.12"/>
    <n v="263.38"/>
    <n v="3415.08"/>
    <n v="3678.46"/>
    <m/>
  </r>
  <r>
    <d v="2021-09-01T00:00:00"/>
    <s v="2021-22"/>
    <n v="2021"/>
    <x v="1"/>
    <x v="1"/>
    <s v="Andaman and Nicobar Islands"/>
    <n v="35"/>
    <s v="Union Territory"/>
    <n v="6.56"/>
    <n v="10.91"/>
    <n v="2.11"/>
    <n v="0.02"/>
    <n v="19.579999999999998"/>
    <n v="19.600000000000001"/>
    <m/>
  </r>
  <r>
    <d v="2021-09-01T00:00:00"/>
    <s v="2021-22"/>
    <n v="2021"/>
    <x v="1"/>
    <x v="1"/>
    <s v="Andhra Pradesh"/>
    <n v="28"/>
    <s v="State"/>
    <n v="619.09"/>
    <n v="849.06"/>
    <n v="943.15"/>
    <n v="183.22"/>
    <n v="2411.3000000000002"/>
    <n v="2594.52"/>
    <m/>
  </r>
  <r>
    <d v="2021-09-01T00:00:00"/>
    <s v="2021-22"/>
    <n v="2021"/>
    <x v="1"/>
    <x v="1"/>
    <s v="Arunachal Pradesh"/>
    <n v="12"/>
    <s v="State"/>
    <n v="18.71"/>
    <n v="25.35"/>
    <n v="11.15"/>
    <n v="0.06"/>
    <n v="55.21"/>
    <n v="55.27"/>
    <m/>
  </r>
  <r>
    <d v="2021-09-01T00:00:00"/>
    <s v="2021-22"/>
    <n v="2021"/>
    <x v="1"/>
    <x v="1"/>
    <s v="Assam"/>
    <n v="18"/>
    <s v="State"/>
    <n v="267.60000000000002"/>
    <n v="346.91"/>
    <n v="321.57"/>
    <n v="31.84"/>
    <n v="936.08"/>
    <n v="967.92"/>
    <m/>
  </r>
  <r>
    <d v="2021-09-01T00:00:00"/>
    <s v="2021-22"/>
    <n v="2021"/>
    <x v="1"/>
    <x v="1"/>
    <s v="Bihar"/>
    <n v="10"/>
    <s v="State"/>
    <n v="222.85"/>
    <n v="365.45"/>
    <n v="126.89"/>
    <n v="160.36000000000001"/>
    <n v="715.19"/>
    <n v="875.55"/>
    <m/>
  </r>
  <r>
    <d v="2021-09-01T00:00:00"/>
    <s v="2021-22"/>
    <n v="2021"/>
    <x v="1"/>
    <x v="1"/>
    <s v="Chandigarh"/>
    <n v="4"/>
    <s v="Union Territory"/>
    <n v="28.35"/>
    <n v="39.18"/>
    <n v="84.08"/>
    <n v="0.72"/>
    <n v="151.61000000000001"/>
    <n v="152.33000000000001"/>
    <m/>
  </r>
  <r>
    <d v="2021-09-01T00:00:00"/>
    <s v="2021-22"/>
    <n v="2021"/>
    <x v="1"/>
    <x v="1"/>
    <s v="Chhattisgarh"/>
    <n v="22"/>
    <s v="State"/>
    <n v="464.56"/>
    <n v="550.16"/>
    <n v="756.63"/>
    <n v="461.58"/>
    <n v="1771.35"/>
    <n v="2232.9299999999998"/>
    <m/>
  </r>
  <r>
    <d v="2021-09-01T00:00:00"/>
    <s v="2021-22"/>
    <n v="2021"/>
    <x v="1"/>
    <x v="1"/>
    <s v="Dadra and Nagar Haveli and Daman and Diu"/>
    <n v="38"/>
    <s v="Union Territory"/>
    <n v="35.69"/>
    <n v="46.31"/>
    <n v="221.76"/>
    <n v="0.15"/>
    <n v="303.76"/>
    <n v="303.91000000000003"/>
    <m/>
  </r>
  <r>
    <d v="2021-09-01T00:00:00"/>
    <s v="2021-22"/>
    <n v="2021"/>
    <x v="1"/>
    <x v="1"/>
    <s v="Delhi"/>
    <n v="7"/>
    <s v="Union Territory"/>
    <n v="695.21"/>
    <n v="849.5"/>
    <n v="1972.24"/>
    <n v="87.77"/>
    <n v="3516.95"/>
    <n v="3604.72"/>
    <m/>
  </r>
  <r>
    <d v="2021-09-01T00:00:00"/>
    <s v="2021-22"/>
    <n v="2021"/>
    <x v="1"/>
    <x v="1"/>
    <s v="Goa"/>
    <n v="30"/>
    <s v="State"/>
    <n v="71.349999999999994"/>
    <n v="100.25"/>
    <n v="145.63999999999999"/>
    <n v="1.36"/>
    <n v="317.24"/>
    <n v="318.60000000000002"/>
    <m/>
  </r>
  <r>
    <d v="2021-09-01T00:00:00"/>
    <s v="2021-22"/>
    <n v="2021"/>
    <x v="1"/>
    <x v="1"/>
    <s v="Gujarat"/>
    <n v="24"/>
    <s v="State"/>
    <n v="2044.98"/>
    <n v="2491.3000000000002"/>
    <n v="2732.34"/>
    <n v="511.33"/>
    <n v="7268.62"/>
    <n v="7779.95"/>
    <m/>
  </r>
  <r>
    <d v="2021-09-01T00:00:00"/>
    <s v="2021-22"/>
    <n v="2021"/>
    <x v="1"/>
    <x v="1"/>
    <s v="Haryana"/>
    <n v="6"/>
    <s v="State"/>
    <n v="896.25"/>
    <n v="1197.52"/>
    <n v="3078.68"/>
    <n v="404.64"/>
    <n v="5172.45"/>
    <n v="5577.09"/>
    <m/>
  </r>
  <r>
    <d v="2021-09-01T00:00:00"/>
    <s v="2021-22"/>
    <n v="2021"/>
    <x v="1"/>
    <x v="1"/>
    <s v="Himachal Pradesh"/>
    <n v="2"/>
    <s v="State"/>
    <n v="108.43"/>
    <n v="157.13"/>
    <n v="413.32"/>
    <n v="1.04"/>
    <n v="678.88"/>
    <n v="679.92"/>
    <m/>
  </r>
  <r>
    <d v="2021-09-01T00:00:00"/>
    <s v="2021-22"/>
    <n v="2021"/>
    <x v="1"/>
    <x v="1"/>
    <s v="Jammu and Kashmir"/>
    <n v="1"/>
    <s v="Union Territory"/>
    <n v="106.98"/>
    <n v="162.33000000000001"/>
    <n v="101.08"/>
    <n v="6.79"/>
    <n v="370.39"/>
    <n v="377.18"/>
    <m/>
  </r>
  <r>
    <d v="2021-09-01T00:00:00"/>
    <s v="2021-22"/>
    <n v="2021"/>
    <x v="1"/>
    <x v="1"/>
    <s v="Jharkhand"/>
    <n v="20"/>
    <s v="State"/>
    <n v="349.19"/>
    <n v="434.86"/>
    <n v="1009.52"/>
    <n v="404.67"/>
    <n v="1793.57"/>
    <n v="2198.2399999999998"/>
    <m/>
  </r>
  <r>
    <d v="2021-09-01T00:00:00"/>
    <s v="2021-22"/>
    <n v="2021"/>
    <x v="1"/>
    <x v="1"/>
    <s v="Karnataka"/>
    <n v="29"/>
    <s v="State"/>
    <n v="1798.44"/>
    <n v="2312.33"/>
    <n v="2712.04"/>
    <n v="959.89"/>
    <n v="6822.81"/>
    <n v="7782.7"/>
    <m/>
  </r>
  <r>
    <d v="2021-09-01T00:00:00"/>
    <s v="2021-22"/>
    <n v="2021"/>
    <x v="1"/>
    <x v="1"/>
    <s v="Kerala"/>
    <n v="32"/>
    <s v="State"/>
    <n v="574.55999999999995"/>
    <n v="846.11"/>
    <n v="339.65"/>
    <n v="3.65"/>
    <n v="1760.32"/>
    <n v="1763.97"/>
    <m/>
  </r>
  <r>
    <d v="2021-09-01T00:00:00"/>
    <s v="2021-22"/>
    <n v="2021"/>
    <x v="1"/>
    <x v="1"/>
    <s v="Ladakh"/>
    <n v="37"/>
    <s v="Union Territory"/>
    <n v="5.2"/>
    <n v="6.81"/>
    <n v="3.21"/>
    <n v="0.01"/>
    <n v="15.22"/>
    <n v="15.23"/>
    <m/>
  </r>
  <r>
    <d v="2021-09-01T00:00:00"/>
    <s v="2021-22"/>
    <n v="2021"/>
    <x v="1"/>
    <x v="1"/>
    <s v="Lakshadweep"/>
    <n v="31"/>
    <s v="Union Territory"/>
    <n v="0.16"/>
    <n v="0.16"/>
    <n v="0.02"/>
    <n v="0"/>
    <n v="0.34"/>
    <n v="0.34"/>
    <m/>
  </r>
  <r>
    <d v="2021-09-01T00:00:00"/>
    <s v="2021-22"/>
    <n v="2021"/>
    <x v="1"/>
    <x v="1"/>
    <s v="Madhya Pradesh"/>
    <n v="23"/>
    <s v="State"/>
    <n v="508.41"/>
    <n v="682.6"/>
    <n v="678.57"/>
    <n v="459.53"/>
    <n v="1869.58"/>
    <n v="2329.11"/>
    <m/>
  </r>
  <r>
    <d v="2021-09-01T00:00:00"/>
    <s v="2021-22"/>
    <n v="2021"/>
    <x v="1"/>
    <x v="1"/>
    <s v="Maharashtra"/>
    <n v="27"/>
    <s v="State"/>
    <n v="4382.97"/>
    <n v="5397.04"/>
    <n v="5690.15"/>
    <n v="1114.04"/>
    <n v="15470.16"/>
    <n v="16584.2"/>
    <m/>
  </r>
  <r>
    <d v="2021-09-01T00:00:00"/>
    <s v="2021-22"/>
    <n v="2021"/>
    <x v="1"/>
    <x v="1"/>
    <s v="Manipur"/>
    <n v="14"/>
    <s v="State"/>
    <n v="11.86"/>
    <n v="17.52"/>
    <n v="3.32"/>
    <n v="0.12"/>
    <n v="32.700000000000003"/>
    <n v="32.82"/>
    <m/>
  </r>
  <r>
    <d v="2021-09-01T00:00:00"/>
    <s v="2021-22"/>
    <n v="2021"/>
    <x v="1"/>
    <x v="1"/>
    <s v="Meghalaya"/>
    <n v="17"/>
    <s v="State"/>
    <n v="22.62"/>
    <n v="29.24"/>
    <n v="67.53"/>
    <n v="0.14000000000000001"/>
    <n v="119.39"/>
    <n v="119.53"/>
    <m/>
  </r>
  <r>
    <d v="2021-09-01T00:00:00"/>
    <s v="2021-22"/>
    <n v="2021"/>
    <x v="1"/>
    <x v="1"/>
    <s v="Mizoram"/>
    <n v="15"/>
    <s v="State"/>
    <n v="7.5"/>
    <n v="10.91"/>
    <n v="1.1100000000000001"/>
    <n v="0.05"/>
    <n v="19.52"/>
    <n v="19.57"/>
    <m/>
  </r>
  <r>
    <d v="2021-09-01T00:00:00"/>
    <s v="2021-22"/>
    <n v="2021"/>
    <x v="1"/>
    <x v="1"/>
    <s v="Nagaland"/>
    <n v="13"/>
    <s v="State"/>
    <n v="9.98"/>
    <n v="13.37"/>
    <n v="6.65"/>
    <n v="0.48"/>
    <n v="30"/>
    <n v="30.48"/>
    <m/>
  </r>
  <r>
    <d v="2021-09-01T00:00:00"/>
    <s v="2021-22"/>
    <n v="2021"/>
    <x v="1"/>
    <x v="1"/>
    <s v="Odisha"/>
    <n v="21"/>
    <s v="State"/>
    <n v="772.93"/>
    <n v="929.68"/>
    <n v="996.48"/>
    <n v="626.85"/>
    <n v="2699.09"/>
    <n v="3325.94"/>
    <m/>
  </r>
  <r>
    <d v="2021-09-01T00:00:00"/>
    <s v="2021-22"/>
    <n v="2021"/>
    <x v="1"/>
    <x v="1"/>
    <s v="Puducherry"/>
    <n v="34"/>
    <s v="Union Territory"/>
    <n v="18.68"/>
    <n v="31.37"/>
    <n v="109.62"/>
    <n v="0.45"/>
    <n v="159.66999999999999"/>
    <n v="160.12"/>
    <m/>
  </r>
  <r>
    <d v="2021-09-01T00:00:00"/>
    <s v="2021-22"/>
    <n v="2021"/>
    <x v="1"/>
    <x v="1"/>
    <s v="Punjab"/>
    <n v="3"/>
    <s v="State"/>
    <n v="338.76"/>
    <n v="518.5"/>
    <n v="526.24"/>
    <n v="18.66"/>
    <n v="1383.5"/>
    <n v="1402.16"/>
    <m/>
  </r>
  <r>
    <d v="2021-09-01T00:00:00"/>
    <s v="2021-22"/>
    <n v="2021"/>
    <x v="1"/>
    <x v="1"/>
    <s v="Rajasthan"/>
    <n v="8"/>
    <s v="State"/>
    <n v="739.56"/>
    <n v="987.22"/>
    <n v="1070.8900000000001"/>
    <n v="161.09"/>
    <n v="2797.67"/>
    <n v="2958.76"/>
    <m/>
  </r>
  <r>
    <d v="2021-09-01T00:00:00"/>
    <s v="2021-22"/>
    <n v="2021"/>
    <x v="1"/>
    <x v="1"/>
    <s v="Sikkim"/>
    <n v="11"/>
    <s v="State"/>
    <n v="14.99"/>
    <n v="20.07"/>
    <n v="224.97"/>
    <n v="0.01"/>
    <n v="260.02999999999997"/>
    <n v="260.04000000000002"/>
    <m/>
  </r>
  <r>
    <d v="2021-09-01T00:00:00"/>
    <s v="2021-22"/>
    <n v="2021"/>
    <x v="1"/>
    <x v="1"/>
    <s v="Tamil Nadu"/>
    <n v="33"/>
    <s v="State"/>
    <n v="1903.14"/>
    <n v="2604.4699999999998"/>
    <n v="2568.17"/>
    <n v="765.85"/>
    <n v="7075.78"/>
    <n v="7841.63"/>
    <m/>
  </r>
  <r>
    <d v="2021-09-01T00:00:00"/>
    <s v="2021-22"/>
    <n v="2021"/>
    <x v="1"/>
    <x v="1"/>
    <s v="Telangana"/>
    <n v="36"/>
    <s v="State"/>
    <n v="876.99"/>
    <n v="1170.3399999999999"/>
    <n v="967.76"/>
    <n v="478.48"/>
    <n v="3015.09"/>
    <n v="3493.57"/>
    <m/>
  </r>
  <r>
    <d v="2021-09-01T00:00:00"/>
    <s v="2021-22"/>
    <n v="2021"/>
    <x v="1"/>
    <x v="1"/>
    <s v="Tripura"/>
    <n v="16"/>
    <s v="State"/>
    <n v="18.440000000000001"/>
    <n v="25.89"/>
    <n v="5.64"/>
    <n v="0.16"/>
    <n v="49.97"/>
    <n v="50.13"/>
    <m/>
  </r>
  <r>
    <d v="2021-09-01T00:00:00"/>
    <s v="2021-22"/>
    <n v="2021"/>
    <x v="1"/>
    <x v="1"/>
    <s v="Uttar Pradesh"/>
    <n v="9"/>
    <s v="State"/>
    <n v="1290.71"/>
    <n v="1826.51"/>
    <n v="1524.47"/>
    <n v="1050.0899999999999"/>
    <n v="4641.6899999999996"/>
    <n v="5691.78"/>
    <m/>
  </r>
  <r>
    <d v="2021-09-01T00:00:00"/>
    <s v="2021-22"/>
    <n v="2021"/>
    <x v="1"/>
    <x v="1"/>
    <s v="Uttarakhand"/>
    <n v="5"/>
    <s v="State"/>
    <n v="211.78"/>
    <n v="288.42"/>
    <n v="626.13"/>
    <n v="4.33"/>
    <n v="1126.33"/>
    <n v="1130.6600000000001"/>
    <m/>
  </r>
  <r>
    <d v="2021-09-01T00:00:00"/>
    <s v="2021-22"/>
    <n v="2021"/>
    <x v="1"/>
    <x v="1"/>
    <s v="West Bengal"/>
    <n v="19"/>
    <s v="State"/>
    <n v="1126.1300000000001"/>
    <n v="1412.85"/>
    <n v="1007.64"/>
    <n v="231.67"/>
    <n v="3546.62"/>
    <n v="3778.29"/>
    <m/>
  </r>
  <r>
    <d v="2021-10-01T00:00:00"/>
    <s v="2021-22"/>
    <n v="2021"/>
    <x v="2"/>
    <x v="2"/>
    <s v="Andaman and Nicobar Islands"/>
    <n v="35"/>
    <s v="Union Territory"/>
    <n v="6.87"/>
    <n v="11.69"/>
    <n v="7.31"/>
    <n v="0"/>
    <n v="25.87"/>
    <n v="25.87"/>
    <m/>
  </r>
  <r>
    <d v="2021-10-01T00:00:00"/>
    <s v="2021-22"/>
    <n v="2021"/>
    <x v="2"/>
    <x v="2"/>
    <s v="Andhra Pradesh"/>
    <n v="28"/>
    <s v="State"/>
    <n v="742.39"/>
    <n v="983.57"/>
    <n v="957.26"/>
    <n v="195.78"/>
    <n v="2683.22"/>
    <n v="2879"/>
    <m/>
  </r>
  <r>
    <d v="2021-10-01T00:00:00"/>
    <s v="2021-22"/>
    <n v="2021"/>
    <x v="2"/>
    <x v="2"/>
    <s v="Arunachal Pradesh"/>
    <n v="12"/>
    <s v="State"/>
    <n v="16.12"/>
    <n v="23.25"/>
    <n v="6.95"/>
    <n v="0.21"/>
    <n v="46.32"/>
    <n v="46.53"/>
    <m/>
  </r>
  <r>
    <d v="2021-10-01T00:00:00"/>
    <s v="2021-22"/>
    <n v="2021"/>
    <x v="2"/>
    <x v="2"/>
    <s v="Assam"/>
    <n v="18"/>
    <s v="State"/>
    <n v="496.23"/>
    <n v="590.72"/>
    <n v="304.33999999999997"/>
    <n v="33.979999999999997"/>
    <n v="1391.29"/>
    <n v="1425.27"/>
    <m/>
  </r>
  <r>
    <d v="2021-10-01T00:00:00"/>
    <s v="2021-22"/>
    <n v="2021"/>
    <x v="2"/>
    <x v="2"/>
    <s v="Bihar"/>
    <n v="10"/>
    <s v="State"/>
    <n v="444.22"/>
    <n v="620.4"/>
    <n v="138.59"/>
    <n v="147.88999999999999"/>
    <n v="1203.21"/>
    <n v="1351.1"/>
    <m/>
  </r>
  <r>
    <d v="2021-10-01T00:00:00"/>
    <s v="2021-22"/>
    <n v="2021"/>
    <x v="2"/>
    <x v="2"/>
    <s v="Chandigarh"/>
    <n v="4"/>
    <s v="Union Territory"/>
    <n v="28.46"/>
    <n v="38.619999999999997"/>
    <n v="89.38"/>
    <n v="1.34"/>
    <n v="156.46"/>
    <n v="157.80000000000001"/>
    <m/>
  </r>
  <r>
    <d v="2021-10-01T00:00:00"/>
    <s v="2021-22"/>
    <n v="2021"/>
    <x v="2"/>
    <x v="2"/>
    <s v="Chhattisgarh"/>
    <n v="22"/>
    <s v="State"/>
    <n v="519.04999999999995"/>
    <n v="600.91"/>
    <n v="808.93"/>
    <n v="463.56"/>
    <n v="1928.89"/>
    <n v="2392.4499999999998"/>
    <m/>
  </r>
  <r>
    <d v="2021-10-01T00:00:00"/>
    <s v="2021-22"/>
    <n v="2021"/>
    <x v="2"/>
    <x v="2"/>
    <s v="Dadra and Nagar Haveli and Daman and Diu"/>
    <n v="38"/>
    <s v="Union Territory"/>
    <n v="33.54"/>
    <n v="48.49"/>
    <n v="186.57"/>
    <n v="7.0000000000000007E-2"/>
    <n v="268.60000000000002"/>
    <n v="268.67"/>
    <m/>
  </r>
  <r>
    <d v="2021-10-01T00:00:00"/>
    <s v="2021-22"/>
    <n v="2021"/>
    <x v="2"/>
    <x v="2"/>
    <s v="Delhi"/>
    <n v="7"/>
    <s v="Union Territory"/>
    <n v="835.68"/>
    <n v="1012.64"/>
    <n v="2106.29"/>
    <n v="90.17"/>
    <n v="3954.61"/>
    <n v="4044.78"/>
    <m/>
  </r>
  <r>
    <d v="2021-10-01T00:00:00"/>
    <s v="2021-22"/>
    <n v="2021"/>
    <x v="2"/>
    <x v="2"/>
    <s v="Goa"/>
    <n v="30"/>
    <s v="State"/>
    <n v="80.459999999999994"/>
    <n v="109.14"/>
    <n v="125.53"/>
    <n v="2.31"/>
    <n v="315.13"/>
    <n v="317.44"/>
    <m/>
  </r>
  <r>
    <d v="2021-10-01T00:00:00"/>
    <s v="2021-22"/>
    <n v="2021"/>
    <x v="2"/>
    <x v="2"/>
    <s v="Gujarat"/>
    <n v="24"/>
    <s v="State"/>
    <n v="2265.19"/>
    <n v="2773.34"/>
    <n v="2951.96"/>
    <n v="506.39"/>
    <n v="7990.49"/>
    <n v="8496.8799999999992"/>
    <m/>
  </r>
  <r>
    <d v="2021-10-01T00:00:00"/>
    <s v="2021-22"/>
    <n v="2021"/>
    <x v="2"/>
    <x v="2"/>
    <s v="Haryana"/>
    <n v="6"/>
    <s v="State"/>
    <n v="954.53"/>
    <n v="1229.02"/>
    <n v="3102.35"/>
    <n v="319.61"/>
    <n v="5285.9"/>
    <n v="5605.51"/>
    <m/>
  </r>
  <r>
    <d v="2021-10-01T00:00:00"/>
    <s v="2021-22"/>
    <n v="2021"/>
    <x v="2"/>
    <x v="2"/>
    <s v="Himachal Pradesh"/>
    <n v="2"/>
    <s v="State"/>
    <n v="110.72"/>
    <n v="159.76"/>
    <n v="417.79"/>
    <n v="1.1599999999999999"/>
    <n v="688.27"/>
    <n v="689.43"/>
    <m/>
  </r>
  <r>
    <d v="2021-10-01T00:00:00"/>
    <s v="2021-22"/>
    <n v="2021"/>
    <x v="2"/>
    <x v="2"/>
    <s v="Jammu and Kashmir"/>
    <n v="1"/>
    <s v="Union Territory"/>
    <n v="240.44"/>
    <n v="298.35000000000002"/>
    <n v="104.66"/>
    <n v="4.8899999999999997"/>
    <n v="643.45000000000005"/>
    <n v="648.34"/>
    <m/>
  </r>
  <r>
    <d v="2021-10-01T00:00:00"/>
    <s v="2021-22"/>
    <n v="2021"/>
    <x v="2"/>
    <x v="2"/>
    <s v="Jharkhand"/>
    <n v="20"/>
    <s v="State"/>
    <n v="450.28"/>
    <n v="511.68"/>
    <n v="998.42"/>
    <n v="409.18"/>
    <n v="1960.38"/>
    <n v="2369.56"/>
    <m/>
  </r>
  <r>
    <d v="2021-10-01T00:00:00"/>
    <s v="2021-22"/>
    <n v="2021"/>
    <x v="2"/>
    <x v="2"/>
    <s v="Karnataka"/>
    <n v="29"/>
    <s v="State"/>
    <n v="1890.91"/>
    <n v="2449.91"/>
    <n v="3041.36"/>
    <n v="876.67"/>
    <n v="7382.18"/>
    <n v="8258.85"/>
    <m/>
  </r>
  <r>
    <d v="2021-10-01T00:00:00"/>
    <s v="2021-22"/>
    <n v="2021"/>
    <x v="2"/>
    <x v="2"/>
    <s v="Kerala"/>
    <n v="32"/>
    <s v="State"/>
    <n v="631.30999999999995"/>
    <n v="916.14"/>
    <n v="375.35"/>
    <n v="8.91"/>
    <n v="1922.8"/>
    <n v="1931.71"/>
    <m/>
  </r>
  <r>
    <d v="2021-10-01T00:00:00"/>
    <s v="2021-22"/>
    <n v="2021"/>
    <x v="2"/>
    <x v="2"/>
    <s v="Ladakh"/>
    <n v="37"/>
    <s v="Union Territory"/>
    <n v="6.55"/>
    <n v="9.15"/>
    <n v="3.5"/>
    <n v="0"/>
    <n v="19.2"/>
    <n v="19.2"/>
    <m/>
  </r>
  <r>
    <d v="2021-10-01T00:00:00"/>
    <s v="2021-22"/>
    <n v="2021"/>
    <x v="2"/>
    <x v="2"/>
    <s v="Lakshadweep"/>
    <n v="31"/>
    <s v="Union Territory"/>
    <n v="0.98"/>
    <n v="1"/>
    <n v="0.09"/>
    <n v="0"/>
    <n v="2.0699999999999998"/>
    <n v="2.0699999999999998"/>
    <m/>
  </r>
  <r>
    <d v="2021-10-01T00:00:00"/>
    <s v="2021-22"/>
    <n v="2021"/>
    <x v="2"/>
    <x v="2"/>
    <s v="Madhya Pradesh"/>
    <n v="23"/>
    <s v="State"/>
    <n v="654.01"/>
    <n v="817.46"/>
    <n v="714.88"/>
    <n v="479.27"/>
    <n v="2186.35"/>
    <n v="2665.62"/>
    <m/>
  </r>
  <r>
    <d v="2021-10-01T00:00:00"/>
    <s v="2021-22"/>
    <n v="2021"/>
    <x v="2"/>
    <x v="2"/>
    <s v="Maharashtra"/>
    <n v="27"/>
    <s v="State"/>
    <n v="4981.68"/>
    <n v="6058.63"/>
    <n v="7298.97"/>
    <n v="1015.63"/>
    <n v="18339.28"/>
    <n v="19354.91"/>
    <m/>
  </r>
  <r>
    <d v="2021-10-01T00:00:00"/>
    <s v="2021-22"/>
    <n v="2021"/>
    <x v="2"/>
    <x v="2"/>
    <s v="Manipur"/>
    <n v="14"/>
    <s v="State"/>
    <n v="27.23"/>
    <n v="32.93"/>
    <n v="4.0199999999999996"/>
    <n v="0.06"/>
    <n v="64.180000000000007"/>
    <n v="64.239999999999995"/>
    <m/>
  </r>
  <r>
    <d v="2021-10-01T00:00:00"/>
    <s v="2021-22"/>
    <n v="2021"/>
    <x v="2"/>
    <x v="2"/>
    <s v="Meghalaya"/>
    <n v="17"/>
    <s v="State"/>
    <n v="23.58"/>
    <n v="27.08"/>
    <n v="89.3"/>
    <n v="0.24"/>
    <n v="139.96"/>
    <n v="140.19999999999999"/>
    <m/>
  </r>
  <r>
    <d v="2021-10-01T00:00:00"/>
    <s v="2021-22"/>
    <n v="2021"/>
    <x v="2"/>
    <x v="2"/>
    <s v="Mizoram"/>
    <n v="15"/>
    <s v="State"/>
    <n v="12.52"/>
    <n v="15.97"/>
    <n v="3.31"/>
    <n v="0.04"/>
    <n v="31.8"/>
    <n v="31.84"/>
    <m/>
  </r>
  <r>
    <d v="2021-10-01T00:00:00"/>
    <s v="2021-22"/>
    <n v="2021"/>
    <x v="2"/>
    <x v="2"/>
    <s v="Nagaland"/>
    <n v="13"/>
    <s v="State"/>
    <n v="13.55"/>
    <n v="17.09"/>
    <n v="6.23"/>
    <n v="1.47"/>
    <n v="36.869999999999997"/>
    <n v="38.340000000000003"/>
    <m/>
  </r>
  <r>
    <d v="2021-10-01T00:00:00"/>
    <s v="2021-22"/>
    <n v="2021"/>
    <x v="2"/>
    <x v="2"/>
    <s v="Odisha"/>
    <n v="21"/>
    <s v="State"/>
    <n v="907.29"/>
    <n v="1053.48"/>
    <n v="1005.5"/>
    <n v="627.07000000000005"/>
    <n v="2966.27"/>
    <n v="3593.34"/>
    <m/>
  </r>
  <r>
    <d v="2021-10-01T00:00:00"/>
    <s v="2021-22"/>
    <n v="2021"/>
    <x v="2"/>
    <x v="2"/>
    <s v="Puducherry"/>
    <n v="34"/>
    <s v="Union Territory"/>
    <n v="19.34"/>
    <n v="33.950000000000003"/>
    <n v="98.06"/>
    <n v="0.46"/>
    <n v="151.35"/>
    <n v="151.81"/>
    <m/>
  </r>
  <r>
    <d v="2021-10-01T00:00:00"/>
    <s v="2021-22"/>
    <n v="2021"/>
    <x v="2"/>
    <x v="2"/>
    <s v="Punjab"/>
    <n v="3"/>
    <s v="State"/>
    <n v="410.27"/>
    <n v="606.44000000000005"/>
    <n v="560.87"/>
    <n v="17.86"/>
    <n v="1577.58"/>
    <n v="1595.44"/>
    <m/>
  </r>
  <r>
    <d v="2021-10-01T00:00:00"/>
    <s v="2021-22"/>
    <n v="2021"/>
    <x v="2"/>
    <x v="2"/>
    <s v="Rajasthan"/>
    <n v="8"/>
    <s v="State"/>
    <n v="925.53"/>
    <n v="1212.6400000000001"/>
    <n v="1128.78"/>
    <n v="155.94"/>
    <n v="3266.95"/>
    <n v="3422.89"/>
    <m/>
  </r>
  <r>
    <d v="2021-10-01T00:00:00"/>
    <s v="2021-22"/>
    <n v="2021"/>
    <x v="2"/>
    <x v="2"/>
    <s v="Sikkim"/>
    <n v="11"/>
    <s v="State"/>
    <n v="15.81"/>
    <n v="24.3"/>
    <n v="217.19"/>
    <n v="0.04"/>
    <n v="257.3"/>
    <n v="257.33999999999997"/>
    <m/>
  </r>
  <r>
    <d v="2021-10-01T00:00:00"/>
    <s v="2021-22"/>
    <n v="2021"/>
    <x v="2"/>
    <x v="2"/>
    <s v="Tamil Nadu"/>
    <n v="33"/>
    <s v="State"/>
    <n v="2011.24"/>
    <n v="2690.51"/>
    <n v="2376.9499999999998"/>
    <n v="563.67999999999995"/>
    <n v="7078.7"/>
    <n v="7642.38"/>
    <m/>
  </r>
  <r>
    <d v="2021-10-01T00:00:00"/>
    <s v="2021-22"/>
    <n v="2021"/>
    <x v="2"/>
    <x v="2"/>
    <s v="Telangana"/>
    <n v="36"/>
    <s v="State"/>
    <n v="928.02"/>
    <n v="1277.77"/>
    <n v="1141.98"/>
    <n v="506.35"/>
    <n v="3347.77"/>
    <n v="3854.12"/>
    <m/>
  </r>
  <r>
    <d v="2021-10-01T00:00:00"/>
    <s v="2021-22"/>
    <n v="2021"/>
    <x v="2"/>
    <x v="2"/>
    <s v="Tripura"/>
    <n v="16"/>
    <s v="State"/>
    <n v="25.77"/>
    <n v="33.54"/>
    <n v="7.49"/>
    <n v="0.11"/>
    <n v="66.8"/>
    <n v="66.91"/>
    <m/>
  </r>
  <r>
    <d v="2021-10-01T00:00:00"/>
    <s v="2021-22"/>
    <n v="2021"/>
    <x v="2"/>
    <x v="2"/>
    <s v="Uttar Pradesh"/>
    <n v="9"/>
    <s v="State"/>
    <n v="1574.74"/>
    <n v="2114.9"/>
    <n v="2000.73"/>
    <n v="1084.31"/>
    <n v="5690.37"/>
    <n v="6774.68"/>
    <m/>
  </r>
  <r>
    <d v="2021-10-01T00:00:00"/>
    <s v="2021-22"/>
    <n v="2021"/>
    <x v="2"/>
    <x v="2"/>
    <s v="Uttarakhand"/>
    <n v="5"/>
    <s v="State"/>
    <n v="222.92"/>
    <n v="355.77"/>
    <n v="678.11"/>
    <n v="2.5299999999999998"/>
    <n v="1256.8"/>
    <n v="1259.33"/>
    <m/>
  </r>
  <r>
    <d v="2021-10-01T00:00:00"/>
    <s v="2021-22"/>
    <n v="2021"/>
    <x v="2"/>
    <x v="2"/>
    <s v="West Bengal"/>
    <n v="19"/>
    <s v="State"/>
    <n v="1344.22"/>
    <n v="1650.42"/>
    <n v="997.07"/>
    <n v="267.69"/>
    <n v="3991.71"/>
    <n v="4259.3999999999996"/>
    <m/>
  </r>
  <r>
    <d v="2021-11-01T00:00:00"/>
    <s v="2021-22"/>
    <n v="2021"/>
    <x v="3"/>
    <x v="3"/>
    <s v="Andaman and Nicobar Islands"/>
    <n v="35"/>
    <s v="Union Territory"/>
    <n v="7.41"/>
    <n v="9.7899999999999991"/>
    <n v="6.97"/>
    <n v="0.02"/>
    <n v="24.17"/>
    <n v="24.19"/>
    <m/>
  </r>
  <r>
    <d v="2021-11-01T00:00:00"/>
    <s v="2021-22"/>
    <n v="2021"/>
    <x v="3"/>
    <x v="3"/>
    <s v="Andhra Pradesh"/>
    <n v="28"/>
    <s v="State"/>
    <n v="639.46"/>
    <n v="899.5"/>
    <n v="999.74"/>
    <n v="210.93"/>
    <n v="2538.6999999999998"/>
    <n v="2749.63"/>
    <m/>
  </r>
  <r>
    <d v="2021-11-01T00:00:00"/>
    <s v="2021-22"/>
    <n v="2021"/>
    <x v="3"/>
    <x v="3"/>
    <s v="Arunachal Pradesh"/>
    <n v="12"/>
    <s v="State"/>
    <n v="13.12"/>
    <n v="17.59"/>
    <n v="9.5299999999999994"/>
    <n v="0.04"/>
    <n v="40.24"/>
    <n v="40.28"/>
    <m/>
  </r>
  <r>
    <d v="2021-11-01T00:00:00"/>
    <s v="2021-22"/>
    <n v="2021"/>
    <x v="3"/>
    <x v="3"/>
    <s v="Assam"/>
    <n v="18"/>
    <s v="State"/>
    <n v="283.64999999999998"/>
    <n v="373.69"/>
    <n v="300.14999999999998"/>
    <n v="34.04"/>
    <n v="957.49"/>
    <n v="991.53"/>
    <m/>
  </r>
  <r>
    <d v="2021-11-01T00:00:00"/>
    <s v="2021-22"/>
    <n v="2021"/>
    <x v="3"/>
    <x v="3"/>
    <s v="Bihar"/>
    <n v="10"/>
    <s v="State"/>
    <n v="284.02999999999997"/>
    <n v="481.25"/>
    <n v="113.19"/>
    <n v="151.47"/>
    <n v="878.47"/>
    <n v="1029.94"/>
    <m/>
  </r>
  <r>
    <d v="2021-11-01T00:00:00"/>
    <s v="2021-22"/>
    <n v="2021"/>
    <x v="3"/>
    <x v="3"/>
    <s v="Chandigarh"/>
    <n v="4"/>
    <s v="Union Territory"/>
    <n v="35.869999999999997"/>
    <n v="48.94"/>
    <n v="92.55"/>
    <n v="2.2999999999999998"/>
    <n v="177.36"/>
    <n v="179.66"/>
    <m/>
  </r>
  <r>
    <d v="2021-11-01T00:00:00"/>
    <s v="2021-22"/>
    <n v="2021"/>
    <x v="3"/>
    <x v="3"/>
    <s v="Chhattisgarh"/>
    <n v="22"/>
    <s v="State"/>
    <n v="503.34"/>
    <n v="595.44000000000005"/>
    <n v="790.14"/>
    <n v="565.23"/>
    <n v="1888.92"/>
    <n v="2454.15"/>
    <m/>
  </r>
  <r>
    <d v="2021-11-01T00:00:00"/>
    <s v="2021-22"/>
    <n v="2021"/>
    <x v="3"/>
    <x v="3"/>
    <s v="Dadra and Nagar Haveli and Daman and Diu"/>
    <n v="38"/>
    <s v="Union Territory"/>
    <n v="33.57"/>
    <n v="47.17"/>
    <n v="189.22"/>
    <n v="0.33"/>
    <n v="269.95999999999998"/>
    <n v="270.29000000000002"/>
    <m/>
  </r>
  <r>
    <d v="2021-11-01T00:00:00"/>
    <s v="2021-22"/>
    <n v="2021"/>
    <x v="3"/>
    <x v="3"/>
    <s v="Delhi"/>
    <n v="7"/>
    <s v="Union Territory"/>
    <n v="877.51"/>
    <n v="1087.95"/>
    <n v="2323.12"/>
    <n v="98.33"/>
    <n v="4288.58"/>
    <n v="4386.91"/>
    <m/>
  </r>
  <r>
    <d v="2021-11-01T00:00:00"/>
    <s v="2021-22"/>
    <n v="2021"/>
    <x v="3"/>
    <x v="3"/>
    <s v="Goa"/>
    <n v="30"/>
    <s v="State"/>
    <n v="99.03"/>
    <n v="138.31"/>
    <n v="278.54000000000002"/>
    <n v="2.14"/>
    <n v="515.88"/>
    <n v="518.02"/>
    <m/>
  </r>
  <r>
    <d v="2021-11-01T00:00:00"/>
    <s v="2021-22"/>
    <n v="2021"/>
    <x v="3"/>
    <x v="3"/>
    <s v="Gujarat"/>
    <n v="24"/>
    <s v="State"/>
    <n v="2657.94"/>
    <n v="3207.78"/>
    <n v="3078.37"/>
    <n v="624.89"/>
    <n v="8944.09"/>
    <n v="9568.98"/>
    <m/>
  </r>
  <r>
    <d v="2021-11-01T00:00:00"/>
    <s v="2021-22"/>
    <n v="2021"/>
    <x v="3"/>
    <x v="3"/>
    <s v="Haryana"/>
    <n v="6"/>
    <s v="State"/>
    <n v="999.8"/>
    <n v="1377.16"/>
    <n v="3197.72"/>
    <n v="440.86"/>
    <n v="5574.68"/>
    <n v="6015.54"/>
    <m/>
  </r>
  <r>
    <d v="2021-11-01T00:00:00"/>
    <s v="2021-22"/>
    <n v="2021"/>
    <x v="3"/>
    <x v="3"/>
    <s v="Himachal Pradesh"/>
    <n v="2"/>
    <s v="State"/>
    <n v="123.57"/>
    <n v="188.6"/>
    <n v="446.86"/>
    <n v="2.91"/>
    <n v="759.03"/>
    <n v="761.94"/>
    <m/>
  </r>
  <r>
    <d v="2021-11-01T00:00:00"/>
    <s v="2021-22"/>
    <n v="2021"/>
    <x v="3"/>
    <x v="3"/>
    <s v="Jammu and Kashmir"/>
    <n v="1"/>
    <s v="Union Territory"/>
    <n v="110.59"/>
    <n v="161.09"/>
    <n v="107.35"/>
    <n v="3.79"/>
    <n v="379.03"/>
    <n v="382.82"/>
    <m/>
  </r>
  <r>
    <d v="2021-11-01T00:00:00"/>
    <s v="2021-22"/>
    <n v="2021"/>
    <x v="3"/>
    <x v="3"/>
    <s v="Jharkhand"/>
    <n v="20"/>
    <s v="State"/>
    <n v="395.37"/>
    <n v="520.59"/>
    <n v="996.77"/>
    <n v="424.19"/>
    <n v="1912.73"/>
    <n v="2336.92"/>
    <m/>
  </r>
  <r>
    <d v="2021-11-01T00:00:00"/>
    <s v="2021-22"/>
    <n v="2021"/>
    <x v="3"/>
    <x v="3"/>
    <s v="Karnataka"/>
    <n v="29"/>
    <s v="State"/>
    <n v="2044.08"/>
    <n v="2632.66"/>
    <n v="3400.37"/>
    <n v="970.97"/>
    <n v="8077.11"/>
    <n v="9048.08"/>
    <m/>
  </r>
  <r>
    <d v="2021-11-01T00:00:00"/>
    <s v="2021-22"/>
    <n v="2021"/>
    <x v="3"/>
    <x v="3"/>
    <s v="Kerala"/>
    <n v="32"/>
    <s v="State"/>
    <n v="651.16"/>
    <n v="894.51"/>
    <n v="573.13"/>
    <n v="9.92"/>
    <n v="2118.8000000000002"/>
    <n v="2128.7199999999998"/>
    <m/>
  </r>
  <r>
    <d v="2021-11-01T00:00:00"/>
    <s v="2021-22"/>
    <n v="2021"/>
    <x v="3"/>
    <x v="3"/>
    <s v="Ladakh"/>
    <n v="37"/>
    <s v="Union Territory"/>
    <n v="4.63"/>
    <n v="5.9"/>
    <n v="2.83"/>
    <n v="0.05"/>
    <n v="13.36"/>
    <n v="13.41"/>
    <m/>
  </r>
  <r>
    <d v="2021-11-01T00:00:00"/>
    <s v="2021-22"/>
    <n v="2021"/>
    <x v="3"/>
    <x v="3"/>
    <s v="Lakshadweep"/>
    <n v="31"/>
    <s v="Union Territory"/>
    <n v="1.04"/>
    <n v="1.08"/>
    <n v="0.14000000000000001"/>
    <n v="0"/>
    <n v="2.2599999999999998"/>
    <n v="2.2599999999999998"/>
    <m/>
  </r>
  <r>
    <d v="2021-11-01T00:00:00"/>
    <s v="2021-22"/>
    <n v="2021"/>
    <x v="3"/>
    <x v="3"/>
    <s v="Madhya Pradesh"/>
    <n v="23"/>
    <s v="State"/>
    <n v="638.55999999999995"/>
    <n v="852.95"/>
    <n v="753.4"/>
    <n v="562.89"/>
    <n v="2244.91"/>
    <n v="2807.8"/>
    <m/>
  </r>
  <r>
    <d v="2021-11-01T00:00:00"/>
    <s v="2021-22"/>
    <n v="2021"/>
    <x v="3"/>
    <x v="3"/>
    <s v="Maharashtra"/>
    <n v="27"/>
    <s v="State"/>
    <n v="5089.1400000000003"/>
    <n v="6157.54"/>
    <n v="6108.24"/>
    <n v="1301.3399999999999"/>
    <n v="17354.919999999998"/>
    <n v="18656.259999999998"/>
    <m/>
  </r>
  <r>
    <d v="2021-11-01T00:00:00"/>
    <s v="2021-22"/>
    <n v="2021"/>
    <x v="3"/>
    <x v="3"/>
    <s v="Manipur"/>
    <n v="14"/>
    <s v="State"/>
    <n v="12.13"/>
    <n v="17.940000000000001"/>
    <n v="5.33"/>
    <n v="0.1"/>
    <n v="35.4"/>
    <n v="35.5"/>
    <m/>
  </r>
  <r>
    <d v="2021-11-01T00:00:00"/>
    <s v="2021-22"/>
    <n v="2021"/>
    <x v="3"/>
    <x v="3"/>
    <s v="Meghalaya"/>
    <n v="17"/>
    <s v="State"/>
    <n v="27.05"/>
    <n v="35.630000000000003"/>
    <n v="89.21"/>
    <n v="0.31"/>
    <n v="151.88999999999999"/>
    <n v="152.19999999999999"/>
    <m/>
  </r>
  <r>
    <d v="2021-11-01T00:00:00"/>
    <s v="2021-22"/>
    <n v="2021"/>
    <x v="3"/>
    <x v="3"/>
    <s v="Mizoram"/>
    <n v="15"/>
    <s v="State"/>
    <n v="8.9"/>
    <n v="12.03"/>
    <n v="2.0499999999999998"/>
    <n v="0.02"/>
    <n v="22.98"/>
    <n v="23"/>
    <m/>
  </r>
  <r>
    <d v="2021-11-01T00:00:00"/>
    <s v="2021-22"/>
    <n v="2021"/>
    <x v="3"/>
    <x v="3"/>
    <s v="Nagaland"/>
    <n v="13"/>
    <s v="State"/>
    <n v="10.01"/>
    <n v="13.25"/>
    <n v="6.4"/>
    <n v="0.57999999999999996"/>
    <n v="29.66"/>
    <n v="30.24"/>
    <m/>
  </r>
  <r>
    <d v="2021-11-01T00:00:00"/>
    <s v="2021-22"/>
    <n v="2021"/>
    <x v="3"/>
    <x v="3"/>
    <s v="Odisha"/>
    <n v="21"/>
    <s v="State"/>
    <n v="1001.08"/>
    <n v="1157.69"/>
    <n v="1223.24"/>
    <n v="753.77"/>
    <n v="3382.01"/>
    <n v="4135.78"/>
    <m/>
  </r>
  <r>
    <d v="2021-11-01T00:00:00"/>
    <s v="2021-22"/>
    <n v="2021"/>
    <x v="3"/>
    <x v="3"/>
    <s v="Puducherry"/>
    <n v="34"/>
    <s v="Union Territory"/>
    <n v="18.43"/>
    <n v="30.2"/>
    <n v="123.11"/>
    <n v="0.51"/>
    <n v="171.74"/>
    <n v="172.25"/>
    <m/>
  </r>
  <r>
    <d v="2021-11-01T00:00:00"/>
    <s v="2021-22"/>
    <n v="2021"/>
    <x v="3"/>
    <x v="3"/>
    <s v="Punjab"/>
    <n v="3"/>
    <s v="State"/>
    <n v="463.04"/>
    <n v="704.95"/>
    <n v="655.52"/>
    <n v="21.71"/>
    <n v="1823.51"/>
    <n v="1845.22"/>
    <m/>
  </r>
  <r>
    <d v="2021-11-01T00:00:00"/>
    <s v="2021-22"/>
    <n v="2021"/>
    <x v="3"/>
    <x v="3"/>
    <s v="Rajasthan"/>
    <n v="8"/>
    <s v="State"/>
    <n v="992.4"/>
    <n v="1312.62"/>
    <n v="1208.9000000000001"/>
    <n v="184.51"/>
    <n v="3513.92"/>
    <n v="3698.43"/>
    <m/>
  </r>
  <r>
    <d v="2021-11-01T00:00:00"/>
    <s v="2021-22"/>
    <n v="2021"/>
    <x v="3"/>
    <x v="3"/>
    <s v="Sikkim"/>
    <n v="11"/>
    <s v="State"/>
    <n v="13.36"/>
    <n v="18.649999999999999"/>
    <n v="175.21"/>
    <n v="0.1"/>
    <n v="207.22"/>
    <n v="207.32"/>
    <m/>
  </r>
  <r>
    <d v="2021-11-01T00:00:00"/>
    <s v="2021-22"/>
    <n v="2021"/>
    <x v="3"/>
    <x v="3"/>
    <s v="Tamil Nadu"/>
    <n v="33"/>
    <s v="State"/>
    <n v="1958.49"/>
    <n v="2708.36"/>
    <n v="2573.63"/>
    <n v="554.48"/>
    <n v="7240.48"/>
    <n v="7794.96"/>
    <m/>
  </r>
  <r>
    <d v="2021-11-01T00:00:00"/>
    <s v="2021-22"/>
    <n v="2021"/>
    <x v="3"/>
    <x v="3"/>
    <s v="Telangana"/>
    <n v="36"/>
    <s v="State"/>
    <n v="952.04"/>
    <n v="1310.3699999999999"/>
    <n v="1119"/>
    <n v="549.73"/>
    <n v="3381.41"/>
    <n v="3931.14"/>
    <m/>
  </r>
  <r>
    <d v="2021-11-01T00:00:00"/>
    <s v="2021-22"/>
    <n v="2021"/>
    <x v="3"/>
    <x v="3"/>
    <s v="Tripura"/>
    <n v="16"/>
    <s v="State"/>
    <n v="20.62"/>
    <n v="28.96"/>
    <n v="7.9"/>
    <n v="0.2"/>
    <n v="57.48"/>
    <n v="57.68"/>
    <m/>
  </r>
  <r>
    <d v="2021-11-01T00:00:00"/>
    <s v="2021-22"/>
    <n v="2021"/>
    <x v="3"/>
    <x v="3"/>
    <s v="Uttar Pradesh"/>
    <n v="9"/>
    <s v="State"/>
    <n v="1507.6"/>
    <n v="2157.92"/>
    <n v="1803.14"/>
    <n v="1167.49"/>
    <n v="5468.66"/>
    <n v="6636.15"/>
    <m/>
  </r>
  <r>
    <d v="2021-11-01T00:00:00"/>
    <s v="2021-22"/>
    <n v="2021"/>
    <x v="3"/>
    <x v="3"/>
    <s v="Uttarakhand"/>
    <n v="5"/>
    <s v="State"/>
    <n v="233.41"/>
    <n v="356.99"/>
    <n v="665.76"/>
    <n v="7.11"/>
    <n v="1256.1600000000001"/>
    <n v="1263.27"/>
    <m/>
  </r>
  <r>
    <d v="2021-11-01T00:00:00"/>
    <s v="2021-22"/>
    <n v="2021"/>
    <x v="3"/>
    <x v="3"/>
    <s v="West Bengal"/>
    <n v="19"/>
    <s v="State"/>
    <n v="1263.58"/>
    <n v="1558.69"/>
    <n v="954.87"/>
    <n v="305.60000000000002"/>
    <n v="3777.14"/>
    <n v="4082.74"/>
    <m/>
  </r>
  <r>
    <d v="2021-12-01T00:00:00"/>
    <s v="2021-22"/>
    <n v="2021"/>
    <x v="4"/>
    <x v="4"/>
    <s v="Andaman and Nicobar Islands"/>
    <n v="35"/>
    <s v="Union Territory"/>
    <n v="10.220000000000001"/>
    <n v="12.93"/>
    <n v="2.7"/>
    <n v="0.02"/>
    <n v="25.85"/>
    <n v="25.87"/>
    <m/>
  </r>
  <r>
    <d v="2021-12-01T00:00:00"/>
    <s v="2021-22"/>
    <n v="2021"/>
    <x v="4"/>
    <x v="4"/>
    <s v="Andhra Pradesh"/>
    <n v="28"/>
    <s v="State"/>
    <n v="602"/>
    <n v="805.07"/>
    <n v="937.39"/>
    <n v="187.94"/>
    <n v="2344.46"/>
    <n v="2532.4"/>
    <m/>
  </r>
  <r>
    <d v="2021-12-01T00:00:00"/>
    <s v="2021-22"/>
    <n v="2021"/>
    <x v="4"/>
    <x v="4"/>
    <s v="Arunachal Pradesh"/>
    <n v="12"/>
    <s v="State"/>
    <n v="17.72"/>
    <n v="25.16"/>
    <n v="9.74"/>
    <n v="0.11"/>
    <n v="52.62"/>
    <n v="52.73"/>
    <m/>
  </r>
  <r>
    <d v="2021-12-01T00:00:00"/>
    <s v="2021-22"/>
    <n v="2021"/>
    <x v="4"/>
    <x v="4"/>
    <s v="Assam"/>
    <n v="18"/>
    <s v="State"/>
    <n v="289.08"/>
    <n v="377.66"/>
    <n v="315.23"/>
    <n v="32.659999999999997"/>
    <n v="981.97"/>
    <n v="1014.63"/>
    <m/>
  </r>
  <r>
    <d v="2021-12-01T00:00:00"/>
    <s v="2021-22"/>
    <n v="2021"/>
    <x v="4"/>
    <x v="4"/>
    <s v="Bihar"/>
    <n v="10"/>
    <s v="State"/>
    <n v="258.35000000000002"/>
    <n v="441.66"/>
    <n v="113.76"/>
    <n v="149.16999999999999"/>
    <n v="813.77"/>
    <n v="962.94"/>
    <m/>
  </r>
  <r>
    <d v="2021-12-01T00:00:00"/>
    <s v="2021-22"/>
    <n v="2021"/>
    <x v="4"/>
    <x v="4"/>
    <s v="Chandigarh"/>
    <n v="4"/>
    <s v="Union Territory"/>
    <n v="32.090000000000003"/>
    <n v="47.47"/>
    <n v="83.8"/>
    <n v="0.7"/>
    <n v="163.36000000000001"/>
    <n v="164.06"/>
    <m/>
  </r>
  <r>
    <d v="2021-12-01T00:00:00"/>
    <s v="2021-22"/>
    <n v="2021"/>
    <x v="4"/>
    <x v="4"/>
    <s v="Chhattisgarh"/>
    <n v="22"/>
    <s v="State"/>
    <n v="484.46"/>
    <n v="571.30999999999995"/>
    <n v="929"/>
    <n v="596.85"/>
    <n v="1984.77"/>
    <n v="2581.62"/>
    <m/>
  </r>
  <r>
    <d v="2021-12-01T00:00:00"/>
    <s v="2021-22"/>
    <n v="2021"/>
    <x v="4"/>
    <x v="4"/>
    <s v="Dadra and Nagar Haveli and Daman and Diu"/>
    <n v="38"/>
    <s v="Union Territory"/>
    <n v="30.71"/>
    <n v="40.340000000000003"/>
    <n v="161.03"/>
    <n v="1.36"/>
    <n v="232.08"/>
    <n v="233.44"/>
    <m/>
  </r>
  <r>
    <d v="2021-12-01T00:00:00"/>
    <s v="2021-22"/>
    <n v="2021"/>
    <x v="4"/>
    <x v="4"/>
    <s v="Delhi"/>
    <n v="7"/>
    <s v="Union Territory"/>
    <n v="741.01"/>
    <n v="924.64"/>
    <n v="2002.74"/>
    <n v="85.4"/>
    <n v="3668.39"/>
    <n v="3753.79"/>
    <m/>
  </r>
  <r>
    <d v="2021-12-01T00:00:00"/>
    <s v="2021-22"/>
    <n v="2021"/>
    <x v="4"/>
    <x v="4"/>
    <s v="Goa"/>
    <n v="30"/>
    <s v="State"/>
    <n v="103.64"/>
    <n v="143.72999999999999"/>
    <n v="342.52"/>
    <n v="1.91"/>
    <n v="589.89"/>
    <n v="591.79999999999995"/>
    <m/>
  </r>
  <r>
    <d v="2021-12-01T00:00:00"/>
    <s v="2021-22"/>
    <n v="2021"/>
    <x v="4"/>
    <x v="4"/>
    <s v="Gujarat"/>
    <n v="24"/>
    <s v="State"/>
    <n v="2144.5100000000002"/>
    <n v="2551.92"/>
    <n v="2165.31"/>
    <n v="474.18"/>
    <n v="6861.74"/>
    <n v="7335.92"/>
    <m/>
  </r>
  <r>
    <d v="2021-12-01T00:00:00"/>
    <s v="2021-22"/>
    <n v="2021"/>
    <x v="4"/>
    <x v="4"/>
    <s v="Haryana"/>
    <n v="6"/>
    <s v="State"/>
    <n v="946.75"/>
    <n v="1298.19"/>
    <n v="3201.61"/>
    <n v="426.65"/>
    <n v="5446.55"/>
    <n v="5873.2"/>
    <m/>
  </r>
  <r>
    <d v="2021-12-01T00:00:00"/>
    <s v="2021-22"/>
    <n v="2021"/>
    <x v="4"/>
    <x v="4"/>
    <s v="Himachal Pradesh"/>
    <n v="2"/>
    <s v="State"/>
    <n v="138.91"/>
    <n v="192.97"/>
    <n v="328.79"/>
    <n v="1.51"/>
    <n v="660.67"/>
    <n v="662.18"/>
    <m/>
  </r>
  <r>
    <d v="2021-12-01T00:00:00"/>
    <s v="2021-22"/>
    <n v="2021"/>
    <x v="4"/>
    <x v="4"/>
    <s v="Jammu and Kashmir"/>
    <n v="1"/>
    <s v="Union Territory"/>
    <n v="95.92"/>
    <n v="143.84"/>
    <n v="78.84"/>
    <n v="1.4"/>
    <n v="318.60000000000002"/>
    <n v="320"/>
    <m/>
  </r>
  <r>
    <d v="2021-12-01T00:00:00"/>
    <s v="2021-22"/>
    <n v="2021"/>
    <x v="4"/>
    <x v="4"/>
    <s v="Jharkhand"/>
    <n v="20"/>
    <s v="State"/>
    <n v="391.03"/>
    <n v="494.71"/>
    <n v="877.75"/>
    <n v="442.74"/>
    <n v="1763.49"/>
    <n v="2206.23"/>
    <m/>
  </r>
  <r>
    <d v="2021-12-01T00:00:00"/>
    <s v="2021-22"/>
    <n v="2021"/>
    <x v="4"/>
    <x v="4"/>
    <s v="Karnataka"/>
    <n v="29"/>
    <s v="State"/>
    <n v="1895.64"/>
    <n v="2409.75"/>
    <n v="3029.08"/>
    <n v="1000.41"/>
    <n v="7334.47"/>
    <n v="8334.8799999999992"/>
    <m/>
  </r>
  <r>
    <d v="2021-12-01T00:00:00"/>
    <s v="2021-22"/>
    <n v="2021"/>
    <x v="4"/>
    <x v="4"/>
    <s v="Kerala"/>
    <n v="32"/>
    <s v="State"/>
    <n v="643.12"/>
    <n v="870.43"/>
    <n v="376.12"/>
    <n v="5.7"/>
    <n v="1889.67"/>
    <n v="1895.37"/>
    <m/>
  </r>
  <r>
    <d v="2021-12-01T00:00:00"/>
    <s v="2021-22"/>
    <n v="2021"/>
    <x v="4"/>
    <x v="4"/>
    <s v="Ladakh"/>
    <n v="37"/>
    <s v="Union Territory"/>
    <n v="5.81"/>
    <n v="7.32"/>
    <n v="2.0299999999999998"/>
    <n v="7.0000000000000007E-2"/>
    <n v="15.16"/>
    <n v="15.23"/>
    <m/>
  </r>
  <r>
    <d v="2021-12-01T00:00:00"/>
    <s v="2021-22"/>
    <n v="2021"/>
    <x v="4"/>
    <x v="4"/>
    <s v="Lakshadweep"/>
    <n v="31"/>
    <s v="Union Territory"/>
    <n v="0.69"/>
    <n v="0.66"/>
    <n v="0.08"/>
    <n v="0"/>
    <n v="1.43"/>
    <n v="1.43"/>
    <m/>
  </r>
  <r>
    <d v="2021-12-01T00:00:00"/>
    <s v="2021-22"/>
    <n v="2021"/>
    <x v="4"/>
    <x v="4"/>
    <s v="Madhya Pradesh"/>
    <n v="23"/>
    <s v="State"/>
    <n v="592.69000000000005"/>
    <n v="748.86"/>
    <n v="644.47"/>
    <n v="546.86"/>
    <n v="1986.02"/>
    <n v="2532.88"/>
    <m/>
  </r>
  <r>
    <d v="2021-12-01T00:00:00"/>
    <s v="2021-22"/>
    <n v="2021"/>
    <x v="4"/>
    <x v="4"/>
    <s v="Maharashtra"/>
    <n v="27"/>
    <s v="State"/>
    <n v="5516.25"/>
    <n v="6469.5"/>
    <n v="6259.66"/>
    <n v="1346.13"/>
    <n v="18245.41"/>
    <n v="19591.54"/>
    <m/>
  </r>
  <r>
    <d v="2021-12-01T00:00:00"/>
    <s v="2021-22"/>
    <n v="2021"/>
    <x v="4"/>
    <x v="4"/>
    <s v="Manipur"/>
    <n v="14"/>
    <s v="State"/>
    <n v="17.84"/>
    <n v="25.02"/>
    <n v="4.7"/>
    <n v="0.3"/>
    <n v="47.56"/>
    <n v="47.86"/>
    <m/>
  </r>
  <r>
    <d v="2021-12-01T00:00:00"/>
    <s v="2021-22"/>
    <n v="2021"/>
    <x v="4"/>
    <x v="4"/>
    <s v="Meghalaya"/>
    <n v="17"/>
    <s v="State"/>
    <n v="21.86"/>
    <n v="27.12"/>
    <n v="99.16"/>
    <n v="0.49"/>
    <n v="148.13999999999999"/>
    <n v="148.63"/>
    <m/>
  </r>
  <r>
    <d v="2021-12-01T00:00:00"/>
    <s v="2021-22"/>
    <n v="2021"/>
    <x v="4"/>
    <x v="4"/>
    <s v="Mizoram"/>
    <n v="15"/>
    <s v="State"/>
    <n v="7.42"/>
    <n v="10.24"/>
    <n v="1.91"/>
    <n v="0.03"/>
    <n v="19.57"/>
    <n v="19.600000000000001"/>
    <m/>
  </r>
  <r>
    <d v="2021-12-01T00:00:00"/>
    <s v="2021-22"/>
    <n v="2021"/>
    <x v="4"/>
    <x v="4"/>
    <s v="Nagaland"/>
    <n v="13"/>
    <s v="State"/>
    <n v="11.39"/>
    <n v="14.87"/>
    <n v="5.57"/>
    <n v="1.87"/>
    <n v="31.83"/>
    <n v="33.700000000000003"/>
    <m/>
  </r>
  <r>
    <d v="2021-12-01T00:00:00"/>
    <s v="2021-22"/>
    <n v="2021"/>
    <x v="4"/>
    <x v="4"/>
    <s v="Odisha"/>
    <n v="21"/>
    <s v="State"/>
    <n v="973.79"/>
    <n v="1118.6500000000001"/>
    <n v="1267.6300000000001"/>
    <n v="720.07"/>
    <n v="3360.07"/>
    <n v="4080.14"/>
    <m/>
  </r>
  <r>
    <d v="2021-12-01T00:00:00"/>
    <s v="2021-22"/>
    <n v="2021"/>
    <x v="4"/>
    <x v="4"/>
    <s v="Puducherry"/>
    <n v="34"/>
    <s v="Union Territory"/>
    <n v="18.899999999999999"/>
    <n v="30.24"/>
    <n v="97.19"/>
    <n v="0.64"/>
    <n v="146.33000000000001"/>
    <n v="146.97"/>
    <m/>
  </r>
  <r>
    <d v="2021-12-01T00:00:00"/>
    <s v="2021-22"/>
    <n v="2021"/>
    <x v="4"/>
    <x v="4"/>
    <s v="Punjab"/>
    <n v="3"/>
    <s v="State"/>
    <n v="381.23"/>
    <n v="563.42999999999995"/>
    <n v="616.46"/>
    <n v="11.4"/>
    <n v="1561.12"/>
    <n v="1572.52"/>
    <m/>
  </r>
  <r>
    <d v="2021-12-01T00:00:00"/>
    <s v="2021-22"/>
    <n v="2021"/>
    <x v="4"/>
    <x v="4"/>
    <s v="Rajasthan"/>
    <n v="8"/>
    <s v="State"/>
    <n v="812.64"/>
    <n v="1072.8499999999999"/>
    <n v="987.82"/>
    <n v="184.2"/>
    <n v="2873.31"/>
    <n v="3057.51"/>
    <m/>
  </r>
  <r>
    <d v="2021-12-01T00:00:00"/>
    <s v="2021-22"/>
    <n v="2021"/>
    <x v="4"/>
    <x v="4"/>
    <s v="Sikkim"/>
    <n v="11"/>
    <s v="State"/>
    <n v="23.6"/>
    <n v="21.67"/>
    <n v="203.63"/>
    <n v="0.05"/>
    <n v="248.9"/>
    <n v="248.95"/>
    <m/>
  </r>
  <r>
    <d v="2021-12-01T00:00:00"/>
    <s v="2021-22"/>
    <n v="2021"/>
    <x v="4"/>
    <x v="4"/>
    <s v="Tamil Nadu"/>
    <n v="33"/>
    <s v="State"/>
    <n v="1712.3"/>
    <n v="2229.3200000000002"/>
    <n v="2083.5100000000002"/>
    <n v="610.20000000000005"/>
    <n v="6025.13"/>
    <n v="6635.33"/>
    <m/>
  </r>
  <r>
    <d v="2021-12-01T00:00:00"/>
    <s v="2021-22"/>
    <n v="2021"/>
    <x v="4"/>
    <x v="4"/>
    <s v="Telangana"/>
    <n v="36"/>
    <s v="State"/>
    <n v="935.93"/>
    <n v="1252.4100000000001"/>
    <n v="1019.71"/>
    <n v="552.16"/>
    <n v="3208.05"/>
    <n v="3760.21"/>
    <m/>
  </r>
  <r>
    <d v="2021-12-01T00:00:00"/>
    <s v="2021-22"/>
    <n v="2021"/>
    <x v="4"/>
    <x v="4"/>
    <s v="Tripura"/>
    <n v="16"/>
    <s v="State"/>
    <n v="26.45"/>
    <n v="32.81"/>
    <n v="8.31"/>
    <n v="0.09"/>
    <n v="67.569999999999993"/>
    <n v="67.66"/>
    <m/>
  </r>
  <r>
    <d v="2021-12-01T00:00:00"/>
    <s v="2021-22"/>
    <n v="2021"/>
    <x v="4"/>
    <x v="4"/>
    <s v="Uttar Pradesh"/>
    <n v="9"/>
    <s v="State"/>
    <n v="1323.86"/>
    <n v="1892.58"/>
    <n v="1704.26"/>
    <n v="1108.03"/>
    <n v="4920.7"/>
    <n v="6028.73"/>
    <m/>
  </r>
  <r>
    <d v="2021-12-01T00:00:00"/>
    <s v="2021-22"/>
    <n v="2021"/>
    <x v="4"/>
    <x v="4"/>
    <s v="Uttarakhand"/>
    <n v="5"/>
    <s v="State"/>
    <n v="211.9"/>
    <n v="317.91000000000003"/>
    <n v="539.13"/>
    <n v="7.57"/>
    <n v="1068.94"/>
    <n v="1076.51"/>
    <m/>
  </r>
  <r>
    <d v="2021-12-01T00:00:00"/>
    <s v="2021-22"/>
    <n v="2021"/>
    <x v="4"/>
    <x v="4"/>
    <s v="West Bengal"/>
    <n v="19"/>
    <s v="State"/>
    <n v="1149.8699999999999"/>
    <n v="1459.64"/>
    <n v="820.71"/>
    <n v="276.37"/>
    <n v="3430.22"/>
    <n v="3706.59"/>
    <m/>
  </r>
  <r>
    <d v="2022-01-01T00:00:00"/>
    <s v="2021-22"/>
    <n v="2022"/>
    <x v="5"/>
    <x v="5"/>
    <s v="Andaman and Nicobar Islands"/>
    <n v="35"/>
    <s v="Union Territory"/>
    <n v="11.05"/>
    <n v="14.64"/>
    <n v="2.98"/>
    <n v="0.01"/>
    <n v="28.67"/>
    <n v="28.68"/>
    <m/>
  </r>
  <r>
    <d v="2022-01-01T00:00:00"/>
    <s v="2021-22"/>
    <n v="2022"/>
    <x v="5"/>
    <x v="5"/>
    <s v="Andhra Pradesh"/>
    <n v="28"/>
    <s v="State"/>
    <n v="713.03"/>
    <n v="952.17"/>
    <n v="1058.1099999999999"/>
    <n v="108.01"/>
    <n v="2723.31"/>
    <n v="2831.32"/>
    <m/>
  </r>
  <r>
    <d v="2022-01-01T00:00:00"/>
    <s v="2021-22"/>
    <n v="2022"/>
    <x v="5"/>
    <x v="5"/>
    <s v="Arunachal Pradesh"/>
    <n v="12"/>
    <s v="State"/>
    <n v="25.59"/>
    <n v="33.369999999999997"/>
    <n v="12.5"/>
    <n v="0.7"/>
    <n v="71.459999999999994"/>
    <n v="72.16"/>
    <m/>
  </r>
  <r>
    <d v="2022-01-01T00:00:00"/>
    <s v="2021-22"/>
    <n v="2022"/>
    <x v="5"/>
    <x v="5"/>
    <s v="Assam"/>
    <n v="18"/>
    <s v="State"/>
    <n v="308.7"/>
    <n v="421.33"/>
    <n v="292.88"/>
    <n v="39.47"/>
    <n v="1022.91"/>
    <n v="1062.3800000000001"/>
    <m/>
  </r>
  <r>
    <d v="2022-01-01T00:00:00"/>
    <s v="2021-22"/>
    <n v="2022"/>
    <x v="5"/>
    <x v="5"/>
    <s v="Bihar"/>
    <n v="10"/>
    <s v="State"/>
    <n v="327.85"/>
    <n v="552.08000000000004"/>
    <n v="145.4"/>
    <n v="171.09"/>
    <n v="1025.33"/>
    <n v="1196.42"/>
    <m/>
  </r>
  <r>
    <d v="2022-01-01T00:00:00"/>
    <s v="2021-22"/>
    <n v="2022"/>
    <x v="5"/>
    <x v="5"/>
    <s v="Chandigarh"/>
    <n v="4"/>
    <s v="Union Territory"/>
    <n v="37.909999999999997"/>
    <n v="59.54"/>
    <n v="93.8"/>
    <n v="4.71"/>
    <n v="191.25"/>
    <n v="195.96"/>
    <m/>
  </r>
  <r>
    <d v="2022-01-01T00:00:00"/>
    <s v="2021-22"/>
    <n v="2022"/>
    <x v="5"/>
    <x v="5"/>
    <s v="Chhattisgarh"/>
    <n v="22"/>
    <s v="State"/>
    <n v="518.75"/>
    <n v="621.97"/>
    <n v="874.26"/>
    <n v="641.13"/>
    <n v="2014.98"/>
    <n v="2656.11"/>
    <m/>
  </r>
  <r>
    <d v="2022-01-01T00:00:00"/>
    <s v="2021-22"/>
    <n v="2022"/>
    <x v="5"/>
    <x v="5"/>
    <s v="Dadra and Nagar Haveli and Daman and Diu"/>
    <n v="38"/>
    <s v="Union Territory"/>
    <n v="35.35"/>
    <n v="46.04"/>
    <n v="197.96"/>
    <n v="0.53"/>
    <n v="279.35000000000002"/>
    <n v="279.88"/>
    <m/>
  </r>
  <r>
    <d v="2022-01-01T00:00:00"/>
    <s v="2021-22"/>
    <n v="2022"/>
    <x v="5"/>
    <x v="5"/>
    <s v="Delhi"/>
    <n v="7"/>
    <s v="Union Territory"/>
    <n v="870.82"/>
    <n v="1104.48"/>
    <n v="2454.7199999999998"/>
    <n v="98.71"/>
    <n v="4430.0200000000004"/>
    <n v="4528.7299999999996"/>
    <m/>
  </r>
  <r>
    <d v="2022-01-01T00:00:00"/>
    <s v="2021-22"/>
    <n v="2022"/>
    <x v="5"/>
    <x v="5"/>
    <s v="Goa"/>
    <n v="30"/>
    <s v="State"/>
    <n v="111.82"/>
    <n v="155.49"/>
    <n v="124.28"/>
    <n v="2.59"/>
    <n v="391.59"/>
    <n v="394.18"/>
    <m/>
  </r>
  <r>
    <d v="2022-01-01T00:00:00"/>
    <s v="2021-22"/>
    <n v="2022"/>
    <x v="5"/>
    <x v="5"/>
    <s v="Gujarat"/>
    <n v="24"/>
    <s v="State"/>
    <n v="2430.91"/>
    <n v="2960.16"/>
    <n v="2613.7800000000002"/>
    <n v="611.47"/>
    <n v="8004.85"/>
    <n v="8616.32"/>
    <m/>
  </r>
  <r>
    <d v="2022-01-01T00:00:00"/>
    <s v="2021-22"/>
    <n v="2022"/>
    <x v="5"/>
    <x v="5"/>
    <s v="Haryana"/>
    <n v="6"/>
    <s v="State"/>
    <n v="1038.75"/>
    <n v="1420.77"/>
    <n v="3470.79"/>
    <n v="489.4"/>
    <n v="5930.31"/>
    <n v="6419.71"/>
    <m/>
  </r>
  <r>
    <d v="2022-01-01T00:00:00"/>
    <s v="2021-22"/>
    <n v="2022"/>
    <x v="5"/>
    <x v="5"/>
    <s v="Himachal Pradesh"/>
    <n v="2"/>
    <s v="State"/>
    <n v="127.19"/>
    <n v="194.38"/>
    <n v="368.83"/>
    <n v="4.45"/>
    <n v="690.4"/>
    <n v="694.85"/>
    <m/>
  </r>
  <r>
    <d v="2022-01-01T00:00:00"/>
    <s v="2021-22"/>
    <n v="2022"/>
    <x v="5"/>
    <x v="5"/>
    <s v="Jammu and Kashmir"/>
    <n v="1"/>
    <s v="Union Territory"/>
    <n v="112.93"/>
    <n v="198.36"/>
    <n v="91.16"/>
    <n v="2.23"/>
    <n v="402.45"/>
    <n v="404.68"/>
    <m/>
  </r>
  <r>
    <d v="2022-01-01T00:00:00"/>
    <s v="2021-22"/>
    <n v="2022"/>
    <x v="5"/>
    <x v="5"/>
    <s v="Jharkhand"/>
    <n v="20"/>
    <s v="State"/>
    <n v="451.55"/>
    <n v="559.61"/>
    <n v="950.58"/>
    <n v="470.95"/>
    <n v="1961.74"/>
    <n v="2432.69"/>
    <m/>
  </r>
  <r>
    <d v="2022-01-01T00:00:00"/>
    <s v="2021-22"/>
    <n v="2022"/>
    <x v="5"/>
    <x v="5"/>
    <s v="Karnataka"/>
    <n v="29"/>
    <s v="State"/>
    <n v="2195.5300000000002"/>
    <n v="2835.47"/>
    <n v="3644.53"/>
    <n v="920.74"/>
    <n v="8675.5300000000007"/>
    <n v="9596.27"/>
    <m/>
  </r>
  <r>
    <d v="2022-01-01T00:00:00"/>
    <s v="2021-22"/>
    <n v="2022"/>
    <x v="5"/>
    <x v="5"/>
    <s v="Kerala"/>
    <n v="32"/>
    <s v="State"/>
    <n v="752.75"/>
    <n v="1056.32"/>
    <n v="651.42999999999995"/>
    <n v="21.38"/>
    <n v="2460.5"/>
    <n v="2481.88"/>
    <m/>
  </r>
  <r>
    <d v="2022-01-01T00:00:00"/>
    <s v="2021-22"/>
    <n v="2022"/>
    <x v="5"/>
    <x v="5"/>
    <s v="Ladakh"/>
    <n v="37"/>
    <s v="Union Territory"/>
    <n v="13.31"/>
    <n v="17.71"/>
    <n v="3.86"/>
    <n v="0.28000000000000003"/>
    <n v="34.880000000000003"/>
    <n v="35.159999999999997"/>
    <m/>
  </r>
  <r>
    <d v="2022-01-01T00:00:00"/>
    <s v="2021-22"/>
    <n v="2022"/>
    <x v="5"/>
    <x v="5"/>
    <s v="Lakshadweep"/>
    <n v="31"/>
    <s v="Union Territory"/>
    <n v="0.99"/>
    <n v="1.03"/>
    <n v="0.05"/>
    <n v="0"/>
    <n v="2.0699999999999998"/>
    <n v="2.0699999999999998"/>
    <m/>
  </r>
  <r>
    <d v="2022-01-01T00:00:00"/>
    <s v="2021-22"/>
    <n v="2022"/>
    <x v="5"/>
    <x v="5"/>
    <s v="Madhya Pradesh"/>
    <n v="23"/>
    <s v="State"/>
    <n v="718.3"/>
    <n v="920.77"/>
    <n v="734.12"/>
    <n v="586.12"/>
    <n v="2373.19"/>
    <n v="2959.31"/>
    <m/>
  </r>
  <r>
    <d v="2022-01-01T00:00:00"/>
    <s v="2021-22"/>
    <n v="2022"/>
    <x v="5"/>
    <x v="5"/>
    <s v="Maharashtra"/>
    <n v="27"/>
    <s v="State"/>
    <n v="5319.45"/>
    <n v="6360.44"/>
    <n v="7687.46"/>
    <n v="1337.05"/>
    <n v="19367.349999999999"/>
    <n v="20704.400000000001"/>
    <m/>
  </r>
  <r>
    <d v="2022-01-01T00:00:00"/>
    <s v="2021-22"/>
    <n v="2022"/>
    <x v="5"/>
    <x v="5"/>
    <s v="Manipur"/>
    <n v="14"/>
    <s v="State"/>
    <n v="16.13"/>
    <n v="20.82"/>
    <n v="7.26"/>
    <n v="0.09"/>
    <n v="44.21"/>
    <n v="44.3"/>
    <m/>
  </r>
  <r>
    <d v="2022-01-01T00:00:00"/>
    <s v="2021-22"/>
    <n v="2022"/>
    <x v="5"/>
    <x v="5"/>
    <s v="Meghalaya"/>
    <n v="17"/>
    <s v="State"/>
    <n v="26.95"/>
    <n v="35.6"/>
    <n v="83.27"/>
    <n v="0.49"/>
    <n v="145.82"/>
    <n v="146.31"/>
    <m/>
  </r>
  <r>
    <d v="2022-01-01T00:00:00"/>
    <s v="2021-22"/>
    <n v="2022"/>
    <x v="5"/>
    <x v="5"/>
    <s v="Mizoram"/>
    <n v="15"/>
    <s v="State"/>
    <n v="11.99"/>
    <n v="17.510000000000002"/>
    <n v="5.09"/>
    <n v="0.17"/>
    <n v="34.590000000000003"/>
    <n v="34.76"/>
    <m/>
  </r>
  <r>
    <d v="2022-01-01T00:00:00"/>
    <s v="2021-22"/>
    <n v="2022"/>
    <x v="5"/>
    <x v="5"/>
    <s v="Nagaland"/>
    <n v="13"/>
    <s v="State"/>
    <n v="12.24"/>
    <n v="20.04"/>
    <n v="6.54"/>
    <n v="1.73"/>
    <n v="38.82"/>
    <n v="40.549999999999997"/>
    <m/>
  </r>
  <r>
    <d v="2022-01-01T00:00:00"/>
    <s v="2021-22"/>
    <n v="2022"/>
    <x v="5"/>
    <x v="5"/>
    <s v="Odisha"/>
    <n v="21"/>
    <s v="State"/>
    <n v="965.92"/>
    <n v="1143.1400000000001"/>
    <n v="1134.1500000000001"/>
    <n v="752.19"/>
    <n v="3243.21"/>
    <n v="3995.4"/>
    <m/>
  </r>
  <r>
    <d v="2022-01-01T00:00:00"/>
    <s v="2021-22"/>
    <n v="2022"/>
    <x v="5"/>
    <x v="5"/>
    <s v="Puducherry"/>
    <n v="34"/>
    <s v="Union Territory"/>
    <n v="22.48"/>
    <n v="38.72"/>
    <n v="106.77"/>
    <n v="1.28"/>
    <n v="167.97"/>
    <n v="169.25"/>
    <m/>
  </r>
  <r>
    <d v="2022-01-01T00:00:00"/>
    <s v="2021-22"/>
    <n v="2022"/>
    <x v="5"/>
    <x v="5"/>
    <s v="Punjab"/>
    <n v="3"/>
    <s v="State"/>
    <n v="422.29"/>
    <n v="659.09"/>
    <n v="583.15"/>
    <n v="25.75"/>
    <n v="1664.53"/>
    <n v="1690.28"/>
    <m/>
  </r>
  <r>
    <d v="2022-01-01T00:00:00"/>
    <s v="2021-22"/>
    <n v="2022"/>
    <x v="5"/>
    <x v="5"/>
    <s v="Rajasthan"/>
    <n v="8"/>
    <s v="State"/>
    <n v="971.7"/>
    <n v="1289.8599999999999"/>
    <n v="1215.7"/>
    <n v="171.41"/>
    <n v="3477.26"/>
    <n v="3648.67"/>
    <m/>
  </r>
  <r>
    <d v="2022-01-01T00:00:00"/>
    <s v="2021-22"/>
    <n v="2022"/>
    <x v="5"/>
    <x v="5"/>
    <s v="Sikkim"/>
    <n v="11"/>
    <s v="State"/>
    <n v="15"/>
    <n v="24.72"/>
    <n v="209.51"/>
    <n v="0.38"/>
    <n v="249.23"/>
    <n v="249.61"/>
    <m/>
  </r>
  <r>
    <d v="2022-01-01T00:00:00"/>
    <s v="2021-22"/>
    <n v="2022"/>
    <x v="5"/>
    <x v="5"/>
    <s v="Tamil Nadu"/>
    <n v="33"/>
    <s v="State"/>
    <n v="2089.7399999999998"/>
    <n v="2812.13"/>
    <n v="2421.11"/>
    <n v="656.63"/>
    <n v="7322.98"/>
    <n v="7979.61"/>
    <m/>
  </r>
  <r>
    <d v="2022-01-01T00:00:00"/>
    <s v="2021-22"/>
    <n v="2022"/>
    <x v="5"/>
    <x v="5"/>
    <s v="Telangana"/>
    <n v="36"/>
    <s v="State"/>
    <n v="1055.72"/>
    <n v="1424.16"/>
    <n v="1375.14"/>
    <n v="604.96"/>
    <n v="3855.02"/>
    <n v="4459.9799999999996"/>
    <m/>
  </r>
  <r>
    <d v="2022-01-01T00:00:00"/>
    <s v="2021-22"/>
    <n v="2022"/>
    <x v="5"/>
    <x v="5"/>
    <s v="Tripura"/>
    <n v="16"/>
    <s v="State"/>
    <n v="27"/>
    <n v="37.42"/>
    <n v="8.3800000000000008"/>
    <n v="0.38"/>
    <n v="72.8"/>
    <n v="73.180000000000007"/>
    <m/>
  </r>
  <r>
    <d v="2022-01-01T00:00:00"/>
    <s v="2021-22"/>
    <n v="2022"/>
    <x v="5"/>
    <x v="5"/>
    <s v="Uttar Pradesh"/>
    <n v="9"/>
    <s v="State"/>
    <n v="1529.52"/>
    <n v="2178.6999999999998"/>
    <n v="2181.83"/>
    <n v="1095.5"/>
    <n v="5890.05"/>
    <n v="6985.55"/>
    <m/>
  </r>
  <r>
    <d v="2022-01-01T00:00:00"/>
    <s v="2021-22"/>
    <n v="2022"/>
    <x v="5"/>
    <x v="5"/>
    <s v="Uttarakhand"/>
    <n v="5"/>
    <s v="State"/>
    <n v="242.6"/>
    <n v="360.92"/>
    <n v="693.35"/>
    <n v="9.2200000000000006"/>
    <n v="1296.8699999999999"/>
    <n v="1306.0899999999999"/>
    <m/>
  </r>
  <r>
    <d v="2022-01-01T00:00:00"/>
    <s v="2021-22"/>
    <n v="2022"/>
    <x v="5"/>
    <x v="5"/>
    <s v="West Bengal"/>
    <n v="19"/>
    <s v="State"/>
    <n v="1329.17"/>
    <n v="1675.91"/>
    <n v="1140.81"/>
    <n v="328.37"/>
    <n v="4145.8900000000003"/>
    <n v="4474.26"/>
    <m/>
  </r>
  <r>
    <d v="2022-02-01T00:00:00"/>
    <s v="2021-22"/>
    <n v="2022"/>
    <x v="6"/>
    <x v="6"/>
    <s v="Andaman and Nicobar Islands"/>
    <n v="35"/>
    <s v="Union Territory"/>
    <n v="8.39"/>
    <n v="11.57"/>
    <n v="2.02"/>
    <n v="0.03"/>
    <n v="21.98"/>
    <n v="22.01"/>
    <m/>
  </r>
  <r>
    <d v="2022-02-01T00:00:00"/>
    <s v="2021-22"/>
    <n v="2022"/>
    <x v="6"/>
    <x v="6"/>
    <s v="Andhra Pradesh"/>
    <n v="28"/>
    <s v="State"/>
    <n v="707.92"/>
    <n v="931.88"/>
    <n v="1204.19"/>
    <n v="313.29000000000002"/>
    <n v="2843.99"/>
    <n v="3157.28"/>
    <m/>
  </r>
  <r>
    <d v="2022-02-01T00:00:00"/>
    <s v="2021-22"/>
    <n v="2022"/>
    <x v="6"/>
    <x v="6"/>
    <s v="Arunachal Pradesh"/>
    <n v="12"/>
    <s v="State"/>
    <n v="18.59"/>
    <n v="26.26"/>
    <n v="10.98"/>
    <n v="0.16"/>
    <n v="55.83"/>
    <n v="55.99"/>
    <m/>
  </r>
  <r>
    <d v="2022-02-01T00:00:00"/>
    <s v="2021-22"/>
    <n v="2022"/>
    <x v="6"/>
    <x v="6"/>
    <s v="Assam"/>
    <n v="18"/>
    <s v="State"/>
    <n v="311.91000000000003"/>
    <n v="401.63"/>
    <n v="250.85"/>
    <n v="43.41"/>
    <n v="964.39"/>
    <n v="1007.8"/>
    <m/>
  </r>
  <r>
    <d v="2022-02-01T00:00:00"/>
    <s v="2021-22"/>
    <n v="2022"/>
    <x v="6"/>
    <x v="6"/>
    <s v="Bihar"/>
    <n v="10"/>
    <s v="State"/>
    <n v="351.46"/>
    <n v="550.11"/>
    <n v="156.36000000000001"/>
    <n v="148.41"/>
    <n v="1057.93"/>
    <n v="1206.3399999999999"/>
    <m/>
  </r>
  <r>
    <d v="2022-02-01T00:00:00"/>
    <s v="2021-22"/>
    <n v="2022"/>
    <x v="6"/>
    <x v="6"/>
    <s v="Chandigarh"/>
    <n v="4"/>
    <s v="Union Territory"/>
    <n v="32.880000000000003"/>
    <n v="45.79"/>
    <n v="98.79"/>
    <n v="0.82"/>
    <n v="177.46"/>
    <n v="178.28"/>
    <m/>
  </r>
  <r>
    <d v="2022-02-01T00:00:00"/>
    <s v="2021-22"/>
    <n v="2022"/>
    <x v="6"/>
    <x v="6"/>
    <s v="Chhattisgarh"/>
    <n v="22"/>
    <s v="State"/>
    <n v="528.39"/>
    <n v="620.37"/>
    <n v="988.95"/>
    <n v="645.09"/>
    <n v="2137.71"/>
    <n v="2782.8"/>
    <m/>
  </r>
  <r>
    <d v="2022-02-01T00:00:00"/>
    <s v="2021-22"/>
    <n v="2022"/>
    <x v="6"/>
    <x v="6"/>
    <s v="Dadra and Nagar Haveli and Daman and Diu"/>
    <n v="38"/>
    <s v="Union Territory"/>
    <n v="37.06"/>
    <n v="48"/>
    <n v="174.56"/>
    <n v="0.52"/>
    <n v="259.62"/>
    <n v="260.14"/>
    <m/>
  </r>
  <r>
    <d v="2022-02-01T00:00:00"/>
    <s v="2021-22"/>
    <n v="2022"/>
    <x v="6"/>
    <x v="6"/>
    <s v="Delhi"/>
    <n v="7"/>
    <s v="Union Territory"/>
    <n v="777.9"/>
    <n v="939.01"/>
    <n v="2103.11"/>
    <n v="101.63"/>
    <n v="3820.02"/>
    <n v="3921.65"/>
    <m/>
  </r>
  <r>
    <d v="2022-02-01T00:00:00"/>
    <s v="2021-22"/>
    <n v="2022"/>
    <x v="6"/>
    <x v="6"/>
    <s v="Goa"/>
    <n v="30"/>
    <s v="State"/>
    <n v="92.95"/>
    <n v="123.79"/>
    <n v="145.04"/>
    <n v="2.0499999999999998"/>
    <n v="361.78"/>
    <n v="363.83"/>
    <m/>
  </r>
  <r>
    <d v="2022-02-01T00:00:00"/>
    <s v="2021-22"/>
    <n v="2022"/>
    <x v="6"/>
    <x v="6"/>
    <s v="Gujarat"/>
    <n v="24"/>
    <s v="State"/>
    <n v="2478.13"/>
    <n v="3007.46"/>
    <n v="2768.51"/>
    <n v="618.66"/>
    <n v="8254.1"/>
    <n v="8872.76"/>
    <m/>
  </r>
  <r>
    <d v="2022-02-01T00:00:00"/>
    <s v="2021-22"/>
    <n v="2022"/>
    <x v="6"/>
    <x v="6"/>
    <s v="Haryana"/>
    <n v="6"/>
    <s v="State"/>
    <n v="1050.3699999999999"/>
    <n v="1399.91"/>
    <n v="3008.6"/>
    <n v="469.29"/>
    <n v="5458.88"/>
    <n v="5928.17"/>
    <m/>
  </r>
  <r>
    <d v="2022-02-01T00:00:00"/>
    <s v="2021-22"/>
    <n v="2022"/>
    <x v="6"/>
    <x v="6"/>
    <s v="Himachal Pradesh"/>
    <n v="2"/>
    <s v="State"/>
    <n v="108.59"/>
    <n v="155.47999999999999"/>
    <n v="392.19"/>
    <n v="0.98"/>
    <n v="656.26"/>
    <n v="657.24"/>
    <m/>
  </r>
  <r>
    <d v="2022-02-01T00:00:00"/>
    <s v="2021-22"/>
    <n v="2022"/>
    <x v="6"/>
    <x v="6"/>
    <s v="Jammu and Kashmir"/>
    <n v="1"/>
    <s v="Union Territory"/>
    <n v="96.86"/>
    <n v="136.46"/>
    <n v="90.67"/>
    <n v="2.4300000000000002"/>
    <n v="323.99"/>
    <n v="326.42"/>
    <m/>
  </r>
  <r>
    <d v="2022-02-01T00:00:00"/>
    <s v="2021-22"/>
    <n v="2022"/>
    <x v="6"/>
    <x v="6"/>
    <s v="Jharkhand"/>
    <n v="20"/>
    <s v="State"/>
    <n v="544.61"/>
    <n v="660.79"/>
    <n v="846.35"/>
    <n v="484.73"/>
    <n v="2051.75"/>
    <n v="2536.48"/>
    <m/>
  </r>
  <r>
    <d v="2022-02-01T00:00:00"/>
    <s v="2021-22"/>
    <n v="2022"/>
    <x v="6"/>
    <x v="6"/>
    <s v="Karnataka"/>
    <n v="29"/>
    <s v="State"/>
    <n v="2177.58"/>
    <n v="2678.54"/>
    <n v="3393.69"/>
    <n v="926.51"/>
    <n v="8249.81"/>
    <n v="9176.32"/>
    <m/>
  </r>
  <r>
    <d v="2022-02-01T00:00:00"/>
    <s v="2021-22"/>
    <n v="2022"/>
    <x v="6"/>
    <x v="6"/>
    <s v="Kerala"/>
    <n v="32"/>
    <s v="State"/>
    <n v="706.36"/>
    <n v="927.57"/>
    <n v="434.7"/>
    <n v="5.86"/>
    <n v="2068.63"/>
    <n v="2074.4899999999998"/>
    <m/>
  </r>
  <r>
    <d v="2022-02-01T00:00:00"/>
    <s v="2021-22"/>
    <n v="2022"/>
    <x v="6"/>
    <x v="6"/>
    <s v="Ladakh"/>
    <n v="37"/>
    <s v="Union Territory"/>
    <n v="5.56"/>
    <n v="7.59"/>
    <n v="2.17"/>
    <n v="0.25"/>
    <n v="15.32"/>
    <n v="15.57"/>
    <m/>
  </r>
  <r>
    <d v="2022-02-01T00:00:00"/>
    <s v="2021-22"/>
    <n v="2022"/>
    <x v="6"/>
    <x v="6"/>
    <s v="Lakshadweep"/>
    <n v="31"/>
    <s v="Union Territory"/>
    <n v="0.3"/>
    <n v="0.45"/>
    <n v="0.06"/>
    <n v="0"/>
    <n v="0.81"/>
    <n v="0.81"/>
    <m/>
  </r>
  <r>
    <d v="2022-02-01T00:00:00"/>
    <s v="2021-22"/>
    <n v="2022"/>
    <x v="6"/>
    <x v="6"/>
    <s v="Madhya Pradesh"/>
    <n v="23"/>
    <s v="State"/>
    <n v="666.04"/>
    <n v="858.95"/>
    <n v="726.38"/>
    <n v="601.45000000000005"/>
    <n v="2251.37"/>
    <n v="2852.82"/>
    <m/>
  </r>
  <r>
    <d v="2022-02-01T00:00:00"/>
    <s v="2021-22"/>
    <n v="2022"/>
    <x v="6"/>
    <x v="6"/>
    <s v="Maharashtra"/>
    <n v="27"/>
    <s v="State"/>
    <n v="5426.85"/>
    <n v="6379.42"/>
    <n v="6122.46"/>
    <n v="1493.86"/>
    <n v="17928.73"/>
    <n v="19422.59"/>
    <m/>
  </r>
  <r>
    <d v="2022-02-01T00:00:00"/>
    <s v="2021-22"/>
    <n v="2022"/>
    <x v="6"/>
    <x v="6"/>
    <s v="Manipur"/>
    <n v="14"/>
    <s v="State"/>
    <n v="14.12"/>
    <n v="19.52"/>
    <n v="5.0199999999999996"/>
    <n v="0.13"/>
    <n v="38.659999999999997"/>
    <n v="38.79"/>
    <m/>
  </r>
  <r>
    <d v="2022-02-01T00:00:00"/>
    <s v="2021-22"/>
    <n v="2022"/>
    <x v="6"/>
    <x v="6"/>
    <s v="Meghalaya"/>
    <n v="17"/>
    <s v="State"/>
    <n v="31.25"/>
    <n v="38.369999999999997"/>
    <n v="130.19999999999999"/>
    <n v="0.74"/>
    <n v="199.82"/>
    <n v="200.56"/>
    <m/>
  </r>
  <r>
    <d v="2022-02-01T00:00:00"/>
    <s v="2021-22"/>
    <n v="2022"/>
    <x v="6"/>
    <x v="6"/>
    <s v="Mizoram"/>
    <n v="15"/>
    <s v="State"/>
    <n v="9.65"/>
    <n v="12.26"/>
    <n v="2.29"/>
    <n v="0.03"/>
    <n v="24.2"/>
    <n v="24.23"/>
    <m/>
  </r>
  <r>
    <d v="2022-02-01T00:00:00"/>
    <s v="2021-22"/>
    <n v="2022"/>
    <x v="6"/>
    <x v="6"/>
    <s v="Nagaland"/>
    <n v="13"/>
    <s v="State"/>
    <n v="9.0500000000000007"/>
    <n v="12.24"/>
    <n v="9.6"/>
    <n v="1.95"/>
    <n v="30.89"/>
    <n v="32.840000000000003"/>
    <m/>
  </r>
  <r>
    <d v="2022-02-01T00:00:00"/>
    <s v="2021-22"/>
    <n v="2022"/>
    <x v="6"/>
    <x v="6"/>
    <s v="Odisha"/>
    <n v="21"/>
    <s v="State"/>
    <n v="989.49"/>
    <n v="1152.3699999999999"/>
    <n v="1223.92"/>
    <n v="735.71"/>
    <n v="3365.78"/>
    <n v="4101.49"/>
    <m/>
  </r>
  <r>
    <d v="2022-02-01T00:00:00"/>
    <s v="2021-22"/>
    <n v="2022"/>
    <x v="6"/>
    <x v="6"/>
    <s v="Puducherry"/>
    <n v="34"/>
    <s v="Union Territory"/>
    <n v="22.26"/>
    <n v="32.450000000000003"/>
    <n v="123.5"/>
    <n v="0.17"/>
    <n v="178.21"/>
    <n v="178.38"/>
    <m/>
  </r>
  <r>
    <d v="2022-02-01T00:00:00"/>
    <s v="2021-22"/>
    <n v="2022"/>
    <x v="6"/>
    <x v="6"/>
    <s v="Punjab"/>
    <n v="3"/>
    <s v="State"/>
    <n v="367.37"/>
    <n v="516.98"/>
    <n v="584.59"/>
    <n v="11.21"/>
    <n v="1468.94"/>
    <n v="1480.15"/>
    <m/>
  </r>
  <r>
    <d v="2022-02-01T00:00:00"/>
    <s v="2021-22"/>
    <n v="2022"/>
    <x v="6"/>
    <x v="6"/>
    <s v="Rajasthan"/>
    <n v="8"/>
    <s v="State"/>
    <n v="934.17"/>
    <n v="1213.3900000000001"/>
    <n v="1165.58"/>
    <n v="155.54"/>
    <n v="3313.14"/>
    <n v="3468.68"/>
    <m/>
  </r>
  <r>
    <d v="2022-02-01T00:00:00"/>
    <s v="2021-22"/>
    <n v="2022"/>
    <x v="6"/>
    <x v="6"/>
    <s v="Sikkim"/>
    <n v="11"/>
    <s v="State"/>
    <n v="15.6"/>
    <n v="21.26"/>
    <n v="185.3"/>
    <n v="0.11"/>
    <n v="222.16"/>
    <n v="222.27"/>
    <m/>
  </r>
  <r>
    <d v="2022-02-01T00:00:00"/>
    <s v="2021-22"/>
    <n v="2022"/>
    <x v="6"/>
    <x v="6"/>
    <s v="Tamil Nadu"/>
    <n v="33"/>
    <s v="State"/>
    <n v="1907.21"/>
    <n v="2525.0100000000002"/>
    <n v="2299.17"/>
    <n v="661.81"/>
    <n v="6731.39"/>
    <n v="7393.2"/>
    <m/>
  </r>
  <r>
    <d v="2022-02-01T00:00:00"/>
    <s v="2021-22"/>
    <n v="2022"/>
    <x v="6"/>
    <x v="6"/>
    <s v="Telangana"/>
    <n v="36"/>
    <s v="State"/>
    <n v="979.77"/>
    <n v="1283.76"/>
    <n v="1219.45"/>
    <n v="630.20000000000005"/>
    <n v="3482.98"/>
    <n v="4113.18"/>
    <m/>
  </r>
  <r>
    <d v="2022-02-01T00:00:00"/>
    <s v="2021-22"/>
    <n v="2022"/>
    <x v="6"/>
    <x v="6"/>
    <s v="Tripura"/>
    <n v="16"/>
    <s v="State"/>
    <n v="25.01"/>
    <n v="31.95"/>
    <n v="8.8800000000000008"/>
    <n v="0.23"/>
    <n v="65.84"/>
    <n v="66.069999999999993"/>
    <m/>
  </r>
  <r>
    <d v="2022-02-01T00:00:00"/>
    <s v="2021-22"/>
    <n v="2022"/>
    <x v="6"/>
    <x v="6"/>
    <s v="Uttar Pradesh"/>
    <n v="9"/>
    <s v="State"/>
    <n v="1465.09"/>
    <n v="2022.52"/>
    <n v="1754"/>
    <n v="1277.04"/>
    <n v="5241.6099999999997"/>
    <n v="6518.65"/>
    <m/>
  </r>
  <r>
    <d v="2022-02-01T00:00:00"/>
    <s v="2021-22"/>
    <n v="2022"/>
    <x v="6"/>
    <x v="6"/>
    <s v="Uttarakhand"/>
    <n v="5"/>
    <s v="State"/>
    <n v="226.34"/>
    <n v="332.38"/>
    <n v="613.26"/>
    <n v="3.63"/>
    <n v="1171.98"/>
    <n v="1175.6099999999999"/>
    <m/>
  </r>
  <r>
    <d v="2022-02-01T00:00:00"/>
    <s v="2021-22"/>
    <n v="2022"/>
    <x v="6"/>
    <x v="6"/>
    <s v="West Bengal"/>
    <n v="19"/>
    <s v="State"/>
    <n v="1302.8900000000001"/>
    <n v="1644.41"/>
    <n v="1103.17"/>
    <n v="363.96"/>
    <n v="4050.47"/>
    <n v="4414.43"/>
    <m/>
  </r>
  <r>
    <d v="2022-03-01T00:00:00"/>
    <s v="2021-22"/>
    <n v="2022"/>
    <x v="7"/>
    <x v="7"/>
    <s v="Andaman and Nicobar Islands"/>
    <n v="35"/>
    <s v="Union Territory"/>
    <n v="10.42"/>
    <n v="14.17"/>
    <n v="2.27"/>
    <n v="0.04"/>
    <n v="26.86"/>
    <n v="26.9"/>
    <m/>
  </r>
  <r>
    <d v="2022-03-01T00:00:00"/>
    <s v="2021-22"/>
    <n v="2022"/>
    <x v="7"/>
    <x v="7"/>
    <s v="Andhra Pradesh"/>
    <n v="28"/>
    <s v="State"/>
    <n v="776.83"/>
    <n v="1006.23"/>
    <n v="1092.0899999999999"/>
    <n v="299.3"/>
    <n v="2875.15"/>
    <n v="3174.45"/>
    <m/>
  </r>
  <r>
    <d v="2022-03-01T00:00:00"/>
    <s v="2021-22"/>
    <n v="2022"/>
    <x v="7"/>
    <x v="7"/>
    <s v="Arunachal Pradesh"/>
    <n v="12"/>
    <s v="State"/>
    <n v="42.46"/>
    <n v="51.18"/>
    <n v="11.21"/>
    <n v="0.14000000000000001"/>
    <n v="104.85"/>
    <n v="104.99"/>
    <m/>
  </r>
  <r>
    <d v="2022-03-01T00:00:00"/>
    <s v="2021-22"/>
    <n v="2022"/>
    <x v="7"/>
    <x v="7"/>
    <s v="Assam"/>
    <n v="18"/>
    <s v="State"/>
    <n v="345.94"/>
    <n v="445.56"/>
    <n v="285.95"/>
    <n v="37.15"/>
    <n v="1077.45"/>
    <n v="1114.5999999999999"/>
    <m/>
  </r>
  <r>
    <d v="2022-03-01T00:00:00"/>
    <s v="2021-22"/>
    <n v="2022"/>
    <x v="7"/>
    <x v="7"/>
    <s v="Bihar"/>
    <n v="10"/>
    <s v="State"/>
    <n v="377.01"/>
    <n v="579.54999999999995"/>
    <n v="170.81"/>
    <n v="220.53"/>
    <n v="1127.3699999999999"/>
    <n v="1347.9"/>
    <m/>
  </r>
  <r>
    <d v="2022-03-01T00:00:00"/>
    <s v="2021-22"/>
    <n v="2022"/>
    <x v="7"/>
    <x v="7"/>
    <s v="Chandigarh"/>
    <n v="4"/>
    <s v="Union Territory"/>
    <n v="33.909999999999997"/>
    <n v="43.75"/>
    <n v="105.71"/>
    <n v="0.38"/>
    <n v="183.37"/>
    <n v="183.75"/>
    <m/>
  </r>
  <r>
    <d v="2022-03-01T00:00:00"/>
    <s v="2021-22"/>
    <n v="2022"/>
    <x v="7"/>
    <x v="7"/>
    <s v="Chhattisgarh"/>
    <n v="22"/>
    <s v="State"/>
    <n v="544.67999999999995"/>
    <n v="638.92999999999995"/>
    <n v="923.94"/>
    <n v="612.55999999999995"/>
    <n v="2107.5500000000002"/>
    <n v="2720.11"/>
    <m/>
  </r>
  <r>
    <d v="2022-03-01T00:00:00"/>
    <s v="2021-22"/>
    <n v="2022"/>
    <x v="7"/>
    <x v="7"/>
    <s v="Dadra and Nagar Haveli and Daman and Diu"/>
    <n v="38"/>
    <s v="Union Territory"/>
    <n v="40.07"/>
    <n v="50.85"/>
    <n v="192.18"/>
    <n v="0.68"/>
    <n v="283.10000000000002"/>
    <n v="283.77999999999997"/>
    <m/>
  </r>
  <r>
    <d v="2022-03-01T00:00:00"/>
    <s v="2021-22"/>
    <n v="2022"/>
    <x v="7"/>
    <x v="7"/>
    <s v="Delhi"/>
    <n v="7"/>
    <s v="Union Territory"/>
    <n v="817.25"/>
    <n v="985.54"/>
    <n v="2204.14"/>
    <n v="104.79"/>
    <n v="4006.93"/>
    <n v="4111.72"/>
    <m/>
  </r>
  <r>
    <d v="2022-03-01T00:00:00"/>
    <s v="2021-22"/>
    <n v="2022"/>
    <x v="7"/>
    <x v="7"/>
    <s v="Goa"/>
    <n v="30"/>
    <s v="State"/>
    <n v="107.22"/>
    <n v="143.84"/>
    <n v="132.99"/>
    <n v="1.9"/>
    <n v="384.05"/>
    <n v="385.95"/>
    <m/>
  </r>
  <r>
    <d v="2022-03-01T00:00:00"/>
    <s v="2021-22"/>
    <n v="2022"/>
    <x v="7"/>
    <x v="7"/>
    <s v="Gujarat"/>
    <n v="24"/>
    <s v="State"/>
    <n v="2563.0100000000002"/>
    <n v="3080.66"/>
    <n v="3112.9"/>
    <n v="401.1"/>
    <n v="8756.57"/>
    <n v="9157.67"/>
    <m/>
  </r>
  <r>
    <d v="2022-03-01T00:00:00"/>
    <s v="2021-22"/>
    <n v="2022"/>
    <x v="7"/>
    <x v="7"/>
    <s v="Haryana"/>
    <n v="6"/>
    <s v="State"/>
    <n v="1057.5999999999999"/>
    <n v="1403.64"/>
    <n v="3751.21"/>
    <n v="441.08"/>
    <n v="6212.45"/>
    <n v="6653.53"/>
    <m/>
  </r>
  <r>
    <d v="2022-03-01T00:00:00"/>
    <s v="2021-22"/>
    <n v="2022"/>
    <x v="7"/>
    <x v="7"/>
    <s v="Himachal Pradesh"/>
    <n v="2"/>
    <s v="State"/>
    <n v="122.83"/>
    <n v="163.5"/>
    <n v="396.68"/>
    <n v="0.89"/>
    <n v="683.01"/>
    <n v="683.9"/>
    <m/>
  </r>
  <r>
    <d v="2022-03-01T00:00:00"/>
    <s v="2021-22"/>
    <n v="2022"/>
    <x v="7"/>
    <x v="7"/>
    <s v="Jammu and Kashmir"/>
    <n v="1"/>
    <s v="Union Territory"/>
    <n v="112.42"/>
    <n v="166.71"/>
    <n v="85.65"/>
    <n v="3.62"/>
    <n v="364.78"/>
    <n v="368.4"/>
    <m/>
  </r>
  <r>
    <d v="2022-03-01T00:00:00"/>
    <s v="2021-22"/>
    <n v="2022"/>
    <x v="7"/>
    <x v="7"/>
    <s v="Jharkhand"/>
    <n v="20"/>
    <s v="State"/>
    <n v="524.67999999999995"/>
    <n v="661.51"/>
    <n v="881.98"/>
    <n v="481.79"/>
    <n v="2068.17"/>
    <n v="2549.96"/>
    <m/>
  </r>
  <r>
    <d v="2022-03-01T00:00:00"/>
    <s v="2021-22"/>
    <n v="2022"/>
    <x v="7"/>
    <x v="7"/>
    <s v="Karnataka"/>
    <n v="29"/>
    <s v="State"/>
    <n v="2202.46"/>
    <n v="2688.59"/>
    <n v="3088.67"/>
    <n v="770.4"/>
    <n v="7979.72"/>
    <n v="8750.1200000000008"/>
    <m/>
  </r>
  <r>
    <d v="2022-03-01T00:00:00"/>
    <s v="2021-22"/>
    <n v="2022"/>
    <x v="7"/>
    <x v="7"/>
    <s v="Kerala"/>
    <n v="32"/>
    <s v="State"/>
    <n v="694.9"/>
    <n v="923.53"/>
    <n v="467.8"/>
    <n v="2.98"/>
    <n v="2086.23"/>
    <n v="2089.21"/>
    <m/>
  </r>
  <r>
    <d v="2022-03-01T00:00:00"/>
    <s v="2021-22"/>
    <n v="2022"/>
    <x v="7"/>
    <x v="7"/>
    <s v="Ladakh"/>
    <n v="37"/>
    <s v="Union Territory"/>
    <n v="9.44"/>
    <n v="11.33"/>
    <n v="2.72"/>
    <n v="0"/>
    <n v="23.49"/>
    <n v="23.49"/>
    <m/>
  </r>
  <r>
    <d v="2022-03-01T00:00:00"/>
    <s v="2021-22"/>
    <n v="2022"/>
    <x v="7"/>
    <x v="7"/>
    <s v="Lakshadweep"/>
    <n v="31"/>
    <s v="Union Territory"/>
    <n v="0.93"/>
    <n v="0.94"/>
    <n v="0.21"/>
    <n v="0"/>
    <n v="2.08"/>
    <n v="2.08"/>
    <m/>
  </r>
  <r>
    <d v="2022-03-01T00:00:00"/>
    <s v="2021-22"/>
    <n v="2022"/>
    <x v="7"/>
    <x v="7"/>
    <s v="Madhya Pradesh"/>
    <n v="23"/>
    <s v="State"/>
    <n v="713.28"/>
    <n v="911.32"/>
    <n v="785.03"/>
    <n v="525.51"/>
    <n v="2409.63"/>
    <n v="2935.14"/>
    <m/>
  </r>
  <r>
    <d v="2022-03-01T00:00:00"/>
    <s v="2021-22"/>
    <n v="2022"/>
    <x v="7"/>
    <x v="7"/>
    <s v="Maharashtra"/>
    <n v="27"/>
    <s v="State"/>
    <n v="5803.34"/>
    <n v="6658.66"/>
    <n v="6467.73"/>
    <n v="1375.48"/>
    <n v="18929.73"/>
    <n v="20305.21"/>
    <m/>
  </r>
  <r>
    <d v="2022-03-01T00:00:00"/>
    <s v="2021-22"/>
    <n v="2022"/>
    <x v="7"/>
    <x v="7"/>
    <s v="Manipur"/>
    <n v="14"/>
    <s v="State"/>
    <n v="22.18"/>
    <n v="32.82"/>
    <n v="4.3600000000000003"/>
    <n v="0.28000000000000003"/>
    <n v="59.36"/>
    <n v="59.64"/>
    <m/>
  </r>
  <r>
    <d v="2022-03-01T00:00:00"/>
    <s v="2021-22"/>
    <n v="2022"/>
    <x v="7"/>
    <x v="7"/>
    <s v="Meghalaya"/>
    <n v="17"/>
    <s v="State"/>
    <n v="28.52"/>
    <n v="36.69"/>
    <n v="112.22"/>
    <n v="3.49"/>
    <n v="177.43"/>
    <n v="180.92"/>
    <m/>
  </r>
  <r>
    <d v="2022-03-01T00:00:00"/>
    <s v="2021-22"/>
    <n v="2022"/>
    <x v="7"/>
    <x v="7"/>
    <s v="Mizoram"/>
    <n v="15"/>
    <s v="State"/>
    <n v="14.24"/>
    <n v="19.98"/>
    <n v="2.54"/>
    <n v="0.01"/>
    <n v="36.76"/>
    <n v="36.770000000000003"/>
    <m/>
  </r>
  <r>
    <d v="2022-03-01T00:00:00"/>
    <s v="2021-22"/>
    <n v="2022"/>
    <x v="7"/>
    <x v="7"/>
    <s v="Nagaland"/>
    <n v="13"/>
    <s v="State"/>
    <n v="12.75"/>
    <n v="17.29"/>
    <n v="8.5"/>
    <n v="4.1399999999999997"/>
    <n v="38.54"/>
    <n v="42.68"/>
    <m/>
  </r>
  <r>
    <d v="2022-03-01T00:00:00"/>
    <s v="2021-22"/>
    <n v="2022"/>
    <x v="7"/>
    <x v="7"/>
    <s v="Odisha"/>
    <n v="21"/>
    <s v="State"/>
    <n v="1109.8499999999999"/>
    <n v="1351.25"/>
    <n v="1003.47"/>
    <n v="660.09"/>
    <n v="3464.57"/>
    <n v="4124.66"/>
    <m/>
  </r>
  <r>
    <d v="2022-03-01T00:00:00"/>
    <s v="2021-22"/>
    <n v="2022"/>
    <x v="7"/>
    <x v="7"/>
    <s v="Puducherry"/>
    <n v="34"/>
    <s v="Union Territory"/>
    <n v="26.1"/>
    <n v="32.840000000000003"/>
    <n v="103.98"/>
    <n v="0.42"/>
    <n v="162.91999999999999"/>
    <n v="163.34"/>
    <m/>
  </r>
  <r>
    <d v="2022-03-01T00:00:00"/>
    <s v="2021-22"/>
    <n v="2022"/>
    <x v="7"/>
    <x v="7"/>
    <s v="Punjab"/>
    <n v="3"/>
    <s v="State"/>
    <n v="412.6"/>
    <n v="596.47"/>
    <n v="545.33000000000004"/>
    <n v="17.47"/>
    <n v="1554.4"/>
    <n v="1571.87"/>
    <m/>
  </r>
  <r>
    <d v="2022-03-01T00:00:00"/>
    <s v="2021-22"/>
    <n v="2022"/>
    <x v="7"/>
    <x v="7"/>
    <s v="Rajasthan"/>
    <n v="8"/>
    <s v="State"/>
    <n v="953.69"/>
    <n v="1247.73"/>
    <n v="1219.47"/>
    <n v="166.6"/>
    <n v="3420.89"/>
    <n v="3587.49"/>
    <m/>
  </r>
  <r>
    <d v="2022-03-01T00:00:00"/>
    <s v="2021-22"/>
    <n v="2022"/>
    <x v="7"/>
    <x v="7"/>
    <s v="Sikkim"/>
    <n v="11"/>
    <s v="State"/>
    <n v="15.14"/>
    <n v="19.23"/>
    <n v="195.57"/>
    <n v="0.02"/>
    <n v="229.94"/>
    <n v="229.96"/>
    <m/>
  </r>
  <r>
    <d v="2022-03-01T00:00:00"/>
    <s v="2021-22"/>
    <n v="2022"/>
    <x v="7"/>
    <x v="7"/>
    <s v="Tamil Nadu"/>
    <n v="33"/>
    <s v="State"/>
    <n v="2081.36"/>
    <n v="2768.83"/>
    <n v="2572.77"/>
    <n v="599.57000000000005"/>
    <n v="7422.96"/>
    <n v="8022.53"/>
    <m/>
  </r>
  <r>
    <d v="2022-03-01T00:00:00"/>
    <s v="2021-22"/>
    <n v="2022"/>
    <x v="7"/>
    <x v="7"/>
    <s v="Telangana"/>
    <n v="36"/>
    <s v="State"/>
    <n v="1083.77"/>
    <n v="1419.98"/>
    <n v="1246.01"/>
    <n v="492.38"/>
    <n v="3749.76"/>
    <n v="4242.1400000000003"/>
    <m/>
  </r>
  <r>
    <d v="2022-03-01T00:00:00"/>
    <s v="2021-22"/>
    <n v="2022"/>
    <x v="7"/>
    <x v="7"/>
    <s v="Tripura"/>
    <n v="16"/>
    <s v="State"/>
    <n v="31.37"/>
    <n v="39.369999999999997"/>
    <n v="11.19"/>
    <n v="0.12"/>
    <n v="81.93"/>
    <n v="82.05"/>
    <m/>
  </r>
  <r>
    <d v="2022-03-01T00:00:00"/>
    <s v="2021-22"/>
    <n v="2022"/>
    <x v="7"/>
    <x v="7"/>
    <s v="Uttar Pradesh"/>
    <n v="9"/>
    <s v="State"/>
    <n v="1552.93"/>
    <n v="2167.9499999999998"/>
    <n v="1988.9"/>
    <n v="909.98"/>
    <n v="5709.78"/>
    <n v="6619.76"/>
    <m/>
  </r>
  <r>
    <d v="2022-03-01T00:00:00"/>
    <s v="2021-22"/>
    <n v="2022"/>
    <x v="7"/>
    <x v="7"/>
    <s v="Uttarakhand"/>
    <n v="5"/>
    <s v="State"/>
    <n v="221.13"/>
    <n v="327.54000000000002"/>
    <n v="697.51"/>
    <n v="9.15"/>
    <n v="1246.18"/>
    <n v="1255.33"/>
    <m/>
  </r>
  <r>
    <d v="2022-03-01T00:00:00"/>
    <s v="2021-22"/>
    <n v="2022"/>
    <x v="7"/>
    <x v="7"/>
    <s v="West Bengal"/>
    <n v="19"/>
    <s v="State"/>
    <n v="1353.23"/>
    <n v="1656.69"/>
    <n v="1169.8"/>
    <n v="291.92"/>
    <n v="4179.72"/>
    <n v="4471.6400000000003"/>
    <m/>
  </r>
  <r>
    <d v="2022-04-01T00:00:00"/>
    <s v="2022-23"/>
    <n v="2022"/>
    <x v="8"/>
    <x v="8"/>
    <s v="Andaman and Nicobar Islands"/>
    <n v="35"/>
    <s v="Union Territory"/>
    <n v="37.380000000000003"/>
    <n v="42.84"/>
    <n v="7.12"/>
    <n v="0.08"/>
    <n v="87.34"/>
    <n v="87.42"/>
    <m/>
  </r>
  <r>
    <d v="2022-04-01T00:00:00"/>
    <s v="2022-23"/>
    <n v="2022"/>
    <x v="8"/>
    <x v="8"/>
    <s v="Andhra Pradesh"/>
    <n v="28"/>
    <s v="State"/>
    <n v="1002.93"/>
    <n v="1294.48"/>
    <n v="1388.74"/>
    <n v="380.97"/>
    <n v="3686.15"/>
    <n v="4067.12"/>
    <m/>
  </r>
  <r>
    <d v="2022-04-01T00:00:00"/>
    <s v="2022-23"/>
    <n v="2022"/>
    <x v="8"/>
    <x v="8"/>
    <s v="Arunachal Pradesh"/>
    <n v="12"/>
    <s v="State"/>
    <n v="79.97"/>
    <n v="93.2"/>
    <n v="22.82"/>
    <n v="0.22"/>
    <n v="195.99"/>
    <n v="196.21"/>
    <m/>
  </r>
  <r>
    <d v="2022-04-01T00:00:00"/>
    <s v="2022-23"/>
    <n v="2022"/>
    <x v="8"/>
    <x v="8"/>
    <s v="Assam"/>
    <n v="18"/>
    <s v="State"/>
    <n v="429.75"/>
    <n v="553.30999999999995"/>
    <n v="295.52"/>
    <n v="33.94"/>
    <n v="1278.58"/>
    <n v="1312.52"/>
    <m/>
  </r>
  <r>
    <d v="2022-04-01T00:00:00"/>
    <s v="2022-23"/>
    <n v="2022"/>
    <x v="8"/>
    <x v="8"/>
    <s v="Bihar"/>
    <n v="10"/>
    <s v="State"/>
    <n v="456.79"/>
    <n v="767.19"/>
    <n v="179.25"/>
    <n v="67.400000000000006"/>
    <n v="1403.23"/>
    <n v="1470.63"/>
    <m/>
  </r>
  <r>
    <d v="2022-04-01T00:00:00"/>
    <s v="2022-23"/>
    <n v="2022"/>
    <x v="8"/>
    <x v="8"/>
    <s v="Chandigarh"/>
    <n v="4"/>
    <s v="Union Territory"/>
    <n v="44.92"/>
    <n v="60.8"/>
    <n v="140.72999999999999"/>
    <n v="2.1800000000000002"/>
    <n v="246.45"/>
    <n v="248.63"/>
    <m/>
  </r>
  <r>
    <d v="2022-04-01T00:00:00"/>
    <s v="2022-23"/>
    <n v="2022"/>
    <x v="8"/>
    <x v="8"/>
    <s v="Chhattisgarh"/>
    <n v="22"/>
    <s v="State"/>
    <n v="665.61"/>
    <n v="787.74"/>
    <n v="865.32"/>
    <n v="658.58"/>
    <n v="2318.67"/>
    <n v="2977.25"/>
    <m/>
  </r>
  <r>
    <d v="2022-04-01T00:00:00"/>
    <s v="2022-23"/>
    <n v="2022"/>
    <x v="8"/>
    <x v="8"/>
    <s v="Dadra and Nagar Haveli and Daman and Diu"/>
    <n v="38"/>
    <s v="Union Territory"/>
    <n v="46.55"/>
    <n v="59.1"/>
    <n v="273.83"/>
    <n v="1.27"/>
    <n v="379.48"/>
    <n v="380.75"/>
    <m/>
  </r>
  <r>
    <d v="2022-04-01T00:00:00"/>
    <s v="2022-23"/>
    <n v="2022"/>
    <x v="8"/>
    <x v="8"/>
    <s v="Delhi"/>
    <n v="7"/>
    <s v="Union Territory"/>
    <n v="1324.21"/>
    <n v="1578.8"/>
    <n v="2903.97"/>
    <n v="63.8"/>
    <n v="5806.98"/>
    <n v="5870.78"/>
    <m/>
  </r>
  <r>
    <d v="2022-04-01T00:00:00"/>
    <s v="2022-23"/>
    <n v="2022"/>
    <x v="8"/>
    <x v="8"/>
    <s v="Goa"/>
    <n v="30"/>
    <s v="State"/>
    <n v="134.01"/>
    <n v="183.7"/>
    <n v="148.97999999999999"/>
    <n v="3.09"/>
    <n v="466.69"/>
    <n v="469.78"/>
    <m/>
  </r>
  <r>
    <d v="2022-04-01T00:00:00"/>
    <s v="2022-23"/>
    <n v="2022"/>
    <x v="8"/>
    <x v="8"/>
    <s v="Gujarat"/>
    <n v="24"/>
    <s v="State"/>
    <n v="3303.49"/>
    <n v="3901.62"/>
    <n v="3578.04"/>
    <n v="480.97"/>
    <n v="10783.15"/>
    <n v="11264.12"/>
    <m/>
  </r>
  <r>
    <d v="2022-04-01T00:00:00"/>
    <s v="2022-23"/>
    <n v="2022"/>
    <x v="8"/>
    <x v="8"/>
    <s v="Haryana"/>
    <n v="6"/>
    <s v="State"/>
    <n v="1317.87"/>
    <n v="1717.8"/>
    <n v="4665.07"/>
    <n v="496.62"/>
    <n v="7700.74"/>
    <n v="8197.36"/>
    <m/>
  </r>
  <r>
    <d v="2022-04-01T00:00:00"/>
    <s v="2022-23"/>
    <n v="2022"/>
    <x v="8"/>
    <x v="8"/>
    <s v="Himachal Pradesh"/>
    <n v="2"/>
    <s v="State"/>
    <n v="166.56"/>
    <n v="225.66"/>
    <n v="423.14"/>
    <n v="2.0099999999999998"/>
    <n v="815.36"/>
    <n v="817.37"/>
    <m/>
  </r>
  <r>
    <d v="2022-04-01T00:00:00"/>
    <s v="2022-23"/>
    <n v="2022"/>
    <x v="8"/>
    <x v="8"/>
    <s v="Jammu and Kashmir"/>
    <n v="1"/>
    <s v="Union Territory"/>
    <n v="176.26"/>
    <n v="273.36"/>
    <n v="104.21"/>
    <n v="6.03"/>
    <n v="553.83000000000004"/>
    <n v="559.86"/>
    <m/>
  </r>
  <r>
    <d v="2022-04-01T00:00:00"/>
    <s v="2022-23"/>
    <n v="2022"/>
    <x v="8"/>
    <x v="8"/>
    <s v="Jharkhand"/>
    <n v="20"/>
    <s v="State"/>
    <n v="573.46"/>
    <n v="773.85"/>
    <n v="1226.79"/>
    <n v="525.98"/>
    <n v="2574.1"/>
    <n v="3100.08"/>
    <m/>
  </r>
  <r>
    <d v="2022-04-01T00:00:00"/>
    <s v="2022-23"/>
    <n v="2022"/>
    <x v="8"/>
    <x v="8"/>
    <s v="Karnataka"/>
    <n v="29"/>
    <s v="State"/>
    <n v="2859.52"/>
    <n v="3520.29"/>
    <n v="4354.76"/>
    <n v="1085.43"/>
    <n v="10734.57"/>
    <n v="11820"/>
    <m/>
  </r>
  <r>
    <d v="2022-04-01T00:00:00"/>
    <s v="2022-23"/>
    <n v="2022"/>
    <x v="8"/>
    <x v="8"/>
    <s v="Kerala"/>
    <n v="32"/>
    <s v="State"/>
    <n v="844.33"/>
    <n v="1153.07"/>
    <n v="686.4"/>
    <n v="5.21"/>
    <n v="2683.8"/>
    <n v="2689.01"/>
    <m/>
  </r>
  <r>
    <d v="2022-04-01T00:00:00"/>
    <s v="2022-23"/>
    <n v="2022"/>
    <x v="8"/>
    <x v="8"/>
    <s v="Ladakh"/>
    <n v="37"/>
    <s v="Union Territory"/>
    <n v="19.09"/>
    <n v="23.34"/>
    <n v="4.51"/>
    <n v="0.24"/>
    <n v="46.94"/>
    <n v="47.18"/>
    <m/>
  </r>
  <r>
    <d v="2022-04-01T00:00:00"/>
    <s v="2022-23"/>
    <n v="2022"/>
    <x v="8"/>
    <x v="8"/>
    <s v="Lakshadweep"/>
    <n v="31"/>
    <s v="Union Territory"/>
    <n v="1.19"/>
    <n v="1.77"/>
    <n v="0.08"/>
    <n v="0"/>
    <n v="3.04"/>
    <n v="3.04"/>
    <m/>
  </r>
  <r>
    <d v="2022-04-01T00:00:00"/>
    <s v="2022-23"/>
    <n v="2022"/>
    <x v="8"/>
    <x v="8"/>
    <s v="Madhya Pradesh"/>
    <n v="23"/>
    <s v="State"/>
    <n v="850.2"/>
    <n v="1102.1199999999999"/>
    <n v="876.76"/>
    <n v="510.31"/>
    <n v="2829.08"/>
    <n v="3339.39"/>
    <m/>
  </r>
  <r>
    <d v="2022-04-01T00:00:00"/>
    <s v="2022-23"/>
    <n v="2022"/>
    <x v="8"/>
    <x v="8"/>
    <s v="Maharashtra"/>
    <n v="27"/>
    <s v="State"/>
    <n v="7305.65"/>
    <n v="8573"/>
    <n v="9884.7000000000007"/>
    <n v="1731.29"/>
    <n v="25763.35"/>
    <n v="27494.639999999999"/>
    <m/>
  </r>
  <r>
    <d v="2022-04-01T00:00:00"/>
    <s v="2022-23"/>
    <n v="2022"/>
    <x v="8"/>
    <x v="8"/>
    <s v="Manipur"/>
    <n v="14"/>
    <s v="State"/>
    <n v="25.9"/>
    <n v="35.67"/>
    <n v="6.8"/>
    <n v="0.6"/>
    <n v="68.37"/>
    <n v="68.97"/>
    <m/>
  </r>
  <r>
    <d v="2022-04-01T00:00:00"/>
    <s v="2022-23"/>
    <n v="2022"/>
    <x v="8"/>
    <x v="8"/>
    <s v="Meghalaya"/>
    <n v="17"/>
    <s v="State"/>
    <n v="48.83"/>
    <n v="58.17"/>
    <n v="117.66"/>
    <n v="2.04"/>
    <n v="224.66"/>
    <n v="226.7"/>
    <m/>
  </r>
  <r>
    <d v="2022-04-01T00:00:00"/>
    <s v="2022-23"/>
    <n v="2022"/>
    <x v="8"/>
    <x v="8"/>
    <s v="Mizoram"/>
    <n v="15"/>
    <s v="State"/>
    <n v="17.28"/>
    <n v="24.49"/>
    <n v="4.4800000000000004"/>
    <n v="0.09"/>
    <n v="46.25"/>
    <n v="46.34"/>
    <m/>
  </r>
  <r>
    <d v="2022-04-01T00:00:00"/>
    <s v="2022-23"/>
    <n v="2022"/>
    <x v="8"/>
    <x v="8"/>
    <s v="Nagaland"/>
    <n v="13"/>
    <s v="State"/>
    <n v="22.22"/>
    <n v="28.29"/>
    <n v="12.03"/>
    <n v="5.5"/>
    <n v="62.54"/>
    <n v="68.040000000000006"/>
    <m/>
  </r>
  <r>
    <d v="2022-04-01T00:00:00"/>
    <s v="2022-23"/>
    <n v="2022"/>
    <x v="8"/>
    <x v="8"/>
    <s v="Odisha"/>
    <n v="21"/>
    <s v="State"/>
    <n v="1381"/>
    <n v="1714.78"/>
    <n v="1092.05"/>
    <n v="722.4"/>
    <n v="4187.83"/>
    <n v="4910.2299999999996"/>
    <m/>
  </r>
  <r>
    <d v="2022-04-01T00:00:00"/>
    <s v="2022-23"/>
    <n v="2022"/>
    <x v="8"/>
    <x v="8"/>
    <s v="Puducherry"/>
    <n v="34"/>
    <s v="Union Territory"/>
    <n v="27.92"/>
    <n v="44.95"/>
    <n v="132.30000000000001"/>
    <n v="0.59"/>
    <n v="205.17"/>
    <n v="205.76"/>
    <m/>
  </r>
  <r>
    <d v="2022-04-01T00:00:00"/>
    <s v="2022-23"/>
    <n v="2022"/>
    <x v="8"/>
    <x v="8"/>
    <s v="Punjab"/>
    <n v="3"/>
    <s v="State"/>
    <n v="531.03"/>
    <n v="783.04"/>
    <n v="649.65"/>
    <n v="30.27"/>
    <n v="1963.72"/>
    <n v="1993.99"/>
    <m/>
  </r>
  <r>
    <d v="2022-04-01T00:00:00"/>
    <s v="2022-23"/>
    <n v="2022"/>
    <x v="8"/>
    <x v="8"/>
    <s v="Rajasthan"/>
    <n v="8"/>
    <s v="State"/>
    <n v="1309.4100000000001"/>
    <n v="1670.42"/>
    <n v="1412.38"/>
    <n v="155"/>
    <n v="4392.21"/>
    <n v="4547.21"/>
    <m/>
  </r>
  <r>
    <d v="2022-04-01T00:00:00"/>
    <s v="2022-23"/>
    <n v="2022"/>
    <x v="8"/>
    <x v="8"/>
    <s v="Sikkim"/>
    <n v="11"/>
    <s v="State"/>
    <n v="31.68"/>
    <n v="48.38"/>
    <n v="183.65"/>
    <n v="0.11"/>
    <n v="263.70999999999998"/>
    <n v="263.82"/>
    <m/>
  </r>
  <r>
    <d v="2022-04-01T00:00:00"/>
    <s v="2022-23"/>
    <n v="2022"/>
    <x v="8"/>
    <x v="8"/>
    <s v="Tamil Nadu"/>
    <n v="33"/>
    <s v="State"/>
    <n v="2595.96"/>
    <n v="3440.26"/>
    <n v="2924.95"/>
    <n v="762.98"/>
    <n v="8961.17"/>
    <n v="9724.15"/>
    <m/>
  </r>
  <r>
    <d v="2022-04-01T00:00:00"/>
    <s v="2022-23"/>
    <n v="2022"/>
    <x v="8"/>
    <x v="8"/>
    <s v="Telangana"/>
    <n v="36"/>
    <s v="State"/>
    <n v="1271.06"/>
    <n v="1662.97"/>
    <n v="1524.18"/>
    <n v="497.15"/>
    <n v="4458.21"/>
    <n v="4955.3599999999997"/>
    <m/>
  </r>
  <r>
    <d v="2022-04-01T00:00:00"/>
    <s v="2022-23"/>
    <n v="2022"/>
    <x v="8"/>
    <x v="8"/>
    <s v="Tripura"/>
    <n v="16"/>
    <s v="State"/>
    <n v="40.630000000000003"/>
    <n v="53.61"/>
    <n v="12.04"/>
    <n v="0.57999999999999996"/>
    <n v="106.28"/>
    <n v="106.86"/>
    <m/>
  </r>
  <r>
    <d v="2022-04-01T00:00:00"/>
    <s v="2022-23"/>
    <n v="2022"/>
    <x v="8"/>
    <x v="8"/>
    <s v="Uttar Pradesh"/>
    <n v="9"/>
    <s v="State"/>
    <n v="2038.59"/>
    <n v="2781.78"/>
    <n v="2542.98"/>
    <n v="1170.76"/>
    <n v="7363.35"/>
    <n v="8534.11"/>
    <m/>
  </r>
  <r>
    <d v="2022-04-01T00:00:00"/>
    <s v="2022-23"/>
    <n v="2022"/>
    <x v="8"/>
    <x v="8"/>
    <s v="Uttarakhand"/>
    <n v="5"/>
    <s v="State"/>
    <n v="426.27"/>
    <n v="584.84"/>
    <n v="863.93"/>
    <n v="11.55"/>
    <n v="1875.04"/>
    <n v="1886.59"/>
    <m/>
  </r>
  <r>
    <d v="2022-04-01T00:00:00"/>
    <s v="2022-23"/>
    <n v="2022"/>
    <x v="8"/>
    <x v="8"/>
    <s v="West Bengal"/>
    <n v="19"/>
    <s v="State"/>
    <n v="1734.28"/>
    <n v="2155.35"/>
    <n v="1377.17"/>
    <n v="377.04"/>
    <n v="5266.8"/>
    <n v="5643.84"/>
    <m/>
  </r>
  <r>
    <d v="2022-05-01T00:00:00"/>
    <s v="2022-23"/>
    <n v="2022"/>
    <x v="9"/>
    <x v="9"/>
    <s v="Andaman and Nicobar Islands"/>
    <n v="35"/>
    <s v="Union Territory"/>
    <n v="8.48"/>
    <n v="11.66"/>
    <n v="4.17"/>
    <n v="0.02"/>
    <n v="24.31"/>
    <n v="24.33"/>
    <m/>
  </r>
  <r>
    <d v="2022-05-01T00:00:00"/>
    <s v="2022-23"/>
    <n v="2022"/>
    <x v="9"/>
    <x v="9"/>
    <s v="Andhra Pradesh"/>
    <n v="28"/>
    <s v="State"/>
    <n v="742.18"/>
    <n v="972.51"/>
    <n v="945.11"/>
    <n v="386.9"/>
    <n v="2659.8"/>
    <n v="3046.7"/>
    <m/>
  </r>
  <r>
    <d v="2022-05-01T00:00:00"/>
    <s v="2022-23"/>
    <n v="2022"/>
    <x v="9"/>
    <x v="9"/>
    <s v="Arunachal Pradesh"/>
    <n v="12"/>
    <s v="State"/>
    <n v="31.52"/>
    <n v="41.17"/>
    <n v="8.82"/>
    <n v="0.12"/>
    <n v="81.510000000000005"/>
    <n v="81.63"/>
    <m/>
  </r>
  <r>
    <d v="2022-05-01T00:00:00"/>
    <s v="2022-23"/>
    <n v="2022"/>
    <x v="9"/>
    <x v="9"/>
    <s v="Assam"/>
    <n v="18"/>
    <s v="State"/>
    <n v="304.76"/>
    <n v="414.38"/>
    <n v="300.08"/>
    <n v="42.96"/>
    <n v="1019.22"/>
    <n v="1062.18"/>
    <m/>
  </r>
  <r>
    <d v="2022-05-01T00:00:00"/>
    <s v="2022-23"/>
    <n v="2022"/>
    <x v="9"/>
    <x v="9"/>
    <s v="Bihar"/>
    <n v="10"/>
    <s v="State"/>
    <n v="313.8"/>
    <n v="546.19000000000005"/>
    <n v="149.81"/>
    <n v="167.77"/>
    <n v="1009.8"/>
    <n v="1177.57"/>
    <m/>
  </r>
  <r>
    <d v="2022-05-01T00:00:00"/>
    <s v="2022-23"/>
    <n v="2022"/>
    <x v="9"/>
    <x v="9"/>
    <s v="Chandigarh"/>
    <n v="4"/>
    <s v="Union Territory"/>
    <n v="32.270000000000003"/>
    <n v="43.39"/>
    <n v="86.68"/>
    <n v="4.7699999999999996"/>
    <n v="162.34"/>
    <n v="167.11"/>
    <m/>
  </r>
  <r>
    <d v="2022-05-01T00:00:00"/>
    <s v="2022-23"/>
    <n v="2022"/>
    <x v="9"/>
    <x v="9"/>
    <s v="Chhattisgarh"/>
    <n v="22"/>
    <s v="State"/>
    <n v="508.34"/>
    <n v="604.47"/>
    <n v="938.4"/>
    <n v="576.21"/>
    <n v="2051.21"/>
    <n v="2627.42"/>
    <m/>
  </r>
  <r>
    <d v="2022-05-01T00:00:00"/>
    <s v="2022-23"/>
    <n v="2022"/>
    <x v="9"/>
    <x v="9"/>
    <s v="Dadra and Nagar Haveli and Daman and Diu"/>
    <n v="38"/>
    <s v="Union Territory"/>
    <n v="43.21"/>
    <n v="55.26"/>
    <n v="199.69"/>
    <n v="2.2599999999999998"/>
    <n v="298.16000000000003"/>
    <n v="300.42"/>
    <m/>
  </r>
  <r>
    <d v="2022-05-01T00:00:00"/>
    <s v="2022-23"/>
    <n v="2022"/>
    <x v="9"/>
    <x v="9"/>
    <s v="Delhi"/>
    <n v="7"/>
    <s v="Union Territory"/>
    <n v="798.73"/>
    <n v="996.34"/>
    <n v="2217.87"/>
    <n v="100.55"/>
    <n v="4012.94"/>
    <n v="4113.49"/>
    <m/>
  </r>
  <r>
    <d v="2022-05-01T00:00:00"/>
    <s v="2022-23"/>
    <n v="2022"/>
    <x v="9"/>
    <x v="9"/>
    <s v="Goa"/>
    <n v="30"/>
    <s v="State"/>
    <n v="125.94"/>
    <n v="167.24"/>
    <n v="163.47999999999999"/>
    <n v="4.13"/>
    <n v="456.66"/>
    <n v="460.79"/>
    <m/>
  </r>
  <r>
    <d v="2022-05-01T00:00:00"/>
    <s v="2022-23"/>
    <n v="2022"/>
    <x v="9"/>
    <x v="9"/>
    <s v="Gujarat"/>
    <n v="24"/>
    <s v="State"/>
    <n v="2634.17"/>
    <n v="3097.14"/>
    <n v="3053.15"/>
    <n v="536.88"/>
    <n v="8784.4599999999991"/>
    <n v="9321.34"/>
    <m/>
  </r>
  <r>
    <d v="2022-05-01T00:00:00"/>
    <s v="2022-23"/>
    <n v="2022"/>
    <x v="9"/>
    <x v="9"/>
    <s v="Haryana"/>
    <n v="6"/>
    <s v="State"/>
    <n v="1106.4000000000001"/>
    <n v="1483.91"/>
    <n v="3523.21"/>
    <n v="549.66"/>
    <n v="6113.52"/>
    <n v="6663.18"/>
    <m/>
  </r>
  <r>
    <d v="2022-05-01T00:00:00"/>
    <s v="2022-23"/>
    <n v="2022"/>
    <x v="9"/>
    <x v="9"/>
    <s v="Himachal Pradesh"/>
    <n v="2"/>
    <s v="State"/>
    <n v="119.49"/>
    <n v="171.72"/>
    <n v="447.74"/>
    <n v="1.89"/>
    <n v="738.95"/>
    <n v="740.84"/>
    <m/>
  </r>
  <r>
    <d v="2022-05-01T00:00:00"/>
    <s v="2022-23"/>
    <n v="2022"/>
    <x v="9"/>
    <x v="9"/>
    <s v="Jammu and Kashmir"/>
    <n v="1"/>
    <s v="Union Territory"/>
    <n v="103.41"/>
    <n v="165.49"/>
    <n v="93.95"/>
    <n v="8.7899999999999991"/>
    <n v="362.85"/>
    <n v="371.64"/>
    <m/>
  </r>
  <r>
    <d v="2022-05-01T00:00:00"/>
    <s v="2022-23"/>
    <n v="2022"/>
    <x v="9"/>
    <x v="9"/>
    <s v="Jharkhand"/>
    <n v="20"/>
    <s v="State"/>
    <n v="443.82"/>
    <n v="607.97"/>
    <n v="963.42"/>
    <n v="452.86"/>
    <n v="2015.21"/>
    <n v="2468.0700000000002"/>
    <m/>
  </r>
  <r>
    <d v="2022-05-01T00:00:00"/>
    <s v="2022-23"/>
    <n v="2022"/>
    <x v="9"/>
    <x v="9"/>
    <s v="Karnataka"/>
    <n v="29"/>
    <s v="State"/>
    <n v="2111.77"/>
    <n v="2658.02"/>
    <n v="3408.4"/>
    <n v="1053.8499999999999"/>
    <n v="8178.19"/>
    <n v="9232.0400000000009"/>
    <m/>
  </r>
  <r>
    <d v="2022-05-01T00:00:00"/>
    <s v="2022-23"/>
    <n v="2022"/>
    <x v="9"/>
    <x v="9"/>
    <s v="Kerala"/>
    <n v="32"/>
    <s v="State"/>
    <n v="697.48"/>
    <n v="952.62"/>
    <n v="411.4"/>
    <n v="2.56"/>
    <n v="2061.5"/>
    <n v="2064.06"/>
    <m/>
  </r>
  <r>
    <d v="2022-05-01T00:00:00"/>
    <s v="2022-23"/>
    <n v="2022"/>
    <x v="9"/>
    <x v="9"/>
    <s v="Ladakh"/>
    <n v="37"/>
    <s v="Union Territory"/>
    <n v="4.1500000000000004"/>
    <n v="6.66"/>
    <n v="1.49"/>
    <n v="0.13"/>
    <n v="12.3"/>
    <n v="12.43"/>
    <m/>
  </r>
  <r>
    <d v="2022-05-01T00:00:00"/>
    <s v="2022-23"/>
    <n v="2022"/>
    <x v="9"/>
    <x v="9"/>
    <s v="Lakshadweep"/>
    <n v="31"/>
    <s v="Union Territory"/>
    <n v="0.31"/>
    <n v="0.33"/>
    <n v="0.03"/>
    <n v="0"/>
    <n v="0.67"/>
    <n v="0.67"/>
    <m/>
  </r>
  <r>
    <d v="2022-05-01T00:00:00"/>
    <s v="2022-23"/>
    <n v="2022"/>
    <x v="9"/>
    <x v="9"/>
    <s v="Madhya Pradesh"/>
    <n v="23"/>
    <s v="State"/>
    <n v="603.24"/>
    <n v="833.01"/>
    <n v="752.36"/>
    <n v="557.87"/>
    <n v="2188.61"/>
    <n v="2746.48"/>
    <m/>
  </r>
  <r>
    <d v="2022-05-01T00:00:00"/>
    <s v="2022-23"/>
    <n v="2022"/>
    <x v="9"/>
    <x v="9"/>
    <s v="Maharashtra"/>
    <n v="27"/>
    <s v="State"/>
    <n v="5650.29"/>
    <n v="6607.17"/>
    <n v="6530.69"/>
    <n v="1524.63"/>
    <n v="18788.150000000001"/>
    <n v="20312.78"/>
    <m/>
  </r>
  <r>
    <d v="2022-05-01T00:00:00"/>
    <s v="2022-23"/>
    <n v="2022"/>
    <x v="9"/>
    <x v="9"/>
    <s v="Manipur"/>
    <n v="14"/>
    <s v="State"/>
    <n v="17.45"/>
    <n v="25.94"/>
    <n v="3.86"/>
    <n v="0.21"/>
    <n v="47.25"/>
    <n v="47.46"/>
    <m/>
  </r>
  <r>
    <d v="2022-05-01T00:00:00"/>
    <s v="2022-23"/>
    <n v="2022"/>
    <x v="9"/>
    <x v="9"/>
    <s v="Meghalaya"/>
    <n v="17"/>
    <s v="State"/>
    <n v="29.89"/>
    <n v="38.21"/>
    <n v="103.77"/>
    <n v="2.59"/>
    <n v="171.87"/>
    <n v="174.46"/>
    <m/>
  </r>
  <r>
    <d v="2022-05-01T00:00:00"/>
    <s v="2022-23"/>
    <n v="2022"/>
    <x v="9"/>
    <x v="9"/>
    <s v="Mizoram"/>
    <n v="15"/>
    <s v="State"/>
    <n v="8.84"/>
    <n v="14.38"/>
    <n v="1.77"/>
    <n v="0.01"/>
    <n v="24.99"/>
    <n v="25"/>
    <m/>
  </r>
  <r>
    <d v="2022-05-01T00:00:00"/>
    <s v="2022-23"/>
    <n v="2022"/>
    <x v="9"/>
    <x v="9"/>
    <s v="Nagaland"/>
    <n v="13"/>
    <s v="State"/>
    <n v="14.96"/>
    <n v="18.55"/>
    <n v="11.24"/>
    <n v="4.38"/>
    <n v="44.75"/>
    <n v="49.13"/>
    <m/>
  </r>
  <r>
    <d v="2022-05-01T00:00:00"/>
    <s v="2022-23"/>
    <n v="2022"/>
    <x v="9"/>
    <x v="9"/>
    <s v="Odisha"/>
    <n v="21"/>
    <s v="State"/>
    <n v="978.25"/>
    <n v="1174.02"/>
    <n v="1105.51"/>
    <n v="697.97"/>
    <n v="3257.78"/>
    <n v="3955.75"/>
    <m/>
  </r>
  <r>
    <d v="2022-05-01T00:00:00"/>
    <s v="2022-23"/>
    <n v="2022"/>
    <x v="9"/>
    <x v="9"/>
    <s v="Puducherry"/>
    <n v="34"/>
    <s v="Union Territory"/>
    <n v="21.84"/>
    <n v="33.31"/>
    <n v="125.56"/>
    <n v="0.41"/>
    <n v="180.71"/>
    <n v="181.12"/>
    <m/>
  </r>
  <r>
    <d v="2022-05-01T00:00:00"/>
    <s v="2022-23"/>
    <n v="2022"/>
    <x v="9"/>
    <x v="9"/>
    <s v="Punjab"/>
    <n v="3"/>
    <s v="State"/>
    <n v="428.02"/>
    <n v="639.19000000000005"/>
    <n v="725.1"/>
    <n v="40.58"/>
    <n v="1792.31"/>
    <n v="1832.89"/>
    <m/>
  </r>
  <r>
    <d v="2022-05-01T00:00:00"/>
    <s v="2022-23"/>
    <n v="2022"/>
    <x v="9"/>
    <x v="9"/>
    <s v="Rajasthan"/>
    <n v="8"/>
    <s v="State"/>
    <n v="953.06"/>
    <n v="1256.93"/>
    <n v="1438.99"/>
    <n v="139.93"/>
    <n v="3648.98"/>
    <n v="3788.91"/>
    <m/>
  </r>
  <r>
    <d v="2022-05-01T00:00:00"/>
    <s v="2022-23"/>
    <n v="2022"/>
    <x v="9"/>
    <x v="9"/>
    <s v="Sikkim"/>
    <n v="11"/>
    <s v="State"/>
    <n v="17.399999999999999"/>
    <n v="22.85"/>
    <n v="238.21"/>
    <n v="0.18"/>
    <n v="278.45999999999998"/>
    <n v="278.64"/>
    <m/>
  </r>
  <r>
    <d v="2022-05-01T00:00:00"/>
    <s v="2022-23"/>
    <n v="2022"/>
    <x v="9"/>
    <x v="9"/>
    <s v="Tamil Nadu"/>
    <n v="33"/>
    <s v="State"/>
    <n v="2056.6999999999998"/>
    <n v="2720.28"/>
    <n v="2488.5"/>
    <n v="644.37"/>
    <n v="7265.48"/>
    <n v="7909.85"/>
    <m/>
  </r>
  <r>
    <d v="2022-05-01T00:00:00"/>
    <s v="2022-23"/>
    <n v="2022"/>
    <x v="9"/>
    <x v="9"/>
    <s v="Telangana"/>
    <n v="36"/>
    <s v="State"/>
    <n v="942.49"/>
    <n v="1244.99"/>
    <n v="1250.8900000000001"/>
    <n v="543.29999999999995"/>
    <n v="3438.37"/>
    <n v="3981.67"/>
    <m/>
  </r>
  <r>
    <d v="2022-05-01T00:00:00"/>
    <s v="2022-23"/>
    <n v="2022"/>
    <x v="9"/>
    <x v="9"/>
    <s v="Tripura"/>
    <n v="16"/>
    <s v="State"/>
    <n v="23.44"/>
    <n v="33.840000000000003"/>
    <n v="7.8"/>
    <n v="0.25"/>
    <n v="65.08"/>
    <n v="65.33"/>
    <m/>
  </r>
  <r>
    <d v="2022-05-01T00:00:00"/>
    <s v="2022-23"/>
    <n v="2022"/>
    <x v="9"/>
    <x v="9"/>
    <s v="Uttar Pradesh"/>
    <n v="9"/>
    <s v="State"/>
    <n v="1494.83"/>
    <n v="2188.8000000000002"/>
    <n v="1869.99"/>
    <n v="1116.43"/>
    <n v="5553.62"/>
    <n v="6670.05"/>
    <m/>
  </r>
  <r>
    <d v="2022-05-01T00:00:00"/>
    <s v="2022-23"/>
    <n v="2022"/>
    <x v="9"/>
    <x v="9"/>
    <s v="Uttarakhand"/>
    <n v="5"/>
    <s v="State"/>
    <n v="257.42"/>
    <n v="358.22"/>
    <n v="680.9"/>
    <n v="12.07"/>
    <n v="1296.54"/>
    <n v="1308.6099999999999"/>
    <m/>
  </r>
  <r>
    <d v="2022-05-01T00:00:00"/>
    <s v="2022-23"/>
    <n v="2022"/>
    <x v="9"/>
    <x v="9"/>
    <s v="West Bengal"/>
    <n v="19"/>
    <s v="State"/>
    <n v="1396.91"/>
    <n v="1782.84"/>
    <n v="1322.24"/>
    <n v="393.8"/>
    <n v="4501.99"/>
    <n v="4895.79"/>
    <m/>
  </r>
  <r>
    <d v="2022-06-01T00:00:00"/>
    <s v="2022-23"/>
    <n v="2022"/>
    <x v="10"/>
    <x v="10"/>
    <s v="Andaman and Nicobar Islands"/>
    <n v="35"/>
    <s v="Union Territory"/>
    <n v="7.9"/>
    <n v="11.12"/>
    <n v="3.32"/>
    <n v="0.02"/>
    <n v="22.34"/>
    <n v="22.36"/>
    <m/>
  </r>
  <r>
    <d v="2022-06-01T00:00:00"/>
    <s v="2022-23"/>
    <n v="2022"/>
    <x v="10"/>
    <x v="10"/>
    <s v="Andhra Pradesh"/>
    <n v="28"/>
    <s v="State"/>
    <n v="739.75"/>
    <n v="965.12"/>
    <n v="1026.83"/>
    <n v="254.81"/>
    <n v="2731.7"/>
    <n v="2986.51"/>
    <m/>
  </r>
  <r>
    <d v="2022-06-01T00:00:00"/>
    <s v="2022-23"/>
    <n v="2022"/>
    <x v="10"/>
    <x v="10"/>
    <s v="Arunachal Pradesh"/>
    <n v="12"/>
    <s v="State"/>
    <n v="19.55"/>
    <n v="28.08"/>
    <n v="10.71"/>
    <n v="0.18"/>
    <n v="58.34"/>
    <n v="58.52"/>
    <m/>
  </r>
  <r>
    <d v="2022-06-01T00:00:00"/>
    <s v="2022-23"/>
    <n v="2022"/>
    <x v="10"/>
    <x v="10"/>
    <s v="Assam"/>
    <n v="18"/>
    <s v="State"/>
    <n v="288.73"/>
    <n v="376.74"/>
    <n v="265.02999999999997"/>
    <n v="41.57"/>
    <n v="930.5"/>
    <n v="972.07"/>
    <m/>
  </r>
  <r>
    <d v="2022-06-01T00:00:00"/>
    <s v="2022-23"/>
    <n v="2022"/>
    <x v="10"/>
    <x v="10"/>
    <s v="Bihar"/>
    <n v="10"/>
    <s v="State"/>
    <n v="314.79000000000002"/>
    <n v="541.69000000000005"/>
    <n v="187.93"/>
    <n v="187.65"/>
    <n v="1044.4100000000001"/>
    <n v="1232.06"/>
    <m/>
  </r>
  <r>
    <d v="2022-06-01T00:00:00"/>
    <s v="2022-23"/>
    <n v="2022"/>
    <x v="10"/>
    <x v="10"/>
    <s v="Chandigarh"/>
    <n v="4"/>
    <s v="Union Territory"/>
    <n v="31.9"/>
    <n v="44.71"/>
    <n v="92.04"/>
    <n v="1.04"/>
    <n v="168.65"/>
    <n v="169.69"/>
    <m/>
  </r>
  <r>
    <d v="2022-06-01T00:00:00"/>
    <s v="2022-23"/>
    <n v="2022"/>
    <x v="10"/>
    <x v="10"/>
    <s v="Chhattisgarh"/>
    <n v="22"/>
    <s v="State"/>
    <n v="533.74"/>
    <n v="628.26"/>
    <n v="977"/>
    <n v="635.41"/>
    <n v="2139"/>
    <n v="2774.41"/>
    <m/>
  </r>
  <r>
    <d v="2022-06-01T00:00:00"/>
    <s v="2022-23"/>
    <n v="2022"/>
    <x v="10"/>
    <x v="10"/>
    <s v="Dadra and Nagar Haveli and Daman and Diu"/>
    <n v="38"/>
    <s v="Union Territory"/>
    <n v="55.74"/>
    <n v="67.260000000000005"/>
    <n v="225.55"/>
    <n v="1.41"/>
    <n v="348.55"/>
    <n v="349.96"/>
    <m/>
  </r>
  <r>
    <d v="2022-06-01T00:00:00"/>
    <s v="2022-23"/>
    <n v="2022"/>
    <x v="10"/>
    <x v="10"/>
    <s v="Delhi"/>
    <n v="7"/>
    <s v="Union Territory"/>
    <n v="852.92"/>
    <n v="1018.51"/>
    <n v="2359.73"/>
    <n v="82.19"/>
    <n v="4231.16"/>
    <n v="4313.3500000000004"/>
    <m/>
  </r>
  <r>
    <d v="2022-06-01T00:00:00"/>
    <s v="2022-23"/>
    <n v="2022"/>
    <x v="10"/>
    <x v="10"/>
    <s v="Goa"/>
    <n v="30"/>
    <s v="State"/>
    <n v="109.79"/>
    <n v="154.19999999999999"/>
    <n v="160.44999999999999"/>
    <n v="4.2"/>
    <n v="424.44"/>
    <n v="428.64"/>
    <m/>
  </r>
  <r>
    <d v="2022-06-01T00:00:00"/>
    <s v="2022-23"/>
    <n v="2022"/>
    <x v="10"/>
    <x v="10"/>
    <s v="Gujarat"/>
    <n v="24"/>
    <s v="State"/>
    <n v="2454.92"/>
    <n v="2967.56"/>
    <n v="3252.83"/>
    <n v="531.27"/>
    <n v="8675.31"/>
    <n v="9206.58"/>
    <m/>
  </r>
  <r>
    <d v="2022-06-01T00:00:00"/>
    <s v="2022-23"/>
    <n v="2022"/>
    <x v="10"/>
    <x v="10"/>
    <s v="Haryana"/>
    <n v="6"/>
    <s v="State"/>
    <n v="1141.32"/>
    <n v="1487.39"/>
    <n v="3577.48"/>
    <n v="507.7"/>
    <n v="6206.19"/>
    <n v="6713.89"/>
    <m/>
  </r>
  <r>
    <d v="2022-06-01T00:00:00"/>
    <s v="2022-23"/>
    <n v="2022"/>
    <x v="10"/>
    <x v="10"/>
    <s v="Himachal Pradesh"/>
    <n v="2"/>
    <s v="State"/>
    <n v="126.5"/>
    <n v="186.86"/>
    <n v="377.58"/>
    <n v="2.2000000000000002"/>
    <n v="690.94"/>
    <n v="693.14"/>
    <m/>
  </r>
  <r>
    <d v="2022-06-01T00:00:00"/>
    <s v="2022-23"/>
    <n v="2022"/>
    <x v="10"/>
    <x v="10"/>
    <s v="Jammu and Kashmir"/>
    <n v="1"/>
    <s v="Union Territory"/>
    <n v="96.38"/>
    <n v="162.32"/>
    <n v="103.27"/>
    <n v="9.86"/>
    <n v="361.97"/>
    <n v="371.83"/>
    <m/>
  </r>
  <r>
    <d v="2022-06-01T00:00:00"/>
    <s v="2022-23"/>
    <n v="2022"/>
    <x v="10"/>
    <x v="10"/>
    <s v="Jharkhand"/>
    <n v="20"/>
    <s v="State"/>
    <n v="408.77"/>
    <n v="577.79"/>
    <n v="824.36"/>
    <n v="504.23"/>
    <n v="1810.92"/>
    <n v="2315.15"/>
    <m/>
  </r>
  <r>
    <d v="2022-06-01T00:00:00"/>
    <s v="2022-23"/>
    <n v="2022"/>
    <x v="10"/>
    <x v="10"/>
    <s v="Karnataka"/>
    <n v="29"/>
    <s v="State"/>
    <n v="2069.87"/>
    <n v="2589.9"/>
    <n v="3241.16"/>
    <n v="943.96"/>
    <n v="7900.93"/>
    <n v="8844.89"/>
    <m/>
  </r>
  <r>
    <d v="2022-06-01T00:00:00"/>
    <s v="2022-23"/>
    <n v="2022"/>
    <x v="10"/>
    <x v="10"/>
    <s v="Kerala"/>
    <n v="32"/>
    <s v="State"/>
    <n v="730.7"/>
    <n v="981.77"/>
    <n v="442.2"/>
    <n v="6.23"/>
    <n v="2154.67"/>
    <n v="2160.9"/>
    <m/>
  </r>
  <r>
    <d v="2022-06-01T00:00:00"/>
    <s v="2022-23"/>
    <n v="2022"/>
    <x v="10"/>
    <x v="10"/>
    <s v="Ladakh"/>
    <n v="37"/>
    <s v="Union Territory"/>
    <n v="4.3899999999999997"/>
    <n v="6.25"/>
    <n v="2.56"/>
    <n v="0.01"/>
    <n v="13.2"/>
    <n v="13.21"/>
    <m/>
  </r>
  <r>
    <d v="2022-06-01T00:00:00"/>
    <s v="2022-23"/>
    <n v="2022"/>
    <x v="10"/>
    <x v="10"/>
    <s v="Lakshadweep"/>
    <n v="31"/>
    <s v="Union Territory"/>
    <n v="0.15"/>
    <n v="0.41"/>
    <n v="0.08"/>
    <n v="0"/>
    <n v="0.64"/>
    <n v="0.64"/>
    <m/>
  </r>
  <r>
    <d v="2022-06-01T00:00:00"/>
    <s v="2022-23"/>
    <n v="2022"/>
    <x v="10"/>
    <x v="10"/>
    <s v="Madhya Pradesh"/>
    <n v="23"/>
    <s v="State"/>
    <n v="583.13"/>
    <n v="809.89"/>
    <n v="808.68"/>
    <n v="635.66"/>
    <n v="2201.6999999999998"/>
    <n v="2837.36"/>
    <m/>
  </r>
  <r>
    <d v="2022-06-01T00:00:00"/>
    <s v="2022-23"/>
    <n v="2022"/>
    <x v="10"/>
    <x v="10"/>
    <s v="Maharashtra"/>
    <n v="27"/>
    <s v="State"/>
    <n v="6184.24"/>
    <n v="7409.87"/>
    <n v="7108.14"/>
    <n v="1639.17"/>
    <n v="20702.25"/>
    <n v="22341.42"/>
    <m/>
  </r>
  <r>
    <d v="2022-06-01T00:00:00"/>
    <s v="2022-23"/>
    <n v="2022"/>
    <x v="10"/>
    <x v="10"/>
    <s v="Manipur"/>
    <n v="14"/>
    <s v="State"/>
    <n v="14.62"/>
    <n v="20.68"/>
    <n v="3.43"/>
    <n v="0.06"/>
    <n v="38.729999999999997"/>
    <n v="38.79"/>
    <m/>
  </r>
  <r>
    <d v="2022-06-01T00:00:00"/>
    <s v="2022-23"/>
    <n v="2022"/>
    <x v="10"/>
    <x v="10"/>
    <s v="Meghalaya"/>
    <n v="17"/>
    <s v="State"/>
    <n v="25.48"/>
    <n v="30.62"/>
    <n v="91.82"/>
    <n v="4.67"/>
    <n v="147.91999999999999"/>
    <n v="152.59"/>
    <m/>
  </r>
  <r>
    <d v="2022-06-01T00:00:00"/>
    <s v="2022-23"/>
    <n v="2022"/>
    <x v="10"/>
    <x v="10"/>
    <s v="Mizoram"/>
    <n v="15"/>
    <s v="State"/>
    <n v="8.7100000000000009"/>
    <n v="14.31"/>
    <n v="2.75"/>
    <n v="0.08"/>
    <n v="25.77"/>
    <n v="25.85"/>
    <m/>
  </r>
  <r>
    <d v="2022-06-01T00:00:00"/>
    <s v="2022-23"/>
    <n v="2022"/>
    <x v="10"/>
    <x v="10"/>
    <s v="Nagaland"/>
    <n v="13"/>
    <s v="State"/>
    <n v="10.11"/>
    <n v="13.45"/>
    <n v="7.74"/>
    <n v="2.2799999999999998"/>
    <n v="31.3"/>
    <n v="33.58"/>
    <m/>
  </r>
  <r>
    <d v="2022-06-01T00:00:00"/>
    <s v="2022-23"/>
    <n v="2022"/>
    <x v="10"/>
    <x v="10"/>
    <s v="Odisha"/>
    <n v="21"/>
    <s v="State"/>
    <n v="1063.33"/>
    <n v="1247.6300000000001"/>
    <n v="847.93"/>
    <n v="806.39"/>
    <n v="3158.89"/>
    <n v="3965.28"/>
    <m/>
  </r>
  <r>
    <d v="2022-06-01T00:00:00"/>
    <s v="2022-23"/>
    <n v="2022"/>
    <x v="10"/>
    <x v="10"/>
    <s v="Puducherry"/>
    <n v="34"/>
    <s v="Union Territory"/>
    <n v="24.61"/>
    <n v="37.94"/>
    <n v="119.72"/>
    <n v="0.18"/>
    <n v="182.27"/>
    <n v="182.45"/>
    <m/>
  </r>
  <r>
    <d v="2022-06-01T00:00:00"/>
    <s v="2022-23"/>
    <n v="2022"/>
    <x v="10"/>
    <x v="10"/>
    <s v="Punjab"/>
    <n v="3"/>
    <s v="State"/>
    <n v="394.77"/>
    <n v="610.41999999999996"/>
    <n v="639.04999999999995"/>
    <n v="38.26"/>
    <n v="1644.24"/>
    <n v="1682.5"/>
    <m/>
  </r>
  <r>
    <d v="2022-06-01T00:00:00"/>
    <s v="2022-23"/>
    <n v="2022"/>
    <x v="10"/>
    <x v="10"/>
    <s v="Rajasthan"/>
    <n v="8"/>
    <s v="State"/>
    <n v="851.44"/>
    <n v="1161.8499999999999"/>
    <n v="1201.76"/>
    <n v="170.91"/>
    <n v="3215.05"/>
    <n v="3385.96"/>
    <m/>
  </r>
  <r>
    <d v="2022-06-01T00:00:00"/>
    <s v="2022-23"/>
    <n v="2022"/>
    <x v="10"/>
    <x v="10"/>
    <s v="Sikkim"/>
    <n v="11"/>
    <s v="State"/>
    <n v="15.47"/>
    <n v="20.03"/>
    <n v="220.79"/>
    <n v="0.08"/>
    <n v="256.29000000000002"/>
    <n v="256.37"/>
    <m/>
  </r>
  <r>
    <d v="2022-06-01T00:00:00"/>
    <s v="2022-23"/>
    <n v="2022"/>
    <x v="10"/>
    <x v="10"/>
    <s v="Tamil Nadu"/>
    <n v="33"/>
    <s v="State"/>
    <n v="2042.37"/>
    <n v="2682.24"/>
    <n v="2623.9"/>
    <n v="678.74"/>
    <n v="7348.51"/>
    <n v="8027.25"/>
    <m/>
  </r>
  <r>
    <d v="2022-06-01T00:00:00"/>
    <s v="2022-23"/>
    <n v="2022"/>
    <x v="10"/>
    <x v="10"/>
    <s v="Telangana"/>
    <n v="36"/>
    <s v="State"/>
    <n v="932.8"/>
    <n v="1241.44"/>
    <n v="1143.25"/>
    <n v="583.97"/>
    <n v="3317.49"/>
    <n v="3901.46"/>
    <m/>
  </r>
  <r>
    <d v="2022-06-01T00:00:00"/>
    <s v="2022-23"/>
    <n v="2022"/>
    <x v="10"/>
    <x v="10"/>
    <s v="Tripura"/>
    <n v="16"/>
    <s v="State"/>
    <n v="20.75"/>
    <n v="28"/>
    <n v="13.84"/>
    <n v="0.4"/>
    <n v="62.59"/>
    <n v="62.99"/>
    <m/>
  </r>
  <r>
    <d v="2022-06-01T00:00:00"/>
    <s v="2022-23"/>
    <n v="2022"/>
    <x v="10"/>
    <x v="10"/>
    <s v="Uttar Pradesh"/>
    <n v="9"/>
    <s v="State"/>
    <n v="1601.09"/>
    <n v="2271.7800000000002"/>
    <n v="1785.04"/>
    <n v="1176.5999999999999"/>
    <n v="5657.91"/>
    <n v="6834.51"/>
    <m/>
  </r>
  <r>
    <d v="2022-06-01T00:00:00"/>
    <s v="2022-23"/>
    <n v="2022"/>
    <x v="10"/>
    <x v="10"/>
    <s v="Uttarakhand"/>
    <n v="5"/>
    <s v="State"/>
    <n v="257.79000000000002"/>
    <n v="369.99"/>
    <n v="642.75"/>
    <n v="10.39"/>
    <n v="1270.53"/>
    <n v="1280.92"/>
    <m/>
  </r>
  <r>
    <d v="2022-06-01T00:00:00"/>
    <s v="2022-23"/>
    <n v="2022"/>
    <x v="10"/>
    <x v="10"/>
    <s v="West Bengal"/>
    <n v="19"/>
    <s v="State"/>
    <n v="1280.52"/>
    <n v="1630.56"/>
    <n v="1061.55"/>
    <n v="358.77"/>
    <n v="3972.63"/>
    <n v="4331.3999999999996"/>
    <m/>
  </r>
  <r>
    <d v="2022-07-01T00:00:00"/>
    <s v="2022-23"/>
    <n v="2022"/>
    <x v="11"/>
    <x v="11"/>
    <s v="Andaman and Nicobar Islands"/>
    <n v="35"/>
    <s v="Union Territory"/>
    <n v="8.31"/>
    <n v="11.47"/>
    <n v="3.5"/>
    <n v="0.13"/>
    <n v="23.28"/>
    <n v="23.41"/>
    <m/>
  </r>
  <r>
    <d v="2022-07-01T00:00:00"/>
    <s v="2022-23"/>
    <n v="2022"/>
    <x v="11"/>
    <x v="11"/>
    <s v="Andhra Pradesh"/>
    <n v="28"/>
    <s v="State"/>
    <n v="829.8"/>
    <n v="1081.57"/>
    <n v="1170.92"/>
    <n v="326.67"/>
    <n v="3082.29"/>
    <n v="3408.96"/>
    <m/>
  </r>
  <r>
    <d v="2022-07-01T00:00:00"/>
    <s v="2022-23"/>
    <n v="2022"/>
    <x v="11"/>
    <x v="11"/>
    <s v="Arunachal Pradesh"/>
    <n v="12"/>
    <s v="State"/>
    <n v="22.58"/>
    <n v="29.44"/>
    <n v="13.13"/>
    <n v="0.26"/>
    <n v="65.150000000000006"/>
    <n v="65.41"/>
    <m/>
  </r>
  <r>
    <d v="2022-07-01T00:00:00"/>
    <s v="2022-23"/>
    <n v="2022"/>
    <x v="11"/>
    <x v="11"/>
    <s v="Assam"/>
    <n v="18"/>
    <s v="State"/>
    <n v="294.02999999999997"/>
    <n v="382.34"/>
    <n v="302.37"/>
    <n v="61.75"/>
    <n v="978.74"/>
    <n v="1040.49"/>
    <m/>
  </r>
  <r>
    <d v="2022-07-01T00:00:00"/>
    <s v="2022-23"/>
    <n v="2022"/>
    <x v="11"/>
    <x v="11"/>
    <s v="Bihar"/>
    <n v="10"/>
    <s v="State"/>
    <n v="336.69"/>
    <n v="584.55999999999995"/>
    <n v="166.7"/>
    <n v="175.6"/>
    <n v="1087.95"/>
    <n v="1263.55"/>
    <m/>
  </r>
  <r>
    <d v="2022-07-01T00:00:00"/>
    <s v="2022-23"/>
    <n v="2022"/>
    <x v="11"/>
    <x v="11"/>
    <s v="Chandigarh"/>
    <n v="4"/>
    <s v="Union Territory"/>
    <n v="35.99"/>
    <n v="48.47"/>
    <n v="90.78"/>
    <n v="0.65"/>
    <n v="175.24"/>
    <n v="175.89"/>
    <m/>
  </r>
  <r>
    <d v="2022-07-01T00:00:00"/>
    <s v="2022-23"/>
    <n v="2022"/>
    <x v="11"/>
    <x v="11"/>
    <s v="Chhattisgarh"/>
    <n v="22"/>
    <s v="State"/>
    <n v="540.49"/>
    <n v="636.53"/>
    <n v="926.77"/>
    <n v="591.16999999999996"/>
    <n v="2103.79"/>
    <n v="2694.96"/>
    <m/>
  </r>
  <r>
    <d v="2022-07-01T00:00:00"/>
    <s v="2022-23"/>
    <n v="2022"/>
    <x v="11"/>
    <x v="11"/>
    <s v="Dadra and Nagar Haveli and Daman and Diu"/>
    <n v="38"/>
    <s v="Union Territory"/>
    <n v="38.5"/>
    <n v="51.09"/>
    <n v="222.94"/>
    <n v="0.99"/>
    <n v="312.52999999999997"/>
    <n v="313.52"/>
    <m/>
  </r>
  <r>
    <d v="2022-07-01T00:00:00"/>
    <s v="2022-23"/>
    <n v="2022"/>
    <x v="11"/>
    <x v="11"/>
    <s v="Delhi"/>
    <n v="7"/>
    <s v="Union Territory"/>
    <n v="875.79"/>
    <n v="1045.8900000000001"/>
    <n v="2328.36"/>
    <n v="77.28"/>
    <n v="4250.04"/>
    <n v="4327.32"/>
    <m/>
  </r>
  <r>
    <d v="2022-07-01T00:00:00"/>
    <s v="2022-23"/>
    <n v="2022"/>
    <x v="11"/>
    <x v="11"/>
    <s v="Goa"/>
    <n v="30"/>
    <s v="State"/>
    <n v="112.94"/>
    <n v="153.19"/>
    <n v="162.91999999999999"/>
    <n v="3.44"/>
    <n v="429.05"/>
    <n v="432.49"/>
    <m/>
  </r>
  <r>
    <d v="2022-07-01T00:00:00"/>
    <s v="2022-23"/>
    <n v="2022"/>
    <x v="11"/>
    <x v="11"/>
    <s v="Gujarat"/>
    <n v="24"/>
    <s v="State"/>
    <n v="2527"/>
    <n v="3036.04"/>
    <n v="3085.08"/>
    <n v="534.42999999999995"/>
    <n v="8648.1200000000008"/>
    <n v="9182.5499999999993"/>
    <m/>
  </r>
  <r>
    <d v="2022-07-01T00:00:00"/>
    <s v="2022-23"/>
    <n v="2022"/>
    <x v="11"/>
    <x v="11"/>
    <s v="Haryana"/>
    <n v="6"/>
    <s v="State"/>
    <n v="1152.27"/>
    <n v="1505.96"/>
    <n v="3650.84"/>
    <n v="481.71"/>
    <n v="6309.07"/>
    <n v="6790.78"/>
    <m/>
  </r>
  <r>
    <d v="2022-07-01T00:00:00"/>
    <s v="2022-23"/>
    <n v="2022"/>
    <x v="11"/>
    <x v="11"/>
    <s v="Himachal Pradesh"/>
    <n v="2"/>
    <s v="State"/>
    <n v="136.82"/>
    <n v="198.67"/>
    <n v="407.92"/>
    <n v="2.2599999999999998"/>
    <n v="743.41"/>
    <n v="745.67"/>
    <m/>
  </r>
  <r>
    <d v="2022-07-01T00:00:00"/>
    <s v="2022-23"/>
    <n v="2022"/>
    <x v="11"/>
    <x v="11"/>
    <s v="Jammu and Kashmir"/>
    <n v="1"/>
    <s v="Union Territory"/>
    <n v="117.96"/>
    <n v="185.39"/>
    <n v="118.78"/>
    <n v="8.82"/>
    <n v="422.13"/>
    <n v="430.95"/>
    <m/>
  </r>
  <r>
    <d v="2022-07-01T00:00:00"/>
    <s v="2022-23"/>
    <n v="2022"/>
    <x v="11"/>
    <x v="11"/>
    <s v="Jharkhand"/>
    <n v="20"/>
    <s v="State"/>
    <n v="444.86"/>
    <n v="553.78"/>
    <n v="992.97"/>
    <n v="522.12"/>
    <n v="1991.61"/>
    <n v="2513.73"/>
    <m/>
  </r>
  <r>
    <d v="2022-07-01T00:00:00"/>
    <s v="2022-23"/>
    <n v="2022"/>
    <x v="11"/>
    <x v="11"/>
    <s v="Karnataka"/>
    <n v="29"/>
    <s v="State"/>
    <n v="2233.33"/>
    <n v="2808.12"/>
    <n v="3543.11"/>
    <n v="1210.04"/>
    <n v="8584.56"/>
    <n v="9794.6"/>
    <m/>
  </r>
  <r>
    <d v="2022-07-01T00:00:00"/>
    <s v="2022-23"/>
    <n v="2022"/>
    <x v="11"/>
    <x v="11"/>
    <s v="Kerala"/>
    <n v="32"/>
    <s v="State"/>
    <n v="742.78"/>
    <n v="1000.18"/>
    <n v="410.71"/>
    <n v="7.56"/>
    <n v="2153.67"/>
    <n v="2161.23"/>
    <m/>
  </r>
  <r>
    <d v="2022-07-01T00:00:00"/>
    <s v="2022-23"/>
    <n v="2022"/>
    <x v="11"/>
    <x v="11"/>
    <s v="Ladakh"/>
    <n v="37"/>
    <s v="Union Territory"/>
    <n v="6.93"/>
    <n v="9.14"/>
    <n v="3.88"/>
    <n v="0.04"/>
    <n v="19.95"/>
    <n v="19.989999999999998"/>
    <m/>
  </r>
  <r>
    <d v="2022-07-01T00:00:00"/>
    <s v="2022-23"/>
    <n v="2022"/>
    <x v="11"/>
    <x v="11"/>
    <s v="Lakshadweep"/>
    <n v="31"/>
    <s v="Union Territory"/>
    <n v="0.7"/>
    <n v="0.89"/>
    <n v="0.03"/>
    <n v="0"/>
    <n v="1.62"/>
    <n v="1.62"/>
    <m/>
  </r>
  <r>
    <d v="2022-07-01T00:00:00"/>
    <s v="2022-23"/>
    <n v="2022"/>
    <x v="11"/>
    <x v="11"/>
    <s v="Madhya Pradesh"/>
    <n v="23"/>
    <s v="State"/>
    <n v="661.46"/>
    <n v="902.21"/>
    <n v="828.16"/>
    <n v="574.19000000000005"/>
    <n v="2391.83"/>
    <n v="2966.02"/>
    <m/>
  </r>
  <r>
    <d v="2022-07-01T00:00:00"/>
    <s v="2022-23"/>
    <n v="2022"/>
    <x v="11"/>
    <x v="11"/>
    <s v="Maharashtra"/>
    <n v="27"/>
    <s v="State"/>
    <n v="5524.67"/>
    <n v="6578.04"/>
    <n v="8248.5400000000009"/>
    <n v="1777.46"/>
    <n v="20351.25"/>
    <n v="22128.71"/>
    <m/>
  </r>
  <r>
    <d v="2022-07-01T00:00:00"/>
    <s v="2022-23"/>
    <n v="2022"/>
    <x v="11"/>
    <x v="11"/>
    <s v="Manipur"/>
    <n v="14"/>
    <s v="State"/>
    <n v="16.899999999999999"/>
    <n v="23.74"/>
    <n v="4.18"/>
    <n v="0.19"/>
    <n v="44.82"/>
    <n v="45.01"/>
    <m/>
  </r>
  <r>
    <d v="2022-07-01T00:00:00"/>
    <s v="2022-23"/>
    <n v="2022"/>
    <x v="11"/>
    <x v="11"/>
    <s v="Meghalaya"/>
    <n v="17"/>
    <s v="State"/>
    <n v="25.3"/>
    <n v="31.81"/>
    <n v="80.12"/>
    <n v="1.1000000000000001"/>
    <n v="137.22999999999999"/>
    <n v="138.33000000000001"/>
    <m/>
  </r>
  <r>
    <d v="2022-07-01T00:00:00"/>
    <s v="2022-23"/>
    <n v="2022"/>
    <x v="11"/>
    <x v="11"/>
    <s v="Mizoram"/>
    <n v="15"/>
    <s v="State"/>
    <n v="9.89"/>
    <n v="13.72"/>
    <n v="2.96"/>
    <n v="0.03"/>
    <n v="26.57"/>
    <n v="26.6"/>
    <m/>
  </r>
  <r>
    <d v="2022-07-01T00:00:00"/>
    <s v="2022-23"/>
    <n v="2022"/>
    <x v="11"/>
    <x v="11"/>
    <s v="Nagaland"/>
    <n v="13"/>
    <s v="State"/>
    <n v="10.86"/>
    <n v="13.64"/>
    <n v="12.06"/>
    <n v="5.09"/>
    <n v="36.56"/>
    <n v="41.65"/>
    <m/>
  </r>
  <r>
    <d v="2022-07-01T00:00:00"/>
    <s v="2022-23"/>
    <n v="2022"/>
    <x v="11"/>
    <x v="11"/>
    <s v="Odisha"/>
    <n v="21"/>
    <s v="State"/>
    <n v="959.04"/>
    <n v="1111.69"/>
    <n v="872.98"/>
    <n v="707.9"/>
    <n v="2943.71"/>
    <n v="3651.61"/>
    <m/>
  </r>
  <r>
    <d v="2022-07-01T00:00:00"/>
    <s v="2022-23"/>
    <n v="2022"/>
    <x v="11"/>
    <x v="11"/>
    <s v="Puducherry"/>
    <n v="34"/>
    <s v="Union Territory"/>
    <n v="25.27"/>
    <n v="39.11"/>
    <n v="133.49"/>
    <n v="0.52"/>
    <n v="197.87"/>
    <n v="198.39"/>
    <m/>
  </r>
  <r>
    <d v="2022-07-01T00:00:00"/>
    <s v="2022-23"/>
    <n v="2022"/>
    <x v="11"/>
    <x v="11"/>
    <s v="Punjab"/>
    <n v="3"/>
    <s v="State"/>
    <n v="430.97"/>
    <n v="641.42999999999995"/>
    <n v="626.46"/>
    <n v="34.6"/>
    <n v="1698.86"/>
    <n v="1733.46"/>
    <m/>
  </r>
  <r>
    <d v="2022-07-01T00:00:00"/>
    <s v="2022-23"/>
    <n v="2022"/>
    <x v="11"/>
    <x v="11"/>
    <s v="Rajasthan"/>
    <n v="8"/>
    <s v="State"/>
    <n v="934.24"/>
    <n v="1243.01"/>
    <n v="1351.15"/>
    <n v="142.76"/>
    <n v="3528.4"/>
    <n v="3671.16"/>
    <m/>
  </r>
  <r>
    <d v="2022-07-01T00:00:00"/>
    <s v="2022-23"/>
    <n v="2022"/>
    <x v="11"/>
    <x v="11"/>
    <s v="Sikkim"/>
    <n v="11"/>
    <s v="State"/>
    <n v="15.59"/>
    <n v="21.98"/>
    <n v="211.29"/>
    <n v="0.02"/>
    <n v="248.86"/>
    <n v="248.88"/>
    <m/>
  </r>
  <r>
    <d v="2022-07-01T00:00:00"/>
    <s v="2022-23"/>
    <n v="2022"/>
    <x v="11"/>
    <x v="11"/>
    <s v="Tamil Nadu"/>
    <n v="33"/>
    <s v="State"/>
    <n v="2189.61"/>
    <n v="2947.07"/>
    <n v="2643.33"/>
    <n v="669.3"/>
    <n v="7780.01"/>
    <n v="8449.31"/>
    <m/>
  </r>
  <r>
    <d v="2022-07-01T00:00:00"/>
    <s v="2022-23"/>
    <n v="2022"/>
    <x v="11"/>
    <x v="11"/>
    <s v="Telangana"/>
    <n v="36"/>
    <s v="State"/>
    <n v="1234.98"/>
    <n v="1562.39"/>
    <n v="1275.93"/>
    <n v="474.16"/>
    <n v="4073.3"/>
    <n v="4547.46"/>
    <m/>
  </r>
  <r>
    <d v="2022-07-01T00:00:00"/>
    <s v="2022-23"/>
    <n v="2022"/>
    <x v="11"/>
    <x v="11"/>
    <s v="Tripura"/>
    <n v="16"/>
    <s v="State"/>
    <n v="23.83"/>
    <n v="32.590000000000003"/>
    <n v="6.95"/>
    <n v="0.1"/>
    <n v="63.37"/>
    <n v="63.47"/>
    <m/>
  </r>
  <r>
    <d v="2022-07-01T00:00:00"/>
    <s v="2022-23"/>
    <n v="2022"/>
    <x v="11"/>
    <x v="11"/>
    <s v="Uttar Pradesh"/>
    <n v="9"/>
    <s v="State"/>
    <n v="1652.9"/>
    <n v="2257.86"/>
    <n v="1980.46"/>
    <n v="1182.8"/>
    <n v="5891.22"/>
    <n v="7074.02"/>
    <m/>
  </r>
  <r>
    <d v="2022-07-01T00:00:00"/>
    <s v="2022-23"/>
    <n v="2022"/>
    <x v="11"/>
    <x v="11"/>
    <s v="Uttarakhand"/>
    <n v="5"/>
    <s v="State"/>
    <n v="269.02"/>
    <n v="389.22"/>
    <n v="722.23"/>
    <n v="9.43"/>
    <n v="1380.47"/>
    <n v="1389.9"/>
    <m/>
  </r>
  <r>
    <d v="2022-07-01T00:00:00"/>
    <s v="2022-23"/>
    <n v="2022"/>
    <x v="11"/>
    <x v="11"/>
    <s v="West Bengal"/>
    <n v="19"/>
    <s v="State"/>
    <n v="1301.46"/>
    <n v="1663.87"/>
    <n v="1135.51"/>
    <n v="340.39"/>
    <n v="4100.84"/>
    <n v="4441.2299999999996"/>
    <m/>
  </r>
  <r>
    <d v="2022-08-01T00:00:00"/>
    <s v="2022-23"/>
    <n v="2022"/>
    <x v="0"/>
    <x v="0"/>
    <s v="Andaman and Nicobar Islands"/>
    <n v="35"/>
    <s v="Union Territory"/>
    <n v="5.0199999999999996"/>
    <n v="8.06"/>
    <n v="2.65"/>
    <n v="0.01"/>
    <n v="15.73"/>
    <n v="15.74"/>
    <m/>
  </r>
  <r>
    <d v="2022-08-01T00:00:00"/>
    <s v="2022-23"/>
    <n v="2022"/>
    <x v="0"/>
    <x v="0"/>
    <s v="Andhra Pradesh"/>
    <n v="28"/>
    <s v="State"/>
    <n v="765.97"/>
    <n v="996.86"/>
    <n v="1133.78"/>
    <n v="275.95"/>
    <n v="2896.61"/>
    <n v="3172.56"/>
    <m/>
  </r>
  <r>
    <d v="2022-08-01T00:00:00"/>
    <s v="2022-23"/>
    <n v="2022"/>
    <x v="0"/>
    <x v="0"/>
    <s v="Arunachal Pradesh"/>
    <n v="12"/>
    <s v="State"/>
    <n v="21.57"/>
    <n v="28.55"/>
    <n v="9.02"/>
    <n v="0.16"/>
    <n v="59.14"/>
    <n v="59.3"/>
    <m/>
  </r>
  <r>
    <d v="2022-08-01T00:00:00"/>
    <s v="2022-23"/>
    <n v="2022"/>
    <x v="0"/>
    <x v="0"/>
    <s v="Assam"/>
    <n v="18"/>
    <s v="State"/>
    <n v="323.19"/>
    <n v="411.13"/>
    <n v="269.13"/>
    <n v="51.72"/>
    <n v="1003.45"/>
    <n v="1055.17"/>
    <m/>
  </r>
  <r>
    <d v="2022-08-01T00:00:00"/>
    <s v="2022-23"/>
    <n v="2022"/>
    <x v="0"/>
    <x v="0"/>
    <s v="Bihar"/>
    <n v="10"/>
    <s v="State"/>
    <n v="371.52"/>
    <n v="573.79999999999995"/>
    <n v="181.49"/>
    <n v="143.79"/>
    <n v="1126.81"/>
    <n v="1270.5999999999999"/>
    <m/>
  </r>
  <r>
    <d v="2022-08-01T00:00:00"/>
    <s v="2022-23"/>
    <n v="2022"/>
    <x v="0"/>
    <x v="0"/>
    <s v="Chandigarh"/>
    <n v="4"/>
    <s v="Union Territory"/>
    <n v="35.6"/>
    <n v="46.48"/>
    <n v="96.58"/>
    <n v="0.41"/>
    <n v="178.66"/>
    <n v="179.07"/>
    <m/>
  </r>
  <r>
    <d v="2022-08-01T00:00:00"/>
    <s v="2022-23"/>
    <n v="2022"/>
    <x v="0"/>
    <x v="0"/>
    <s v="Chhattisgarh"/>
    <n v="22"/>
    <s v="State"/>
    <n v="480.02"/>
    <n v="558.45000000000005"/>
    <n v="869.19"/>
    <n v="533.96"/>
    <n v="1907.66"/>
    <n v="2441.62"/>
    <m/>
  </r>
  <r>
    <d v="2022-08-01T00:00:00"/>
    <s v="2022-23"/>
    <n v="2022"/>
    <x v="0"/>
    <x v="0"/>
    <s v="Dadra and Nagar Haveli and Daman and Diu"/>
    <n v="38"/>
    <s v="Union Territory"/>
    <n v="39.299999999999997"/>
    <n v="50.09"/>
    <n v="220.66"/>
    <n v="0.93"/>
    <n v="310.05"/>
    <n v="310.98"/>
    <m/>
  </r>
  <r>
    <d v="2022-08-01T00:00:00"/>
    <s v="2022-23"/>
    <n v="2022"/>
    <x v="0"/>
    <x v="0"/>
    <s v="Delhi"/>
    <n v="7"/>
    <s v="Union Territory"/>
    <n v="897.52"/>
    <n v="1045.26"/>
    <n v="2321.63"/>
    <n v="84.14"/>
    <n v="4264.41"/>
    <n v="4348.55"/>
    <m/>
  </r>
  <r>
    <d v="2022-08-01T00:00:00"/>
    <s v="2022-23"/>
    <n v="2022"/>
    <x v="0"/>
    <x v="0"/>
    <s v="Goa"/>
    <n v="30"/>
    <s v="State"/>
    <n v="105.03"/>
    <n v="139.59"/>
    <n v="129.56"/>
    <n v="1.32"/>
    <n v="374.18"/>
    <n v="375.5"/>
    <m/>
  </r>
  <r>
    <d v="2022-08-01T00:00:00"/>
    <s v="2022-23"/>
    <n v="2022"/>
    <x v="0"/>
    <x v="0"/>
    <s v="Gujarat"/>
    <n v="24"/>
    <s v="State"/>
    <n v="2346.33"/>
    <n v="2818"/>
    <n v="3017.91"/>
    <n v="502.05"/>
    <n v="8182.24"/>
    <n v="8684.2900000000009"/>
    <m/>
  </r>
  <r>
    <d v="2022-08-01T00:00:00"/>
    <s v="2022-23"/>
    <n v="2022"/>
    <x v="0"/>
    <x v="0"/>
    <s v="Haryana"/>
    <n v="6"/>
    <s v="State"/>
    <n v="1102.8"/>
    <n v="1466.71"/>
    <n v="3677.51"/>
    <n v="524.54"/>
    <n v="6247.02"/>
    <n v="6771.56"/>
    <m/>
  </r>
  <r>
    <d v="2022-08-01T00:00:00"/>
    <s v="2022-23"/>
    <n v="2022"/>
    <x v="0"/>
    <x v="0"/>
    <s v="Himachal Pradesh"/>
    <n v="2"/>
    <s v="State"/>
    <n v="135.6"/>
    <n v="183.85"/>
    <n v="387.2"/>
    <n v="1.93"/>
    <n v="706.65"/>
    <n v="708.58"/>
    <m/>
  </r>
  <r>
    <d v="2022-08-01T00:00:00"/>
    <s v="2022-23"/>
    <n v="2022"/>
    <x v="0"/>
    <x v="0"/>
    <s v="Jammu and Kashmir"/>
    <n v="1"/>
    <s v="Union Territory"/>
    <n v="112.98"/>
    <n v="178.47"/>
    <n v="133.96"/>
    <n v="8.35"/>
    <n v="425.41"/>
    <n v="433.76"/>
    <m/>
  </r>
  <r>
    <d v="2022-08-01T00:00:00"/>
    <s v="2022-23"/>
    <n v="2022"/>
    <x v="0"/>
    <x v="0"/>
    <s v="Jharkhand"/>
    <n v="20"/>
    <s v="State"/>
    <n v="442.67"/>
    <n v="566.52"/>
    <n v="1104.19"/>
    <n v="482.04"/>
    <n v="2113.38"/>
    <n v="2595.42"/>
    <m/>
  </r>
  <r>
    <d v="2022-08-01T00:00:00"/>
    <s v="2022-23"/>
    <n v="2022"/>
    <x v="0"/>
    <x v="0"/>
    <s v="Karnataka"/>
    <n v="29"/>
    <s v="State"/>
    <n v="2297.13"/>
    <n v="2840.9"/>
    <n v="3451.11"/>
    <n v="993.86"/>
    <n v="8589.14"/>
    <n v="9583"/>
    <m/>
  </r>
  <r>
    <d v="2022-08-01T00:00:00"/>
    <s v="2022-23"/>
    <n v="2022"/>
    <x v="0"/>
    <x v="0"/>
    <s v="Kerala"/>
    <n v="32"/>
    <s v="State"/>
    <n v="706.88"/>
    <n v="910.94"/>
    <n v="414.92"/>
    <n v="2.96"/>
    <n v="2032.74"/>
    <n v="2035.7"/>
    <m/>
  </r>
  <r>
    <d v="2022-08-01T00:00:00"/>
    <s v="2022-23"/>
    <n v="2022"/>
    <x v="0"/>
    <x v="0"/>
    <s v="Ladakh"/>
    <n v="37"/>
    <s v="Union Territory"/>
    <n v="6.55"/>
    <n v="8.98"/>
    <n v="3.6"/>
    <n v="0.03"/>
    <n v="19.13"/>
    <n v="19.16"/>
    <m/>
  </r>
  <r>
    <d v="2022-08-01T00:00:00"/>
    <s v="2022-23"/>
    <n v="2022"/>
    <x v="0"/>
    <x v="0"/>
    <s v="Lakshadweep"/>
    <n v="31"/>
    <s v="Union Territory"/>
    <n v="0.15"/>
    <n v="0.16"/>
    <n v="0.05"/>
    <n v="0"/>
    <n v="0.36"/>
    <n v="0.36"/>
    <m/>
  </r>
  <r>
    <d v="2022-08-01T00:00:00"/>
    <s v="2022-23"/>
    <n v="2022"/>
    <x v="0"/>
    <x v="0"/>
    <s v="Madhya Pradesh"/>
    <n v="23"/>
    <s v="State"/>
    <n v="615.21"/>
    <n v="805.1"/>
    <n v="775.36"/>
    <n v="618.59"/>
    <n v="2195.67"/>
    <n v="2814.26"/>
    <m/>
  </r>
  <r>
    <d v="2022-08-01T00:00:00"/>
    <s v="2022-23"/>
    <n v="2022"/>
    <x v="0"/>
    <x v="0"/>
    <s v="Maharashtra"/>
    <n v="27"/>
    <s v="State"/>
    <n v="5211.34"/>
    <n v="6071.41"/>
    <n v="6162.5"/>
    <n v="1417.57"/>
    <n v="17445.25"/>
    <n v="18862.82"/>
    <m/>
  </r>
  <r>
    <d v="2022-08-01T00:00:00"/>
    <s v="2022-23"/>
    <n v="2022"/>
    <x v="0"/>
    <x v="0"/>
    <s v="Manipur"/>
    <n v="14"/>
    <s v="State"/>
    <n v="12.12"/>
    <n v="17.54"/>
    <n v="4.84"/>
    <n v="0.04"/>
    <n v="34.5"/>
    <n v="34.54"/>
    <m/>
  </r>
  <r>
    <d v="2022-08-01T00:00:00"/>
    <s v="2022-23"/>
    <n v="2022"/>
    <x v="0"/>
    <x v="0"/>
    <s v="Meghalaya"/>
    <n v="17"/>
    <s v="State"/>
    <n v="26.59"/>
    <n v="31.82"/>
    <n v="88.18"/>
    <n v="0.78"/>
    <n v="146.59"/>
    <n v="147.37"/>
    <m/>
  </r>
  <r>
    <d v="2022-08-01T00:00:00"/>
    <s v="2022-23"/>
    <n v="2022"/>
    <x v="0"/>
    <x v="0"/>
    <s v="Mizoram"/>
    <n v="15"/>
    <s v="State"/>
    <n v="10.78"/>
    <n v="14.29"/>
    <n v="3.19"/>
    <n v="0.05"/>
    <n v="28.26"/>
    <n v="28.31"/>
    <m/>
  </r>
  <r>
    <d v="2022-08-01T00:00:00"/>
    <s v="2022-23"/>
    <n v="2022"/>
    <x v="0"/>
    <x v="0"/>
    <s v="Nagaland"/>
    <n v="13"/>
    <s v="State"/>
    <n v="10.79"/>
    <n v="13.34"/>
    <n v="10.130000000000001"/>
    <n v="3.46"/>
    <n v="34.26"/>
    <n v="37.72"/>
    <m/>
  </r>
  <r>
    <d v="2022-08-01T00:00:00"/>
    <s v="2022-23"/>
    <n v="2022"/>
    <x v="0"/>
    <x v="0"/>
    <s v="Odisha"/>
    <n v="21"/>
    <s v="State"/>
    <n v="871.95"/>
    <n v="1019.81"/>
    <n v="1252.07"/>
    <n v="740.07"/>
    <n v="3143.83"/>
    <n v="3883.9"/>
    <m/>
  </r>
  <r>
    <d v="2022-08-01T00:00:00"/>
    <s v="2022-23"/>
    <n v="2022"/>
    <x v="0"/>
    <x v="0"/>
    <s v="Puducherry"/>
    <n v="34"/>
    <s v="Union Territory"/>
    <n v="26.09"/>
    <n v="37.53"/>
    <n v="136.44999999999999"/>
    <n v="0.15"/>
    <n v="200.07"/>
    <n v="200.22"/>
    <m/>
  </r>
  <r>
    <d v="2022-08-01T00:00:00"/>
    <s v="2022-23"/>
    <n v="2022"/>
    <x v="0"/>
    <x v="0"/>
    <s v="Punjab"/>
    <n v="3"/>
    <s v="State"/>
    <n v="379.88"/>
    <n v="573.92999999999995"/>
    <n v="672.14"/>
    <n v="25.54"/>
    <n v="1625.95"/>
    <n v="1651.49"/>
    <m/>
  </r>
  <r>
    <d v="2022-08-01T00:00:00"/>
    <s v="2022-23"/>
    <n v="2022"/>
    <x v="0"/>
    <x v="0"/>
    <s v="Rajasthan"/>
    <n v="8"/>
    <s v="State"/>
    <n v="860.14"/>
    <n v="1123.27"/>
    <n v="1249.5899999999999"/>
    <n v="108.11"/>
    <n v="3233"/>
    <n v="3341.11"/>
    <m/>
  </r>
  <r>
    <d v="2022-08-01T00:00:00"/>
    <s v="2022-23"/>
    <n v="2022"/>
    <x v="0"/>
    <x v="0"/>
    <s v="Sikkim"/>
    <n v="11"/>
    <s v="State"/>
    <n v="14.11"/>
    <n v="18.88"/>
    <n v="213.9"/>
    <n v="0.01"/>
    <n v="246.89"/>
    <n v="246.9"/>
    <m/>
  </r>
  <r>
    <d v="2022-08-01T00:00:00"/>
    <s v="2022-23"/>
    <n v="2022"/>
    <x v="0"/>
    <x v="0"/>
    <s v="Tamil Nadu"/>
    <n v="33"/>
    <s v="State"/>
    <n v="2240.0500000000002"/>
    <n v="2956.35"/>
    <n v="2411.6"/>
    <n v="778.3"/>
    <n v="7608"/>
    <n v="8386.2999999999993"/>
    <m/>
  </r>
  <r>
    <d v="2022-08-01T00:00:00"/>
    <s v="2022-23"/>
    <n v="2022"/>
    <x v="0"/>
    <x v="0"/>
    <s v="Telangana"/>
    <n v="36"/>
    <s v="State"/>
    <n v="894.78"/>
    <n v="1182.75"/>
    <n v="1269.5999999999999"/>
    <n v="523.89"/>
    <n v="3347.13"/>
    <n v="3871.02"/>
    <m/>
  </r>
  <r>
    <d v="2022-08-01T00:00:00"/>
    <s v="2022-23"/>
    <n v="2022"/>
    <x v="0"/>
    <x v="0"/>
    <s v="Tripura"/>
    <n v="16"/>
    <s v="State"/>
    <n v="20.58"/>
    <n v="26.59"/>
    <n v="8.43"/>
    <n v="0.22"/>
    <n v="55.6"/>
    <n v="55.82"/>
    <m/>
  </r>
  <r>
    <d v="2022-08-01T00:00:00"/>
    <s v="2022-23"/>
    <n v="2022"/>
    <x v="0"/>
    <x v="0"/>
    <s v="Uttar Pradesh"/>
    <n v="9"/>
    <s v="State"/>
    <n v="1587.81"/>
    <n v="2136.96"/>
    <n v="2008.59"/>
    <n v="1048.01"/>
    <n v="5733.36"/>
    <n v="6781.37"/>
    <m/>
  </r>
  <r>
    <d v="2022-08-01T00:00:00"/>
    <s v="2022-23"/>
    <n v="2022"/>
    <x v="0"/>
    <x v="0"/>
    <s v="Uttarakhand"/>
    <n v="5"/>
    <s v="State"/>
    <n v="223.87"/>
    <n v="335.35"/>
    <n v="527.01"/>
    <n v="7.98"/>
    <n v="1086.23"/>
    <n v="1094.21"/>
    <m/>
  </r>
  <r>
    <d v="2022-08-01T00:00:00"/>
    <s v="2022-23"/>
    <n v="2022"/>
    <x v="0"/>
    <x v="0"/>
    <s v="West Bengal"/>
    <n v="19"/>
    <s v="State"/>
    <n v="1500.93"/>
    <n v="1739.51"/>
    <n v="1089.3499999999999"/>
    <n v="269.75"/>
    <n v="4329.79"/>
    <n v="4599.54"/>
    <m/>
  </r>
  <r>
    <d v="2022-09-01T00:00:00"/>
    <s v="2022-23"/>
    <n v="2022"/>
    <x v="1"/>
    <x v="1"/>
    <s v="Andaman and Nicobar Islands"/>
    <n v="35"/>
    <s v="Union Territory"/>
    <n v="13.32"/>
    <n v="15.81"/>
    <n v="3.67"/>
    <n v="0.31"/>
    <n v="32.799999999999997"/>
    <n v="33.11"/>
    <m/>
  </r>
  <r>
    <d v="2022-09-01T00:00:00"/>
    <s v="2022-23"/>
    <n v="2022"/>
    <x v="1"/>
    <x v="1"/>
    <s v="Andhra Pradesh"/>
    <n v="28"/>
    <s v="State"/>
    <n v="758.91"/>
    <n v="987.76"/>
    <n v="1106.97"/>
    <n v="277.88"/>
    <n v="2853.64"/>
    <n v="3131.52"/>
    <m/>
  </r>
  <r>
    <d v="2022-09-01T00:00:00"/>
    <s v="2022-23"/>
    <n v="2022"/>
    <x v="1"/>
    <x v="1"/>
    <s v="Arunachal Pradesh"/>
    <n v="12"/>
    <s v="State"/>
    <n v="21.55"/>
    <n v="32.549999999999997"/>
    <n v="9.6300000000000008"/>
    <n v="0.18"/>
    <n v="63.73"/>
    <n v="63.91"/>
    <m/>
  </r>
  <r>
    <d v="2022-09-01T00:00:00"/>
    <s v="2022-23"/>
    <n v="2022"/>
    <x v="1"/>
    <x v="1"/>
    <s v="Assam"/>
    <n v="18"/>
    <s v="State"/>
    <n v="334.97"/>
    <n v="424.41"/>
    <n v="362.08"/>
    <n v="35.369999999999997"/>
    <n v="1121.46"/>
    <n v="1156.83"/>
    <m/>
  </r>
  <r>
    <d v="2022-09-01T00:00:00"/>
    <s v="2022-23"/>
    <n v="2022"/>
    <x v="1"/>
    <x v="1"/>
    <s v="Bihar"/>
    <n v="10"/>
    <s v="State"/>
    <n v="341.37"/>
    <n v="554.04999999999995"/>
    <n v="382.82"/>
    <n v="187.69"/>
    <n v="1278.24"/>
    <n v="1465.93"/>
    <m/>
  </r>
  <r>
    <d v="2022-09-01T00:00:00"/>
    <s v="2022-23"/>
    <n v="2022"/>
    <x v="1"/>
    <x v="1"/>
    <s v="Chandigarh"/>
    <n v="4"/>
    <s v="Union Territory"/>
    <n v="42.38"/>
    <n v="56.07"/>
    <n v="106.61"/>
    <n v="1.01"/>
    <n v="205.06"/>
    <n v="206.07"/>
    <m/>
  </r>
  <r>
    <d v="2022-09-01T00:00:00"/>
    <s v="2022-23"/>
    <n v="2022"/>
    <x v="1"/>
    <x v="1"/>
    <s v="Chhattisgarh"/>
    <n v="22"/>
    <s v="State"/>
    <n v="434.54"/>
    <n v="504.73"/>
    <n v="841.15"/>
    <n v="488.71"/>
    <n v="1780.42"/>
    <n v="2269.13"/>
    <m/>
  </r>
  <r>
    <d v="2022-09-01T00:00:00"/>
    <s v="2022-23"/>
    <n v="2022"/>
    <x v="1"/>
    <x v="1"/>
    <s v="Dadra and Nagar Haveli and Daman and Diu"/>
    <n v="38"/>
    <s v="Union Territory"/>
    <n v="38.68"/>
    <n v="47.51"/>
    <n v="225.28"/>
    <n v="0.48"/>
    <n v="311.47000000000003"/>
    <n v="311.95"/>
    <m/>
  </r>
  <r>
    <d v="2022-09-01T00:00:00"/>
    <s v="2022-23"/>
    <n v="2022"/>
    <x v="1"/>
    <x v="1"/>
    <s v="Delhi"/>
    <n v="7"/>
    <s v="Union Territory"/>
    <n v="1031.6400000000001"/>
    <n v="1187.2"/>
    <n v="2447.73"/>
    <n v="74.8"/>
    <n v="4666.57"/>
    <n v="4741.37"/>
    <m/>
  </r>
  <r>
    <d v="2022-09-01T00:00:00"/>
    <s v="2022-23"/>
    <n v="2022"/>
    <x v="1"/>
    <x v="1"/>
    <s v="Goa"/>
    <n v="30"/>
    <s v="State"/>
    <n v="119.79"/>
    <n v="158.79"/>
    <n v="148.51"/>
    <n v="2.39"/>
    <n v="427.09"/>
    <n v="429.48"/>
    <m/>
  </r>
  <r>
    <d v="2022-09-01T00:00:00"/>
    <s v="2022-23"/>
    <n v="2022"/>
    <x v="1"/>
    <x v="1"/>
    <s v="Gujarat"/>
    <n v="24"/>
    <s v="State"/>
    <n v="2329.4"/>
    <n v="2808.04"/>
    <n v="3356.73"/>
    <n v="525.89"/>
    <n v="8494.17"/>
    <n v="9020.06"/>
    <m/>
  </r>
  <r>
    <d v="2022-09-01T00:00:00"/>
    <s v="2022-23"/>
    <n v="2022"/>
    <x v="1"/>
    <x v="1"/>
    <s v="Haryana"/>
    <n v="6"/>
    <s v="State"/>
    <n v="1065.74"/>
    <n v="1383.34"/>
    <n v="4444.38"/>
    <n v="509.53"/>
    <n v="6893.46"/>
    <n v="7402.99"/>
    <m/>
  </r>
  <r>
    <d v="2022-09-01T00:00:00"/>
    <s v="2022-23"/>
    <n v="2022"/>
    <x v="1"/>
    <x v="1"/>
    <s v="Himachal Pradesh"/>
    <n v="2"/>
    <s v="State"/>
    <n v="127.55"/>
    <n v="183.09"/>
    <n v="400.85"/>
    <n v="0.99"/>
    <n v="711.49"/>
    <n v="712.48"/>
    <m/>
  </r>
  <r>
    <d v="2022-09-01T00:00:00"/>
    <s v="2022-23"/>
    <n v="2022"/>
    <x v="1"/>
    <x v="1"/>
    <s v="Jammu and Kashmir"/>
    <n v="1"/>
    <s v="Union Territory"/>
    <n v="106.75"/>
    <n v="172.95"/>
    <n v="141.94999999999999"/>
    <n v="6.12"/>
    <n v="421.65"/>
    <n v="427.77"/>
    <m/>
  </r>
  <r>
    <d v="2022-09-01T00:00:00"/>
    <s v="2022-23"/>
    <n v="2022"/>
    <x v="1"/>
    <x v="1"/>
    <s v="Jharkhand"/>
    <n v="20"/>
    <s v="State"/>
    <n v="442.79"/>
    <n v="580.78"/>
    <n v="1035.93"/>
    <n v="403.2"/>
    <n v="2059.5"/>
    <n v="2462.6999999999998"/>
    <m/>
  </r>
  <r>
    <d v="2022-09-01T00:00:00"/>
    <s v="2022-23"/>
    <n v="2022"/>
    <x v="1"/>
    <x v="1"/>
    <s v="Karnataka"/>
    <n v="29"/>
    <s v="State"/>
    <n v="2230.65"/>
    <n v="2778.74"/>
    <n v="3706.5"/>
    <n v="1044.58"/>
    <n v="8715.89"/>
    <n v="9760.4699999999993"/>
    <m/>
  </r>
  <r>
    <d v="2022-09-01T00:00:00"/>
    <s v="2022-23"/>
    <n v="2022"/>
    <x v="1"/>
    <x v="1"/>
    <s v="Kerala"/>
    <n v="32"/>
    <s v="State"/>
    <n v="767.25"/>
    <n v="1015.12"/>
    <n v="460.25"/>
    <n v="3.35"/>
    <n v="2242.62"/>
    <n v="2245.9699999999998"/>
    <m/>
  </r>
  <r>
    <d v="2022-09-01T00:00:00"/>
    <s v="2022-23"/>
    <n v="2022"/>
    <x v="1"/>
    <x v="1"/>
    <s v="Ladakh"/>
    <n v="37"/>
    <s v="Union Territory"/>
    <n v="6.76"/>
    <n v="8.76"/>
    <n v="3.79"/>
    <n v="0"/>
    <n v="19.309999999999999"/>
    <n v="19.309999999999999"/>
    <m/>
  </r>
  <r>
    <d v="2022-09-01T00:00:00"/>
    <s v="2022-23"/>
    <n v="2022"/>
    <x v="1"/>
    <x v="1"/>
    <s v="Lakshadweep"/>
    <n v="31"/>
    <s v="Union Territory"/>
    <n v="1.4"/>
    <n v="1.41"/>
    <n v="0.11"/>
    <n v="0"/>
    <n v="2.92"/>
    <n v="2.92"/>
    <m/>
  </r>
  <r>
    <d v="2022-09-01T00:00:00"/>
    <s v="2022-23"/>
    <n v="2022"/>
    <x v="1"/>
    <x v="1"/>
    <s v="Madhya Pradesh"/>
    <n v="23"/>
    <s v="State"/>
    <n v="599.53"/>
    <n v="769.13"/>
    <n v="753.42"/>
    <n v="589.1"/>
    <n v="2122.08"/>
    <n v="2711.18"/>
    <m/>
  </r>
  <r>
    <d v="2022-09-01T00:00:00"/>
    <s v="2022-23"/>
    <n v="2022"/>
    <x v="1"/>
    <x v="1"/>
    <s v="Maharashtra"/>
    <n v="27"/>
    <s v="State"/>
    <n v="5794.85"/>
    <n v="6803.36"/>
    <n v="7247.78"/>
    <n v="1556.84"/>
    <n v="19845.990000000002"/>
    <n v="21402.83"/>
    <m/>
  </r>
  <r>
    <d v="2022-09-01T00:00:00"/>
    <s v="2022-23"/>
    <n v="2022"/>
    <x v="1"/>
    <x v="1"/>
    <s v="Manipur"/>
    <n v="14"/>
    <s v="State"/>
    <n v="14.24"/>
    <n v="18.940000000000001"/>
    <n v="5.26"/>
    <n v="0.03"/>
    <n v="38.44"/>
    <n v="38.47"/>
    <m/>
  </r>
  <r>
    <d v="2022-09-01T00:00:00"/>
    <s v="2022-23"/>
    <n v="2022"/>
    <x v="1"/>
    <x v="1"/>
    <s v="Meghalaya"/>
    <n v="17"/>
    <s v="State"/>
    <n v="30.61"/>
    <n v="36.130000000000003"/>
    <n v="93.49"/>
    <n v="0.85"/>
    <n v="160.22999999999999"/>
    <n v="161.08000000000001"/>
    <m/>
  </r>
  <r>
    <d v="2022-09-01T00:00:00"/>
    <s v="2022-23"/>
    <n v="2022"/>
    <x v="1"/>
    <x v="1"/>
    <s v="Mizoram"/>
    <n v="15"/>
    <s v="State"/>
    <n v="9.1300000000000008"/>
    <n v="12"/>
    <n v="2.76"/>
    <n v="0.04"/>
    <n v="23.89"/>
    <n v="23.93"/>
    <m/>
  </r>
  <r>
    <d v="2022-09-01T00:00:00"/>
    <s v="2022-23"/>
    <n v="2022"/>
    <x v="1"/>
    <x v="1"/>
    <s v="Nagaland"/>
    <n v="13"/>
    <s v="State"/>
    <n v="17.3"/>
    <n v="21.17"/>
    <n v="7.96"/>
    <n v="2.68"/>
    <n v="46.43"/>
    <n v="49.11"/>
    <m/>
  </r>
  <r>
    <d v="2022-09-01T00:00:00"/>
    <s v="2022-23"/>
    <n v="2022"/>
    <x v="1"/>
    <x v="1"/>
    <s v="Odisha"/>
    <n v="21"/>
    <s v="State"/>
    <n v="770.86"/>
    <n v="938.18"/>
    <n v="1337.61"/>
    <n v="718.52"/>
    <n v="3046.65"/>
    <n v="3765.17"/>
    <m/>
  </r>
  <r>
    <d v="2022-09-01T00:00:00"/>
    <s v="2022-23"/>
    <n v="2022"/>
    <x v="1"/>
    <x v="1"/>
    <s v="Puducherry"/>
    <n v="34"/>
    <s v="Union Territory"/>
    <n v="25.7"/>
    <n v="39.69"/>
    <n v="122.22"/>
    <n v="0.82"/>
    <n v="187.61"/>
    <n v="188.43"/>
    <m/>
  </r>
  <r>
    <d v="2022-09-01T00:00:00"/>
    <s v="2022-23"/>
    <n v="2022"/>
    <x v="1"/>
    <x v="1"/>
    <s v="Punjab"/>
    <n v="3"/>
    <s v="State"/>
    <n v="392.67"/>
    <n v="597.88"/>
    <n v="691.23"/>
    <n v="28.31"/>
    <n v="1681.78"/>
    <n v="1710.09"/>
    <m/>
  </r>
  <r>
    <d v="2022-09-01T00:00:00"/>
    <s v="2022-23"/>
    <n v="2022"/>
    <x v="1"/>
    <x v="1"/>
    <s v="Rajasthan"/>
    <n v="8"/>
    <s v="State"/>
    <n v="861.06"/>
    <n v="1141.3599999999999"/>
    <n v="1189.6600000000001"/>
    <n v="114.44"/>
    <n v="3192.08"/>
    <n v="3306.52"/>
    <m/>
  </r>
  <r>
    <d v="2022-09-01T00:00:00"/>
    <s v="2022-23"/>
    <n v="2022"/>
    <x v="1"/>
    <x v="1"/>
    <s v="Sikkim"/>
    <n v="11"/>
    <s v="State"/>
    <n v="14.68"/>
    <n v="20.5"/>
    <n v="249.51"/>
    <n v="0.05"/>
    <n v="284.69"/>
    <n v="284.74"/>
    <m/>
  </r>
  <r>
    <d v="2022-09-01T00:00:00"/>
    <s v="2022-23"/>
    <n v="2022"/>
    <x v="1"/>
    <x v="1"/>
    <s v="Tamil Nadu"/>
    <n v="33"/>
    <s v="State"/>
    <n v="2251.2199999999998"/>
    <n v="2965.31"/>
    <n v="2782.02"/>
    <n v="638.16"/>
    <n v="7998.55"/>
    <n v="8636.7099999999991"/>
    <m/>
  </r>
  <r>
    <d v="2022-09-01T00:00:00"/>
    <s v="2022-23"/>
    <n v="2022"/>
    <x v="1"/>
    <x v="1"/>
    <s v="Telangana"/>
    <n v="36"/>
    <s v="State"/>
    <n v="975.62"/>
    <n v="1289.17"/>
    <n v="1139.9000000000001"/>
    <n v="510.06"/>
    <n v="3404.69"/>
    <n v="3914.75"/>
    <m/>
  </r>
  <r>
    <d v="2022-09-01T00:00:00"/>
    <s v="2022-23"/>
    <n v="2022"/>
    <x v="1"/>
    <x v="1"/>
    <s v="Tripura"/>
    <n v="16"/>
    <s v="State"/>
    <n v="24.12"/>
    <n v="31.5"/>
    <n v="8.93"/>
    <n v="0.22"/>
    <n v="64.55"/>
    <n v="64.77"/>
    <m/>
  </r>
  <r>
    <d v="2022-09-01T00:00:00"/>
    <s v="2022-23"/>
    <n v="2022"/>
    <x v="1"/>
    <x v="1"/>
    <s v="Uttar Pradesh"/>
    <n v="9"/>
    <s v="State"/>
    <n v="1539.94"/>
    <n v="2073.87"/>
    <n v="2222.7399999999998"/>
    <n v="1167.77"/>
    <n v="5836.55"/>
    <n v="7004.32"/>
    <m/>
  </r>
  <r>
    <d v="2022-09-01T00:00:00"/>
    <s v="2022-23"/>
    <n v="2022"/>
    <x v="1"/>
    <x v="1"/>
    <s v="Uttarakhand"/>
    <n v="5"/>
    <s v="State"/>
    <n v="237.84"/>
    <n v="362.87"/>
    <n v="688.88"/>
    <n v="10.78"/>
    <n v="1289.5899999999999"/>
    <n v="1300.3699999999999"/>
    <m/>
  </r>
  <r>
    <d v="2022-09-01T00:00:00"/>
    <s v="2022-23"/>
    <n v="2022"/>
    <x v="1"/>
    <x v="1"/>
    <s v="West Bengal"/>
    <n v="19"/>
    <s v="State"/>
    <n v="1488.67"/>
    <n v="1778.42"/>
    <n v="1156.8499999999999"/>
    <n v="380.39"/>
    <n v="4423.9399999999996"/>
    <n v="4804.33"/>
    <m/>
  </r>
  <r>
    <d v="2022-10-01T00:00:00"/>
    <s v="2022-23"/>
    <n v="2022"/>
    <x v="2"/>
    <x v="2"/>
    <s v="Andaman and Nicobar Islands"/>
    <n v="35"/>
    <s v="Union Territory"/>
    <n v="7.9"/>
    <n v="11.05"/>
    <n v="4.45"/>
    <n v="0.01"/>
    <n v="23.4"/>
    <n v="23.41"/>
    <m/>
  </r>
  <r>
    <d v="2022-10-01T00:00:00"/>
    <s v="2022-23"/>
    <n v="2022"/>
    <x v="2"/>
    <x v="2"/>
    <s v="Andhra Pradesh"/>
    <n v="28"/>
    <s v="State"/>
    <n v="793.83"/>
    <n v="1049.08"/>
    <n v="1421.34"/>
    <n v="315.04000000000002"/>
    <n v="3264.25"/>
    <n v="3579.29"/>
    <m/>
  </r>
  <r>
    <d v="2022-10-01T00:00:00"/>
    <s v="2022-23"/>
    <n v="2022"/>
    <x v="2"/>
    <x v="2"/>
    <s v="Arunachal Pradesh"/>
    <n v="12"/>
    <s v="State"/>
    <n v="22.76"/>
    <n v="29.28"/>
    <n v="12.57"/>
    <n v="0.22"/>
    <n v="64.61"/>
    <n v="64.83"/>
    <m/>
  </r>
  <r>
    <d v="2022-10-01T00:00:00"/>
    <s v="2022-23"/>
    <n v="2022"/>
    <x v="2"/>
    <x v="2"/>
    <s v="Assam"/>
    <n v="18"/>
    <s v="State"/>
    <n v="323.26"/>
    <n v="424.73"/>
    <n v="425.01"/>
    <n v="70.95"/>
    <n v="1173"/>
    <n v="1243.95"/>
    <m/>
  </r>
  <r>
    <d v="2022-10-01T00:00:00"/>
    <s v="2022-23"/>
    <n v="2022"/>
    <x v="2"/>
    <x v="2"/>
    <s v="Bihar"/>
    <n v="10"/>
    <s v="State"/>
    <n v="328.06"/>
    <n v="542.11"/>
    <n v="302.52"/>
    <n v="171.48"/>
    <n v="1172.69"/>
    <n v="1344.17"/>
    <m/>
  </r>
  <r>
    <d v="2022-10-01T00:00:00"/>
    <s v="2022-23"/>
    <n v="2022"/>
    <x v="2"/>
    <x v="2"/>
    <s v="Chandigarh"/>
    <n v="4"/>
    <s v="Union Territory"/>
    <n v="40.28"/>
    <n v="51.2"/>
    <n v="109.59"/>
    <n v="1.43"/>
    <n v="201.07"/>
    <n v="202.5"/>
    <m/>
  </r>
  <r>
    <d v="2022-10-01T00:00:00"/>
    <s v="2022-23"/>
    <n v="2022"/>
    <x v="2"/>
    <x v="2"/>
    <s v="Chhattisgarh"/>
    <n v="22"/>
    <s v="State"/>
    <n v="478.98"/>
    <n v="565.20000000000005"/>
    <n v="834.59"/>
    <n v="449.61"/>
    <n v="1878.77"/>
    <n v="2328.38"/>
    <m/>
  </r>
  <r>
    <d v="2022-10-01T00:00:00"/>
    <s v="2022-23"/>
    <n v="2022"/>
    <x v="2"/>
    <x v="2"/>
    <s v="Dadra and Nagar Haveli and Daman and Diu"/>
    <n v="38"/>
    <s v="Union Territory"/>
    <n v="37.65"/>
    <n v="50.88"/>
    <n v="190.11"/>
    <n v="0.26"/>
    <n v="278.64"/>
    <n v="278.89999999999998"/>
    <m/>
  </r>
  <r>
    <d v="2022-10-01T00:00:00"/>
    <s v="2022-23"/>
    <n v="2022"/>
    <x v="2"/>
    <x v="2"/>
    <s v="Delhi"/>
    <n v="7"/>
    <s v="Union Territory"/>
    <n v="920.54"/>
    <n v="1127.58"/>
    <n v="2537.85"/>
    <n v="84.47"/>
    <n v="4585.97"/>
    <n v="4670.4399999999996"/>
    <m/>
  </r>
  <r>
    <d v="2022-10-01T00:00:00"/>
    <s v="2022-23"/>
    <n v="2022"/>
    <x v="2"/>
    <x v="2"/>
    <s v="Goa"/>
    <n v="30"/>
    <s v="State"/>
    <n v="112.31"/>
    <n v="154.31"/>
    <n v="149.6"/>
    <n v="3.34"/>
    <n v="416.22"/>
    <n v="419.56"/>
    <m/>
  </r>
  <r>
    <d v="2022-10-01T00:00:00"/>
    <s v="2022-23"/>
    <n v="2022"/>
    <x v="2"/>
    <x v="2"/>
    <s v="Gujarat"/>
    <n v="24"/>
    <s v="State"/>
    <n v="2451.3200000000002"/>
    <n v="3015.26"/>
    <n v="3461.02"/>
    <n v="541.47"/>
    <n v="8927.6"/>
    <n v="9469.07"/>
    <m/>
  </r>
  <r>
    <d v="2022-10-01T00:00:00"/>
    <s v="2022-23"/>
    <n v="2022"/>
    <x v="2"/>
    <x v="2"/>
    <s v="Haryana"/>
    <n v="6"/>
    <s v="State"/>
    <n v="1190.42"/>
    <n v="1611.92"/>
    <n v="4332.7"/>
    <n v="526.53"/>
    <n v="7135.04"/>
    <n v="7661.57"/>
    <m/>
  </r>
  <r>
    <d v="2022-10-01T00:00:00"/>
    <s v="2022-23"/>
    <n v="2022"/>
    <x v="2"/>
    <x v="2"/>
    <s v="Himachal Pradesh"/>
    <n v="2"/>
    <s v="State"/>
    <n v="133"/>
    <n v="190.77"/>
    <n v="457.53"/>
    <n v="2.74"/>
    <n v="781.3"/>
    <n v="784.04"/>
    <m/>
  </r>
  <r>
    <d v="2022-10-01T00:00:00"/>
    <s v="2022-23"/>
    <n v="2022"/>
    <x v="2"/>
    <x v="2"/>
    <s v="Jammu and Kashmir"/>
    <n v="1"/>
    <s v="Union Territory"/>
    <n v="114.89"/>
    <n v="179.99"/>
    <n v="126.07"/>
    <n v="4.3600000000000003"/>
    <n v="420.95"/>
    <n v="425.31"/>
    <m/>
  </r>
  <r>
    <d v="2022-10-01T00:00:00"/>
    <s v="2022-23"/>
    <n v="2022"/>
    <x v="2"/>
    <x v="2"/>
    <s v="Jharkhand"/>
    <n v="20"/>
    <s v="State"/>
    <n v="507.23"/>
    <n v="668.79"/>
    <n v="942.51"/>
    <n v="381.3"/>
    <n v="2118.5300000000002"/>
    <n v="2499.83"/>
    <m/>
  </r>
  <r>
    <d v="2022-10-01T00:00:00"/>
    <s v="2022-23"/>
    <n v="2022"/>
    <x v="2"/>
    <x v="2"/>
    <s v="Karnataka"/>
    <n v="29"/>
    <s v="State"/>
    <n v="2342.9"/>
    <n v="2968.77"/>
    <n v="4453.47"/>
    <n v="1231.2"/>
    <n v="9765.14"/>
    <n v="10996.34"/>
    <m/>
  </r>
  <r>
    <d v="2022-10-01T00:00:00"/>
    <s v="2022-23"/>
    <n v="2022"/>
    <x v="2"/>
    <x v="2"/>
    <s v="Kerala"/>
    <n v="32"/>
    <s v="State"/>
    <n v="777.96"/>
    <n v="1002.27"/>
    <n v="695.68"/>
    <n v="9.17"/>
    <n v="2475.91"/>
    <n v="2485.08"/>
    <m/>
  </r>
  <r>
    <d v="2022-10-01T00:00:00"/>
    <s v="2022-23"/>
    <n v="2022"/>
    <x v="2"/>
    <x v="2"/>
    <s v="Ladakh"/>
    <n v="37"/>
    <s v="Union Territory"/>
    <n v="11.25"/>
    <n v="18.27"/>
    <n v="3.82"/>
    <n v="0.11"/>
    <n v="33.340000000000003"/>
    <n v="33.450000000000003"/>
    <m/>
  </r>
  <r>
    <d v="2022-10-01T00:00:00"/>
    <s v="2022-23"/>
    <n v="2022"/>
    <x v="2"/>
    <x v="2"/>
    <s v="Lakshadweep"/>
    <n v="31"/>
    <s v="Union Territory"/>
    <n v="0.47"/>
    <n v="1.03"/>
    <n v="0.85"/>
    <n v="0"/>
    <n v="2.35"/>
    <n v="2.35"/>
    <m/>
  </r>
  <r>
    <d v="2022-10-01T00:00:00"/>
    <s v="2022-23"/>
    <n v="2022"/>
    <x v="2"/>
    <x v="2"/>
    <s v="Madhya Pradesh"/>
    <n v="23"/>
    <s v="State"/>
    <n v="634.98"/>
    <n v="840.68"/>
    <n v="900.19"/>
    <n v="544.34"/>
    <n v="2375.85"/>
    <n v="2920.19"/>
    <m/>
  </r>
  <r>
    <d v="2022-10-01T00:00:00"/>
    <s v="2022-23"/>
    <n v="2022"/>
    <x v="2"/>
    <x v="2"/>
    <s v="Maharashtra"/>
    <n v="27"/>
    <s v="State"/>
    <n v="5761.79"/>
    <n v="6827.22"/>
    <n v="8805.3799999999992"/>
    <n v="1642.86"/>
    <n v="21394.39"/>
    <n v="23037.25"/>
    <m/>
  </r>
  <r>
    <d v="2022-10-01T00:00:00"/>
    <s v="2022-23"/>
    <n v="2022"/>
    <x v="2"/>
    <x v="2"/>
    <s v="Manipur"/>
    <n v="14"/>
    <s v="State"/>
    <n v="18.559999999999999"/>
    <n v="23.33"/>
    <n v="7.47"/>
    <n v="0.14000000000000001"/>
    <n v="49.36"/>
    <n v="49.5"/>
    <m/>
  </r>
  <r>
    <d v="2022-10-01T00:00:00"/>
    <s v="2022-23"/>
    <n v="2022"/>
    <x v="2"/>
    <x v="2"/>
    <s v="Meghalaya"/>
    <n v="17"/>
    <s v="State"/>
    <n v="34.54"/>
    <n v="38.28"/>
    <n v="89.59"/>
    <n v="1.46"/>
    <n v="162.41"/>
    <n v="163.87"/>
    <m/>
  </r>
  <r>
    <d v="2022-10-01T00:00:00"/>
    <s v="2022-23"/>
    <n v="2022"/>
    <x v="2"/>
    <x v="2"/>
    <s v="Mizoram"/>
    <n v="15"/>
    <s v="State"/>
    <n v="8.58"/>
    <n v="11.88"/>
    <n v="3.99"/>
    <n v="0.02"/>
    <n v="24.45"/>
    <n v="24.47"/>
    <m/>
  </r>
  <r>
    <d v="2022-10-01T00:00:00"/>
    <s v="2022-23"/>
    <n v="2022"/>
    <x v="2"/>
    <x v="2"/>
    <s v="Nagaland"/>
    <n v="13"/>
    <s v="State"/>
    <n v="14.2"/>
    <n v="16.27"/>
    <n v="11.44"/>
    <n v="1.36"/>
    <n v="41.91"/>
    <n v="43.27"/>
    <m/>
  </r>
  <r>
    <d v="2022-10-01T00:00:00"/>
    <s v="2022-23"/>
    <n v="2022"/>
    <x v="2"/>
    <x v="2"/>
    <s v="Odisha"/>
    <n v="21"/>
    <s v="State"/>
    <n v="856.48"/>
    <n v="1058.48"/>
    <n v="1139.5899999999999"/>
    <n v="714.89"/>
    <n v="3054.55"/>
    <n v="3769.44"/>
    <m/>
  </r>
  <r>
    <d v="2022-10-01T00:00:00"/>
    <s v="2022-23"/>
    <n v="2022"/>
    <x v="2"/>
    <x v="2"/>
    <s v="Puducherry"/>
    <n v="34"/>
    <s v="Union Territory"/>
    <n v="25.38"/>
    <n v="38.32"/>
    <n v="139.38"/>
    <n v="0.63"/>
    <n v="203.08"/>
    <n v="203.71"/>
    <m/>
  </r>
  <r>
    <d v="2022-10-01T00:00:00"/>
    <s v="2022-23"/>
    <n v="2022"/>
    <x v="2"/>
    <x v="2"/>
    <s v="Punjab"/>
    <n v="3"/>
    <s v="State"/>
    <n v="405.42"/>
    <n v="610.62"/>
    <n v="714.47"/>
    <n v="29.3"/>
    <n v="1730.51"/>
    <n v="1759.81"/>
    <m/>
  </r>
  <r>
    <d v="2022-10-01T00:00:00"/>
    <s v="2022-23"/>
    <n v="2022"/>
    <x v="2"/>
    <x v="2"/>
    <s v="Rajasthan"/>
    <n v="8"/>
    <s v="State"/>
    <n v="915.86"/>
    <n v="1235.1199999999999"/>
    <n v="1493.92"/>
    <n v="116.13"/>
    <n v="3644.9"/>
    <n v="3761.03"/>
    <m/>
  </r>
  <r>
    <d v="2022-10-01T00:00:00"/>
    <s v="2022-23"/>
    <n v="2022"/>
    <x v="2"/>
    <x v="2"/>
    <s v="Sikkim"/>
    <n v="11"/>
    <s v="State"/>
    <n v="21.56"/>
    <n v="26.35"/>
    <n v="217.27"/>
    <n v="0.02"/>
    <n v="265.18"/>
    <n v="265.2"/>
    <m/>
  </r>
  <r>
    <d v="2022-10-01T00:00:00"/>
    <s v="2022-23"/>
    <n v="2022"/>
    <x v="2"/>
    <x v="2"/>
    <s v="Tamil Nadu"/>
    <n v="33"/>
    <s v="State"/>
    <n v="2328.64"/>
    <n v="3124.26"/>
    <n v="3366.18"/>
    <n v="720.62"/>
    <n v="8819.08"/>
    <n v="9539.7000000000007"/>
    <m/>
  </r>
  <r>
    <d v="2022-10-01T00:00:00"/>
    <s v="2022-23"/>
    <n v="2022"/>
    <x v="2"/>
    <x v="2"/>
    <s v="Telangana"/>
    <n v="36"/>
    <s v="State"/>
    <n v="990.42"/>
    <n v="1353.92"/>
    <n v="1413.3"/>
    <n v="526.39"/>
    <n v="3757.64"/>
    <n v="4284.03"/>
    <m/>
  </r>
  <r>
    <d v="2022-10-01T00:00:00"/>
    <s v="2022-23"/>
    <n v="2022"/>
    <x v="2"/>
    <x v="2"/>
    <s v="Tripura"/>
    <n v="16"/>
    <s v="State"/>
    <n v="27.66"/>
    <n v="36.06"/>
    <n v="12.05"/>
    <n v="0.45"/>
    <n v="75.77"/>
    <n v="76.22"/>
    <m/>
  </r>
  <r>
    <d v="2022-10-01T00:00:00"/>
    <s v="2022-23"/>
    <n v="2022"/>
    <x v="2"/>
    <x v="2"/>
    <s v="Uttar Pradesh"/>
    <n v="9"/>
    <s v="State"/>
    <n v="1530.5"/>
    <n v="2136.75"/>
    <n v="2944.71"/>
    <n v="1226.76"/>
    <n v="6611.96"/>
    <n v="7838.72"/>
    <m/>
  </r>
  <r>
    <d v="2022-10-01T00:00:00"/>
    <s v="2022-23"/>
    <n v="2022"/>
    <x v="2"/>
    <x v="2"/>
    <s v="Uttarakhand"/>
    <n v="5"/>
    <s v="State"/>
    <n v="280.58999999999997"/>
    <n v="404.58"/>
    <n v="918.38"/>
    <n v="9.06"/>
    <n v="1603.55"/>
    <n v="1612.61"/>
    <m/>
  </r>
  <r>
    <d v="2022-10-01T00:00:00"/>
    <s v="2022-23"/>
    <n v="2022"/>
    <x v="2"/>
    <x v="2"/>
    <s v="West Bengal"/>
    <n v="19"/>
    <s v="State"/>
    <n v="1575.46"/>
    <n v="1931.53"/>
    <n v="1507.6"/>
    <n v="352.11"/>
    <n v="5014.59"/>
    <n v="5366.7"/>
    <m/>
  </r>
  <r>
    <d v="2022-11-01T00:00:00"/>
    <s v="2022-23"/>
    <n v="2022"/>
    <x v="3"/>
    <x v="3"/>
    <s v="Andaman and Nicobar Islands"/>
    <n v="35"/>
    <s v="Union Territory"/>
    <n v="8.1199999999999992"/>
    <n v="10.54"/>
    <n v="3.89"/>
    <n v="0.03"/>
    <n v="22.55"/>
    <n v="22.58"/>
    <m/>
  </r>
  <r>
    <d v="2022-11-01T00:00:00"/>
    <s v="2022-23"/>
    <n v="2022"/>
    <x v="3"/>
    <x v="3"/>
    <s v="Andhra Pradesh"/>
    <n v="28"/>
    <s v="State"/>
    <n v="741.27"/>
    <n v="978.05"/>
    <n v="1127.1199999999999"/>
    <n v="287.11"/>
    <n v="2846.44"/>
    <n v="3133.55"/>
    <m/>
  </r>
  <r>
    <d v="2022-11-01T00:00:00"/>
    <s v="2022-23"/>
    <n v="2022"/>
    <x v="3"/>
    <x v="3"/>
    <s v="Arunachal Pradesh"/>
    <n v="12"/>
    <s v="State"/>
    <n v="22.34"/>
    <n v="29.12"/>
    <n v="10.81"/>
    <n v="0.13"/>
    <n v="62.27"/>
    <n v="62.4"/>
    <m/>
  </r>
  <r>
    <d v="2022-11-01T00:00:00"/>
    <s v="2022-23"/>
    <n v="2022"/>
    <x v="3"/>
    <x v="3"/>
    <s v="Assam"/>
    <n v="18"/>
    <s v="State"/>
    <n v="302.45999999999998"/>
    <n v="391.7"/>
    <n v="343.61"/>
    <n v="42.72"/>
    <n v="1037.77"/>
    <n v="1080.49"/>
    <m/>
  </r>
  <r>
    <d v="2022-11-01T00:00:00"/>
    <s v="2022-23"/>
    <n v="2022"/>
    <x v="3"/>
    <x v="3"/>
    <s v="Bihar"/>
    <n v="10"/>
    <s v="State"/>
    <n v="378.25"/>
    <n v="605.03"/>
    <n v="163.53"/>
    <n v="169.78"/>
    <n v="1146.81"/>
    <n v="1316.59"/>
    <m/>
  </r>
  <r>
    <d v="2022-11-01T00:00:00"/>
    <s v="2022-23"/>
    <n v="2022"/>
    <x v="3"/>
    <x v="3"/>
    <s v="Chandigarh"/>
    <n v="4"/>
    <s v="Union Territory"/>
    <n v="35.03"/>
    <n v="49.97"/>
    <n v="89.35"/>
    <n v="0.8"/>
    <n v="174.35"/>
    <n v="175.15"/>
    <m/>
  </r>
  <r>
    <d v="2022-11-01T00:00:00"/>
    <s v="2022-23"/>
    <n v="2022"/>
    <x v="3"/>
    <x v="3"/>
    <s v="Chhattisgarh"/>
    <n v="22"/>
    <s v="State"/>
    <n v="462.02"/>
    <n v="552.64"/>
    <n v="910.16"/>
    <n v="523.65"/>
    <n v="1924.82"/>
    <n v="2448.4699999999998"/>
    <m/>
  </r>
  <r>
    <d v="2022-11-01T00:00:00"/>
    <s v="2022-23"/>
    <n v="2022"/>
    <x v="3"/>
    <x v="3"/>
    <s v="Dadra and Nagar Haveli and Daman and Diu"/>
    <n v="38"/>
    <s v="Union Territory"/>
    <n v="36.130000000000003"/>
    <n v="46.26"/>
    <n v="221.22"/>
    <n v="0.93"/>
    <n v="303.61"/>
    <n v="304.54000000000002"/>
    <m/>
  </r>
  <r>
    <d v="2022-11-01T00:00:00"/>
    <s v="2022-23"/>
    <n v="2022"/>
    <x v="3"/>
    <x v="3"/>
    <s v="Delhi"/>
    <n v="7"/>
    <s v="Union Territory"/>
    <n v="930.95"/>
    <n v="1127.43"/>
    <n v="2429.5300000000002"/>
    <n v="77.66"/>
    <n v="4487.91"/>
    <n v="4565.57"/>
    <m/>
  </r>
  <r>
    <d v="2022-11-01T00:00:00"/>
    <s v="2022-23"/>
    <n v="2022"/>
    <x v="3"/>
    <x v="3"/>
    <s v="Goa"/>
    <n v="30"/>
    <s v="State"/>
    <n v="120.32"/>
    <n v="160.91999999999999"/>
    <n v="163.37"/>
    <n v="2.73"/>
    <n v="444.61"/>
    <n v="447.34"/>
    <m/>
  </r>
  <r>
    <d v="2022-11-01T00:00:00"/>
    <s v="2022-23"/>
    <n v="2022"/>
    <x v="3"/>
    <x v="3"/>
    <s v="Gujarat"/>
    <n v="24"/>
    <s v="State"/>
    <n v="2583.1"/>
    <n v="3109.07"/>
    <n v="3056.62"/>
    <n v="584.61"/>
    <n v="8748.7900000000009"/>
    <n v="9333.4"/>
    <m/>
  </r>
  <r>
    <d v="2022-11-01T00:00:00"/>
    <s v="2022-23"/>
    <n v="2022"/>
    <x v="3"/>
    <x v="3"/>
    <s v="Haryana"/>
    <n v="6"/>
    <s v="State"/>
    <n v="1045.69"/>
    <n v="1395.03"/>
    <n v="3880.31"/>
    <n v="448.2"/>
    <n v="6321.03"/>
    <n v="6769.23"/>
    <m/>
  </r>
  <r>
    <d v="2022-11-01T00:00:00"/>
    <s v="2022-23"/>
    <n v="2022"/>
    <x v="3"/>
    <x v="3"/>
    <s v="Himachal Pradesh"/>
    <n v="2"/>
    <s v="State"/>
    <n v="141.84"/>
    <n v="206.79"/>
    <n v="322.52"/>
    <n v="1.22"/>
    <n v="671.15"/>
    <n v="672.37"/>
    <m/>
  </r>
  <r>
    <d v="2022-11-01T00:00:00"/>
    <s v="2022-23"/>
    <n v="2022"/>
    <x v="3"/>
    <x v="3"/>
    <s v="Jammu and Kashmir"/>
    <n v="1"/>
    <s v="Union Territory"/>
    <n v="129.44999999999999"/>
    <n v="194.92"/>
    <n v="102.13"/>
    <n v="3.07"/>
    <n v="426.5"/>
    <n v="429.57"/>
    <m/>
  </r>
  <r>
    <d v="2022-11-01T00:00:00"/>
    <s v="2022-23"/>
    <n v="2022"/>
    <x v="3"/>
    <x v="3"/>
    <s v="Jharkhand"/>
    <n v="20"/>
    <s v="State"/>
    <n v="442.81"/>
    <n v="617.62"/>
    <n v="1064.19"/>
    <n v="426.19"/>
    <n v="2124.62"/>
    <n v="2550.81"/>
    <m/>
  </r>
  <r>
    <d v="2022-11-01T00:00:00"/>
    <s v="2022-23"/>
    <n v="2022"/>
    <x v="3"/>
    <x v="3"/>
    <s v="Karnataka"/>
    <n v="29"/>
    <s v="State"/>
    <n v="2241.31"/>
    <n v="2861.04"/>
    <n v="3958.75"/>
    <n v="1177.3599999999999"/>
    <n v="9061.1"/>
    <n v="10238.459999999999"/>
    <m/>
  </r>
  <r>
    <d v="2022-11-01T00:00:00"/>
    <s v="2022-23"/>
    <n v="2022"/>
    <x v="3"/>
    <x v="3"/>
    <s v="Kerala"/>
    <n v="32"/>
    <s v="State"/>
    <n v="761.22"/>
    <n v="989.25"/>
    <n v="337.56"/>
    <n v="6.05"/>
    <n v="2088.0300000000002"/>
    <n v="2094.08"/>
    <m/>
  </r>
  <r>
    <d v="2022-11-01T00:00:00"/>
    <s v="2022-23"/>
    <n v="2022"/>
    <x v="3"/>
    <x v="3"/>
    <s v="Ladakh"/>
    <n v="37"/>
    <s v="Union Territory"/>
    <n v="17.84"/>
    <n v="29.26"/>
    <n v="2.76"/>
    <n v="0.09"/>
    <n v="49.86"/>
    <n v="49.95"/>
    <m/>
  </r>
  <r>
    <d v="2022-11-01T00:00:00"/>
    <s v="2022-23"/>
    <n v="2022"/>
    <x v="3"/>
    <x v="3"/>
    <s v="Lakshadweep"/>
    <n v="31"/>
    <s v="Union Territory"/>
    <n v="0.13"/>
    <n v="0.18"/>
    <n v="0.17"/>
    <n v="0"/>
    <n v="0.48"/>
    <n v="0.48"/>
    <m/>
  </r>
  <r>
    <d v="2022-11-01T00:00:00"/>
    <s v="2022-23"/>
    <n v="2022"/>
    <x v="3"/>
    <x v="3"/>
    <s v="Madhya Pradesh"/>
    <n v="23"/>
    <s v="State"/>
    <n v="706.66"/>
    <n v="916.86"/>
    <n v="707.39"/>
    <n v="558.80999999999995"/>
    <n v="2330.91"/>
    <n v="2889.72"/>
    <m/>
  </r>
  <r>
    <d v="2022-11-01T00:00:00"/>
    <s v="2022-23"/>
    <n v="2022"/>
    <x v="3"/>
    <x v="3"/>
    <s v="Maharashtra"/>
    <n v="27"/>
    <s v="State"/>
    <n v="5828.63"/>
    <n v="6780.17"/>
    <n v="7289.38"/>
    <n v="1712.33"/>
    <n v="19898.18"/>
    <n v="21610.51"/>
    <m/>
  </r>
  <r>
    <d v="2022-11-01T00:00:00"/>
    <s v="2022-23"/>
    <n v="2022"/>
    <x v="3"/>
    <x v="3"/>
    <s v="Manipur"/>
    <n v="14"/>
    <s v="State"/>
    <n v="16.760000000000002"/>
    <n v="24.6"/>
    <n v="9.0399999999999991"/>
    <n v="0.04"/>
    <n v="50.4"/>
    <n v="50.44"/>
    <m/>
  </r>
  <r>
    <d v="2022-11-01T00:00:00"/>
    <s v="2022-23"/>
    <n v="2022"/>
    <x v="3"/>
    <x v="3"/>
    <s v="Meghalaya"/>
    <n v="17"/>
    <s v="State"/>
    <n v="27.44"/>
    <n v="33.28"/>
    <n v="100.03"/>
    <n v="1.05"/>
    <n v="160.75"/>
    <n v="161.80000000000001"/>
    <m/>
  </r>
  <r>
    <d v="2022-11-01T00:00:00"/>
    <s v="2022-23"/>
    <n v="2022"/>
    <x v="3"/>
    <x v="3"/>
    <s v="Mizoram"/>
    <n v="15"/>
    <s v="State"/>
    <n v="8.35"/>
    <n v="12.11"/>
    <n v="3.32"/>
    <n v="0.01"/>
    <n v="23.78"/>
    <n v="23.79"/>
    <m/>
  </r>
  <r>
    <d v="2022-11-01T00:00:00"/>
    <s v="2022-23"/>
    <n v="2022"/>
    <x v="3"/>
    <x v="3"/>
    <s v="Nagaland"/>
    <n v="13"/>
    <s v="State"/>
    <n v="10.3"/>
    <n v="13.27"/>
    <n v="8.08"/>
    <n v="1.85"/>
    <n v="31.65"/>
    <n v="33.5"/>
    <m/>
  </r>
  <r>
    <d v="2022-11-01T00:00:00"/>
    <s v="2022-23"/>
    <n v="2022"/>
    <x v="3"/>
    <x v="3"/>
    <s v="Odisha"/>
    <n v="21"/>
    <s v="State"/>
    <n v="845.79"/>
    <n v="1014.82"/>
    <n v="1577.15"/>
    <n v="724.5"/>
    <n v="3437.76"/>
    <n v="4162.26"/>
    <m/>
  </r>
  <r>
    <d v="2022-11-01T00:00:00"/>
    <s v="2022-23"/>
    <n v="2022"/>
    <x v="3"/>
    <x v="3"/>
    <s v="Puducherry"/>
    <n v="34"/>
    <s v="Union Territory"/>
    <n v="24.05"/>
    <n v="37.590000000000003"/>
    <n v="147.29"/>
    <n v="0.43"/>
    <n v="208.93"/>
    <n v="209.36"/>
    <m/>
  </r>
  <r>
    <d v="2022-11-01T00:00:00"/>
    <s v="2022-23"/>
    <n v="2022"/>
    <x v="3"/>
    <x v="3"/>
    <s v="Punjab"/>
    <n v="3"/>
    <s v="State"/>
    <n v="394.48"/>
    <n v="645.91"/>
    <n v="610.61"/>
    <n v="18.23"/>
    <n v="1651"/>
    <n v="1669.23"/>
    <m/>
  </r>
  <r>
    <d v="2022-11-01T00:00:00"/>
    <s v="2022-23"/>
    <n v="2022"/>
    <x v="3"/>
    <x v="3"/>
    <s v="Rajasthan"/>
    <n v="8"/>
    <s v="State"/>
    <n v="996.05"/>
    <n v="1314.23"/>
    <n v="1183.48"/>
    <n v="124.68"/>
    <n v="3493.76"/>
    <n v="3618.44"/>
    <m/>
  </r>
  <r>
    <d v="2022-11-01T00:00:00"/>
    <s v="2022-23"/>
    <n v="2022"/>
    <x v="3"/>
    <x v="3"/>
    <s v="Sikkim"/>
    <n v="11"/>
    <s v="State"/>
    <n v="17.8"/>
    <n v="22.7"/>
    <n v="168.79"/>
    <n v="0.13"/>
    <n v="209.29"/>
    <n v="209.42"/>
    <m/>
  </r>
  <r>
    <d v="2022-11-01T00:00:00"/>
    <s v="2022-23"/>
    <n v="2022"/>
    <x v="3"/>
    <x v="3"/>
    <s v="Tamil Nadu"/>
    <n v="33"/>
    <s v="State"/>
    <n v="2252.19"/>
    <n v="2966.23"/>
    <n v="2655.55"/>
    <n v="677.47"/>
    <n v="7873.97"/>
    <n v="8551.44"/>
    <m/>
  </r>
  <r>
    <d v="2022-11-01T00:00:00"/>
    <s v="2022-23"/>
    <n v="2022"/>
    <x v="3"/>
    <x v="3"/>
    <s v="Telangana"/>
    <n v="36"/>
    <s v="State"/>
    <n v="1030.5999999999999"/>
    <n v="1388.3"/>
    <n v="1286.5999999999999"/>
    <n v="522.54"/>
    <n v="3705.5"/>
    <n v="4228.04"/>
    <m/>
  </r>
  <r>
    <d v="2022-11-01T00:00:00"/>
    <s v="2022-23"/>
    <n v="2022"/>
    <x v="3"/>
    <x v="3"/>
    <s v="Tripura"/>
    <n v="16"/>
    <s v="State"/>
    <n v="22.64"/>
    <n v="29.59"/>
    <n v="7.11"/>
    <n v="0.27"/>
    <n v="59.34"/>
    <n v="59.61"/>
    <m/>
  </r>
  <r>
    <d v="2022-11-01T00:00:00"/>
    <s v="2022-23"/>
    <n v="2022"/>
    <x v="3"/>
    <x v="3"/>
    <s v="Uttar Pradesh"/>
    <n v="9"/>
    <s v="State"/>
    <n v="1533.66"/>
    <n v="2076.16"/>
    <n v="2444.21"/>
    <n v="1200.45"/>
    <n v="6054.03"/>
    <n v="7254.48"/>
    <m/>
  </r>
  <r>
    <d v="2022-11-01T00:00:00"/>
    <s v="2022-23"/>
    <n v="2022"/>
    <x v="3"/>
    <x v="3"/>
    <s v="Uttarakhand"/>
    <n v="5"/>
    <s v="State"/>
    <n v="243.52"/>
    <n v="387.54"/>
    <n v="639.08000000000004"/>
    <n v="9.89"/>
    <n v="1270.1400000000001"/>
    <n v="1280.03"/>
    <m/>
  </r>
  <r>
    <d v="2022-11-01T00:00:00"/>
    <s v="2022-23"/>
    <n v="2022"/>
    <x v="3"/>
    <x v="3"/>
    <s v="West Bengal"/>
    <n v="19"/>
    <s v="State"/>
    <n v="1312.8"/>
    <n v="1615.48"/>
    <n v="1132.22"/>
    <n v="310.95999999999998"/>
    <n v="4060.5"/>
    <n v="4371.46"/>
    <m/>
  </r>
  <r>
    <d v="2022-12-01T00:00:00"/>
    <s v="2022-23"/>
    <n v="2022"/>
    <x v="4"/>
    <x v="4"/>
    <s v="Andaman and Nicobar Islands"/>
    <n v="35"/>
    <s v="Union Territory"/>
    <n v="7.23"/>
    <n v="10.66"/>
    <n v="3.08"/>
    <n v="7.0000000000000007E-2"/>
    <n v="20.97"/>
    <n v="21.04"/>
    <m/>
  </r>
  <r>
    <d v="2022-12-01T00:00:00"/>
    <s v="2022-23"/>
    <n v="2022"/>
    <x v="4"/>
    <x v="4"/>
    <s v="Andhra Pradesh"/>
    <n v="28"/>
    <s v="State"/>
    <n v="756.99"/>
    <n v="972.23"/>
    <n v="1162.8599999999999"/>
    <n v="290.33"/>
    <n v="2892.08"/>
    <n v="3182.41"/>
    <m/>
  </r>
  <r>
    <d v="2022-12-01T00:00:00"/>
    <s v="2022-23"/>
    <n v="2022"/>
    <x v="4"/>
    <x v="4"/>
    <s v="Arunachal Pradesh"/>
    <n v="12"/>
    <s v="State"/>
    <n v="24.61"/>
    <n v="32.32"/>
    <n v="10.26"/>
    <n v="0.03"/>
    <n v="67.19"/>
    <n v="67.22"/>
    <m/>
  </r>
  <r>
    <d v="2022-12-01T00:00:00"/>
    <s v="2022-23"/>
    <n v="2022"/>
    <x v="4"/>
    <x v="4"/>
    <s v="Assam"/>
    <n v="18"/>
    <s v="State"/>
    <n v="324.05"/>
    <n v="405.78"/>
    <n v="366.37"/>
    <n v="53.86"/>
    <n v="1096.2"/>
    <n v="1150.06"/>
    <m/>
  </r>
  <r>
    <d v="2022-12-01T00:00:00"/>
    <s v="2022-23"/>
    <n v="2022"/>
    <x v="4"/>
    <x v="4"/>
    <s v="Bihar"/>
    <n v="10"/>
    <s v="State"/>
    <n v="358.84"/>
    <n v="592.73"/>
    <n v="169.85"/>
    <n v="187.8"/>
    <n v="1121.42"/>
    <n v="1309.22"/>
    <m/>
  </r>
  <r>
    <d v="2022-12-01T00:00:00"/>
    <s v="2022-23"/>
    <n v="2022"/>
    <x v="4"/>
    <x v="4"/>
    <s v="Chandigarh"/>
    <n v="4"/>
    <s v="Union Territory"/>
    <n v="37.369999999999997"/>
    <n v="50.02"/>
    <n v="129.82"/>
    <n v="0.39"/>
    <n v="217.21"/>
    <n v="217.6"/>
    <m/>
  </r>
  <r>
    <d v="2022-12-01T00:00:00"/>
    <s v="2022-23"/>
    <n v="2022"/>
    <x v="4"/>
    <x v="4"/>
    <s v="Chhattisgarh"/>
    <n v="22"/>
    <s v="State"/>
    <n v="512"/>
    <n v="588.23"/>
    <n v="897.89"/>
    <n v="587.24"/>
    <n v="1998.12"/>
    <n v="2585.36"/>
    <m/>
  </r>
  <r>
    <d v="2022-12-01T00:00:00"/>
    <s v="2022-23"/>
    <n v="2022"/>
    <x v="4"/>
    <x v="4"/>
    <s v="Dadra and Nagar Haveli and Daman and Diu"/>
    <n v="38"/>
    <s v="Union Territory"/>
    <n v="42.98"/>
    <n v="51.43"/>
    <n v="223.03"/>
    <n v="0.1"/>
    <n v="317.44"/>
    <n v="317.54000000000002"/>
    <m/>
  </r>
  <r>
    <d v="2022-12-01T00:00:00"/>
    <s v="2022-23"/>
    <n v="2022"/>
    <x v="4"/>
    <x v="4"/>
    <s v="Delhi"/>
    <n v="7"/>
    <s v="Union Territory"/>
    <n v="859.02"/>
    <n v="1040.19"/>
    <n v="2420.66"/>
    <n v="80.849999999999994"/>
    <n v="4319.87"/>
    <n v="4400.72"/>
    <m/>
  </r>
  <r>
    <d v="2022-12-01T00:00:00"/>
    <s v="2022-23"/>
    <n v="2022"/>
    <x v="4"/>
    <x v="4"/>
    <s v="Goa"/>
    <n v="30"/>
    <s v="State"/>
    <n v="125.81"/>
    <n v="162.79"/>
    <n v="168.83"/>
    <n v="2.71"/>
    <n v="457.43"/>
    <n v="460.14"/>
    <m/>
  </r>
  <r>
    <d v="2022-12-01T00:00:00"/>
    <s v="2022-23"/>
    <n v="2022"/>
    <x v="4"/>
    <x v="4"/>
    <s v="Gujarat"/>
    <n v="24"/>
    <s v="State"/>
    <n v="2574.0700000000002"/>
    <n v="3067.59"/>
    <n v="2971.47"/>
    <n v="625.19000000000005"/>
    <n v="8613.1299999999992"/>
    <n v="9238.32"/>
    <m/>
  </r>
  <r>
    <d v="2022-12-01T00:00:00"/>
    <s v="2022-23"/>
    <n v="2022"/>
    <x v="4"/>
    <x v="4"/>
    <s v="Haryana"/>
    <n v="6"/>
    <s v="State"/>
    <n v="1032.6199999999999"/>
    <n v="1371.52"/>
    <n v="3758.63"/>
    <n v="515.21"/>
    <n v="6162.77"/>
    <n v="6677.98"/>
    <m/>
  </r>
  <r>
    <d v="2022-12-01T00:00:00"/>
    <s v="2022-23"/>
    <n v="2022"/>
    <x v="4"/>
    <x v="4"/>
    <s v="Himachal Pradesh"/>
    <n v="2"/>
    <s v="State"/>
    <n v="129.96"/>
    <n v="183.35"/>
    <n v="394.39"/>
    <n v="0.63"/>
    <n v="707.7"/>
    <n v="708.33"/>
    <m/>
  </r>
  <r>
    <d v="2022-12-01T00:00:00"/>
    <s v="2022-23"/>
    <n v="2022"/>
    <x v="4"/>
    <x v="4"/>
    <s v="Jammu and Kashmir"/>
    <n v="1"/>
    <s v="Union Territory"/>
    <n v="125.12"/>
    <n v="185.86"/>
    <n v="97.18"/>
    <n v="1.44"/>
    <n v="408.16"/>
    <n v="409.6"/>
    <m/>
  </r>
  <r>
    <d v="2022-12-01T00:00:00"/>
    <s v="2022-23"/>
    <n v="2022"/>
    <x v="4"/>
    <x v="4"/>
    <s v="Jharkhand"/>
    <n v="20"/>
    <s v="State"/>
    <n v="473.71"/>
    <n v="615"/>
    <n v="951.43"/>
    <n v="495.54"/>
    <n v="2040.14"/>
    <n v="2535.6799999999998"/>
    <m/>
  </r>
  <r>
    <d v="2022-12-01T00:00:00"/>
    <s v="2022-23"/>
    <n v="2022"/>
    <x v="4"/>
    <x v="4"/>
    <s v="Karnataka"/>
    <n v="29"/>
    <s v="State"/>
    <n v="2374.13"/>
    <n v="2950.47"/>
    <n v="3607.08"/>
    <n v="1128.8900000000001"/>
    <n v="8931.68"/>
    <n v="10060.57"/>
    <m/>
  </r>
  <r>
    <d v="2022-12-01T00:00:00"/>
    <s v="2022-23"/>
    <n v="2022"/>
    <x v="4"/>
    <x v="4"/>
    <s v="Kerala"/>
    <n v="32"/>
    <s v="State"/>
    <n v="752.52"/>
    <n v="1005.39"/>
    <n v="417.15"/>
    <n v="10.28"/>
    <n v="2175.06"/>
    <n v="2185.34"/>
    <m/>
  </r>
  <r>
    <d v="2022-12-01T00:00:00"/>
    <s v="2022-23"/>
    <n v="2022"/>
    <x v="4"/>
    <x v="4"/>
    <s v="Ladakh"/>
    <n v="37"/>
    <s v="Union Territory"/>
    <n v="9.9600000000000009"/>
    <n v="12.68"/>
    <n v="2.79"/>
    <n v="0.08"/>
    <n v="25.43"/>
    <n v="25.51"/>
    <m/>
  </r>
  <r>
    <d v="2022-12-01T00:00:00"/>
    <s v="2022-23"/>
    <n v="2022"/>
    <x v="4"/>
    <x v="4"/>
    <s v="Lakshadweep"/>
    <n v="31"/>
    <s v="Union Territory"/>
    <n v="0.41"/>
    <n v="0.45"/>
    <n v="0.06"/>
    <n v="0"/>
    <n v="0.92"/>
    <n v="0.92"/>
    <m/>
  </r>
  <r>
    <d v="2022-12-01T00:00:00"/>
    <s v="2022-23"/>
    <n v="2022"/>
    <x v="4"/>
    <x v="4"/>
    <s v="Madhya Pradesh"/>
    <n v="23"/>
    <s v="State"/>
    <n v="733.4"/>
    <n v="911.41"/>
    <n v="824.79"/>
    <n v="608.95000000000005"/>
    <n v="2469.6"/>
    <n v="3078.55"/>
    <m/>
  </r>
  <r>
    <d v="2022-12-01T00:00:00"/>
    <s v="2022-23"/>
    <n v="2022"/>
    <x v="4"/>
    <x v="4"/>
    <s v="Maharashtra"/>
    <n v="27"/>
    <s v="State"/>
    <n v="6472.84"/>
    <n v="7519.13"/>
    <n v="7894.07"/>
    <n v="1712.07"/>
    <n v="21886.04"/>
    <n v="23598.11"/>
    <m/>
  </r>
  <r>
    <d v="2022-12-01T00:00:00"/>
    <s v="2022-23"/>
    <n v="2022"/>
    <x v="4"/>
    <x v="4"/>
    <s v="Manipur"/>
    <n v="14"/>
    <s v="State"/>
    <n v="16.16"/>
    <n v="25.39"/>
    <n v="4.08"/>
    <n v="0.03"/>
    <n v="45.63"/>
    <n v="45.66"/>
    <m/>
  </r>
  <r>
    <d v="2022-12-01T00:00:00"/>
    <s v="2022-23"/>
    <n v="2022"/>
    <x v="4"/>
    <x v="4"/>
    <s v="Meghalaya"/>
    <n v="17"/>
    <s v="State"/>
    <n v="32.47"/>
    <n v="40.99"/>
    <n v="96.41"/>
    <n v="1.51"/>
    <n v="169.87"/>
    <n v="171.38"/>
    <m/>
  </r>
  <r>
    <d v="2022-12-01T00:00:00"/>
    <s v="2022-23"/>
    <n v="2022"/>
    <x v="4"/>
    <x v="4"/>
    <s v="Mizoram"/>
    <n v="15"/>
    <s v="State"/>
    <n v="7.66"/>
    <n v="12.94"/>
    <n v="2.11"/>
    <n v="0.04"/>
    <n v="22.71"/>
    <n v="22.75"/>
    <m/>
  </r>
  <r>
    <d v="2022-12-01T00:00:00"/>
    <s v="2022-23"/>
    <n v="2022"/>
    <x v="4"/>
    <x v="4"/>
    <s v="Nagaland"/>
    <n v="13"/>
    <s v="State"/>
    <n v="14.73"/>
    <n v="20.09"/>
    <n v="6.4"/>
    <n v="2.4900000000000002"/>
    <n v="41.22"/>
    <n v="43.71"/>
    <m/>
  </r>
  <r>
    <d v="2022-12-01T00:00:00"/>
    <s v="2022-23"/>
    <n v="2022"/>
    <x v="4"/>
    <x v="4"/>
    <s v="Odisha"/>
    <n v="21"/>
    <s v="State"/>
    <n v="856.46"/>
    <n v="1033.3599999999999"/>
    <n v="1212.43"/>
    <n v="752.04"/>
    <n v="3102.25"/>
    <n v="3854.29"/>
    <m/>
  </r>
  <r>
    <d v="2022-12-01T00:00:00"/>
    <s v="2022-23"/>
    <n v="2022"/>
    <x v="4"/>
    <x v="4"/>
    <s v="Puducherry"/>
    <n v="34"/>
    <s v="Union Territory"/>
    <n v="23.78"/>
    <n v="35.700000000000003"/>
    <n v="131.65"/>
    <n v="0.57999999999999996"/>
    <n v="191.13"/>
    <n v="191.71"/>
    <m/>
  </r>
  <r>
    <d v="2022-12-01T00:00:00"/>
    <s v="2022-23"/>
    <n v="2022"/>
    <x v="4"/>
    <x v="4"/>
    <s v="Punjab"/>
    <n v="3"/>
    <s v="State"/>
    <n v="430.71"/>
    <n v="616.71"/>
    <n v="672.17"/>
    <n v="14.65"/>
    <n v="1719.59"/>
    <n v="1734.24"/>
    <m/>
  </r>
  <r>
    <d v="2022-12-01T00:00:00"/>
    <s v="2022-23"/>
    <n v="2022"/>
    <x v="4"/>
    <x v="4"/>
    <s v="Rajasthan"/>
    <n v="8"/>
    <s v="State"/>
    <n v="1043.8900000000001"/>
    <n v="1336.98"/>
    <n v="1302.5899999999999"/>
    <n v="105.36"/>
    <n v="3683.46"/>
    <n v="3788.82"/>
    <m/>
  </r>
  <r>
    <d v="2022-12-01T00:00:00"/>
    <s v="2022-23"/>
    <n v="2022"/>
    <x v="4"/>
    <x v="4"/>
    <s v="Sikkim"/>
    <n v="11"/>
    <s v="State"/>
    <n v="15.58"/>
    <n v="19.670000000000002"/>
    <n v="255.01"/>
    <n v="0.05"/>
    <n v="290.26"/>
    <n v="290.31"/>
    <m/>
  </r>
  <r>
    <d v="2022-12-01T00:00:00"/>
    <s v="2022-23"/>
    <n v="2022"/>
    <x v="4"/>
    <x v="4"/>
    <s v="Tamil Nadu"/>
    <n v="33"/>
    <s v="State"/>
    <n v="2225.1"/>
    <n v="2854.59"/>
    <n v="2599.9699999999998"/>
    <n v="644.59"/>
    <n v="7679.66"/>
    <n v="8324.25"/>
    <m/>
  </r>
  <r>
    <d v="2022-12-01T00:00:00"/>
    <s v="2022-23"/>
    <n v="2022"/>
    <x v="4"/>
    <x v="4"/>
    <s v="Telangana"/>
    <n v="36"/>
    <s v="State"/>
    <n v="1052.69"/>
    <n v="1361.11"/>
    <n v="1214.74"/>
    <n v="549.36"/>
    <n v="3628.54"/>
    <n v="4177.8999999999996"/>
    <m/>
  </r>
  <r>
    <d v="2022-12-01T00:00:00"/>
    <s v="2022-23"/>
    <n v="2022"/>
    <x v="4"/>
    <x v="4"/>
    <s v="Tripura"/>
    <n v="16"/>
    <s v="State"/>
    <n v="30.81"/>
    <n v="38.72"/>
    <n v="8.15"/>
    <n v="0.04"/>
    <n v="77.680000000000007"/>
    <n v="77.72"/>
    <m/>
  </r>
  <r>
    <d v="2022-12-01T00:00:00"/>
    <s v="2022-23"/>
    <n v="2022"/>
    <x v="4"/>
    <x v="4"/>
    <s v="Uttar Pradesh"/>
    <n v="9"/>
    <s v="State"/>
    <n v="1587.5"/>
    <n v="2174.1"/>
    <n v="2036.29"/>
    <n v="1380.51"/>
    <n v="5797.89"/>
    <n v="7178.4"/>
    <m/>
  </r>
  <r>
    <d v="2022-12-01T00:00:00"/>
    <s v="2022-23"/>
    <n v="2022"/>
    <x v="4"/>
    <x v="4"/>
    <s v="Uttarakhand"/>
    <n v="5"/>
    <s v="State"/>
    <n v="250.66"/>
    <n v="375.65"/>
    <n v="616.83000000000004"/>
    <n v="9.36"/>
    <n v="1243.1400000000001"/>
    <n v="1252.5"/>
    <m/>
  </r>
  <r>
    <d v="2022-12-01T00:00:00"/>
    <s v="2022-23"/>
    <n v="2022"/>
    <x v="4"/>
    <x v="4"/>
    <s v="West Bengal"/>
    <n v="19"/>
    <s v="State"/>
    <n v="1380.44"/>
    <n v="1661.28"/>
    <n v="1148.25"/>
    <n v="392.84"/>
    <n v="4189.97"/>
    <n v="4582.8100000000004"/>
    <m/>
  </r>
  <r>
    <d v="2023-01-01T00:00:00"/>
    <s v="2022-23"/>
    <n v="2023"/>
    <x v="5"/>
    <x v="5"/>
    <s v="Andaman and Nicobar Islands"/>
    <n v="35"/>
    <s v="Union Territory"/>
    <n v="9.76"/>
    <n v="16.239999999999998"/>
    <n v="5.5"/>
    <n v="0.05"/>
    <n v="31.5"/>
    <n v="31.55"/>
    <m/>
  </r>
  <r>
    <d v="2023-01-01T00:00:00"/>
    <s v="2022-23"/>
    <n v="2023"/>
    <x v="5"/>
    <x v="5"/>
    <s v="Andhra Pradesh"/>
    <n v="28"/>
    <s v="State"/>
    <n v="840.83"/>
    <n v="1133.24"/>
    <n v="1277.8800000000001"/>
    <n v="182.71"/>
    <n v="3251.95"/>
    <n v="3434.66"/>
    <m/>
  </r>
  <r>
    <d v="2023-01-01T00:00:00"/>
    <s v="2022-23"/>
    <n v="2023"/>
    <x v="5"/>
    <x v="5"/>
    <s v="Arunachal Pradesh"/>
    <n v="12"/>
    <s v="State"/>
    <n v="29.79"/>
    <n v="38.799999999999997"/>
    <n v="12.28"/>
    <n v="0.11"/>
    <n v="80.87"/>
    <n v="80.98"/>
    <m/>
  </r>
  <r>
    <d v="2023-01-01T00:00:00"/>
    <s v="2022-23"/>
    <n v="2023"/>
    <x v="5"/>
    <x v="5"/>
    <s v="Assam"/>
    <n v="18"/>
    <s v="State"/>
    <n v="353.03"/>
    <n v="484.5"/>
    <n v="342.71"/>
    <n v="65.510000000000005"/>
    <n v="1180.24"/>
    <n v="1245.75"/>
    <m/>
  </r>
  <r>
    <d v="2023-01-01T00:00:00"/>
    <s v="2022-23"/>
    <n v="2023"/>
    <x v="5"/>
    <x v="5"/>
    <s v="Bihar"/>
    <n v="10"/>
    <s v="State"/>
    <n v="427.89"/>
    <n v="702.78"/>
    <n v="161.84"/>
    <n v="161.26"/>
    <n v="1292.51"/>
    <n v="1453.77"/>
    <m/>
  </r>
  <r>
    <d v="2023-01-01T00:00:00"/>
    <s v="2022-23"/>
    <n v="2023"/>
    <x v="5"/>
    <x v="5"/>
    <s v="Chandigarh"/>
    <n v="4"/>
    <s v="Union Territory"/>
    <n v="45.77"/>
    <n v="75.28"/>
    <n v="104.27"/>
    <n v="8.3699999999999992"/>
    <n v="225.32"/>
    <n v="233.69"/>
    <m/>
  </r>
  <r>
    <d v="2023-01-01T00:00:00"/>
    <s v="2022-23"/>
    <n v="2023"/>
    <x v="5"/>
    <x v="5"/>
    <s v="Chhattisgarh"/>
    <n v="22"/>
    <s v="State"/>
    <n v="572.16999999999996"/>
    <n v="680.9"/>
    <n v="871.48"/>
    <n v="670.91"/>
    <n v="2124.5500000000002"/>
    <n v="2795.46"/>
    <m/>
  </r>
  <r>
    <d v="2023-01-01T00:00:00"/>
    <s v="2022-23"/>
    <n v="2023"/>
    <x v="5"/>
    <x v="5"/>
    <s v="Dadra and Nagar Haveli and Daman and Diu"/>
    <n v="38"/>
    <s v="Union Territory"/>
    <n v="39.08"/>
    <n v="49.56"/>
    <n v="222.95"/>
    <n v="1.22"/>
    <n v="311.58999999999997"/>
    <n v="312.81"/>
    <m/>
  </r>
  <r>
    <d v="2023-01-01T00:00:00"/>
    <s v="2022-23"/>
    <n v="2023"/>
    <x v="5"/>
    <x v="5"/>
    <s v="Delhi"/>
    <n v="7"/>
    <s v="Union Territory"/>
    <n v="996.45"/>
    <n v="1248.21"/>
    <n v="2534.77"/>
    <n v="102.98"/>
    <n v="4779.43"/>
    <n v="4882.41"/>
    <m/>
  </r>
  <r>
    <d v="2023-01-01T00:00:00"/>
    <s v="2022-23"/>
    <n v="2023"/>
    <x v="5"/>
    <x v="5"/>
    <s v="Goa"/>
    <n v="30"/>
    <s v="State"/>
    <n v="158.29"/>
    <n v="214.46"/>
    <n v="212.02"/>
    <n v="4.82"/>
    <n v="584.77"/>
    <n v="589.59"/>
    <m/>
  </r>
  <r>
    <d v="2023-01-01T00:00:00"/>
    <s v="2022-23"/>
    <n v="2023"/>
    <x v="5"/>
    <x v="5"/>
    <s v="Gujarat"/>
    <n v="24"/>
    <s v="State"/>
    <n v="2768.12"/>
    <n v="3328.03"/>
    <n v="3262"/>
    <n v="650.48"/>
    <n v="9358.15"/>
    <n v="10008.629999999999"/>
    <m/>
  </r>
  <r>
    <d v="2023-01-01T00:00:00"/>
    <s v="2022-23"/>
    <n v="2023"/>
    <x v="5"/>
    <x v="5"/>
    <s v="Haryana"/>
    <n v="6"/>
    <s v="State"/>
    <n v="1183.4100000000001"/>
    <n v="1559.12"/>
    <n v="4681"/>
    <n v="506.4"/>
    <n v="7423.53"/>
    <n v="7929.93"/>
    <m/>
  </r>
  <r>
    <d v="2023-01-01T00:00:00"/>
    <s v="2022-23"/>
    <n v="2023"/>
    <x v="5"/>
    <x v="5"/>
    <s v="Himachal Pradesh"/>
    <n v="2"/>
    <s v="State"/>
    <n v="150.15"/>
    <n v="218.31"/>
    <n v="394.33"/>
    <n v="2.33"/>
    <n v="762.79"/>
    <n v="765.12"/>
    <m/>
  </r>
  <r>
    <d v="2023-01-01T00:00:00"/>
    <s v="2022-23"/>
    <n v="2023"/>
    <x v="5"/>
    <x v="5"/>
    <s v="Jammu and Kashmir"/>
    <n v="1"/>
    <s v="Union Territory"/>
    <n v="148.56"/>
    <n v="234.33"/>
    <n v="87.9"/>
    <n v="3.61"/>
    <n v="470.79"/>
    <n v="474.4"/>
    <m/>
  </r>
  <r>
    <d v="2023-01-01T00:00:00"/>
    <s v="2022-23"/>
    <n v="2023"/>
    <x v="5"/>
    <x v="5"/>
    <s v="Jharkhand"/>
    <n v="20"/>
    <s v="State"/>
    <n v="549.34"/>
    <n v="714.53"/>
    <n v="1136.28"/>
    <n v="532.22"/>
    <n v="2400.15"/>
    <n v="2932.37"/>
    <m/>
  </r>
  <r>
    <d v="2023-01-01T00:00:00"/>
    <s v="2022-23"/>
    <n v="2023"/>
    <x v="5"/>
    <x v="5"/>
    <s v="Karnataka"/>
    <n v="29"/>
    <s v="State"/>
    <n v="2641.77"/>
    <n v="3282.91"/>
    <n v="4374.1499999999996"/>
    <n v="1023.19"/>
    <n v="10298.83"/>
    <n v="11322.02"/>
    <m/>
  </r>
  <r>
    <d v="2023-01-01T00:00:00"/>
    <s v="2022-23"/>
    <n v="2023"/>
    <x v="5"/>
    <x v="5"/>
    <s v="Kerala"/>
    <n v="32"/>
    <s v="State"/>
    <n v="879.32"/>
    <n v="1184.3499999999999"/>
    <n v="490.13"/>
    <n v="16.600000000000001"/>
    <n v="2553.8000000000002"/>
    <n v="2570.4"/>
    <m/>
  </r>
  <r>
    <d v="2023-01-01T00:00:00"/>
    <s v="2022-23"/>
    <n v="2023"/>
    <x v="5"/>
    <x v="5"/>
    <s v="Ladakh"/>
    <n v="37"/>
    <s v="Union Territory"/>
    <n v="17.059999999999999"/>
    <n v="23.87"/>
    <n v="5.09"/>
    <n v="7.0000000000000007E-2"/>
    <n v="46.02"/>
    <n v="46.09"/>
    <m/>
  </r>
  <r>
    <d v="2023-01-01T00:00:00"/>
    <s v="2022-23"/>
    <n v="2023"/>
    <x v="5"/>
    <x v="5"/>
    <s v="Lakshadweep"/>
    <n v="31"/>
    <s v="Union Territory"/>
    <n v="0.59"/>
    <n v="0.62"/>
    <n v="0.97"/>
    <n v="0"/>
    <n v="2.1800000000000002"/>
    <n v="2.1800000000000002"/>
    <m/>
  </r>
  <r>
    <d v="2023-01-01T00:00:00"/>
    <s v="2022-23"/>
    <n v="2023"/>
    <x v="5"/>
    <x v="5"/>
    <s v="Madhya Pradesh"/>
    <n v="23"/>
    <s v="State"/>
    <n v="816.84"/>
    <n v="1029.33"/>
    <n v="907.28"/>
    <n v="594.30999999999995"/>
    <n v="2753.45"/>
    <n v="3347.76"/>
    <m/>
  </r>
  <r>
    <d v="2023-01-01T00:00:00"/>
    <s v="2022-23"/>
    <n v="2023"/>
    <x v="5"/>
    <x v="5"/>
    <s v="Maharashtra"/>
    <n v="27"/>
    <s v="State"/>
    <n v="6454.59"/>
    <n v="7420.48"/>
    <n v="8831.81"/>
    <n v="1805.72"/>
    <n v="22706.880000000001"/>
    <n v="24512.6"/>
    <m/>
  </r>
  <r>
    <d v="2023-01-01T00:00:00"/>
    <s v="2022-23"/>
    <n v="2023"/>
    <x v="5"/>
    <x v="5"/>
    <s v="Manipur"/>
    <n v="14"/>
    <s v="State"/>
    <n v="24.94"/>
    <n v="37.08"/>
    <n v="4.49"/>
    <n v="0.54"/>
    <n v="66.510000000000005"/>
    <n v="67.05"/>
    <m/>
  </r>
  <r>
    <d v="2023-01-01T00:00:00"/>
    <s v="2022-23"/>
    <n v="2023"/>
    <x v="5"/>
    <x v="5"/>
    <s v="Meghalaya"/>
    <n v="17"/>
    <s v="State"/>
    <n v="40.86"/>
    <n v="52.32"/>
    <n v="92.17"/>
    <n v="1.87"/>
    <n v="185.35"/>
    <n v="187.22"/>
    <m/>
  </r>
  <r>
    <d v="2023-01-01T00:00:00"/>
    <s v="2022-23"/>
    <n v="2023"/>
    <x v="5"/>
    <x v="5"/>
    <s v="Mizoram"/>
    <n v="15"/>
    <s v="State"/>
    <n v="14.33"/>
    <n v="26.28"/>
    <n v="2.91"/>
    <n v="0.16"/>
    <n v="43.52"/>
    <n v="43.68"/>
    <m/>
  </r>
  <r>
    <d v="2023-01-01T00:00:00"/>
    <s v="2022-23"/>
    <n v="2023"/>
    <x v="5"/>
    <x v="5"/>
    <s v="Nagaland"/>
    <n v="13"/>
    <s v="State"/>
    <n v="19.27"/>
    <n v="23.29"/>
    <n v="9.18"/>
    <n v="3.45"/>
    <n v="51.74"/>
    <n v="55.19"/>
    <m/>
  </r>
  <r>
    <d v="2023-01-01T00:00:00"/>
    <s v="2022-23"/>
    <n v="2023"/>
    <x v="5"/>
    <x v="5"/>
    <s v="Odisha"/>
    <n v="21"/>
    <s v="State"/>
    <n v="1056.42"/>
    <n v="1260.3399999999999"/>
    <n v="1163.6600000000001"/>
    <n v="775.17"/>
    <n v="3480.42"/>
    <n v="4255.59"/>
    <m/>
  </r>
  <r>
    <d v="2023-01-01T00:00:00"/>
    <s v="2022-23"/>
    <n v="2023"/>
    <x v="5"/>
    <x v="5"/>
    <s v="Puducherry"/>
    <n v="34"/>
    <s v="Union Territory"/>
    <n v="26.99"/>
    <n v="42.24"/>
    <n v="148.15"/>
    <n v="2.82"/>
    <n v="217.38"/>
    <n v="220.2"/>
    <m/>
  </r>
  <r>
    <d v="2023-01-01T00:00:00"/>
    <s v="2022-23"/>
    <n v="2023"/>
    <x v="5"/>
    <x v="5"/>
    <s v="Punjab"/>
    <n v="3"/>
    <s v="State"/>
    <n v="440.95"/>
    <n v="714.18"/>
    <n v="612.46"/>
    <n v="28.1"/>
    <n v="1767.59"/>
    <n v="1795.69"/>
    <m/>
  </r>
  <r>
    <d v="2023-01-01T00:00:00"/>
    <s v="2022-23"/>
    <n v="2023"/>
    <x v="5"/>
    <x v="5"/>
    <s v="Rajasthan"/>
    <n v="8"/>
    <s v="State"/>
    <n v="1135.72"/>
    <n v="1483.88"/>
    <n v="1418.04"/>
    <n v="116.8"/>
    <n v="4037.64"/>
    <n v="4154.4399999999996"/>
    <m/>
  </r>
  <r>
    <d v="2023-01-01T00:00:00"/>
    <s v="2022-23"/>
    <n v="2023"/>
    <x v="5"/>
    <x v="5"/>
    <s v="Sikkim"/>
    <n v="11"/>
    <s v="State"/>
    <n v="18.75"/>
    <n v="24.93"/>
    <n v="240.14"/>
    <n v="0.18"/>
    <n v="283.82"/>
    <n v="284"/>
    <m/>
  </r>
  <r>
    <d v="2023-01-01T00:00:00"/>
    <s v="2022-23"/>
    <n v="2023"/>
    <x v="5"/>
    <x v="5"/>
    <s v="Tamil Nadu"/>
    <n v="33"/>
    <s v="State"/>
    <n v="2365.1799999999998"/>
    <n v="3110.61"/>
    <n v="2755.18"/>
    <n v="578.23"/>
    <n v="8230.9699999999993"/>
    <n v="8809.2000000000007"/>
    <m/>
  </r>
  <r>
    <d v="2023-01-01T00:00:00"/>
    <s v="2022-23"/>
    <n v="2023"/>
    <x v="5"/>
    <x v="5"/>
    <s v="Telangana"/>
    <n v="36"/>
    <s v="State"/>
    <n v="1159.52"/>
    <n v="1576.56"/>
    <n v="1427.89"/>
    <n v="577.04"/>
    <n v="4163.97"/>
    <n v="4741.01"/>
    <m/>
  </r>
  <r>
    <d v="2023-01-01T00:00:00"/>
    <s v="2022-23"/>
    <n v="2023"/>
    <x v="5"/>
    <x v="5"/>
    <s v="Tripura"/>
    <n v="16"/>
    <s v="State"/>
    <n v="31.63"/>
    <n v="39.92"/>
    <n v="9.11"/>
    <n v="0.31"/>
    <n v="80.66"/>
    <n v="80.97"/>
    <m/>
  </r>
  <r>
    <d v="2023-01-01T00:00:00"/>
    <s v="2022-23"/>
    <n v="2023"/>
    <x v="5"/>
    <x v="5"/>
    <s v="Uttar Pradesh"/>
    <n v="9"/>
    <s v="State"/>
    <n v="1802.4"/>
    <n v="2522.0100000000002"/>
    <n v="2339.7600000000002"/>
    <n v="1091.22"/>
    <n v="6664.17"/>
    <n v="7755.39"/>
    <m/>
  </r>
  <r>
    <d v="2023-01-01T00:00:00"/>
    <s v="2022-23"/>
    <n v="2023"/>
    <x v="5"/>
    <x v="5"/>
    <s v="Uttarakhand"/>
    <n v="5"/>
    <s v="State"/>
    <n v="291.87"/>
    <n v="412.56"/>
    <n v="795.47"/>
    <n v="11.04"/>
    <n v="1499.9"/>
    <n v="1510.94"/>
    <m/>
  </r>
  <r>
    <d v="2023-01-01T00:00:00"/>
    <s v="2022-23"/>
    <n v="2023"/>
    <x v="5"/>
    <x v="5"/>
    <s v="West Bengal"/>
    <n v="19"/>
    <s v="State"/>
    <n v="1527.82"/>
    <n v="1863.85"/>
    <n v="1239.4000000000001"/>
    <n v="343.61"/>
    <n v="4631.07"/>
    <n v="4974.68"/>
    <m/>
  </r>
  <r>
    <d v="2023-02-01T00:00:00"/>
    <s v="2022-23"/>
    <n v="2023"/>
    <x v="6"/>
    <x v="6"/>
    <s v="Andaman and Nicobar Islands"/>
    <n v="35"/>
    <s v="Union Territory"/>
    <n v="11.23"/>
    <n v="15.35"/>
    <n v="3.99"/>
    <n v="0.12"/>
    <n v="30.57"/>
    <n v="30.69"/>
    <m/>
  </r>
  <r>
    <d v="2023-02-01T00:00:00"/>
    <s v="2022-23"/>
    <n v="2023"/>
    <x v="6"/>
    <x v="6"/>
    <s v="Andhra Pradesh"/>
    <n v="28"/>
    <s v="State"/>
    <n v="792.12"/>
    <n v="1030.71"/>
    <n v="1249.3599999999999"/>
    <n v="485.15"/>
    <n v="3072.19"/>
    <n v="3557.34"/>
    <m/>
  </r>
  <r>
    <d v="2023-02-01T00:00:00"/>
    <s v="2022-23"/>
    <n v="2023"/>
    <x v="6"/>
    <x v="6"/>
    <s v="Arunachal Pradesh"/>
    <n v="12"/>
    <s v="State"/>
    <n v="29.07"/>
    <n v="39.71"/>
    <n v="9.09"/>
    <n v="0.15"/>
    <n v="77.87"/>
    <n v="78.02"/>
    <m/>
  </r>
  <r>
    <d v="2023-02-01T00:00:00"/>
    <s v="2022-23"/>
    <n v="2023"/>
    <x v="6"/>
    <x v="6"/>
    <s v="Assam"/>
    <n v="18"/>
    <s v="State"/>
    <n v="334.16"/>
    <n v="424.74"/>
    <n v="283.85000000000002"/>
    <n v="67.78"/>
    <n v="1042.75"/>
    <n v="1110.53"/>
    <m/>
  </r>
  <r>
    <d v="2023-02-01T00:00:00"/>
    <s v="2022-23"/>
    <n v="2023"/>
    <x v="6"/>
    <x v="6"/>
    <s v="Bihar"/>
    <n v="10"/>
    <s v="State"/>
    <n v="444.99"/>
    <n v="668.09"/>
    <n v="191.3"/>
    <n v="194.94"/>
    <n v="1304.3800000000001"/>
    <n v="1499.32"/>
    <m/>
  </r>
  <r>
    <d v="2023-02-01T00:00:00"/>
    <s v="2022-23"/>
    <n v="2023"/>
    <x v="6"/>
    <x v="6"/>
    <s v="Chandigarh"/>
    <n v="4"/>
    <s v="Union Territory"/>
    <n v="39.159999999999997"/>
    <n v="50.81"/>
    <n v="97.32"/>
    <n v="0.44"/>
    <n v="187.29"/>
    <n v="187.73"/>
    <m/>
  </r>
  <r>
    <d v="2023-02-01T00:00:00"/>
    <s v="2022-23"/>
    <n v="2023"/>
    <x v="6"/>
    <x v="6"/>
    <s v="Chhattisgarh"/>
    <n v="22"/>
    <s v="State"/>
    <n v="539.96"/>
    <n v="657.77"/>
    <n v="1122.82"/>
    <n v="688.71"/>
    <n v="2320.5500000000002"/>
    <n v="3009.26"/>
    <m/>
  </r>
  <r>
    <d v="2023-02-01T00:00:00"/>
    <s v="2022-23"/>
    <n v="2023"/>
    <x v="6"/>
    <x v="6"/>
    <s v="Dadra and Nagar Haveli and Daman and Diu"/>
    <n v="38"/>
    <s v="Union Territory"/>
    <n v="40.65"/>
    <n v="52.24"/>
    <n v="190.07"/>
    <n v="0.39"/>
    <n v="282.95999999999998"/>
    <n v="283.35000000000002"/>
    <m/>
  </r>
  <r>
    <d v="2023-02-01T00:00:00"/>
    <s v="2022-23"/>
    <n v="2023"/>
    <x v="6"/>
    <x v="6"/>
    <s v="Delhi"/>
    <n v="7"/>
    <s v="Union Territory"/>
    <n v="899.5"/>
    <n v="1088.49"/>
    <n v="2690.04"/>
    <n v="91.02"/>
    <n v="4678.03"/>
    <n v="4769.05"/>
    <m/>
  </r>
  <r>
    <d v="2023-02-01T00:00:00"/>
    <s v="2022-23"/>
    <n v="2023"/>
    <x v="6"/>
    <x v="6"/>
    <s v="Goa"/>
    <n v="30"/>
    <s v="State"/>
    <n v="140.62"/>
    <n v="180.31"/>
    <n v="168.32"/>
    <n v="3.31"/>
    <n v="489.25"/>
    <n v="492.56"/>
    <m/>
  </r>
  <r>
    <d v="2023-02-01T00:00:00"/>
    <s v="2022-23"/>
    <n v="2023"/>
    <x v="6"/>
    <x v="6"/>
    <s v="Gujarat"/>
    <n v="24"/>
    <s v="State"/>
    <n v="2658.26"/>
    <n v="3215.75"/>
    <n v="3034.4"/>
    <n v="665.87"/>
    <n v="8908.41"/>
    <n v="9574.2800000000007"/>
    <m/>
  </r>
  <r>
    <d v="2023-02-01T00:00:00"/>
    <s v="2022-23"/>
    <n v="2023"/>
    <x v="6"/>
    <x v="6"/>
    <s v="Haryana"/>
    <n v="6"/>
    <s v="State"/>
    <n v="1161.3800000000001"/>
    <n v="1564.05"/>
    <n v="4075.09"/>
    <n v="509.06"/>
    <n v="6800.52"/>
    <n v="7309.58"/>
    <m/>
  </r>
  <r>
    <d v="2023-02-01T00:00:00"/>
    <s v="2022-23"/>
    <n v="2023"/>
    <x v="6"/>
    <x v="6"/>
    <s v="Himachal Pradesh"/>
    <n v="2"/>
    <s v="State"/>
    <n v="150.59"/>
    <n v="200.61"/>
    <n v="338.65"/>
    <n v="0.9"/>
    <n v="689.85"/>
    <n v="690.75"/>
    <m/>
  </r>
  <r>
    <d v="2023-02-01T00:00:00"/>
    <s v="2022-23"/>
    <n v="2023"/>
    <x v="6"/>
    <x v="6"/>
    <s v="Jammu and Kashmir"/>
    <n v="1"/>
    <s v="Union Territory"/>
    <n v="143.46"/>
    <n v="199.82"/>
    <n v="88.53"/>
    <n v="2.42"/>
    <n v="431.81"/>
    <n v="434.23"/>
    <m/>
  </r>
  <r>
    <d v="2023-02-01T00:00:00"/>
    <s v="2022-23"/>
    <n v="2023"/>
    <x v="6"/>
    <x v="6"/>
    <s v="Jharkhand"/>
    <n v="20"/>
    <s v="State"/>
    <n v="562.29999999999995"/>
    <n v="757.06"/>
    <n v="1098.22"/>
    <n v="544.22"/>
    <n v="2417.58"/>
    <n v="2961.8"/>
    <m/>
  </r>
  <r>
    <d v="2023-02-01T00:00:00"/>
    <s v="2022-23"/>
    <n v="2023"/>
    <x v="6"/>
    <x v="6"/>
    <s v="Karnataka"/>
    <n v="29"/>
    <s v="State"/>
    <n v="2451.5500000000002"/>
    <n v="3042.81"/>
    <n v="3940.93"/>
    <n v="1373.87"/>
    <n v="9435.2900000000009"/>
    <n v="10809.16"/>
    <m/>
  </r>
  <r>
    <d v="2023-02-01T00:00:00"/>
    <s v="2022-23"/>
    <n v="2023"/>
    <x v="6"/>
    <x v="6"/>
    <s v="Kerala"/>
    <n v="32"/>
    <s v="State"/>
    <n v="807.48"/>
    <n v="1051.55"/>
    <n v="464.58"/>
    <n v="2.0699999999999998"/>
    <n v="2323.61"/>
    <n v="2325.6799999999998"/>
    <m/>
  </r>
  <r>
    <d v="2023-02-01T00:00:00"/>
    <s v="2022-23"/>
    <n v="2023"/>
    <x v="6"/>
    <x v="6"/>
    <s v="Ladakh"/>
    <n v="37"/>
    <s v="Union Territory"/>
    <n v="9.7799999999999994"/>
    <n v="12.58"/>
    <n v="1.82"/>
    <n v="0.04"/>
    <n v="24.18"/>
    <n v="24.22"/>
    <m/>
  </r>
  <r>
    <d v="2023-02-01T00:00:00"/>
    <s v="2022-23"/>
    <n v="2023"/>
    <x v="6"/>
    <x v="6"/>
    <s v="Lakshadweep"/>
    <n v="31"/>
    <s v="Union Territory"/>
    <n v="1.33"/>
    <n v="1.37"/>
    <n v="0.28999999999999998"/>
    <n v="0"/>
    <n v="2.99"/>
    <n v="2.99"/>
    <m/>
  </r>
  <r>
    <d v="2023-02-01T00:00:00"/>
    <s v="2022-23"/>
    <n v="2023"/>
    <x v="6"/>
    <x v="6"/>
    <s v="Madhya Pradesh"/>
    <n v="23"/>
    <s v="State"/>
    <n v="792.85"/>
    <n v="973.62"/>
    <n v="818.25"/>
    <n v="649.82000000000005"/>
    <n v="2584.7199999999998"/>
    <n v="3234.54"/>
    <m/>
  </r>
  <r>
    <d v="2023-02-01T00:00:00"/>
    <s v="2022-23"/>
    <n v="2023"/>
    <x v="6"/>
    <x v="6"/>
    <s v="Maharashtra"/>
    <n v="27"/>
    <s v="State"/>
    <n v="6204.49"/>
    <n v="7319.61"/>
    <n v="7072"/>
    <n v="1753.31"/>
    <n v="20596.099999999999"/>
    <n v="22349.41"/>
    <m/>
  </r>
  <r>
    <d v="2023-02-01T00:00:00"/>
    <s v="2022-23"/>
    <n v="2023"/>
    <x v="6"/>
    <x v="6"/>
    <s v="Manipur"/>
    <n v="14"/>
    <s v="State"/>
    <n v="23.59"/>
    <n v="34.770000000000003"/>
    <n v="5.33"/>
    <n v="0.03"/>
    <n v="63.69"/>
    <n v="63.72"/>
    <m/>
  </r>
  <r>
    <d v="2023-02-01T00:00:00"/>
    <s v="2022-23"/>
    <n v="2023"/>
    <x v="6"/>
    <x v="6"/>
    <s v="Meghalaya"/>
    <n v="17"/>
    <s v="State"/>
    <n v="33.39"/>
    <n v="43.86"/>
    <n v="111.15"/>
    <n v="0.87"/>
    <n v="188.4"/>
    <n v="189.27"/>
    <m/>
  </r>
  <r>
    <d v="2023-02-01T00:00:00"/>
    <s v="2022-23"/>
    <n v="2023"/>
    <x v="6"/>
    <x v="6"/>
    <s v="Mizoram"/>
    <n v="15"/>
    <s v="State"/>
    <n v="20.92"/>
    <n v="33.01"/>
    <n v="3.62"/>
    <n v="0.03"/>
    <n v="57.55"/>
    <n v="57.58"/>
    <m/>
  </r>
  <r>
    <d v="2023-02-01T00:00:00"/>
    <s v="2022-23"/>
    <n v="2023"/>
    <x v="6"/>
    <x v="6"/>
    <s v="Nagaland"/>
    <n v="13"/>
    <s v="State"/>
    <n v="13.66"/>
    <n v="21.89"/>
    <n v="13.01"/>
    <n v="5.1100000000000003"/>
    <n v="48.56"/>
    <n v="53.67"/>
    <m/>
  </r>
  <r>
    <d v="2023-02-01T00:00:00"/>
    <s v="2022-23"/>
    <n v="2023"/>
    <x v="6"/>
    <x v="6"/>
    <s v="Odisha"/>
    <n v="21"/>
    <s v="State"/>
    <n v="1012.89"/>
    <n v="1205.8900000000001"/>
    <n v="1508.96"/>
    <n v="791.61"/>
    <n v="3727.74"/>
    <n v="4519.3500000000004"/>
    <m/>
  </r>
  <r>
    <d v="2023-02-01T00:00:00"/>
    <s v="2022-23"/>
    <n v="2023"/>
    <x v="6"/>
    <x v="6"/>
    <s v="Puducherry"/>
    <n v="34"/>
    <s v="Union Territory"/>
    <n v="26.44"/>
    <n v="39.72"/>
    <n v="121.94"/>
    <n v="0.04"/>
    <n v="188.1"/>
    <n v="188.14"/>
    <m/>
  </r>
  <r>
    <d v="2023-02-01T00:00:00"/>
    <s v="2022-23"/>
    <n v="2023"/>
    <x v="6"/>
    <x v="6"/>
    <s v="Punjab"/>
    <n v="3"/>
    <s v="State"/>
    <n v="394.03"/>
    <n v="589.44000000000005"/>
    <n v="648.72"/>
    <n v="18.78"/>
    <n v="1632.19"/>
    <n v="1650.97"/>
    <m/>
  </r>
  <r>
    <d v="2023-02-01T00:00:00"/>
    <s v="2022-23"/>
    <n v="2023"/>
    <x v="6"/>
    <x v="6"/>
    <s v="Rajasthan"/>
    <n v="8"/>
    <s v="State"/>
    <n v="1019.07"/>
    <n v="1260.3"/>
    <n v="1559.16"/>
    <n v="101.99"/>
    <n v="3838.53"/>
    <n v="3940.52"/>
    <m/>
  </r>
  <r>
    <d v="2023-02-01T00:00:00"/>
    <s v="2022-23"/>
    <n v="2023"/>
    <x v="6"/>
    <x v="6"/>
    <s v="Sikkim"/>
    <n v="11"/>
    <s v="State"/>
    <n v="21.61"/>
    <n v="27.33"/>
    <n v="216.04"/>
    <n v="0.06"/>
    <n v="264.98"/>
    <n v="265.04000000000002"/>
    <m/>
  </r>
  <r>
    <d v="2023-02-01T00:00:00"/>
    <s v="2022-23"/>
    <n v="2023"/>
    <x v="6"/>
    <x v="6"/>
    <s v="Tamil Nadu"/>
    <n v="33"/>
    <s v="State"/>
    <n v="2346.19"/>
    <n v="3161.86"/>
    <n v="2581.5"/>
    <n v="684.37"/>
    <n v="8089.55"/>
    <n v="8773.92"/>
    <m/>
  </r>
  <r>
    <d v="2023-02-01T00:00:00"/>
    <s v="2022-23"/>
    <n v="2023"/>
    <x v="6"/>
    <x v="6"/>
    <s v="Telangana"/>
    <n v="36"/>
    <s v="State"/>
    <n v="1088.6300000000001"/>
    <n v="1429.93"/>
    <n v="1306.8499999999999"/>
    <n v="598.52"/>
    <n v="3825.41"/>
    <n v="4423.93"/>
    <m/>
  </r>
  <r>
    <d v="2023-02-01T00:00:00"/>
    <s v="2022-23"/>
    <n v="2023"/>
    <x v="6"/>
    <x v="6"/>
    <s v="Tripura"/>
    <n v="16"/>
    <s v="State"/>
    <n v="30.22"/>
    <n v="39.200000000000003"/>
    <n v="9.74"/>
    <n v="0.15"/>
    <n v="79.16"/>
    <n v="79.31"/>
    <m/>
  </r>
  <r>
    <d v="2023-02-01T00:00:00"/>
    <s v="2022-23"/>
    <n v="2023"/>
    <x v="6"/>
    <x v="6"/>
    <s v="Uttar Pradesh"/>
    <n v="9"/>
    <s v="State"/>
    <n v="1645.73"/>
    <n v="2280.25"/>
    <n v="2033.08"/>
    <n v="1471.94"/>
    <n v="5959.06"/>
    <n v="7431"/>
    <m/>
  </r>
  <r>
    <d v="2023-02-01T00:00:00"/>
    <s v="2022-23"/>
    <n v="2023"/>
    <x v="6"/>
    <x v="6"/>
    <s v="Uttarakhand"/>
    <n v="5"/>
    <s v="State"/>
    <n v="261.42"/>
    <n v="384.24"/>
    <n v="749.66"/>
    <n v="10.039999999999999"/>
    <n v="1395.32"/>
    <n v="1405.36"/>
    <m/>
  </r>
  <r>
    <d v="2023-02-01T00:00:00"/>
    <s v="2022-23"/>
    <n v="2023"/>
    <x v="6"/>
    <x v="6"/>
    <s v="West Bengal"/>
    <n v="19"/>
    <s v="State"/>
    <n v="1503.7"/>
    <n v="1803.19"/>
    <n v="1226.98"/>
    <n v="421.55"/>
    <n v="4533.87"/>
    <n v="4955.42"/>
    <m/>
  </r>
  <r>
    <d v="2023-03-01T00:00:00"/>
    <s v="2022-23"/>
    <n v="2023"/>
    <x v="7"/>
    <x v="7"/>
    <s v="Andaman and Nicobar Islands"/>
    <n v="35"/>
    <s v="Union Territory"/>
    <n v="14.05"/>
    <n v="18.57"/>
    <n v="4.59"/>
    <n v="0.16"/>
    <n v="37.21"/>
    <n v="37.369999999999997"/>
    <m/>
  </r>
  <r>
    <d v="2023-03-01T00:00:00"/>
    <s v="2022-23"/>
    <n v="2023"/>
    <x v="7"/>
    <x v="7"/>
    <s v="Andhra Pradesh"/>
    <n v="28"/>
    <s v="State"/>
    <n v="820.2"/>
    <n v="1080.18"/>
    <n v="1301.1500000000001"/>
    <n v="330.31"/>
    <n v="3201.53"/>
    <n v="3531.84"/>
    <m/>
  </r>
  <r>
    <d v="2023-03-01T00:00:00"/>
    <s v="2022-23"/>
    <n v="2023"/>
    <x v="7"/>
    <x v="7"/>
    <s v="Arunachal Pradesh"/>
    <n v="12"/>
    <s v="State"/>
    <n v="59.8"/>
    <n v="71.97"/>
    <n v="12.23"/>
    <n v="0.44"/>
    <n v="144"/>
    <n v="144.44"/>
    <m/>
  </r>
  <r>
    <d v="2023-03-01T00:00:00"/>
    <s v="2022-23"/>
    <n v="2023"/>
    <x v="7"/>
    <x v="7"/>
    <s v="Assam"/>
    <n v="18"/>
    <s v="State"/>
    <n v="388.43"/>
    <n v="486.32"/>
    <n v="345.59"/>
    <n v="59.99"/>
    <n v="1220.3399999999999"/>
    <n v="1280.33"/>
    <m/>
  </r>
  <r>
    <d v="2023-03-01T00:00:00"/>
    <s v="2022-23"/>
    <n v="2023"/>
    <x v="7"/>
    <x v="7"/>
    <s v="Bihar"/>
    <n v="10"/>
    <s v="State"/>
    <n v="480.13"/>
    <n v="865.22"/>
    <n v="209.13"/>
    <n v="189.61"/>
    <n v="1554.48"/>
    <n v="1744.09"/>
    <m/>
  </r>
  <r>
    <d v="2023-03-01T00:00:00"/>
    <s v="2022-23"/>
    <n v="2023"/>
    <x v="7"/>
    <x v="7"/>
    <s v="Chandigarh"/>
    <n v="4"/>
    <s v="Union Territory"/>
    <n v="40.36"/>
    <n v="51.67"/>
    <n v="109.59"/>
    <n v="0.67"/>
    <n v="201.62"/>
    <n v="202.29"/>
    <m/>
  </r>
  <r>
    <d v="2023-03-01T00:00:00"/>
    <s v="2022-23"/>
    <n v="2023"/>
    <x v="7"/>
    <x v="7"/>
    <s v="Chhattisgarh"/>
    <n v="22"/>
    <s v="State"/>
    <n v="590.21"/>
    <n v="723.72"/>
    <n v="1066.31"/>
    <n v="636.47"/>
    <n v="2380.2399999999998"/>
    <n v="3016.71"/>
    <m/>
  </r>
  <r>
    <d v="2023-03-01T00:00:00"/>
    <s v="2022-23"/>
    <n v="2023"/>
    <x v="7"/>
    <x v="7"/>
    <s v="Dadra and Nagar Haveli and Daman and Diu"/>
    <n v="38"/>
    <s v="Union Territory"/>
    <n v="44.18"/>
    <n v="56.66"/>
    <n v="207.91"/>
    <n v="0.34"/>
    <n v="308.75"/>
    <n v="309.08999999999997"/>
    <m/>
  </r>
  <r>
    <d v="2023-03-01T00:00:00"/>
    <s v="2022-23"/>
    <n v="2023"/>
    <x v="7"/>
    <x v="7"/>
    <s v="Delhi"/>
    <n v="7"/>
    <s v="Union Territory"/>
    <n v="935.59"/>
    <n v="1115.01"/>
    <n v="2686.29"/>
    <n v="103.31"/>
    <n v="4736.8900000000003"/>
    <n v="4840.2"/>
    <m/>
  </r>
  <r>
    <d v="2023-03-01T00:00:00"/>
    <s v="2022-23"/>
    <n v="2023"/>
    <x v="7"/>
    <x v="7"/>
    <s v="Goa"/>
    <n v="30"/>
    <s v="State"/>
    <n v="143.75"/>
    <n v="188.93"/>
    <n v="178.56"/>
    <n v="3.35"/>
    <n v="511.24"/>
    <n v="514.59"/>
    <m/>
  </r>
  <r>
    <d v="2023-03-01T00:00:00"/>
    <s v="2022-23"/>
    <n v="2023"/>
    <x v="7"/>
    <x v="7"/>
    <s v="Gujarat"/>
    <n v="24"/>
    <s v="State"/>
    <n v="2774.52"/>
    <n v="3437.6"/>
    <n v="3219.06"/>
    <n v="487.66"/>
    <n v="9431.18"/>
    <n v="9918.84"/>
    <m/>
  </r>
  <r>
    <d v="2023-03-01T00:00:00"/>
    <s v="2022-23"/>
    <n v="2023"/>
    <x v="7"/>
    <x v="7"/>
    <s v="Haryana"/>
    <n v="6"/>
    <s v="State"/>
    <n v="1229.6300000000001"/>
    <n v="1595.9"/>
    <n v="4498.75"/>
    <n v="455.84"/>
    <n v="7324.28"/>
    <n v="7780.12"/>
    <m/>
  </r>
  <r>
    <d v="2023-03-01T00:00:00"/>
    <s v="2022-23"/>
    <n v="2023"/>
    <x v="7"/>
    <x v="7"/>
    <s v="Himachal Pradesh"/>
    <n v="2"/>
    <s v="State"/>
    <n v="151.27000000000001"/>
    <n v="196.33"/>
    <n v="390.6"/>
    <n v="1.17"/>
    <n v="738.2"/>
    <n v="739.37"/>
    <m/>
  </r>
  <r>
    <d v="2023-03-01T00:00:00"/>
    <s v="2022-23"/>
    <n v="2023"/>
    <x v="7"/>
    <x v="7"/>
    <s v="Jammu and Kashmir"/>
    <n v="1"/>
    <s v="Union Territory"/>
    <n v="157.21"/>
    <n v="216.7"/>
    <n v="97.93"/>
    <n v="4.95"/>
    <n v="471.84"/>
    <n v="476.79"/>
    <m/>
  </r>
  <r>
    <d v="2023-03-01T00:00:00"/>
    <s v="2022-23"/>
    <n v="2023"/>
    <x v="7"/>
    <x v="7"/>
    <s v="Jharkhand"/>
    <n v="20"/>
    <s v="State"/>
    <n v="588.13"/>
    <n v="779.68"/>
    <n v="1213.5"/>
    <n v="502.11"/>
    <n v="2581.31"/>
    <n v="3083.42"/>
    <m/>
  </r>
  <r>
    <d v="2023-03-01T00:00:00"/>
    <s v="2022-23"/>
    <n v="2023"/>
    <x v="7"/>
    <x v="7"/>
    <s v="Karnataka"/>
    <n v="29"/>
    <s v="State"/>
    <n v="2594.1999999999998"/>
    <n v="3127.52"/>
    <n v="3562.23"/>
    <n v="1076.1400000000001"/>
    <n v="9283.9500000000007"/>
    <n v="10360.09"/>
    <m/>
  </r>
  <r>
    <d v="2023-03-01T00:00:00"/>
    <s v="2022-23"/>
    <n v="2023"/>
    <x v="7"/>
    <x v="7"/>
    <s v="Kerala"/>
    <n v="32"/>
    <s v="State"/>
    <n v="810.65"/>
    <n v="1064.1500000000001"/>
    <n v="476.1"/>
    <n v="3.01"/>
    <n v="2350.9"/>
    <n v="2353.91"/>
    <m/>
  </r>
  <r>
    <d v="2023-03-01T00:00:00"/>
    <s v="2022-23"/>
    <n v="2023"/>
    <x v="7"/>
    <x v="7"/>
    <s v="Ladakh"/>
    <n v="37"/>
    <s v="Union Territory"/>
    <n v="8.68"/>
    <n v="11.49"/>
    <n v="2.36"/>
    <n v="0.09"/>
    <n v="22.53"/>
    <n v="22.62"/>
    <m/>
  </r>
  <r>
    <d v="2023-03-01T00:00:00"/>
    <s v="2022-23"/>
    <n v="2023"/>
    <x v="7"/>
    <x v="7"/>
    <s v="Lakshadweep"/>
    <n v="31"/>
    <s v="Union Territory"/>
    <n v="1.22"/>
    <n v="1.27"/>
    <n v="0.22"/>
    <n v="0"/>
    <n v="2.71"/>
    <n v="2.71"/>
    <m/>
  </r>
  <r>
    <d v="2023-03-01T00:00:00"/>
    <s v="2022-23"/>
    <n v="2023"/>
    <x v="7"/>
    <x v="7"/>
    <s v="Madhya Pradesh"/>
    <n v="23"/>
    <s v="State"/>
    <n v="830.32"/>
    <n v="1043.19"/>
    <n v="908.88"/>
    <n v="563.9"/>
    <n v="2782.39"/>
    <n v="3346.29"/>
    <m/>
  </r>
  <r>
    <d v="2023-03-01T00:00:00"/>
    <s v="2022-23"/>
    <n v="2023"/>
    <x v="7"/>
    <x v="7"/>
    <s v="Maharashtra"/>
    <n v="27"/>
    <s v="State"/>
    <n v="6486.49"/>
    <n v="7622.28"/>
    <n v="6952.14"/>
    <n v="1634"/>
    <n v="21060.91"/>
    <n v="22694.91"/>
    <m/>
  </r>
  <r>
    <d v="2023-03-01T00:00:00"/>
    <s v="2022-23"/>
    <n v="2023"/>
    <x v="7"/>
    <x v="7"/>
    <s v="Manipur"/>
    <n v="14"/>
    <s v="State"/>
    <n v="24.79"/>
    <n v="32.94"/>
    <n v="6.89"/>
    <n v="0.61"/>
    <n v="64.62"/>
    <n v="65.23"/>
    <m/>
  </r>
  <r>
    <d v="2023-03-01T00:00:00"/>
    <s v="2022-23"/>
    <n v="2023"/>
    <x v="7"/>
    <x v="7"/>
    <s v="Meghalaya"/>
    <n v="17"/>
    <s v="State"/>
    <n v="41.46"/>
    <n v="53.68"/>
    <n v="106.03"/>
    <n v="0.59"/>
    <n v="201.17"/>
    <n v="201.76"/>
    <m/>
  </r>
  <r>
    <d v="2023-03-01T00:00:00"/>
    <s v="2022-23"/>
    <n v="2023"/>
    <x v="7"/>
    <x v="7"/>
    <s v="Mizoram"/>
    <n v="15"/>
    <s v="State"/>
    <n v="26.18"/>
    <n v="40.36"/>
    <n v="3.69"/>
    <n v="0.06"/>
    <n v="70.23"/>
    <n v="70.290000000000006"/>
    <m/>
  </r>
  <r>
    <d v="2023-03-01T00:00:00"/>
    <s v="2022-23"/>
    <n v="2023"/>
    <x v="7"/>
    <x v="7"/>
    <s v="Nagaland"/>
    <n v="13"/>
    <s v="State"/>
    <n v="16.88"/>
    <n v="24.57"/>
    <n v="9.91"/>
    <n v="6.3"/>
    <n v="51.36"/>
    <n v="57.66"/>
    <m/>
  </r>
  <r>
    <d v="2023-03-01T00:00:00"/>
    <s v="2022-23"/>
    <n v="2023"/>
    <x v="7"/>
    <x v="7"/>
    <s v="Odisha"/>
    <n v="21"/>
    <s v="State"/>
    <n v="1146.1500000000001"/>
    <n v="1432.38"/>
    <n v="1447.91"/>
    <n v="722.58"/>
    <n v="4026.44"/>
    <n v="4749.0200000000004"/>
    <m/>
  </r>
  <r>
    <d v="2023-03-01T00:00:00"/>
    <s v="2022-23"/>
    <n v="2023"/>
    <x v="7"/>
    <x v="7"/>
    <s v="Puducherry"/>
    <n v="34"/>
    <s v="Union Territory"/>
    <n v="25.14"/>
    <n v="36.840000000000003"/>
    <n v="140.66"/>
    <n v="1.19"/>
    <n v="202.64"/>
    <n v="203.83"/>
    <m/>
  </r>
  <r>
    <d v="2023-03-01T00:00:00"/>
    <s v="2022-23"/>
    <n v="2023"/>
    <x v="7"/>
    <x v="7"/>
    <s v="Punjab"/>
    <n v="3"/>
    <s v="State"/>
    <n v="435.12"/>
    <n v="637.58000000000004"/>
    <n v="629.09"/>
    <n v="33.049999999999997"/>
    <n v="1701.79"/>
    <n v="1734.84"/>
    <m/>
  </r>
  <r>
    <d v="2023-03-01T00:00:00"/>
    <s v="2022-23"/>
    <n v="2023"/>
    <x v="7"/>
    <x v="7"/>
    <s v="Rajasthan"/>
    <n v="8"/>
    <s v="State"/>
    <n v="1104.17"/>
    <n v="1409.02"/>
    <n v="1536.58"/>
    <n v="104.49"/>
    <n v="4049.77"/>
    <n v="4154.26"/>
    <m/>
  </r>
  <r>
    <d v="2023-03-01T00:00:00"/>
    <s v="2022-23"/>
    <n v="2023"/>
    <x v="7"/>
    <x v="7"/>
    <s v="Sikkim"/>
    <n v="11"/>
    <s v="State"/>
    <n v="19.62"/>
    <n v="27.89"/>
    <n v="214.86"/>
    <n v="0.05"/>
    <n v="262.37"/>
    <n v="262.42"/>
    <m/>
  </r>
  <r>
    <d v="2023-03-01T00:00:00"/>
    <s v="2022-23"/>
    <n v="2023"/>
    <x v="7"/>
    <x v="7"/>
    <s v="Tamil Nadu"/>
    <n v="33"/>
    <s v="State"/>
    <n v="2467.7399999999998"/>
    <n v="3424.06"/>
    <n v="2779.24"/>
    <n v="574.12"/>
    <n v="8671.0400000000009"/>
    <n v="9245.16"/>
    <m/>
  </r>
  <r>
    <d v="2023-03-01T00:00:00"/>
    <s v="2022-23"/>
    <n v="2023"/>
    <x v="7"/>
    <x v="7"/>
    <s v="Telangana"/>
    <n v="36"/>
    <s v="State"/>
    <n v="1267.97"/>
    <n v="1583.09"/>
    <n v="1378.89"/>
    <n v="574.19000000000005"/>
    <n v="4229.95"/>
    <n v="4804.1400000000003"/>
    <m/>
  </r>
  <r>
    <d v="2023-03-01T00:00:00"/>
    <s v="2022-23"/>
    <n v="2023"/>
    <x v="7"/>
    <x v="7"/>
    <s v="Tripura"/>
    <n v="16"/>
    <s v="State"/>
    <n v="36.33"/>
    <n v="45.02"/>
    <n v="9.0299999999999994"/>
    <n v="0.05"/>
    <n v="90.38"/>
    <n v="90.43"/>
    <m/>
  </r>
  <r>
    <d v="2023-03-01T00:00:00"/>
    <s v="2022-23"/>
    <n v="2023"/>
    <x v="7"/>
    <x v="7"/>
    <s v="Uttar Pradesh"/>
    <n v="9"/>
    <s v="State"/>
    <n v="1793.78"/>
    <n v="2465.8000000000002"/>
    <n v="2351.29"/>
    <n v="1002.59"/>
    <n v="6610.87"/>
    <n v="7613.46"/>
    <m/>
  </r>
  <r>
    <d v="2023-03-01T00:00:00"/>
    <s v="2022-23"/>
    <n v="2023"/>
    <x v="7"/>
    <x v="7"/>
    <s v="Uttarakhand"/>
    <n v="5"/>
    <s v="State"/>
    <n v="314.95999999999998"/>
    <n v="422.11"/>
    <n v="774.12"/>
    <n v="11.99"/>
    <n v="1511.19"/>
    <n v="1523.18"/>
    <m/>
  </r>
  <r>
    <d v="2023-03-01T00:00:00"/>
    <s v="2022-23"/>
    <n v="2023"/>
    <x v="7"/>
    <x v="7"/>
    <s v="West Bengal"/>
    <n v="19"/>
    <s v="State"/>
    <n v="1651.82"/>
    <n v="1888.56"/>
    <n v="1242.3599999999999"/>
    <n v="309.64"/>
    <n v="4782.74"/>
    <n v="5092.38"/>
    <m/>
  </r>
  <r>
    <d v="2023-04-01T00:00:00"/>
    <s v="2023-24"/>
    <n v="2023"/>
    <x v="8"/>
    <x v="8"/>
    <s v="Andaman and Nicobar Islands"/>
    <n v="35"/>
    <s v="Union Territory"/>
    <n v="39.409999999999997"/>
    <n v="46.41"/>
    <n v="6.02"/>
    <n v="0.09"/>
    <n v="91.84"/>
    <n v="91.93"/>
    <m/>
  </r>
  <r>
    <d v="2023-04-01T00:00:00"/>
    <s v="2023-24"/>
    <n v="2023"/>
    <x v="8"/>
    <x v="8"/>
    <s v="Andhra Pradesh"/>
    <n v="28"/>
    <s v="State"/>
    <n v="1059.28"/>
    <n v="1348.09"/>
    <n v="1667.68"/>
    <n v="254.33"/>
    <n v="4075.05"/>
    <n v="4329.38"/>
    <m/>
  </r>
  <r>
    <d v="2023-04-01T00:00:00"/>
    <s v="2023-24"/>
    <n v="2023"/>
    <x v="8"/>
    <x v="8"/>
    <s v="Arunachal Pradesh"/>
    <n v="12"/>
    <s v="State"/>
    <n v="100.84"/>
    <n v="122.08"/>
    <n v="15.12"/>
    <n v="0.33"/>
    <n v="238.04"/>
    <n v="238.37"/>
    <m/>
  </r>
  <r>
    <d v="2023-04-01T00:00:00"/>
    <s v="2023-24"/>
    <n v="2023"/>
    <x v="8"/>
    <x v="8"/>
    <s v="Assam"/>
    <n v="18"/>
    <s v="State"/>
    <n v="480.53"/>
    <n v="607.72"/>
    <n v="360.27"/>
    <n v="64.290000000000006"/>
    <n v="1448.52"/>
    <n v="1512.81"/>
    <m/>
  </r>
  <r>
    <d v="2023-04-01T00:00:00"/>
    <s v="2023-24"/>
    <n v="2023"/>
    <x v="8"/>
    <x v="8"/>
    <s v="Bihar"/>
    <n v="10"/>
    <s v="State"/>
    <n v="495.98"/>
    <n v="796.14"/>
    <n v="209.28"/>
    <n v="123.81"/>
    <n v="1501.4"/>
    <n v="1625.21"/>
    <m/>
  </r>
  <r>
    <d v="2023-04-01T00:00:00"/>
    <s v="2023-24"/>
    <n v="2023"/>
    <x v="8"/>
    <x v="8"/>
    <s v="Chandigarh"/>
    <n v="4"/>
    <s v="Union Territory"/>
    <n v="46.5"/>
    <n v="62.83"/>
    <n v="143.44"/>
    <n v="1.83"/>
    <n v="252.77"/>
    <n v="254.6"/>
    <m/>
  </r>
  <r>
    <d v="2023-04-01T00:00:00"/>
    <s v="2023-24"/>
    <n v="2023"/>
    <x v="8"/>
    <x v="8"/>
    <s v="Chhattisgarh"/>
    <n v="22"/>
    <s v="State"/>
    <n v="757.91"/>
    <n v="879.53"/>
    <n v="1183.1400000000001"/>
    <n v="687.46"/>
    <n v="2820.58"/>
    <n v="3508.04"/>
    <m/>
  </r>
  <r>
    <d v="2023-04-01T00:00:00"/>
    <s v="2023-24"/>
    <n v="2023"/>
    <x v="8"/>
    <x v="8"/>
    <s v="Dadra and Nagar Haveli and Daman and Diu"/>
    <n v="38"/>
    <s v="Union Territory"/>
    <n v="46"/>
    <n v="61.59"/>
    <n v="290.42"/>
    <n v="0.86"/>
    <n v="398.01"/>
    <n v="398.87"/>
    <m/>
  </r>
  <r>
    <d v="2023-04-01T00:00:00"/>
    <s v="2023-24"/>
    <n v="2023"/>
    <x v="8"/>
    <x v="8"/>
    <s v="Delhi"/>
    <n v="7"/>
    <s v="Union Territory"/>
    <n v="1358.48"/>
    <n v="1637.88"/>
    <n v="3240.97"/>
    <n v="83.05"/>
    <n v="6237.33"/>
    <n v="6320.38"/>
    <m/>
  </r>
  <r>
    <d v="2023-04-01T00:00:00"/>
    <s v="2023-24"/>
    <n v="2023"/>
    <x v="8"/>
    <x v="8"/>
    <s v="Goa"/>
    <n v="30"/>
    <s v="State"/>
    <n v="177.24"/>
    <n v="236.84"/>
    <n v="201.01"/>
    <n v="4.51"/>
    <n v="615.09"/>
    <n v="619.6"/>
    <m/>
  </r>
  <r>
    <d v="2023-04-01T00:00:00"/>
    <s v="2023-24"/>
    <n v="2023"/>
    <x v="8"/>
    <x v="8"/>
    <s v="Gujarat"/>
    <n v="24"/>
    <s v="State"/>
    <n v="3436.53"/>
    <n v="4064.5"/>
    <n v="3555.91"/>
    <n v="664.43"/>
    <n v="11056.94"/>
    <n v="11721.37"/>
    <m/>
  </r>
  <r>
    <d v="2023-04-01T00:00:00"/>
    <s v="2023-24"/>
    <n v="2023"/>
    <x v="8"/>
    <x v="8"/>
    <s v="Haryana"/>
    <n v="6"/>
    <s v="State"/>
    <n v="1424.32"/>
    <n v="1871.45"/>
    <n v="6228.45"/>
    <n v="511.19"/>
    <n v="9524.2199999999993"/>
    <n v="10035.41"/>
    <m/>
  </r>
  <r>
    <d v="2023-04-01T00:00:00"/>
    <s v="2023-24"/>
    <n v="2023"/>
    <x v="8"/>
    <x v="8"/>
    <s v="Himachal Pradesh"/>
    <n v="2"/>
    <s v="State"/>
    <n v="213.6"/>
    <n v="301.06"/>
    <n v="439.84"/>
    <n v="2.2400000000000002"/>
    <n v="954.5"/>
    <n v="956.74"/>
    <m/>
  </r>
  <r>
    <d v="2023-04-01T00:00:00"/>
    <s v="2023-24"/>
    <n v="2023"/>
    <x v="8"/>
    <x v="8"/>
    <s v="Jammu and Kashmir"/>
    <n v="1"/>
    <s v="Union Territory"/>
    <n v="285.02"/>
    <n v="394.05"/>
    <n v="116.08"/>
    <n v="8.33"/>
    <n v="795.15"/>
    <n v="803.48"/>
    <m/>
  </r>
  <r>
    <d v="2023-04-01T00:00:00"/>
    <s v="2023-24"/>
    <n v="2023"/>
    <x v="8"/>
    <x v="8"/>
    <s v="Jharkhand"/>
    <n v="20"/>
    <s v="State"/>
    <n v="707.01"/>
    <n v="951.5"/>
    <n v="1450.81"/>
    <n v="591.91"/>
    <n v="3109.32"/>
    <n v="3701.23"/>
    <m/>
  </r>
  <r>
    <d v="2023-04-01T00:00:00"/>
    <s v="2023-24"/>
    <n v="2023"/>
    <x v="8"/>
    <x v="8"/>
    <s v="Karnataka"/>
    <n v="29"/>
    <s v="State"/>
    <n v="3578.49"/>
    <n v="4298.32"/>
    <n v="5277.34"/>
    <n v="1439.14"/>
    <n v="13154.15"/>
    <n v="14593.29"/>
    <m/>
  </r>
  <r>
    <d v="2023-04-01T00:00:00"/>
    <s v="2023-24"/>
    <n v="2023"/>
    <x v="8"/>
    <x v="8"/>
    <s v="Kerala"/>
    <n v="32"/>
    <s v="State"/>
    <n v="1023.57"/>
    <n v="1365.59"/>
    <n v="607.29"/>
    <n v="13.57"/>
    <n v="2996.45"/>
    <n v="3010.02"/>
    <m/>
  </r>
  <r>
    <d v="2023-04-01T00:00:00"/>
    <s v="2023-24"/>
    <n v="2023"/>
    <x v="8"/>
    <x v="8"/>
    <s v="Ladakh"/>
    <n v="37"/>
    <s v="Union Territory"/>
    <n v="28.26"/>
    <n v="33.51"/>
    <n v="5.81"/>
    <n v="0.04"/>
    <n v="67.58"/>
    <n v="67.62"/>
    <m/>
  </r>
  <r>
    <d v="2023-04-01T00:00:00"/>
    <s v="2023-24"/>
    <n v="2023"/>
    <x v="8"/>
    <x v="8"/>
    <s v="Lakshadweep"/>
    <n v="31"/>
    <s v="Union Territory"/>
    <n v="0.91"/>
    <n v="1.07"/>
    <n v="0.84"/>
    <n v="0"/>
    <n v="2.82"/>
    <n v="2.82"/>
    <m/>
  </r>
  <r>
    <d v="2023-04-01T00:00:00"/>
    <s v="2023-24"/>
    <n v="2023"/>
    <x v="8"/>
    <x v="8"/>
    <s v="Madhya Pradesh"/>
    <n v="23"/>
    <s v="State"/>
    <n v="1004.45"/>
    <n v="1286.6199999999999"/>
    <n v="1322.22"/>
    <n v="653.75"/>
    <n v="3613.29"/>
    <n v="4267.04"/>
    <m/>
  </r>
  <r>
    <d v="2023-04-01T00:00:00"/>
    <s v="2023-24"/>
    <n v="2023"/>
    <x v="8"/>
    <x v="8"/>
    <s v="Maharashtra"/>
    <n v="27"/>
    <s v="State"/>
    <n v="9002.02"/>
    <n v="10391.91"/>
    <n v="11917.68"/>
    <n v="1884.15"/>
    <n v="31311.61"/>
    <n v="33195.760000000002"/>
    <m/>
  </r>
  <r>
    <d v="2023-04-01T00:00:00"/>
    <s v="2023-24"/>
    <n v="2023"/>
    <x v="8"/>
    <x v="8"/>
    <s v="Manipur"/>
    <n v="14"/>
    <s v="State"/>
    <n v="34.270000000000003"/>
    <n v="49.85"/>
    <n v="6.32"/>
    <n v="0.28000000000000003"/>
    <n v="90.44"/>
    <n v="90.72"/>
    <m/>
  </r>
  <r>
    <d v="2023-04-01T00:00:00"/>
    <s v="2023-24"/>
    <n v="2023"/>
    <x v="8"/>
    <x v="8"/>
    <s v="Meghalaya"/>
    <n v="17"/>
    <s v="State"/>
    <n v="51.14"/>
    <n v="69.48"/>
    <n v="116.72"/>
    <n v="2.08"/>
    <n v="237.34"/>
    <n v="239.42"/>
    <m/>
  </r>
  <r>
    <d v="2023-04-01T00:00:00"/>
    <s v="2023-24"/>
    <n v="2023"/>
    <x v="8"/>
    <x v="8"/>
    <s v="Mizoram"/>
    <n v="15"/>
    <s v="State"/>
    <n v="25.38"/>
    <n v="40.78"/>
    <n v="4.7"/>
    <n v="7.0000000000000007E-2"/>
    <n v="70.86"/>
    <n v="70.930000000000007"/>
    <m/>
  </r>
  <r>
    <d v="2023-04-01T00:00:00"/>
    <s v="2023-24"/>
    <n v="2023"/>
    <x v="8"/>
    <x v="8"/>
    <s v="Nagaland"/>
    <n v="13"/>
    <s v="State"/>
    <n v="27.97"/>
    <n v="35.65"/>
    <n v="15.33"/>
    <n v="9.15"/>
    <n v="78.95"/>
    <n v="88.1"/>
    <m/>
  </r>
  <r>
    <d v="2023-04-01T00:00:00"/>
    <s v="2023-24"/>
    <n v="2023"/>
    <x v="8"/>
    <x v="8"/>
    <s v="Odisha"/>
    <n v="21"/>
    <s v="State"/>
    <n v="1400.05"/>
    <n v="1659.57"/>
    <n v="1195.53"/>
    <n v="780.59"/>
    <n v="4255.1499999999996"/>
    <n v="5035.74"/>
    <m/>
  </r>
  <r>
    <d v="2023-04-01T00:00:00"/>
    <s v="2023-24"/>
    <n v="2023"/>
    <x v="8"/>
    <x v="8"/>
    <s v="Puducherry"/>
    <n v="34"/>
    <s v="Union Territory"/>
    <n v="28.07"/>
    <n v="42.41"/>
    <n v="147.32"/>
    <n v="0.19"/>
    <n v="217.8"/>
    <n v="217.99"/>
    <m/>
  </r>
  <r>
    <d v="2023-04-01T00:00:00"/>
    <s v="2023-24"/>
    <n v="2023"/>
    <x v="8"/>
    <x v="8"/>
    <s v="Punjab"/>
    <n v="3"/>
    <s v="State"/>
    <n v="594.65"/>
    <n v="860.42"/>
    <n v="816.16"/>
    <n v="45.02"/>
    <n v="2271.23"/>
    <n v="2316.25"/>
    <m/>
  </r>
  <r>
    <d v="2023-04-01T00:00:00"/>
    <s v="2023-24"/>
    <n v="2023"/>
    <x v="8"/>
    <x v="8"/>
    <s v="Rajasthan"/>
    <n v="8"/>
    <s v="State"/>
    <n v="1372.32"/>
    <n v="1741.02"/>
    <n v="1525.78"/>
    <n v="146.22999999999999"/>
    <n v="4639.12"/>
    <n v="4785.3500000000004"/>
    <m/>
  </r>
  <r>
    <d v="2023-04-01T00:00:00"/>
    <s v="2023-24"/>
    <n v="2023"/>
    <x v="8"/>
    <x v="8"/>
    <s v="Sikkim"/>
    <n v="11"/>
    <s v="State"/>
    <n v="78.760000000000005"/>
    <n v="110.17"/>
    <n v="236.94"/>
    <n v="0.12"/>
    <n v="425.87"/>
    <n v="425.99"/>
    <m/>
  </r>
  <r>
    <d v="2023-04-01T00:00:00"/>
    <s v="2023-24"/>
    <n v="2023"/>
    <x v="8"/>
    <x v="8"/>
    <s v="Tamil Nadu"/>
    <n v="33"/>
    <s v="State"/>
    <n v="3157.72"/>
    <n v="3682.12"/>
    <n v="3821.2"/>
    <n v="897.78"/>
    <n v="10661.04"/>
    <n v="11558.82"/>
    <m/>
  </r>
  <r>
    <d v="2023-04-01T00:00:00"/>
    <s v="2023-24"/>
    <n v="2023"/>
    <x v="8"/>
    <x v="8"/>
    <s v="Telangana"/>
    <n v="36"/>
    <s v="State"/>
    <n v="1417.89"/>
    <n v="1822.98"/>
    <n v="1838.37"/>
    <n v="543.14"/>
    <n v="5079.24"/>
    <n v="5622.38"/>
    <m/>
  </r>
  <r>
    <d v="2023-04-01T00:00:00"/>
    <s v="2023-24"/>
    <n v="2023"/>
    <x v="8"/>
    <x v="8"/>
    <s v="Tripura"/>
    <n v="16"/>
    <s v="State"/>
    <n v="49.43"/>
    <n v="69.95"/>
    <n v="13.53"/>
    <n v="0.47"/>
    <n v="132.91"/>
    <n v="133.38"/>
    <m/>
  </r>
  <r>
    <d v="2023-04-01T00:00:00"/>
    <s v="2023-24"/>
    <n v="2023"/>
    <x v="8"/>
    <x v="8"/>
    <s v="Uttar Pradesh"/>
    <n v="9"/>
    <s v="State"/>
    <n v="2586.6799999999998"/>
    <n v="3476.02"/>
    <n v="2987.57"/>
    <n v="1270.18"/>
    <n v="9050.27"/>
    <n v="10320.450000000001"/>
    <m/>
  </r>
  <r>
    <d v="2023-04-01T00:00:00"/>
    <s v="2023-24"/>
    <n v="2023"/>
    <x v="8"/>
    <x v="8"/>
    <s v="Uttarakhand"/>
    <n v="5"/>
    <s v="State"/>
    <n v="387.32"/>
    <n v="554.33000000000004"/>
    <n v="1191.8399999999999"/>
    <n v="14.94"/>
    <n v="2133.4899999999998"/>
    <n v="2148.4299999999998"/>
    <m/>
  </r>
  <r>
    <d v="2023-04-01T00:00:00"/>
    <s v="2023-24"/>
    <n v="2023"/>
    <x v="8"/>
    <x v="8"/>
    <s v="West Bengal"/>
    <n v="19"/>
    <s v="State"/>
    <n v="1949.47"/>
    <n v="2416.36"/>
    <n v="1657.01"/>
    <n v="424.4"/>
    <n v="6022.84"/>
    <n v="6447.24"/>
    <m/>
  </r>
  <r>
    <d v="2023-05-01T00:00:00"/>
    <s v="2023-24"/>
    <n v="2023"/>
    <x v="9"/>
    <x v="9"/>
    <s v="Andaman and Nicobar Islands"/>
    <n v="35"/>
    <s v="Union Territory"/>
    <n v="11.82"/>
    <n v="15.15"/>
    <n v="3.3"/>
    <n v="0.64"/>
    <n v="30.27"/>
    <n v="30.91"/>
    <m/>
  </r>
  <r>
    <d v="2023-05-01T00:00:00"/>
    <s v="2023-24"/>
    <n v="2023"/>
    <x v="9"/>
    <x v="9"/>
    <s v="Andhra Pradesh"/>
    <n v="28"/>
    <s v="State"/>
    <n v="801.16"/>
    <n v="1048.17"/>
    <n v="1210.76"/>
    <n v="313.11"/>
    <n v="3060.09"/>
    <n v="3373.2"/>
    <m/>
  </r>
  <r>
    <d v="2023-05-01T00:00:00"/>
    <s v="2023-24"/>
    <n v="2023"/>
    <x v="9"/>
    <x v="9"/>
    <s v="Arunachal Pradesh"/>
    <n v="12"/>
    <s v="State"/>
    <n v="49.56"/>
    <n v="60.13"/>
    <n v="10.36"/>
    <n v="0.24"/>
    <n v="120.05"/>
    <n v="120.29"/>
    <m/>
  </r>
  <r>
    <d v="2023-05-01T00:00:00"/>
    <s v="2023-24"/>
    <n v="2023"/>
    <x v="9"/>
    <x v="9"/>
    <s v="Assam"/>
    <n v="18"/>
    <s v="State"/>
    <n v="356.19"/>
    <n v="487.5"/>
    <n v="322.41000000000003"/>
    <n v="51.05"/>
    <n v="1166.0999999999999"/>
    <n v="1217.1500000000001"/>
    <m/>
  </r>
  <r>
    <d v="2023-05-01T00:00:00"/>
    <s v="2023-24"/>
    <n v="2023"/>
    <x v="9"/>
    <x v="9"/>
    <s v="Bihar"/>
    <n v="10"/>
    <s v="State"/>
    <n v="365.17"/>
    <n v="623.01"/>
    <n v="175.35"/>
    <n v="202.36"/>
    <n v="1163.53"/>
    <n v="1365.89"/>
    <m/>
  </r>
  <r>
    <d v="2023-05-01T00:00:00"/>
    <s v="2023-24"/>
    <n v="2023"/>
    <x v="9"/>
    <x v="9"/>
    <s v="Chandigarh"/>
    <n v="4"/>
    <s v="Union Territory"/>
    <n v="36.950000000000003"/>
    <n v="48.26"/>
    <n v="171.78"/>
    <n v="2.37"/>
    <n v="256.99"/>
    <n v="259.36"/>
    <m/>
  </r>
  <r>
    <d v="2023-05-01T00:00:00"/>
    <s v="2023-24"/>
    <n v="2023"/>
    <x v="9"/>
    <x v="9"/>
    <s v="Chhattisgarh"/>
    <n v="22"/>
    <s v="State"/>
    <n v="471.03"/>
    <n v="582.57000000000005"/>
    <n v="821.4"/>
    <n v="649.79"/>
    <n v="1875"/>
    <n v="2524.79"/>
    <m/>
  </r>
  <r>
    <d v="2023-05-01T00:00:00"/>
    <s v="2023-24"/>
    <n v="2023"/>
    <x v="9"/>
    <x v="9"/>
    <s v="Dadra and Nagar Haveli and Daman and Diu"/>
    <n v="38"/>
    <s v="Union Territory"/>
    <n v="35.85"/>
    <n v="47.04"/>
    <n v="239.82"/>
    <n v="1.3"/>
    <n v="322.70999999999998"/>
    <n v="324.01"/>
    <m/>
  </r>
  <r>
    <d v="2023-05-01T00:00:00"/>
    <s v="2023-24"/>
    <n v="2023"/>
    <x v="9"/>
    <x v="9"/>
    <s v="Delhi"/>
    <n v="7"/>
    <s v="Union Territory"/>
    <n v="1117.48"/>
    <n v="1295.06"/>
    <n v="2622.68"/>
    <n v="112.22"/>
    <n v="5035.22"/>
    <n v="5147.4399999999996"/>
    <m/>
  </r>
  <r>
    <d v="2023-05-01T00:00:00"/>
    <s v="2023-24"/>
    <n v="2023"/>
    <x v="9"/>
    <x v="9"/>
    <s v="Goa"/>
    <n v="30"/>
    <s v="State"/>
    <n v="136.32"/>
    <n v="182.47"/>
    <n v="200.55"/>
    <n v="3.49"/>
    <n v="519.34"/>
    <n v="522.83000000000004"/>
    <m/>
  </r>
  <r>
    <d v="2023-05-01T00:00:00"/>
    <s v="2023-24"/>
    <n v="2023"/>
    <x v="9"/>
    <x v="9"/>
    <s v="Gujarat"/>
    <n v="24"/>
    <s v="State"/>
    <n v="2729.13"/>
    <n v="3371.18"/>
    <n v="3025.07"/>
    <n v="674.5"/>
    <n v="9125.3799999999992"/>
    <n v="9799.8799999999992"/>
    <m/>
  </r>
  <r>
    <d v="2023-05-01T00:00:00"/>
    <s v="2023-24"/>
    <n v="2023"/>
    <x v="9"/>
    <x v="9"/>
    <s v="Haryana"/>
    <n v="6"/>
    <s v="State"/>
    <n v="1227.5"/>
    <n v="1543.74"/>
    <n v="4053.2"/>
    <n v="425.5"/>
    <n v="6824.44"/>
    <n v="7249.94"/>
    <m/>
  </r>
  <r>
    <d v="2023-05-01T00:00:00"/>
    <s v="2023-24"/>
    <n v="2023"/>
    <x v="9"/>
    <x v="9"/>
    <s v="Himachal Pradesh"/>
    <n v="2"/>
    <s v="State"/>
    <n v="138.72"/>
    <n v="188.75"/>
    <n v="499.13"/>
    <n v="1.85"/>
    <n v="826.6"/>
    <n v="828.45"/>
    <m/>
  </r>
  <r>
    <d v="2023-05-01T00:00:00"/>
    <s v="2023-24"/>
    <n v="2023"/>
    <x v="9"/>
    <x v="9"/>
    <s v="Jammu and Kashmir"/>
    <n v="1"/>
    <s v="Union Territory"/>
    <n v="114.27"/>
    <n v="178.17"/>
    <n v="119.75"/>
    <n v="9.65"/>
    <n v="412.19"/>
    <n v="421.84"/>
    <m/>
  </r>
  <r>
    <d v="2023-05-01T00:00:00"/>
    <s v="2023-24"/>
    <n v="2023"/>
    <x v="9"/>
    <x v="9"/>
    <s v="Jharkhand"/>
    <n v="20"/>
    <s v="State"/>
    <n v="434.03"/>
    <n v="653.44000000000005"/>
    <n v="904.45"/>
    <n v="592.44000000000005"/>
    <n v="1991.92"/>
    <n v="2584.36"/>
    <m/>
  </r>
  <r>
    <d v="2023-05-01T00:00:00"/>
    <s v="2023-24"/>
    <n v="2023"/>
    <x v="9"/>
    <x v="9"/>
    <s v="Karnataka"/>
    <n v="29"/>
    <s v="State"/>
    <n v="2462.85"/>
    <n v="3022.24"/>
    <n v="3582.08"/>
    <n v="1249.57"/>
    <n v="9067.17"/>
    <n v="10316.74"/>
    <m/>
  </r>
  <r>
    <d v="2023-05-01T00:00:00"/>
    <s v="2023-24"/>
    <n v="2023"/>
    <x v="9"/>
    <x v="9"/>
    <s v="Kerala"/>
    <n v="32"/>
    <s v="State"/>
    <n v="802.24"/>
    <n v="1040.19"/>
    <n v="451.68"/>
    <n v="3.32"/>
    <n v="2294.11"/>
    <n v="2297.4299999999998"/>
    <m/>
  </r>
  <r>
    <d v="2023-05-01T00:00:00"/>
    <s v="2023-24"/>
    <n v="2023"/>
    <x v="9"/>
    <x v="9"/>
    <s v="Ladakh"/>
    <n v="37"/>
    <s v="Union Territory"/>
    <n v="11.12"/>
    <n v="13.72"/>
    <n v="1.53"/>
    <n v="0.05"/>
    <n v="26.37"/>
    <n v="26.42"/>
    <m/>
  </r>
  <r>
    <d v="2023-05-01T00:00:00"/>
    <s v="2023-24"/>
    <n v="2023"/>
    <x v="9"/>
    <x v="9"/>
    <s v="Lakshadweep"/>
    <n v="31"/>
    <s v="Union Territory"/>
    <n v="7.0000000000000007E-2"/>
    <n v="0.09"/>
    <n v="1.92"/>
    <n v="0"/>
    <n v="2.08"/>
    <n v="2.08"/>
    <m/>
  </r>
  <r>
    <d v="2023-05-01T00:00:00"/>
    <s v="2023-24"/>
    <n v="2023"/>
    <x v="9"/>
    <x v="9"/>
    <s v="Madhya Pradesh"/>
    <n v="23"/>
    <s v="State"/>
    <n v="764.11"/>
    <n v="987.45"/>
    <n v="947.92"/>
    <n v="681.89"/>
    <n v="2699.48"/>
    <n v="3381.37"/>
    <m/>
  </r>
  <r>
    <d v="2023-05-01T00:00:00"/>
    <s v="2023-24"/>
    <n v="2023"/>
    <x v="9"/>
    <x v="9"/>
    <s v="Maharashtra"/>
    <n v="27"/>
    <s v="State"/>
    <n v="6480.71"/>
    <n v="7620.58"/>
    <n v="7620.23"/>
    <n v="1814.91"/>
    <n v="21721.52"/>
    <n v="23536.43"/>
    <m/>
  </r>
  <r>
    <d v="2023-05-01T00:00:00"/>
    <s v="2023-24"/>
    <n v="2023"/>
    <x v="9"/>
    <x v="9"/>
    <s v="Manipur"/>
    <n v="14"/>
    <s v="State"/>
    <n v="13.33"/>
    <n v="23.45"/>
    <n v="2.4500000000000002"/>
    <n v="0.2"/>
    <n v="39.229999999999997"/>
    <n v="39.43"/>
    <m/>
  </r>
  <r>
    <d v="2023-05-01T00:00:00"/>
    <s v="2023-24"/>
    <n v="2023"/>
    <x v="9"/>
    <x v="9"/>
    <s v="Meghalaya"/>
    <n v="17"/>
    <s v="State"/>
    <n v="42.55"/>
    <n v="55.6"/>
    <n v="113.41"/>
    <n v="2.74"/>
    <n v="211.56"/>
    <n v="214.3"/>
    <m/>
  </r>
  <r>
    <d v="2023-05-01T00:00:00"/>
    <s v="2023-24"/>
    <n v="2023"/>
    <x v="9"/>
    <x v="9"/>
    <s v="Mizoram"/>
    <n v="15"/>
    <s v="State"/>
    <n v="13.72"/>
    <n v="20.89"/>
    <n v="3.38"/>
    <n v="0.03"/>
    <n v="37.99"/>
    <n v="38.020000000000003"/>
    <m/>
  </r>
  <r>
    <d v="2023-05-01T00:00:00"/>
    <s v="2023-24"/>
    <n v="2023"/>
    <x v="9"/>
    <x v="9"/>
    <s v="Nagaland"/>
    <n v="13"/>
    <s v="State"/>
    <n v="15.44"/>
    <n v="21.15"/>
    <n v="10.76"/>
    <n v="4.6399999999999997"/>
    <n v="47.35"/>
    <n v="51.99"/>
    <m/>
  </r>
  <r>
    <d v="2023-05-01T00:00:00"/>
    <s v="2023-24"/>
    <n v="2023"/>
    <x v="9"/>
    <x v="9"/>
    <s v="Odisha"/>
    <n v="21"/>
    <s v="State"/>
    <n v="1029.25"/>
    <n v="1254.92"/>
    <n v="1337.55"/>
    <n v="776.01"/>
    <n v="3621.72"/>
    <n v="4397.7299999999996"/>
    <m/>
  </r>
  <r>
    <d v="2023-05-01T00:00:00"/>
    <s v="2023-24"/>
    <n v="2023"/>
    <x v="9"/>
    <x v="9"/>
    <s v="Puducherry"/>
    <n v="34"/>
    <s v="Union Territory"/>
    <n v="23.75"/>
    <n v="36.04"/>
    <n v="142.41"/>
    <n v="0.1"/>
    <n v="202.2"/>
    <n v="202.3"/>
    <m/>
  </r>
  <r>
    <d v="2023-05-01T00:00:00"/>
    <s v="2023-24"/>
    <n v="2023"/>
    <x v="9"/>
    <x v="9"/>
    <s v="Punjab"/>
    <n v="3"/>
    <s v="State"/>
    <n v="406.31"/>
    <n v="638.02"/>
    <n v="663.11"/>
    <n v="37.04"/>
    <n v="1707.44"/>
    <n v="1744.48"/>
    <m/>
  </r>
  <r>
    <d v="2023-05-01T00:00:00"/>
    <s v="2023-24"/>
    <n v="2023"/>
    <x v="9"/>
    <x v="9"/>
    <s v="Rajasthan"/>
    <n v="8"/>
    <s v="State"/>
    <n v="1077.56"/>
    <n v="1385.88"/>
    <n v="1337.91"/>
    <n v="122.23"/>
    <n v="3801.35"/>
    <n v="3923.58"/>
    <m/>
  </r>
  <r>
    <d v="2023-05-01T00:00:00"/>
    <s v="2023-24"/>
    <n v="2023"/>
    <x v="9"/>
    <x v="9"/>
    <s v="Sikkim"/>
    <n v="11"/>
    <s v="State"/>
    <n v="25.83"/>
    <n v="30.59"/>
    <n v="277.95999999999998"/>
    <n v="0.04"/>
    <n v="334.38"/>
    <n v="334.42"/>
    <m/>
  </r>
  <r>
    <d v="2023-05-01T00:00:00"/>
    <s v="2023-24"/>
    <n v="2023"/>
    <x v="9"/>
    <x v="9"/>
    <s v="Tamil Nadu"/>
    <n v="33"/>
    <s v="State"/>
    <n v="2398.4899999999998"/>
    <n v="3101.15"/>
    <n v="2783.83"/>
    <n v="669.3"/>
    <n v="8283.4699999999993"/>
    <n v="8952.77"/>
    <m/>
  </r>
  <r>
    <d v="2023-05-01T00:00:00"/>
    <s v="2023-24"/>
    <n v="2023"/>
    <x v="9"/>
    <x v="9"/>
    <s v="Telangana"/>
    <n v="36"/>
    <s v="State"/>
    <n v="1104.21"/>
    <n v="1448.15"/>
    <n v="1391.22"/>
    <n v="563.02"/>
    <n v="3943.58"/>
    <n v="4506.6000000000004"/>
    <m/>
  </r>
  <r>
    <d v="2023-05-01T00:00:00"/>
    <s v="2023-24"/>
    <n v="2023"/>
    <x v="9"/>
    <x v="9"/>
    <s v="Tripura"/>
    <n v="16"/>
    <s v="State"/>
    <n v="27.76"/>
    <n v="39.549999999999997"/>
    <n v="7.04"/>
    <n v="0.32"/>
    <n v="74.349999999999994"/>
    <n v="74.67"/>
    <m/>
  </r>
  <r>
    <d v="2023-05-01T00:00:00"/>
    <s v="2023-24"/>
    <n v="2023"/>
    <x v="9"/>
    <x v="9"/>
    <s v="Uttar Pradesh"/>
    <n v="9"/>
    <s v="State"/>
    <n v="1744.59"/>
    <n v="2383.89"/>
    <n v="2270.8000000000002"/>
    <n v="1069.08"/>
    <n v="6399.28"/>
    <n v="7468.36"/>
    <m/>
  </r>
  <r>
    <d v="2023-05-01T00:00:00"/>
    <s v="2023-24"/>
    <n v="2023"/>
    <x v="9"/>
    <x v="9"/>
    <s v="Uttarakhand"/>
    <n v="5"/>
    <s v="State"/>
    <n v="307.39999999999998"/>
    <n v="411.49"/>
    <n v="702.97"/>
    <n v="9.32"/>
    <n v="1421.86"/>
    <n v="1431.18"/>
    <m/>
  </r>
  <r>
    <d v="2023-05-01T00:00:00"/>
    <s v="2023-24"/>
    <n v="2023"/>
    <x v="9"/>
    <x v="9"/>
    <s v="West Bengal"/>
    <n v="19"/>
    <s v="State"/>
    <n v="1625.34"/>
    <n v="1952.4"/>
    <n v="1197.47"/>
    <n v="387.08"/>
    <n v="4775.21"/>
    <n v="5162.29"/>
    <m/>
  </r>
  <r>
    <d v="2023-06-01T00:00:00"/>
    <s v="2023-24"/>
    <n v="2023"/>
    <x v="10"/>
    <x v="10"/>
    <s v="Andaman and Nicobar Islands"/>
    <n v="35"/>
    <s v="Union Territory"/>
    <n v="11.49"/>
    <n v="16.21"/>
    <n v="8.15"/>
    <n v="0.13"/>
    <n v="35.85"/>
    <n v="35.979999999999997"/>
    <m/>
  </r>
  <r>
    <d v="2023-06-01T00:00:00"/>
    <s v="2023-24"/>
    <n v="2023"/>
    <x v="10"/>
    <x v="10"/>
    <s v="Andhra Pradesh"/>
    <n v="28"/>
    <s v="State"/>
    <n v="943.38"/>
    <n v="1187.6400000000001"/>
    <n v="1120.49"/>
    <n v="225.91"/>
    <n v="3251.51"/>
    <n v="3477.42"/>
    <m/>
  </r>
  <r>
    <d v="2023-06-01T00:00:00"/>
    <s v="2023-24"/>
    <n v="2023"/>
    <x v="10"/>
    <x v="10"/>
    <s v="Arunachal Pradesh"/>
    <n v="12"/>
    <s v="State"/>
    <n v="35.46"/>
    <n v="46.61"/>
    <n v="8.49"/>
    <n v="0.05"/>
    <n v="90.56"/>
    <n v="90.61"/>
    <m/>
  </r>
  <r>
    <d v="2023-06-01T00:00:00"/>
    <s v="2023-24"/>
    <n v="2023"/>
    <x v="10"/>
    <x v="10"/>
    <s v="Assam"/>
    <n v="18"/>
    <s v="State"/>
    <n v="390.44"/>
    <n v="471.72"/>
    <n v="294.57"/>
    <n v="56.32"/>
    <n v="1156.73"/>
    <n v="1213.05"/>
    <m/>
  </r>
  <r>
    <d v="2023-06-01T00:00:00"/>
    <s v="2023-24"/>
    <n v="2023"/>
    <x v="10"/>
    <x v="10"/>
    <s v="Bihar"/>
    <n v="10"/>
    <s v="State"/>
    <n v="419.22"/>
    <n v="653.73"/>
    <n v="179.64"/>
    <n v="184.47"/>
    <n v="1252.5899999999999"/>
    <n v="1437.06"/>
    <m/>
  </r>
  <r>
    <d v="2023-06-01T00:00:00"/>
    <s v="2023-24"/>
    <n v="2023"/>
    <x v="10"/>
    <x v="10"/>
    <s v="Chandigarh"/>
    <n v="4"/>
    <s v="Union Territory"/>
    <n v="50.51"/>
    <n v="64.25"/>
    <n v="111.55"/>
    <n v="0.76"/>
    <n v="226.31"/>
    <n v="227.07"/>
    <m/>
  </r>
  <r>
    <d v="2023-06-01T00:00:00"/>
    <s v="2023-24"/>
    <n v="2023"/>
    <x v="10"/>
    <x v="10"/>
    <s v="Chhattisgarh"/>
    <n v="22"/>
    <s v="State"/>
    <n v="606.54999999999995"/>
    <n v="706.2"/>
    <n v="1030.82"/>
    <n v="668.47"/>
    <n v="2343.5700000000002"/>
    <n v="3012.04"/>
    <m/>
  </r>
  <r>
    <d v="2023-06-01T00:00:00"/>
    <s v="2023-24"/>
    <n v="2023"/>
    <x v="10"/>
    <x v="10"/>
    <s v="Dadra and Nagar Haveli and Daman and Diu"/>
    <n v="38"/>
    <s v="Union Territory"/>
    <n v="41.21"/>
    <n v="52.59"/>
    <n v="245.16"/>
    <n v="1.06"/>
    <n v="338.96"/>
    <n v="340.02"/>
    <m/>
  </r>
  <r>
    <d v="2023-06-01T00:00:00"/>
    <s v="2023-24"/>
    <n v="2023"/>
    <x v="10"/>
    <x v="10"/>
    <s v="Delhi"/>
    <n v="7"/>
    <s v="Union Territory"/>
    <n v="990.07"/>
    <n v="1161.8599999999999"/>
    <n v="2489.6799999999998"/>
    <n v="102.51"/>
    <n v="4641.6099999999997"/>
    <n v="4744.12"/>
    <m/>
  </r>
  <r>
    <d v="2023-06-01T00:00:00"/>
    <s v="2023-24"/>
    <n v="2023"/>
    <x v="10"/>
    <x v="10"/>
    <s v="Goa"/>
    <n v="30"/>
    <s v="State"/>
    <n v="139.11000000000001"/>
    <n v="178.46"/>
    <n v="158.63"/>
    <n v="4.24"/>
    <n v="476.2"/>
    <n v="480.44"/>
    <m/>
  </r>
  <r>
    <d v="2023-06-01T00:00:00"/>
    <s v="2023-24"/>
    <n v="2023"/>
    <x v="10"/>
    <x v="10"/>
    <s v="Gujarat"/>
    <n v="24"/>
    <s v="State"/>
    <n v="2808.4"/>
    <n v="3500.3"/>
    <n v="3134.63"/>
    <n v="676.38"/>
    <n v="9443.33"/>
    <n v="10119.709999999999"/>
    <m/>
  </r>
  <r>
    <d v="2023-06-01T00:00:00"/>
    <s v="2023-24"/>
    <n v="2023"/>
    <x v="10"/>
    <x v="10"/>
    <s v="Haryana"/>
    <n v="6"/>
    <s v="State"/>
    <n v="1329.12"/>
    <n v="1694.81"/>
    <n v="4427.96"/>
    <n v="536.29999999999995"/>
    <n v="7451.89"/>
    <n v="7988.19"/>
    <m/>
  </r>
  <r>
    <d v="2023-06-01T00:00:00"/>
    <s v="2023-24"/>
    <n v="2023"/>
    <x v="10"/>
    <x v="10"/>
    <s v="Himachal Pradesh"/>
    <n v="2"/>
    <s v="State"/>
    <n v="165.04"/>
    <n v="225.72"/>
    <n v="446.91"/>
    <n v="2.94"/>
    <n v="837.67"/>
    <n v="840.61"/>
    <m/>
  </r>
  <r>
    <d v="2023-06-01T00:00:00"/>
    <s v="2023-24"/>
    <n v="2023"/>
    <x v="10"/>
    <x v="10"/>
    <s v="Jammu and Kashmir"/>
    <n v="1"/>
    <s v="Union Territory"/>
    <n v="194.37"/>
    <n v="256.92"/>
    <n v="125.42"/>
    <n v="11.97"/>
    <n v="576.71"/>
    <n v="588.67999999999995"/>
    <m/>
  </r>
  <r>
    <d v="2023-06-01T00:00:00"/>
    <s v="2023-24"/>
    <n v="2023"/>
    <x v="10"/>
    <x v="10"/>
    <s v="Jharkhand"/>
    <n v="20"/>
    <s v="State"/>
    <n v="524.08000000000004"/>
    <n v="696.62"/>
    <n v="1036.28"/>
    <n v="573.23"/>
    <n v="2256.98"/>
    <n v="2830.21"/>
    <m/>
  </r>
  <r>
    <d v="2023-06-01T00:00:00"/>
    <s v="2023-24"/>
    <n v="2023"/>
    <x v="10"/>
    <x v="10"/>
    <s v="Karnataka"/>
    <n v="29"/>
    <s v="State"/>
    <n v="2568.52"/>
    <n v="3098.19"/>
    <n v="4143.6000000000004"/>
    <n v="1382.89"/>
    <n v="9810.31"/>
    <n v="11193.2"/>
    <m/>
  </r>
  <r>
    <d v="2023-06-01T00:00:00"/>
    <s v="2023-24"/>
    <n v="2023"/>
    <x v="10"/>
    <x v="10"/>
    <s v="Kerala"/>
    <n v="32"/>
    <s v="State"/>
    <n v="1029.68"/>
    <n v="1284.25"/>
    <n v="407.81"/>
    <n v="3.35"/>
    <n v="2721.74"/>
    <n v="2725.09"/>
    <m/>
  </r>
  <r>
    <d v="2023-06-01T00:00:00"/>
    <s v="2023-24"/>
    <n v="2023"/>
    <x v="10"/>
    <x v="10"/>
    <s v="Ladakh"/>
    <n v="37"/>
    <s v="Union Territory"/>
    <n v="5.5"/>
    <n v="6.72"/>
    <n v="2.34"/>
    <n v="0"/>
    <n v="14.56"/>
    <n v="14.56"/>
    <m/>
  </r>
  <r>
    <d v="2023-06-01T00:00:00"/>
    <s v="2023-24"/>
    <n v="2023"/>
    <x v="10"/>
    <x v="10"/>
    <s v="Lakshadweep"/>
    <n v="31"/>
    <s v="Union Territory"/>
    <n v="10.51"/>
    <n v="10.59"/>
    <n v="0.76"/>
    <n v="0"/>
    <n v="21.86"/>
    <n v="21.86"/>
    <m/>
  </r>
  <r>
    <d v="2023-06-01T00:00:00"/>
    <s v="2023-24"/>
    <n v="2023"/>
    <x v="10"/>
    <x v="10"/>
    <s v="Madhya Pradesh"/>
    <n v="23"/>
    <s v="State"/>
    <n v="820.65"/>
    <n v="1037.27"/>
    <n v="889.85"/>
    <n v="637.44000000000005"/>
    <n v="2747.77"/>
    <n v="3385.21"/>
    <m/>
  </r>
  <r>
    <d v="2023-06-01T00:00:00"/>
    <s v="2023-24"/>
    <n v="2023"/>
    <x v="10"/>
    <x v="10"/>
    <s v="Maharashtra"/>
    <n v="27"/>
    <s v="State"/>
    <n v="7381.73"/>
    <n v="8453.56"/>
    <n v="8436.17"/>
    <n v="1827.32"/>
    <n v="24271.46"/>
    <n v="26098.78"/>
    <m/>
  </r>
  <r>
    <d v="2023-06-01T00:00:00"/>
    <s v="2023-24"/>
    <n v="2023"/>
    <x v="10"/>
    <x v="10"/>
    <s v="Manipur"/>
    <n v="14"/>
    <s v="State"/>
    <n v="25"/>
    <n v="31.53"/>
    <n v="3.83"/>
    <n v="0"/>
    <n v="60.36"/>
    <n v="60.36"/>
    <m/>
  </r>
  <r>
    <d v="2023-06-01T00:00:00"/>
    <s v="2023-24"/>
    <n v="2023"/>
    <x v="10"/>
    <x v="10"/>
    <s v="Meghalaya"/>
    <n v="17"/>
    <s v="State"/>
    <n v="36.79"/>
    <n v="44.02"/>
    <n v="111.31"/>
    <n v="2.0299999999999998"/>
    <n v="192.12"/>
    <n v="194.15"/>
    <m/>
  </r>
  <r>
    <d v="2023-06-01T00:00:00"/>
    <s v="2023-24"/>
    <n v="2023"/>
    <x v="10"/>
    <x v="10"/>
    <s v="Mizoram"/>
    <n v="15"/>
    <s v="State"/>
    <n v="19.64"/>
    <n v="31.45"/>
    <n v="4.2300000000000004"/>
    <n v="0.05"/>
    <n v="55.32"/>
    <n v="55.37"/>
    <m/>
  </r>
  <r>
    <d v="2023-06-01T00:00:00"/>
    <s v="2023-24"/>
    <n v="2023"/>
    <x v="10"/>
    <x v="10"/>
    <s v="Nagaland"/>
    <n v="13"/>
    <s v="State"/>
    <n v="30.69"/>
    <n v="33.840000000000003"/>
    <n v="10.47"/>
    <n v="4.2"/>
    <n v="75"/>
    <n v="79.2"/>
    <m/>
  </r>
  <r>
    <d v="2023-06-01T00:00:00"/>
    <s v="2023-24"/>
    <n v="2023"/>
    <x v="10"/>
    <x v="10"/>
    <s v="Odisha"/>
    <n v="21"/>
    <s v="State"/>
    <n v="1130.1400000000001"/>
    <n v="1322.65"/>
    <n v="1122.3900000000001"/>
    <n v="804.79"/>
    <n v="3575.18"/>
    <n v="4379.97"/>
    <m/>
  </r>
  <r>
    <d v="2023-06-01T00:00:00"/>
    <s v="2023-24"/>
    <n v="2023"/>
    <x v="10"/>
    <x v="10"/>
    <s v="Puducherry"/>
    <n v="34"/>
    <s v="Union Territory"/>
    <n v="25.96"/>
    <n v="41.11"/>
    <n v="143.1"/>
    <n v="0.21"/>
    <n v="210.17"/>
    <n v="210.38"/>
    <m/>
  </r>
  <r>
    <d v="2023-06-01T00:00:00"/>
    <s v="2023-24"/>
    <n v="2023"/>
    <x v="10"/>
    <x v="10"/>
    <s v="Punjab"/>
    <n v="3"/>
    <s v="State"/>
    <n v="505.12"/>
    <n v="726.45"/>
    <n v="694.14"/>
    <n v="40.22"/>
    <n v="1925.71"/>
    <n v="1965.93"/>
    <m/>
  </r>
  <r>
    <d v="2023-06-01T00:00:00"/>
    <s v="2023-24"/>
    <n v="2023"/>
    <x v="10"/>
    <x v="10"/>
    <s v="Rajasthan"/>
    <n v="8"/>
    <s v="State"/>
    <n v="1100.47"/>
    <n v="1394.85"/>
    <n v="1271.81"/>
    <n v="124.87"/>
    <n v="3767.13"/>
    <n v="3892"/>
    <m/>
  </r>
  <r>
    <d v="2023-06-01T00:00:00"/>
    <s v="2023-24"/>
    <n v="2023"/>
    <x v="10"/>
    <x v="10"/>
    <s v="Sikkim"/>
    <n v="11"/>
    <s v="State"/>
    <n v="20.7"/>
    <n v="25.27"/>
    <n v="241.49"/>
    <n v="0.05"/>
    <n v="287.45999999999998"/>
    <n v="287.51"/>
    <m/>
  </r>
  <r>
    <d v="2023-06-01T00:00:00"/>
    <s v="2023-24"/>
    <n v="2023"/>
    <x v="10"/>
    <x v="10"/>
    <s v="Tamil Nadu"/>
    <n v="33"/>
    <s v="State"/>
    <n v="2574.6"/>
    <n v="3253.75"/>
    <n v="3052.98"/>
    <n v="719.31"/>
    <n v="8881.33"/>
    <n v="9600.64"/>
    <m/>
  </r>
  <r>
    <d v="2023-06-01T00:00:00"/>
    <s v="2023-24"/>
    <n v="2023"/>
    <x v="10"/>
    <x v="10"/>
    <s v="Telangana"/>
    <n v="36"/>
    <s v="State"/>
    <n v="1242.1199999999999"/>
    <n v="1575.13"/>
    <n v="1326.67"/>
    <n v="537.47"/>
    <n v="4143.92"/>
    <n v="4681.3900000000003"/>
    <m/>
  </r>
  <r>
    <d v="2023-06-01T00:00:00"/>
    <s v="2023-24"/>
    <n v="2023"/>
    <x v="10"/>
    <x v="10"/>
    <s v="Tripura"/>
    <n v="16"/>
    <s v="State"/>
    <n v="29.19"/>
    <n v="38.54"/>
    <n v="7.35"/>
    <n v="0.08"/>
    <n v="75.08"/>
    <n v="75.16"/>
    <m/>
  </r>
  <r>
    <d v="2023-06-01T00:00:00"/>
    <s v="2023-24"/>
    <n v="2023"/>
    <x v="10"/>
    <x v="10"/>
    <s v="Uttar Pradesh"/>
    <n v="9"/>
    <s v="State"/>
    <n v="1869.7"/>
    <n v="2562.73"/>
    <n v="2308.25"/>
    <n v="1363.47"/>
    <n v="6740.68"/>
    <n v="8104.15"/>
    <m/>
  </r>
  <r>
    <d v="2023-06-01T00:00:00"/>
    <s v="2023-24"/>
    <n v="2023"/>
    <x v="10"/>
    <x v="10"/>
    <s v="Uttarakhand"/>
    <n v="5"/>
    <s v="State"/>
    <n v="327.37"/>
    <n v="438.6"/>
    <n v="745.08"/>
    <n v="11.5"/>
    <n v="1511.05"/>
    <n v="1522.55"/>
    <m/>
  </r>
  <r>
    <d v="2023-06-01T00:00:00"/>
    <s v="2023-24"/>
    <n v="2023"/>
    <x v="10"/>
    <x v="10"/>
    <s v="West Bengal"/>
    <n v="19"/>
    <s v="State"/>
    <n v="1594.03"/>
    <n v="1943.64"/>
    <n v="1148.19"/>
    <n v="368.01"/>
    <n v="4685.8599999999997"/>
    <n v="5053.87"/>
    <m/>
  </r>
  <r>
    <d v="2023-07-01T00:00:00"/>
    <s v="2023-24"/>
    <n v="2023"/>
    <x v="11"/>
    <x v="11"/>
    <s v="Andaman and Nicobar Islands"/>
    <n v="35"/>
    <s v="Union Territory"/>
    <n v="7.41"/>
    <n v="11.18"/>
    <n v="12.11"/>
    <n v="0.1"/>
    <n v="30.7"/>
    <n v="30.8"/>
    <m/>
  </r>
  <r>
    <d v="2023-07-01T00:00:00"/>
    <s v="2023-24"/>
    <n v="2023"/>
    <x v="11"/>
    <x v="11"/>
    <s v="Andhra Pradesh"/>
    <n v="28"/>
    <s v="State"/>
    <n v="899.4"/>
    <n v="1198.6099999999999"/>
    <n v="1254.72"/>
    <n v="240.68"/>
    <n v="3352.73"/>
    <n v="3593.41"/>
    <m/>
  </r>
  <r>
    <d v="2023-07-01T00:00:00"/>
    <s v="2023-24"/>
    <n v="2023"/>
    <x v="11"/>
    <x v="11"/>
    <s v="Arunachal Pradesh"/>
    <n v="12"/>
    <s v="State"/>
    <n v="28.3"/>
    <n v="37.08"/>
    <n v="8.25"/>
    <n v="0.06"/>
    <n v="73.63"/>
    <n v="73.69"/>
    <m/>
  </r>
  <r>
    <d v="2023-07-01T00:00:00"/>
    <s v="2023-24"/>
    <n v="2023"/>
    <x v="11"/>
    <x v="11"/>
    <s v="Assam"/>
    <n v="18"/>
    <s v="State"/>
    <n v="360.69"/>
    <n v="450.52"/>
    <n v="299.64999999999998"/>
    <n v="71.900000000000006"/>
    <n v="1110.8599999999999"/>
    <n v="1182.76"/>
    <m/>
  </r>
  <r>
    <d v="2023-07-01T00:00:00"/>
    <s v="2023-24"/>
    <n v="2023"/>
    <x v="11"/>
    <x v="11"/>
    <s v="Bihar"/>
    <n v="10"/>
    <s v="State"/>
    <n v="410.38"/>
    <n v="717.86"/>
    <n v="181.51"/>
    <n v="178.06"/>
    <n v="1309.75"/>
    <n v="1487.81"/>
    <m/>
  </r>
  <r>
    <d v="2023-07-01T00:00:00"/>
    <s v="2023-24"/>
    <n v="2023"/>
    <x v="11"/>
    <x v="11"/>
    <s v="Chandigarh"/>
    <n v="4"/>
    <s v="Union Territory"/>
    <n v="41.23"/>
    <n v="56.72"/>
    <n v="118.26"/>
    <n v="0.86"/>
    <n v="216.21"/>
    <n v="217.07"/>
    <m/>
  </r>
  <r>
    <d v="2023-07-01T00:00:00"/>
    <s v="2023-24"/>
    <n v="2023"/>
    <x v="11"/>
    <x v="11"/>
    <s v="Chhattisgarh"/>
    <n v="22"/>
    <s v="State"/>
    <n v="516"/>
    <n v="627.30999999999995"/>
    <n v="1017.76"/>
    <n v="643.51"/>
    <n v="2161.0700000000002"/>
    <n v="2804.58"/>
    <m/>
  </r>
  <r>
    <d v="2023-07-01T00:00:00"/>
    <s v="2023-24"/>
    <n v="2023"/>
    <x v="11"/>
    <x v="11"/>
    <s v="Dadra and Nagar Haveli and Daman and Diu"/>
    <n v="38"/>
    <s v="Union Territory"/>
    <n v="44.48"/>
    <n v="56.17"/>
    <n v="253.21"/>
    <n v="0.28000000000000003"/>
    <n v="353.86"/>
    <n v="354.14"/>
    <m/>
  </r>
  <r>
    <d v="2023-07-01T00:00:00"/>
    <s v="2023-24"/>
    <n v="2023"/>
    <x v="11"/>
    <x v="11"/>
    <s v="Delhi"/>
    <n v="7"/>
    <s v="Union Territory"/>
    <n v="1029.98"/>
    <n v="1221.42"/>
    <n v="3053.18"/>
    <n v="100.8"/>
    <n v="5304.58"/>
    <n v="5405.38"/>
    <m/>
  </r>
  <r>
    <d v="2023-07-01T00:00:00"/>
    <s v="2023-24"/>
    <n v="2023"/>
    <x v="11"/>
    <x v="11"/>
    <s v="Goa"/>
    <n v="30"/>
    <s v="State"/>
    <n v="131.03"/>
    <n v="173.21"/>
    <n v="219.81"/>
    <n v="3.68"/>
    <n v="524.04999999999995"/>
    <n v="527.73"/>
    <m/>
  </r>
  <r>
    <d v="2023-07-01T00:00:00"/>
    <s v="2023-24"/>
    <n v="2023"/>
    <x v="11"/>
    <x v="11"/>
    <s v="Gujarat"/>
    <n v="24"/>
    <s v="State"/>
    <n v="2679.04"/>
    <n v="3292.7"/>
    <n v="3184.55"/>
    <n v="631.04"/>
    <n v="9156.2900000000009"/>
    <n v="9787.33"/>
    <m/>
  </r>
  <r>
    <d v="2023-07-01T00:00:00"/>
    <s v="2023-24"/>
    <n v="2023"/>
    <x v="11"/>
    <x v="11"/>
    <s v="Haryana"/>
    <n v="6"/>
    <s v="State"/>
    <n v="1222.74"/>
    <n v="1609.86"/>
    <n v="4571.32"/>
    <n v="549.03"/>
    <n v="7403.92"/>
    <n v="7952.95"/>
    <m/>
  </r>
  <r>
    <d v="2023-07-01T00:00:00"/>
    <s v="2023-24"/>
    <n v="2023"/>
    <x v="11"/>
    <x v="11"/>
    <s v="Himachal Pradesh"/>
    <n v="2"/>
    <s v="State"/>
    <n v="162.58000000000001"/>
    <n v="232.94"/>
    <n v="518.77"/>
    <n v="2.56"/>
    <n v="914.29"/>
    <n v="916.85"/>
    <m/>
  </r>
  <r>
    <d v="2023-07-01T00:00:00"/>
    <s v="2023-24"/>
    <n v="2023"/>
    <x v="11"/>
    <x v="11"/>
    <s v="Jammu and Kashmir"/>
    <n v="1"/>
    <s v="Union Territory"/>
    <n v="162.69"/>
    <n v="234"/>
    <n v="141.35"/>
    <n v="10.98"/>
    <n v="538.04"/>
    <n v="549.02"/>
    <m/>
  </r>
  <r>
    <d v="2023-07-01T00:00:00"/>
    <s v="2023-24"/>
    <n v="2023"/>
    <x v="11"/>
    <x v="11"/>
    <s v="Jharkhand"/>
    <n v="20"/>
    <s v="State"/>
    <n v="538.84"/>
    <n v="721.04"/>
    <n v="1016.77"/>
    <n v="581.9"/>
    <n v="2276.65"/>
    <n v="2858.55"/>
    <m/>
  </r>
  <r>
    <d v="2023-07-01T00:00:00"/>
    <s v="2023-24"/>
    <n v="2023"/>
    <x v="11"/>
    <x v="11"/>
    <s v="Karnataka"/>
    <n v="29"/>
    <s v="State"/>
    <n v="2574.96"/>
    <n v="3181.08"/>
    <n v="4300.3"/>
    <n v="1449.12"/>
    <n v="10056.34"/>
    <n v="11505.46"/>
    <m/>
  </r>
  <r>
    <d v="2023-07-01T00:00:00"/>
    <s v="2023-24"/>
    <n v="2023"/>
    <x v="11"/>
    <x v="11"/>
    <s v="Kerala"/>
    <n v="32"/>
    <s v="State"/>
    <n v="846.91"/>
    <n v="1093.31"/>
    <n v="438.67"/>
    <n v="2.34"/>
    <n v="2378.89"/>
    <n v="2381.23"/>
    <m/>
  </r>
  <r>
    <d v="2023-07-01T00:00:00"/>
    <s v="2023-24"/>
    <n v="2023"/>
    <x v="11"/>
    <x v="11"/>
    <s v="Ladakh"/>
    <n v="37"/>
    <s v="Union Territory"/>
    <n v="8.4700000000000006"/>
    <n v="11"/>
    <n v="3.1"/>
    <n v="0.03"/>
    <n v="22.57"/>
    <n v="22.6"/>
    <m/>
  </r>
  <r>
    <d v="2023-07-01T00:00:00"/>
    <s v="2023-24"/>
    <n v="2023"/>
    <x v="11"/>
    <x v="11"/>
    <s v="Lakshadweep"/>
    <n v="31"/>
    <s v="Union Territory"/>
    <n v="0.67"/>
    <n v="1.5"/>
    <n v="0.18"/>
    <n v="0"/>
    <n v="2.35"/>
    <n v="2.35"/>
    <m/>
  </r>
  <r>
    <d v="2023-07-01T00:00:00"/>
    <s v="2023-24"/>
    <n v="2023"/>
    <x v="11"/>
    <x v="11"/>
    <s v="Madhya Pradesh"/>
    <n v="23"/>
    <s v="State"/>
    <n v="794.89"/>
    <n v="1044.94"/>
    <n v="900.37"/>
    <n v="584.85"/>
    <n v="2740.2"/>
    <n v="3325.05"/>
    <m/>
  </r>
  <r>
    <d v="2023-07-01T00:00:00"/>
    <s v="2023-24"/>
    <n v="2023"/>
    <x v="11"/>
    <x v="11"/>
    <s v="Maharashtra"/>
    <n v="27"/>
    <s v="State"/>
    <n v="6795.84"/>
    <n v="7957.64"/>
    <n v="9499.49"/>
    <n v="1811.06"/>
    <n v="24252.97"/>
    <n v="26064.03"/>
    <m/>
  </r>
  <r>
    <d v="2023-07-01T00:00:00"/>
    <s v="2023-24"/>
    <n v="2023"/>
    <x v="11"/>
    <x v="11"/>
    <s v="Manipur"/>
    <n v="14"/>
    <s v="State"/>
    <n v="15.65"/>
    <n v="22.53"/>
    <n v="3.82"/>
    <n v="0.04"/>
    <n v="42"/>
    <n v="42.04"/>
    <m/>
  </r>
  <r>
    <d v="2023-07-01T00:00:00"/>
    <s v="2023-24"/>
    <n v="2023"/>
    <x v="11"/>
    <x v="11"/>
    <s v="Meghalaya"/>
    <n v="17"/>
    <s v="State"/>
    <n v="44.42"/>
    <n v="50.42"/>
    <n v="80.23"/>
    <n v="0.28999999999999998"/>
    <n v="175.07"/>
    <n v="175.36"/>
    <m/>
  </r>
  <r>
    <d v="2023-07-01T00:00:00"/>
    <s v="2023-24"/>
    <n v="2023"/>
    <x v="11"/>
    <x v="11"/>
    <s v="Mizoram"/>
    <n v="15"/>
    <s v="State"/>
    <n v="14.07"/>
    <n v="22.03"/>
    <n v="2.97"/>
    <n v="7.0000000000000007E-2"/>
    <n v="39.07"/>
    <n v="39.14"/>
    <m/>
  </r>
  <r>
    <d v="2023-07-01T00:00:00"/>
    <s v="2023-24"/>
    <n v="2023"/>
    <x v="11"/>
    <x v="11"/>
    <s v="Nagaland"/>
    <n v="13"/>
    <s v="State"/>
    <n v="13.83"/>
    <n v="18.190000000000001"/>
    <n v="7.99"/>
    <n v="2.94"/>
    <n v="40.01"/>
    <n v="42.95"/>
    <m/>
  </r>
  <r>
    <d v="2023-07-01T00:00:00"/>
    <s v="2023-24"/>
    <n v="2023"/>
    <x v="11"/>
    <x v="11"/>
    <s v="Odisha"/>
    <n v="21"/>
    <s v="State"/>
    <n v="1096.55"/>
    <n v="1300.33"/>
    <n v="1094.5899999999999"/>
    <n v="753.93"/>
    <n v="3491.47"/>
    <n v="4245.3999999999996"/>
    <m/>
  </r>
  <r>
    <d v="2023-07-01T00:00:00"/>
    <s v="2023-24"/>
    <n v="2023"/>
    <x v="11"/>
    <x v="11"/>
    <s v="Puducherry"/>
    <n v="34"/>
    <s v="Union Territory"/>
    <n v="27.18"/>
    <n v="41.35"/>
    <n v="146.75"/>
    <n v="0.27"/>
    <n v="215.28"/>
    <n v="215.55"/>
    <m/>
  </r>
  <r>
    <d v="2023-07-01T00:00:00"/>
    <s v="2023-24"/>
    <n v="2023"/>
    <x v="11"/>
    <x v="11"/>
    <s v="Punjab"/>
    <n v="3"/>
    <s v="State"/>
    <n v="489.38"/>
    <n v="727.31"/>
    <n v="739.82"/>
    <n v="43.9"/>
    <n v="1956.51"/>
    <n v="2000.41"/>
    <m/>
  </r>
  <r>
    <d v="2023-07-01T00:00:00"/>
    <s v="2023-24"/>
    <n v="2023"/>
    <x v="11"/>
    <x v="11"/>
    <s v="Rajasthan"/>
    <n v="8"/>
    <s v="State"/>
    <n v="1088.6300000000001"/>
    <n v="1380.13"/>
    <n v="1408.09"/>
    <n v="111.14"/>
    <n v="3876.85"/>
    <n v="3987.99"/>
    <m/>
  </r>
  <r>
    <d v="2023-07-01T00:00:00"/>
    <s v="2023-24"/>
    <n v="2023"/>
    <x v="11"/>
    <x v="11"/>
    <s v="Sikkim"/>
    <n v="11"/>
    <s v="State"/>
    <n v="21.94"/>
    <n v="29.51"/>
    <n v="262.42"/>
    <n v="0.1"/>
    <n v="313.87"/>
    <n v="313.97000000000003"/>
    <m/>
  </r>
  <r>
    <d v="2023-07-01T00:00:00"/>
    <s v="2023-24"/>
    <n v="2023"/>
    <x v="11"/>
    <x v="11"/>
    <s v="Tamil Nadu"/>
    <n v="33"/>
    <s v="State"/>
    <n v="2568.41"/>
    <n v="3300"/>
    <n v="3377.73"/>
    <n v="775.72"/>
    <n v="9246.14"/>
    <n v="10021.86"/>
    <m/>
  </r>
  <r>
    <d v="2023-07-01T00:00:00"/>
    <s v="2023-24"/>
    <n v="2023"/>
    <x v="11"/>
    <x v="11"/>
    <s v="Telangana"/>
    <n v="36"/>
    <s v="State"/>
    <n v="1210.5"/>
    <n v="1623.48"/>
    <n v="1453.15"/>
    <n v="561.91"/>
    <n v="4287.13"/>
    <n v="4849.04"/>
    <m/>
  </r>
  <r>
    <d v="2023-07-01T00:00:00"/>
    <s v="2023-24"/>
    <n v="2023"/>
    <x v="11"/>
    <x v="11"/>
    <s v="Tripura"/>
    <n v="16"/>
    <s v="State"/>
    <n v="31.03"/>
    <n v="39.53"/>
    <n v="6.97"/>
    <n v="0.56999999999999995"/>
    <n v="77.53"/>
    <n v="78.099999999999994"/>
    <m/>
  </r>
  <r>
    <d v="2023-07-01T00:00:00"/>
    <s v="2023-24"/>
    <n v="2023"/>
    <x v="11"/>
    <x v="11"/>
    <s v="Uttar Pradesh"/>
    <n v="9"/>
    <s v="State"/>
    <n v="1995.75"/>
    <n v="2750.54"/>
    <n v="2608.52"/>
    <n v="1447.22"/>
    <n v="7354.81"/>
    <n v="8802.0300000000007"/>
    <m/>
  </r>
  <r>
    <d v="2023-07-01T00:00:00"/>
    <s v="2023-24"/>
    <n v="2023"/>
    <x v="11"/>
    <x v="11"/>
    <s v="Uttarakhand"/>
    <n v="5"/>
    <s v="State"/>
    <n v="318.27999999999997"/>
    <n v="415.18"/>
    <n v="863.17"/>
    <n v="10.49"/>
    <n v="1596.63"/>
    <n v="1607.12"/>
    <m/>
  </r>
  <r>
    <d v="2023-07-01T00:00:00"/>
    <s v="2023-24"/>
    <n v="2023"/>
    <x v="11"/>
    <x v="11"/>
    <s v="West Bengal"/>
    <n v="19"/>
    <s v="State"/>
    <n v="1570.54"/>
    <n v="1952.69"/>
    <n v="1236.96"/>
    <n v="367.65"/>
    <n v="4760.1899999999996"/>
    <n v="5127.84"/>
    <m/>
  </r>
  <r>
    <d v="2023-08-01T00:00:00"/>
    <s v="2023-24"/>
    <n v="2023"/>
    <x v="0"/>
    <x v="0"/>
    <s v="Andaman and Nicobar Islands"/>
    <n v="35"/>
    <s v="Union Territory"/>
    <n v="6.9"/>
    <n v="10.18"/>
    <n v="4.12"/>
    <n v="0.03"/>
    <n v="21.2"/>
    <n v="21.23"/>
    <m/>
  </r>
  <r>
    <d v="2023-08-01T00:00:00"/>
    <s v="2023-24"/>
    <n v="2023"/>
    <x v="0"/>
    <x v="0"/>
    <s v="Andhra Pradesh"/>
    <n v="28"/>
    <s v="State"/>
    <n v="860.78"/>
    <n v="1122.3"/>
    <n v="1196.49"/>
    <n v="299.14999999999998"/>
    <n v="3179.57"/>
    <n v="3478.72"/>
    <m/>
  </r>
  <r>
    <d v="2023-08-01T00:00:00"/>
    <s v="2023-24"/>
    <n v="2023"/>
    <x v="0"/>
    <x v="0"/>
    <s v="Arunachal Pradesh"/>
    <n v="12"/>
    <s v="State"/>
    <n v="30.8"/>
    <n v="39.700000000000003"/>
    <n v="11.88"/>
    <n v="0.04"/>
    <n v="82.38"/>
    <n v="82.42"/>
    <m/>
  </r>
  <r>
    <d v="2023-08-01T00:00:00"/>
    <s v="2023-24"/>
    <n v="2023"/>
    <x v="0"/>
    <x v="0"/>
    <s v="Assam"/>
    <n v="18"/>
    <s v="State"/>
    <n v="350.41"/>
    <n v="440.19"/>
    <n v="305.5"/>
    <n v="51.43"/>
    <n v="1096.0999999999999"/>
    <n v="1147.53"/>
    <m/>
  </r>
  <r>
    <d v="2023-08-01T00:00:00"/>
    <s v="2023-24"/>
    <n v="2023"/>
    <x v="0"/>
    <x v="0"/>
    <s v="Bihar"/>
    <n v="10"/>
    <s v="State"/>
    <n v="395.43"/>
    <n v="653.58000000000004"/>
    <n v="175.97"/>
    <n v="153.80000000000001"/>
    <n v="1224.98"/>
    <n v="1378.78"/>
    <m/>
  </r>
  <r>
    <d v="2023-08-01T00:00:00"/>
    <s v="2023-24"/>
    <n v="2023"/>
    <x v="0"/>
    <x v="0"/>
    <s v="Chandigarh"/>
    <n v="4"/>
    <s v="Union Territory"/>
    <n v="37.83"/>
    <n v="51.46"/>
    <n v="101.76"/>
    <n v="1.36"/>
    <n v="191.05"/>
    <n v="192.41"/>
    <m/>
  </r>
  <r>
    <d v="2023-08-01T00:00:00"/>
    <s v="2023-24"/>
    <n v="2023"/>
    <x v="0"/>
    <x v="0"/>
    <s v="Chhattisgarh"/>
    <n v="22"/>
    <s v="State"/>
    <n v="604.91"/>
    <n v="709.86"/>
    <n v="938.64"/>
    <n v="642.49"/>
    <n v="2253.41"/>
    <n v="2895.9"/>
    <m/>
  </r>
  <r>
    <d v="2023-08-01T00:00:00"/>
    <s v="2023-24"/>
    <n v="2023"/>
    <x v="0"/>
    <x v="0"/>
    <s v="Dadra and Nagar Haveli and Daman and Diu"/>
    <n v="38"/>
    <s v="Union Territory"/>
    <n v="39.19"/>
    <n v="50.75"/>
    <n v="233.03"/>
    <n v="1.56"/>
    <n v="322.97000000000003"/>
    <n v="324.52999999999997"/>
    <m/>
  </r>
  <r>
    <d v="2023-08-01T00:00:00"/>
    <s v="2023-24"/>
    <n v="2023"/>
    <x v="0"/>
    <x v="0"/>
    <s v="Delhi"/>
    <n v="7"/>
    <s v="Union Territory"/>
    <n v="939.32"/>
    <n v="1113.4000000000001"/>
    <n v="2471.29"/>
    <n v="95.49"/>
    <n v="4524.01"/>
    <n v="4619.5"/>
    <m/>
  </r>
  <r>
    <d v="2023-08-01T00:00:00"/>
    <s v="2023-24"/>
    <n v="2023"/>
    <x v="0"/>
    <x v="0"/>
    <s v="Goa"/>
    <n v="30"/>
    <s v="State"/>
    <n v="137.74"/>
    <n v="173.71"/>
    <n v="195.88"/>
    <n v="1.69"/>
    <n v="507.33"/>
    <n v="509.02"/>
    <m/>
  </r>
  <r>
    <d v="2023-08-01T00:00:00"/>
    <s v="2023-24"/>
    <n v="2023"/>
    <x v="0"/>
    <x v="0"/>
    <s v="Gujarat"/>
    <n v="24"/>
    <s v="State"/>
    <n v="2617.37"/>
    <n v="3210.74"/>
    <n v="3288.57"/>
    <n v="648.08000000000004"/>
    <n v="9116.68"/>
    <n v="9764.76"/>
    <m/>
  </r>
  <r>
    <d v="2023-08-01T00:00:00"/>
    <s v="2023-24"/>
    <n v="2023"/>
    <x v="0"/>
    <x v="0"/>
    <s v="Haryana"/>
    <n v="6"/>
    <s v="State"/>
    <n v="1209.92"/>
    <n v="1584.52"/>
    <n v="4199.0200000000004"/>
    <n v="672.05"/>
    <n v="6993.46"/>
    <n v="7665.51"/>
    <m/>
  </r>
  <r>
    <d v="2023-08-01T00:00:00"/>
    <s v="2023-24"/>
    <n v="2023"/>
    <x v="0"/>
    <x v="0"/>
    <s v="Himachal Pradesh"/>
    <n v="2"/>
    <s v="State"/>
    <n v="132.33000000000001"/>
    <n v="181.75"/>
    <n v="409.73"/>
    <n v="1.35"/>
    <n v="723.81"/>
    <n v="725.16"/>
    <m/>
  </r>
  <r>
    <d v="2023-08-01T00:00:00"/>
    <s v="2023-24"/>
    <n v="2023"/>
    <x v="0"/>
    <x v="0"/>
    <s v="Jammu and Kashmir"/>
    <n v="1"/>
    <s v="Union Territory"/>
    <n v="146.52000000000001"/>
    <n v="220.48"/>
    <n v="146.06"/>
    <n v="10.029999999999999"/>
    <n v="513.05999999999995"/>
    <n v="523.09"/>
    <m/>
  </r>
  <r>
    <d v="2023-08-01T00:00:00"/>
    <s v="2023-24"/>
    <n v="2023"/>
    <x v="0"/>
    <x v="0"/>
    <s v="Jharkhand"/>
    <n v="20"/>
    <s v="State"/>
    <n v="523.4"/>
    <n v="801.7"/>
    <n v="829"/>
    <n v="566.73"/>
    <n v="2154.1"/>
    <n v="2720.83"/>
    <m/>
  </r>
  <r>
    <d v="2023-08-01T00:00:00"/>
    <s v="2023-24"/>
    <n v="2023"/>
    <x v="0"/>
    <x v="0"/>
    <s v="Karnataka"/>
    <n v="29"/>
    <s v="State"/>
    <n v="2479.8000000000002"/>
    <n v="3028.57"/>
    <n v="4193.21"/>
    <n v="1414.19"/>
    <n v="9701.58"/>
    <n v="11115.77"/>
    <m/>
  </r>
  <r>
    <d v="2023-08-01T00:00:00"/>
    <s v="2023-24"/>
    <n v="2023"/>
    <x v="0"/>
    <x v="0"/>
    <s v="Kerala"/>
    <n v="32"/>
    <s v="State"/>
    <n v="825.5"/>
    <n v="1035.4000000000001"/>
    <n v="443"/>
    <n v="2.0699999999999998"/>
    <n v="2303.9"/>
    <n v="2305.9699999999998"/>
    <m/>
  </r>
  <r>
    <d v="2023-08-01T00:00:00"/>
    <s v="2023-24"/>
    <n v="2023"/>
    <x v="0"/>
    <x v="0"/>
    <s v="Ladakh"/>
    <n v="37"/>
    <s v="Union Territory"/>
    <n v="9.6"/>
    <n v="14.35"/>
    <n v="2.67"/>
    <n v="0.05"/>
    <n v="26.62"/>
    <n v="26.67"/>
    <m/>
  </r>
  <r>
    <d v="2023-08-01T00:00:00"/>
    <s v="2023-24"/>
    <n v="2023"/>
    <x v="0"/>
    <x v="0"/>
    <s v="Lakshadweep"/>
    <n v="31"/>
    <s v="Union Territory"/>
    <n v="0.5"/>
    <n v="0.45"/>
    <n v="2.4900000000000002"/>
    <n v="0"/>
    <n v="3.44"/>
    <n v="3.44"/>
    <m/>
  </r>
  <r>
    <d v="2023-08-01T00:00:00"/>
    <s v="2023-24"/>
    <n v="2023"/>
    <x v="0"/>
    <x v="0"/>
    <s v="Madhya Pradesh"/>
    <n v="23"/>
    <s v="State"/>
    <n v="765.04"/>
    <n v="978.04"/>
    <n v="734.06"/>
    <n v="586.74"/>
    <n v="2477.14"/>
    <n v="3063.88"/>
    <m/>
  </r>
  <r>
    <d v="2023-08-01T00:00:00"/>
    <s v="2023-24"/>
    <n v="2023"/>
    <x v="0"/>
    <x v="0"/>
    <s v="Maharashtra"/>
    <n v="27"/>
    <s v="State"/>
    <n v="6236.95"/>
    <n v="7629.5"/>
    <n v="7580.58"/>
    <n v="1835.44"/>
    <n v="21447.03"/>
    <n v="23282.47"/>
    <m/>
  </r>
  <r>
    <d v="2023-08-01T00:00:00"/>
    <s v="2023-24"/>
    <n v="2023"/>
    <x v="0"/>
    <x v="0"/>
    <s v="Manipur"/>
    <n v="14"/>
    <s v="State"/>
    <n v="13.97"/>
    <n v="20.64"/>
    <n v="5.2"/>
    <n v="0.53"/>
    <n v="39.81"/>
    <n v="40.340000000000003"/>
    <m/>
  </r>
  <r>
    <d v="2023-08-01T00:00:00"/>
    <s v="2023-24"/>
    <n v="2023"/>
    <x v="0"/>
    <x v="0"/>
    <s v="Meghalaya"/>
    <n v="17"/>
    <s v="State"/>
    <n v="42.84"/>
    <n v="49.95"/>
    <n v="88.45"/>
    <n v="7.43"/>
    <n v="181.24"/>
    <n v="188.67"/>
    <m/>
  </r>
  <r>
    <d v="2023-08-01T00:00:00"/>
    <s v="2023-24"/>
    <n v="2023"/>
    <x v="0"/>
    <x v="0"/>
    <s v="Mizoram"/>
    <n v="15"/>
    <s v="State"/>
    <n v="11.67"/>
    <n v="17.28"/>
    <n v="2.91"/>
    <n v="0.05"/>
    <n v="31.86"/>
    <n v="31.91"/>
    <m/>
  </r>
  <r>
    <d v="2023-08-01T00:00:00"/>
    <s v="2023-24"/>
    <n v="2023"/>
    <x v="0"/>
    <x v="0"/>
    <s v="Nagaland"/>
    <n v="13"/>
    <s v="State"/>
    <n v="18.899999999999999"/>
    <n v="22.62"/>
    <n v="7.65"/>
    <n v="2.3199999999999998"/>
    <n v="49.17"/>
    <n v="51.49"/>
    <m/>
  </r>
  <r>
    <d v="2023-08-01T00:00:00"/>
    <s v="2023-24"/>
    <n v="2023"/>
    <x v="0"/>
    <x v="0"/>
    <s v="Odisha"/>
    <n v="21"/>
    <s v="State"/>
    <n v="1153.31"/>
    <n v="1332.99"/>
    <n v="1205.2"/>
    <n v="716.77"/>
    <n v="3691.5"/>
    <n v="4408.2700000000004"/>
    <m/>
  </r>
  <r>
    <d v="2023-08-01T00:00:00"/>
    <s v="2023-24"/>
    <n v="2023"/>
    <x v="0"/>
    <x v="0"/>
    <s v="Puducherry"/>
    <n v="34"/>
    <s v="Union Territory"/>
    <n v="27.67"/>
    <n v="43.35"/>
    <n v="159.9"/>
    <n v="0.33"/>
    <n v="230.92"/>
    <n v="231.25"/>
    <m/>
  </r>
  <r>
    <d v="2023-08-01T00:00:00"/>
    <s v="2023-24"/>
    <n v="2023"/>
    <x v="0"/>
    <x v="0"/>
    <s v="Punjab"/>
    <n v="3"/>
    <s v="State"/>
    <n v="419.86"/>
    <n v="602.96"/>
    <n v="758.99"/>
    <n v="30.95"/>
    <n v="1781.81"/>
    <n v="1812.76"/>
    <m/>
  </r>
  <r>
    <d v="2023-08-01T00:00:00"/>
    <s v="2023-24"/>
    <n v="2023"/>
    <x v="0"/>
    <x v="0"/>
    <s v="Rajasthan"/>
    <n v="8"/>
    <s v="State"/>
    <n v="1011.96"/>
    <n v="1264.81"/>
    <n v="1250.22"/>
    <n v="99.33"/>
    <n v="3526.99"/>
    <n v="3626.32"/>
    <m/>
  </r>
  <r>
    <d v="2023-08-01T00:00:00"/>
    <s v="2023-24"/>
    <n v="2023"/>
    <x v="0"/>
    <x v="0"/>
    <s v="Sikkim"/>
    <n v="11"/>
    <s v="State"/>
    <n v="25.52"/>
    <n v="41.79"/>
    <n v="252.16"/>
    <n v="0.02"/>
    <n v="319.47000000000003"/>
    <n v="319.49"/>
    <m/>
  </r>
  <r>
    <d v="2023-08-01T00:00:00"/>
    <s v="2023-24"/>
    <n v="2023"/>
    <x v="0"/>
    <x v="0"/>
    <s v="Tamil Nadu"/>
    <n v="33"/>
    <s v="State"/>
    <n v="2564.81"/>
    <n v="3300.84"/>
    <n v="2887.98"/>
    <n v="721.1"/>
    <n v="8753.6299999999992"/>
    <n v="9474.73"/>
    <m/>
  </r>
  <r>
    <d v="2023-08-01T00:00:00"/>
    <s v="2023-24"/>
    <n v="2023"/>
    <x v="0"/>
    <x v="0"/>
    <s v="Telangana"/>
    <n v="36"/>
    <s v="State"/>
    <n v="1108.72"/>
    <n v="1439.46"/>
    <n v="1369"/>
    <n v="475.56"/>
    <n v="3917.18"/>
    <n v="4392.74"/>
    <m/>
  </r>
  <r>
    <d v="2023-08-01T00:00:00"/>
    <s v="2023-24"/>
    <n v="2023"/>
    <x v="0"/>
    <x v="0"/>
    <s v="Tripura"/>
    <n v="16"/>
    <s v="State"/>
    <n v="26.99"/>
    <n v="35.840000000000003"/>
    <n v="15.37"/>
    <n v="0.04"/>
    <n v="78.2"/>
    <n v="78.239999999999995"/>
    <m/>
  </r>
  <r>
    <d v="2023-08-01T00:00:00"/>
    <s v="2023-24"/>
    <n v="2023"/>
    <x v="0"/>
    <x v="0"/>
    <s v="Uttar Pradesh"/>
    <n v="9"/>
    <s v="State"/>
    <n v="1765.56"/>
    <n v="2378.42"/>
    <n v="2059.48"/>
    <n v="1265.01"/>
    <n v="6203.46"/>
    <n v="7468.47"/>
    <m/>
  </r>
  <r>
    <d v="2023-08-01T00:00:00"/>
    <s v="2023-24"/>
    <n v="2023"/>
    <x v="0"/>
    <x v="0"/>
    <s v="Uttarakhand"/>
    <n v="5"/>
    <s v="State"/>
    <n v="309.16000000000003"/>
    <n v="382.06"/>
    <n v="653.02"/>
    <n v="8.68"/>
    <n v="1344.24"/>
    <n v="1352.92"/>
    <m/>
  </r>
  <r>
    <d v="2023-08-01T00:00:00"/>
    <s v="2023-24"/>
    <n v="2023"/>
    <x v="0"/>
    <x v="0"/>
    <s v="West Bengal"/>
    <n v="19"/>
    <s v="State"/>
    <n v="1468.83"/>
    <n v="1797.06"/>
    <n v="1166.79"/>
    <n v="367.33"/>
    <n v="4432.68"/>
    <n v="4800.01"/>
    <m/>
  </r>
  <r>
    <d v="2023-09-01T00:00:00"/>
    <s v="2023-24"/>
    <n v="2023"/>
    <x v="1"/>
    <x v="1"/>
    <s v="Andaman and Nicobar Islands"/>
    <n v="35"/>
    <s v="Union Territory"/>
    <n v="7.6"/>
    <n v="12.02"/>
    <n v="3.52"/>
    <n v="0.2"/>
    <n v="23.14"/>
    <n v="23.34"/>
    <m/>
  </r>
  <r>
    <d v="2023-09-01T00:00:00"/>
    <s v="2023-24"/>
    <n v="2023"/>
    <x v="1"/>
    <x v="1"/>
    <s v="Andhra Pradesh"/>
    <n v="28"/>
    <s v="State"/>
    <n v="864.83"/>
    <n v="1123.06"/>
    <n v="1357.77"/>
    <n v="312.19"/>
    <n v="3345.66"/>
    <n v="3657.85"/>
    <m/>
  </r>
  <r>
    <d v="2023-09-01T00:00:00"/>
    <s v="2023-24"/>
    <n v="2023"/>
    <x v="1"/>
    <x v="1"/>
    <s v="Arunachal Pradesh"/>
    <n v="12"/>
    <s v="State"/>
    <n v="30.56"/>
    <n v="37.01"/>
    <n v="13.56"/>
    <n v="0.04"/>
    <n v="81.13"/>
    <n v="81.17"/>
    <m/>
  </r>
  <r>
    <d v="2023-09-01T00:00:00"/>
    <s v="2023-24"/>
    <n v="2023"/>
    <x v="1"/>
    <x v="1"/>
    <s v="Assam"/>
    <n v="18"/>
    <s v="State"/>
    <n v="361.25"/>
    <n v="448.69"/>
    <n v="311.43"/>
    <n v="53.42"/>
    <n v="1121.3699999999999"/>
    <n v="1174.79"/>
    <m/>
  </r>
  <r>
    <d v="2023-09-01T00:00:00"/>
    <s v="2023-24"/>
    <n v="2023"/>
    <x v="1"/>
    <x v="1"/>
    <s v="Bihar"/>
    <n v="10"/>
    <s v="State"/>
    <n v="383.83"/>
    <n v="647.26"/>
    <n v="175.88"/>
    <n v="189.69"/>
    <n v="1206.97"/>
    <n v="1396.66"/>
    <m/>
  </r>
  <r>
    <d v="2023-09-01T00:00:00"/>
    <s v="2023-24"/>
    <n v="2023"/>
    <x v="1"/>
    <x v="1"/>
    <s v="Chandigarh"/>
    <n v="4"/>
    <s v="Union Territory"/>
    <n v="41.25"/>
    <n v="51.74"/>
    <n v="124.82"/>
    <n v="1.25"/>
    <n v="217.81"/>
    <n v="219.06"/>
    <m/>
  </r>
  <r>
    <d v="2023-09-01T00:00:00"/>
    <s v="2023-24"/>
    <n v="2023"/>
    <x v="1"/>
    <x v="1"/>
    <s v="Chhattisgarh"/>
    <n v="22"/>
    <s v="State"/>
    <n v="540.97"/>
    <n v="630.91"/>
    <n v="916.16"/>
    <n v="595.63"/>
    <n v="2088.04"/>
    <n v="2683.67"/>
    <m/>
  </r>
  <r>
    <d v="2023-09-01T00:00:00"/>
    <s v="2023-24"/>
    <n v="2023"/>
    <x v="1"/>
    <x v="1"/>
    <s v="Dadra and Nagar Haveli and Daman and Diu"/>
    <n v="38"/>
    <s v="Union Territory"/>
    <n v="37.340000000000003"/>
    <n v="46.81"/>
    <n v="265.35000000000002"/>
    <n v="0.64"/>
    <n v="349.5"/>
    <n v="350.14"/>
    <m/>
  </r>
  <r>
    <d v="2023-09-01T00:00:00"/>
    <s v="2023-24"/>
    <n v="2023"/>
    <x v="1"/>
    <x v="1"/>
    <s v="Delhi"/>
    <n v="7"/>
    <s v="Union Territory"/>
    <n v="1040.6099999999999"/>
    <n v="1209.07"/>
    <n v="2490.1999999999998"/>
    <n v="108.67"/>
    <n v="4739.88"/>
    <n v="4848.55"/>
    <m/>
  </r>
  <r>
    <d v="2023-09-01T00:00:00"/>
    <s v="2023-24"/>
    <n v="2023"/>
    <x v="1"/>
    <x v="1"/>
    <s v="Goa"/>
    <n v="30"/>
    <s v="State"/>
    <n v="127.65"/>
    <n v="164.59"/>
    <n v="201.73"/>
    <n v="2.97"/>
    <n v="493.97"/>
    <n v="496.94"/>
    <m/>
  </r>
  <r>
    <d v="2023-09-01T00:00:00"/>
    <s v="2023-24"/>
    <n v="2023"/>
    <x v="1"/>
    <x v="1"/>
    <s v="Gujarat"/>
    <n v="24"/>
    <s v="State"/>
    <n v="2735.32"/>
    <n v="3399.91"/>
    <n v="3296.54"/>
    <n v="697.27"/>
    <n v="9431.77"/>
    <n v="10129.040000000001"/>
    <m/>
  </r>
  <r>
    <d v="2023-09-01T00:00:00"/>
    <s v="2023-24"/>
    <n v="2023"/>
    <x v="1"/>
    <x v="1"/>
    <s v="Haryana"/>
    <n v="6"/>
    <s v="State"/>
    <n v="1187.6300000000001"/>
    <n v="1559.34"/>
    <n v="4645.4799999999996"/>
    <n v="616.53"/>
    <n v="7392.45"/>
    <n v="8008.98"/>
    <m/>
  </r>
  <r>
    <d v="2023-09-01T00:00:00"/>
    <s v="2023-24"/>
    <n v="2023"/>
    <x v="1"/>
    <x v="1"/>
    <s v="Himachal Pradesh"/>
    <n v="2"/>
    <s v="State"/>
    <n v="136.28"/>
    <n v="183.62"/>
    <n v="461.66"/>
    <n v="2.0099999999999998"/>
    <n v="781.56"/>
    <n v="783.57"/>
    <m/>
  </r>
  <r>
    <d v="2023-09-01T00:00:00"/>
    <s v="2023-24"/>
    <n v="2023"/>
    <x v="1"/>
    <x v="1"/>
    <s v="Jammu and Kashmir"/>
    <n v="1"/>
    <s v="Union Territory"/>
    <n v="162.28"/>
    <n v="231.32"/>
    <n v="161.05000000000001"/>
    <n v="8.73"/>
    <n v="554.65"/>
    <n v="563.38"/>
    <m/>
  </r>
  <r>
    <d v="2023-09-01T00:00:00"/>
    <s v="2023-24"/>
    <n v="2023"/>
    <x v="1"/>
    <x v="1"/>
    <s v="Jharkhand"/>
    <n v="20"/>
    <s v="State"/>
    <n v="452.34"/>
    <n v="637.25"/>
    <n v="985.7"/>
    <n v="548.15"/>
    <n v="2075.29"/>
    <n v="2623.44"/>
    <m/>
  </r>
  <r>
    <d v="2023-09-01T00:00:00"/>
    <s v="2023-24"/>
    <n v="2023"/>
    <x v="1"/>
    <x v="1"/>
    <s v="Karnataka"/>
    <n v="29"/>
    <s v="State"/>
    <n v="2613.67"/>
    <n v="3468.48"/>
    <n v="4322.8999999999996"/>
    <n v="1288.02"/>
    <n v="10405.049999999999"/>
    <n v="11693.07"/>
    <m/>
  </r>
  <r>
    <d v="2023-09-01T00:00:00"/>
    <s v="2023-24"/>
    <n v="2023"/>
    <x v="1"/>
    <x v="1"/>
    <s v="Kerala"/>
    <n v="32"/>
    <s v="State"/>
    <n v="873.38"/>
    <n v="1167.48"/>
    <n v="460.94"/>
    <n v="3.21"/>
    <n v="2501.8000000000002"/>
    <n v="2505.0100000000002"/>
    <m/>
  </r>
  <r>
    <d v="2023-09-01T00:00:00"/>
    <s v="2023-24"/>
    <n v="2023"/>
    <x v="1"/>
    <x v="1"/>
    <s v="Ladakh"/>
    <n v="37"/>
    <s v="Union Territory"/>
    <n v="13.1"/>
    <n v="18.39"/>
    <n v="3.38"/>
    <n v="0.11"/>
    <n v="34.869999999999997"/>
    <n v="34.979999999999997"/>
    <m/>
  </r>
  <r>
    <d v="2023-09-01T00:00:00"/>
    <s v="2023-24"/>
    <n v="2023"/>
    <x v="1"/>
    <x v="1"/>
    <s v="Lakshadweep"/>
    <n v="31"/>
    <s v="Union Territory"/>
    <n v="0.65"/>
    <n v="0.78"/>
    <n v="0.17"/>
    <n v="0"/>
    <n v="1.6"/>
    <n v="1.6"/>
    <m/>
  </r>
  <r>
    <d v="2023-09-01T00:00:00"/>
    <s v="2023-24"/>
    <n v="2023"/>
    <x v="1"/>
    <x v="1"/>
    <s v="Madhya Pradesh"/>
    <n v="23"/>
    <s v="State"/>
    <n v="788.13"/>
    <n v="989.23"/>
    <n v="722.77"/>
    <n v="617.54"/>
    <n v="2500.13"/>
    <n v="3117.67"/>
    <m/>
  </r>
  <r>
    <d v="2023-09-01T00:00:00"/>
    <s v="2023-24"/>
    <n v="2023"/>
    <x v="1"/>
    <x v="1"/>
    <s v="Maharashtra"/>
    <n v="27"/>
    <s v="State"/>
    <n v="6841.3"/>
    <n v="8008.83"/>
    <n v="8479.33"/>
    <n v="1807.11"/>
    <n v="23329.46"/>
    <n v="25136.57"/>
    <m/>
  </r>
  <r>
    <d v="2023-09-01T00:00:00"/>
    <s v="2023-24"/>
    <n v="2023"/>
    <x v="1"/>
    <x v="1"/>
    <s v="Manipur"/>
    <n v="14"/>
    <s v="State"/>
    <n v="23.47"/>
    <n v="29.23"/>
    <n v="3.57"/>
    <n v="0.13"/>
    <n v="56.27"/>
    <n v="56.4"/>
    <m/>
  </r>
  <r>
    <d v="2023-09-01T00:00:00"/>
    <s v="2023-24"/>
    <n v="2023"/>
    <x v="1"/>
    <x v="1"/>
    <s v="Meghalaya"/>
    <n v="17"/>
    <s v="State"/>
    <n v="34.909999999999997"/>
    <n v="41.48"/>
    <n v="85.48"/>
    <n v="2.9"/>
    <n v="161.87"/>
    <n v="164.77"/>
    <m/>
  </r>
  <r>
    <d v="2023-09-01T00:00:00"/>
    <s v="2023-24"/>
    <n v="2023"/>
    <x v="1"/>
    <x v="1"/>
    <s v="Mizoram"/>
    <n v="15"/>
    <s v="State"/>
    <n v="9.89"/>
    <n v="14.78"/>
    <n v="2.69"/>
    <n v="0.03"/>
    <n v="27.36"/>
    <n v="27.39"/>
    <m/>
  </r>
  <r>
    <d v="2023-09-01T00:00:00"/>
    <s v="2023-24"/>
    <n v="2023"/>
    <x v="1"/>
    <x v="1"/>
    <s v="Nagaland"/>
    <n v="13"/>
    <s v="State"/>
    <n v="15.06"/>
    <n v="23.26"/>
    <n v="9.51"/>
    <n v="3.75"/>
    <n v="47.83"/>
    <n v="51.58"/>
    <m/>
  </r>
  <r>
    <d v="2023-09-01T00:00:00"/>
    <s v="2023-24"/>
    <n v="2023"/>
    <x v="1"/>
    <x v="1"/>
    <s v="Odisha"/>
    <n v="21"/>
    <s v="State"/>
    <n v="1010.47"/>
    <n v="1197.3699999999999"/>
    <n v="1301.31"/>
    <n v="739.97"/>
    <n v="3509.15"/>
    <n v="4249.12"/>
    <m/>
  </r>
  <r>
    <d v="2023-09-01T00:00:00"/>
    <s v="2023-24"/>
    <n v="2023"/>
    <x v="1"/>
    <x v="1"/>
    <s v="Puducherry"/>
    <n v="34"/>
    <s v="Union Territory"/>
    <n v="26.26"/>
    <n v="41.32"/>
    <n v="127.97"/>
    <n v="1.87"/>
    <n v="195.55"/>
    <n v="197.42"/>
    <m/>
  </r>
  <r>
    <d v="2023-09-01T00:00:00"/>
    <s v="2023-24"/>
    <n v="2023"/>
    <x v="1"/>
    <x v="1"/>
    <s v="Punjab"/>
    <n v="3"/>
    <s v="State"/>
    <n v="444.81"/>
    <n v="661.17"/>
    <n v="725.66"/>
    <n v="33.92"/>
    <n v="1831.64"/>
    <n v="1865.56"/>
    <m/>
  </r>
  <r>
    <d v="2023-09-01T00:00:00"/>
    <s v="2023-24"/>
    <n v="2023"/>
    <x v="1"/>
    <x v="1"/>
    <s v="Rajasthan"/>
    <n v="8"/>
    <s v="State"/>
    <n v="1046.2"/>
    <n v="1321.4"/>
    <n v="1346.26"/>
    <n v="155.27000000000001"/>
    <n v="3713.86"/>
    <n v="3869.13"/>
    <m/>
  </r>
  <r>
    <d v="2023-09-01T00:00:00"/>
    <s v="2023-24"/>
    <n v="2023"/>
    <x v="1"/>
    <x v="1"/>
    <s v="Sikkim"/>
    <n v="11"/>
    <s v="State"/>
    <n v="25.05"/>
    <n v="29.34"/>
    <n v="260.3"/>
    <n v="0.03"/>
    <n v="314.69"/>
    <n v="314.72000000000003"/>
    <m/>
  </r>
  <r>
    <d v="2023-09-01T00:00:00"/>
    <s v="2023-24"/>
    <n v="2023"/>
    <x v="1"/>
    <x v="1"/>
    <s v="Tamil Nadu"/>
    <n v="33"/>
    <s v="State"/>
    <n v="2689.9"/>
    <n v="3520.58"/>
    <n v="3486.41"/>
    <n v="784.57"/>
    <n v="9696.89"/>
    <n v="10481.459999999999"/>
    <m/>
  </r>
  <r>
    <d v="2023-09-01T00:00:00"/>
    <s v="2023-24"/>
    <n v="2023"/>
    <x v="1"/>
    <x v="1"/>
    <s v="Telangana"/>
    <n v="36"/>
    <s v="State"/>
    <n v="1503.13"/>
    <n v="1880.52"/>
    <n v="1330.61"/>
    <n v="511.5"/>
    <n v="4714.26"/>
    <n v="5225.76"/>
    <m/>
  </r>
  <r>
    <d v="2023-09-01T00:00:00"/>
    <s v="2023-24"/>
    <n v="2023"/>
    <x v="1"/>
    <x v="1"/>
    <s v="Tripura"/>
    <n v="16"/>
    <s v="State"/>
    <n v="26.96"/>
    <n v="34.770000000000003"/>
    <n v="11.24"/>
    <n v="0.33"/>
    <n v="72.97"/>
    <n v="73.3"/>
    <m/>
  </r>
  <r>
    <d v="2023-09-01T00:00:00"/>
    <s v="2023-24"/>
    <n v="2023"/>
    <x v="1"/>
    <x v="1"/>
    <s v="Uttar Pradesh"/>
    <n v="9"/>
    <s v="State"/>
    <n v="1862.38"/>
    <n v="2517.5500000000002"/>
    <n v="2143.0300000000002"/>
    <n v="1321.48"/>
    <n v="6522.96"/>
    <n v="7844.44"/>
    <m/>
  </r>
  <r>
    <d v="2023-09-01T00:00:00"/>
    <s v="2023-24"/>
    <n v="2023"/>
    <x v="1"/>
    <x v="1"/>
    <s v="Uttarakhand"/>
    <n v="5"/>
    <s v="State"/>
    <n v="268.33999999999997"/>
    <n v="387.27"/>
    <n v="725.58"/>
    <n v="11.17"/>
    <n v="1381.19"/>
    <n v="1392.36"/>
    <m/>
  </r>
  <r>
    <d v="2023-09-01T00:00:00"/>
    <s v="2023-24"/>
    <n v="2023"/>
    <x v="1"/>
    <x v="1"/>
    <s v="West Bengal"/>
    <n v="19"/>
    <s v="State"/>
    <n v="1572.17"/>
    <n v="1897.96"/>
    <n v="1157.8499999999999"/>
    <n v="312.49"/>
    <n v="4627.9799999999996"/>
    <n v="4940.47"/>
    <m/>
  </r>
  <r>
    <d v="2023-10-01T00:00:00"/>
    <s v="2023-24"/>
    <n v="2023"/>
    <x v="2"/>
    <x v="2"/>
    <s v="Andaman and Nicobar Islands"/>
    <n v="35"/>
    <s v="Union Territory"/>
    <n v="10.65"/>
    <n v="13.83"/>
    <n v="4.12"/>
    <n v="0.04"/>
    <n v="28.6"/>
    <n v="28.64"/>
    <m/>
  </r>
  <r>
    <d v="2023-10-01T00:00:00"/>
    <s v="2023-24"/>
    <n v="2023"/>
    <x v="2"/>
    <x v="2"/>
    <s v="Andhra Pradesh"/>
    <n v="28"/>
    <s v="State"/>
    <n v="812.35"/>
    <n v="1099.69"/>
    <n v="1178.76"/>
    <n v="312.45999999999998"/>
    <n v="3090.8"/>
    <n v="3403.26"/>
    <m/>
  </r>
  <r>
    <d v="2023-10-01T00:00:00"/>
    <s v="2023-24"/>
    <n v="2023"/>
    <x v="2"/>
    <x v="2"/>
    <s v="Arunachal Pradesh"/>
    <n v="12"/>
    <s v="State"/>
    <n v="28.01"/>
    <n v="35.869999999999997"/>
    <n v="22.53"/>
    <n v="0.1"/>
    <n v="86.41"/>
    <n v="86.51"/>
    <m/>
  </r>
  <r>
    <d v="2023-10-01T00:00:00"/>
    <s v="2023-24"/>
    <n v="2023"/>
    <x v="2"/>
    <x v="2"/>
    <s v="Assam"/>
    <n v="18"/>
    <s v="State"/>
    <n v="409.08"/>
    <n v="521.61"/>
    <n v="316.86"/>
    <n v="65.37"/>
    <n v="1247.55"/>
    <n v="1312.92"/>
    <m/>
  </r>
  <r>
    <d v="2023-10-01T00:00:00"/>
    <s v="2023-24"/>
    <n v="2023"/>
    <x v="2"/>
    <x v="2"/>
    <s v="Bihar"/>
    <n v="10"/>
    <s v="State"/>
    <n v="380.28"/>
    <n v="639.26"/>
    <n v="190.9"/>
    <n v="195.87"/>
    <n v="1210.44"/>
    <n v="1406.31"/>
    <m/>
  </r>
  <r>
    <d v="2023-10-01T00:00:00"/>
    <s v="2023-24"/>
    <n v="2023"/>
    <x v="2"/>
    <x v="2"/>
    <s v="Chandigarh"/>
    <n v="4"/>
    <s v="Union Territory"/>
    <n v="42.45"/>
    <n v="53.7"/>
    <n v="112.06"/>
    <n v="1.66"/>
    <n v="208.21"/>
    <n v="209.87"/>
    <m/>
  </r>
  <r>
    <d v="2023-10-01T00:00:00"/>
    <s v="2023-24"/>
    <n v="2023"/>
    <x v="2"/>
    <x v="2"/>
    <s v="Chhattisgarh"/>
    <n v="22"/>
    <s v="State"/>
    <n v="531.34"/>
    <n v="636.66"/>
    <n v="966.89"/>
    <n v="546.48"/>
    <n v="2134.89"/>
    <n v="2681.37"/>
    <m/>
  </r>
  <r>
    <d v="2023-10-01T00:00:00"/>
    <s v="2023-24"/>
    <n v="2023"/>
    <x v="2"/>
    <x v="2"/>
    <s v="Dadra and Nagar Haveli and Daman and Diu"/>
    <n v="38"/>
    <s v="Union Territory"/>
    <n v="42.55"/>
    <n v="56.56"/>
    <n v="273.85000000000002"/>
    <n v="0.28000000000000003"/>
    <n v="372.96"/>
    <n v="373.24"/>
    <m/>
  </r>
  <r>
    <d v="2023-10-01T00:00:00"/>
    <s v="2023-24"/>
    <n v="2023"/>
    <x v="2"/>
    <x v="2"/>
    <s v="Delhi"/>
    <n v="7"/>
    <s v="Union Territory"/>
    <n v="1209.78"/>
    <n v="1425.11"/>
    <n v="5006.97"/>
    <n v="111.68"/>
    <n v="7641.86"/>
    <n v="7753.54"/>
    <m/>
  </r>
  <r>
    <d v="2023-10-01T00:00:00"/>
    <s v="2023-24"/>
    <n v="2023"/>
    <x v="2"/>
    <x v="2"/>
    <s v="Goa"/>
    <n v="30"/>
    <s v="State"/>
    <n v="156.24"/>
    <n v="197.55"/>
    <n v="172.67"/>
    <n v="3.47"/>
    <n v="526.46"/>
    <n v="529.92999999999995"/>
    <m/>
  </r>
  <r>
    <d v="2023-10-01T00:00:00"/>
    <s v="2023-24"/>
    <n v="2023"/>
    <x v="2"/>
    <x v="2"/>
    <s v="Gujarat"/>
    <n v="24"/>
    <s v="State"/>
    <n v="2616.16"/>
    <n v="3165.53"/>
    <n v="3289.85"/>
    <n v="658.64"/>
    <n v="9071.5400000000009"/>
    <n v="9730.18"/>
    <m/>
  </r>
  <r>
    <d v="2023-10-01T00:00:00"/>
    <s v="2023-24"/>
    <n v="2023"/>
    <x v="2"/>
    <x v="2"/>
    <s v="Haryana"/>
    <n v="6"/>
    <s v="State"/>
    <n v="1338.39"/>
    <n v="1772.88"/>
    <n v="4907.34"/>
    <n v="697.23"/>
    <n v="8018.61"/>
    <n v="8715.84"/>
    <m/>
  </r>
  <r>
    <d v="2023-10-01T00:00:00"/>
    <s v="2023-24"/>
    <n v="2023"/>
    <x v="2"/>
    <x v="2"/>
    <s v="Himachal Pradesh"/>
    <n v="2"/>
    <s v="State"/>
    <n v="176.15"/>
    <n v="231.7"/>
    <n v="476.15"/>
    <n v="1.25"/>
    <n v="884"/>
    <n v="885.25"/>
    <m/>
  </r>
  <r>
    <d v="2023-10-01T00:00:00"/>
    <s v="2023-24"/>
    <n v="2023"/>
    <x v="2"/>
    <x v="2"/>
    <s v="Jammu and Kashmir"/>
    <n v="1"/>
    <s v="Union Territory"/>
    <n v="167.86"/>
    <n v="246.67"/>
    <n v="171.27"/>
    <n v="7.35"/>
    <n v="585.79999999999995"/>
    <n v="593.15"/>
    <m/>
  </r>
  <r>
    <d v="2023-10-01T00:00:00"/>
    <s v="2023-24"/>
    <n v="2023"/>
    <x v="2"/>
    <x v="2"/>
    <s v="Jharkhand"/>
    <n v="20"/>
    <s v="State"/>
    <n v="512.96"/>
    <n v="690.15"/>
    <n v="1164.68"/>
    <n v="518.38"/>
    <n v="2367.79"/>
    <n v="2886.17"/>
    <m/>
  </r>
  <r>
    <d v="2023-10-01T00:00:00"/>
    <s v="2023-24"/>
    <n v="2023"/>
    <x v="2"/>
    <x v="2"/>
    <s v="Karnataka"/>
    <n v="29"/>
    <s v="State"/>
    <n v="2611.7800000000002"/>
    <n v="3302.93"/>
    <n v="4559.28"/>
    <n v="1496.61"/>
    <n v="10473.99"/>
    <n v="11970.6"/>
    <m/>
  </r>
  <r>
    <d v="2023-10-01T00:00:00"/>
    <s v="2023-24"/>
    <n v="2023"/>
    <x v="2"/>
    <x v="2"/>
    <s v="Kerala"/>
    <n v="32"/>
    <s v="State"/>
    <n v="836.91"/>
    <n v="1095.8399999999999"/>
    <n v="481.72"/>
    <n v="3.64"/>
    <n v="2414.4699999999998"/>
    <n v="2418.11"/>
    <m/>
  </r>
  <r>
    <d v="2023-10-01T00:00:00"/>
    <s v="2023-24"/>
    <n v="2023"/>
    <x v="2"/>
    <x v="2"/>
    <s v="Ladakh"/>
    <n v="37"/>
    <s v="Union Territory"/>
    <n v="14.29"/>
    <n v="23.19"/>
    <n v="5.43"/>
    <n v="0.42"/>
    <n v="42.91"/>
    <n v="43.33"/>
    <m/>
  </r>
  <r>
    <d v="2023-10-01T00:00:00"/>
    <s v="2023-24"/>
    <n v="2023"/>
    <x v="2"/>
    <x v="2"/>
    <s v="Lakshadweep"/>
    <n v="31"/>
    <s v="Union Territory"/>
    <n v="0.08"/>
    <n v="1.25"/>
    <n v="0.16"/>
    <n v="0"/>
    <n v="1.49"/>
    <n v="1.49"/>
    <m/>
  </r>
  <r>
    <d v="2023-10-01T00:00:00"/>
    <s v="2023-24"/>
    <n v="2023"/>
    <x v="2"/>
    <x v="2"/>
    <s v="Madhya Pradesh"/>
    <n v="23"/>
    <s v="State"/>
    <n v="828.75"/>
    <n v="1060"/>
    <n v="827.69"/>
    <n v="609.05999999999995"/>
    <n v="2716.44"/>
    <n v="3325.5"/>
    <m/>
  </r>
  <r>
    <d v="2023-10-01T00:00:00"/>
    <s v="2023-24"/>
    <n v="2023"/>
    <x v="2"/>
    <x v="2"/>
    <s v="Maharashtra"/>
    <n v="27"/>
    <s v="State"/>
    <n v="6817.12"/>
    <n v="7994.85"/>
    <n v="10610.6"/>
    <n v="1886.6"/>
    <n v="25422.57"/>
    <n v="27309.17"/>
    <m/>
  </r>
  <r>
    <d v="2023-10-01T00:00:00"/>
    <s v="2023-24"/>
    <n v="2023"/>
    <x v="2"/>
    <x v="2"/>
    <s v="Manipur"/>
    <n v="14"/>
    <s v="State"/>
    <n v="28.98"/>
    <n v="32.630000000000003"/>
    <n v="7.63"/>
    <n v="0.57999999999999996"/>
    <n v="69.239999999999995"/>
    <n v="69.819999999999993"/>
    <m/>
  </r>
  <r>
    <d v="2023-10-01T00:00:00"/>
    <s v="2023-24"/>
    <n v="2023"/>
    <x v="2"/>
    <x v="2"/>
    <s v="Meghalaya"/>
    <n v="17"/>
    <s v="State"/>
    <n v="34.229999999999997"/>
    <n v="41.88"/>
    <n v="65.94"/>
    <n v="0.26"/>
    <n v="142.05000000000001"/>
    <n v="142.31"/>
    <m/>
  </r>
  <r>
    <d v="2023-10-01T00:00:00"/>
    <s v="2023-24"/>
    <n v="2023"/>
    <x v="2"/>
    <x v="2"/>
    <s v="Mizoram"/>
    <n v="15"/>
    <s v="State"/>
    <n v="14.87"/>
    <n v="20.98"/>
    <n v="3.53"/>
    <n v="0.06"/>
    <n v="39.380000000000003"/>
    <n v="39.44"/>
    <m/>
  </r>
  <r>
    <d v="2023-10-01T00:00:00"/>
    <s v="2023-24"/>
    <n v="2023"/>
    <x v="2"/>
    <x v="2"/>
    <s v="Nagaland"/>
    <n v="13"/>
    <s v="State"/>
    <n v="17.989999999999998"/>
    <n v="21.91"/>
    <n v="6.94"/>
    <n v="2.17"/>
    <n v="46.84"/>
    <n v="49.01"/>
    <m/>
  </r>
  <r>
    <d v="2023-10-01T00:00:00"/>
    <s v="2023-24"/>
    <n v="2023"/>
    <x v="2"/>
    <x v="2"/>
    <s v="Odisha"/>
    <n v="21"/>
    <s v="State"/>
    <n v="1051.33"/>
    <n v="1306.47"/>
    <n v="1121.7"/>
    <n v="697.44"/>
    <n v="3479.5"/>
    <n v="4176.9399999999996"/>
    <m/>
  </r>
  <r>
    <d v="2023-10-01T00:00:00"/>
    <s v="2023-24"/>
    <n v="2023"/>
    <x v="2"/>
    <x v="2"/>
    <s v="Puducherry"/>
    <n v="34"/>
    <s v="Union Territory"/>
    <n v="29"/>
    <n v="41.93"/>
    <n v="139.51"/>
    <n v="1.1299999999999999"/>
    <n v="210.44"/>
    <n v="211.57"/>
    <m/>
  </r>
  <r>
    <d v="2023-10-01T00:00:00"/>
    <s v="2023-24"/>
    <n v="2023"/>
    <x v="2"/>
    <x v="2"/>
    <s v="Punjab"/>
    <n v="3"/>
    <s v="State"/>
    <n v="470.96"/>
    <n v="686.86"/>
    <n v="791.37"/>
    <n v="32.08"/>
    <n v="1949.19"/>
    <n v="1981.27"/>
    <m/>
  </r>
  <r>
    <d v="2023-10-01T00:00:00"/>
    <s v="2023-24"/>
    <n v="2023"/>
    <x v="2"/>
    <x v="2"/>
    <s v="Rajasthan"/>
    <n v="8"/>
    <s v="State"/>
    <n v="1075.0999999999999"/>
    <n v="1370.52"/>
    <n v="1407.04"/>
    <n v="193.11"/>
    <n v="3852.66"/>
    <n v="4045.77"/>
    <m/>
  </r>
  <r>
    <d v="2023-10-01T00:00:00"/>
    <s v="2023-24"/>
    <n v="2023"/>
    <x v="2"/>
    <x v="2"/>
    <s v="Sikkim"/>
    <n v="11"/>
    <s v="State"/>
    <n v="21.97"/>
    <n v="30.75"/>
    <n v="273.35000000000002"/>
    <n v="0.03"/>
    <n v="326.07"/>
    <n v="326.10000000000002"/>
    <m/>
  </r>
  <r>
    <d v="2023-10-01T00:00:00"/>
    <s v="2023-24"/>
    <n v="2023"/>
    <x v="2"/>
    <x v="2"/>
    <s v="Tamil Nadu"/>
    <n v="33"/>
    <s v="State"/>
    <n v="2633.13"/>
    <n v="3502.19"/>
    <n v="3844.5"/>
    <n v="781.05"/>
    <n v="9979.82"/>
    <n v="10760.87"/>
    <m/>
  </r>
  <r>
    <d v="2023-10-01T00:00:00"/>
    <s v="2023-24"/>
    <n v="2023"/>
    <x v="2"/>
    <x v="2"/>
    <s v="Telangana"/>
    <n v="36"/>
    <s v="State"/>
    <n v="1213.17"/>
    <n v="1587.59"/>
    <n v="1525.41"/>
    <n v="541.47"/>
    <n v="4326.17"/>
    <n v="4867.6400000000003"/>
    <m/>
  </r>
  <r>
    <d v="2023-10-01T00:00:00"/>
    <s v="2023-24"/>
    <n v="2023"/>
    <x v="2"/>
    <x v="2"/>
    <s v="Tripura"/>
    <n v="16"/>
    <s v="State"/>
    <n v="30.68"/>
    <n v="40.82"/>
    <n v="19.78"/>
    <n v="0.05"/>
    <n v="91.28"/>
    <n v="91.33"/>
    <m/>
  </r>
  <r>
    <d v="2023-10-01T00:00:00"/>
    <s v="2023-24"/>
    <n v="2023"/>
    <x v="2"/>
    <x v="2"/>
    <s v="Uttar Pradesh"/>
    <n v="9"/>
    <s v="State"/>
    <n v="2052.3200000000002"/>
    <n v="2811.1"/>
    <n v="2677.14"/>
    <n v="1423.89"/>
    <n v="7540.56"/>
    <n v="8964.4500000000007"/>
    <m/>
  </r>
  <r>
    <d v="2023-10-01T00:00:00"/>
    <s v="2023-24"/>
    <n v="2023"/>
    <x v="2"/>
    <x v="2"/>
    <s v="Uttarakhand"/>
    <n v="5"/>
    <s v="State"/>
    <n v="379.42"/>
    <n v="550.34"/>
    <n v="894.56"/>
    <n v="10.1"/>
    <n v="1824.32"/>
    <n v="1834.42"/>
    <m/>
  </r>
  <r>
    <d v="2023-10-01T00:00:00"/>
    <s v="2023-24"/>
    <n v="2023"/>
    <x v="2"/>
    <x v="2"/>
    <s v="West Bengal"/>
    <n v="19"/>
    <s v="State"/>
    <n v="1451.71"/>
    <n v="1839.21"/>
    <n v="1200.77"/>
    <n v="361.59"/>
    <n v="4491.6899999999996"/>
    <n v="4853.28"/>
    <m/>
  </r>
  <r>
    <d v="2023-11-01T00:00:00"/>
    <s v="2023-24"/>
    <n v="2023"/>
    <x v="3"/>
    <x v="3"/>
    <s v="Andaman and Nicobar Islands"/>
    <n v="35"/>
    <s v="Union Territory"/>
    <n v="11"/>
    <n v="15.31"/>
    <n v="4.58"/>
    <n v="0.14000000000000001"/>
    <n v="30.89"/>
    <n v="31.03"/>
    <m/>
  </r>
  <r>
    <d v="2023-11-01T00:00:00"/>
    <s v="2023-24"/>
    <n v="2023"/>
    <x v="3"/>
    <x v="3"/>
    <s v="Andhra Pradesh"/>
    <n v="28"/>
    <s v="State"/>
    <n v="830.31"/>
    <n v="1163.05"/>
    <n v="1731.79"/>
    <n v="367.97"/>
    <n v="3725.15"/>
    <n v="4093.12"/>
    <m/>
  </r>
  <r>
    <d v="2023-11-01T00:00:00"/>
    <s v="2023-24"/>
    <n v="2023"/>
    <x v="3"/>
    <x v="3"/>
    <s v="Arunachal Pradesh"/>
    <n v="12"/>
    <s v="State"/>
    <n v="32.409999999999997"/>
    <n v="39.56"/>
    <n v="19.760000000000002"/>
    <n v="0.5"/>
    <n v="91.73"/>
    <n v="92.23"/>
    <m/>
  </r>
  <r>
    <d v="2023-11-01T00:00:00"/>
    <s v="2023-24"/>
    <n v="2023"/>
    <x v="3"/>
    <x v="3"/>
    <s v="Assam"/>
    <n v="18"/>
    <s v="State"/>
    <n v="365.92"/>
    <n v="457.44"/>
    <n v="331.15"/>
    <n v="77.37"/>
    <n v="1154.51"/>
    <n v="1231.8800000000001"/>
    <m/>
  </r>
  <r>
    <d v="2023-11-01T00:00:00"/>
    <s v="2023-24"/>
    <n v="2023"/>
    <x v="3"/>
    <x v="3"/>
    <s v="Bihar"/>
    <n v="10"/>
    <s v="State"/>
    <n v="395.98"/>
    <n v="645.71"/>
    <n v="211.57"/>
    <n v="135.16"/>
    <n v="1253.26"/>
    <n v="1388.42"/>
    <m/>
  </r>
  <r>
    <d v="2023-11-01T00:00:00"/>
    <s v="2023-24"/>
    <n v="2023"/>
    <x v="3"/>
    <x v="3"/>
    <s v="Chandigarh"/>
    <n v="4"/>
    <s v="Union Territory"/>
    <n v="40.08"/>
    <n v="49.67"/>
    <n v="120.1"/>
    <n v="0.45"/>
    <n v="209.85"/>
    <n v="210.3"/>
    <m/>
  </r>
  <r>
    <d v="2023-11-01T00:00:00"/>
    <s v="2023-24"/>
    <n v="2023"/>
    <x v="3"/>
    <x v="3"/>
    <s v="Chhattisgarh"/>
    <n v="22"/>
    <s v="State"/>
    <n v="536.25"/>
    <n v="625.23"/>
    <n v="1124.17"/>
    <n v="650.05999999999995"/>
    <n v="2285.65"/>
    <n v="2935.71"/>
    <m/>
  </r>
  <r>
    <d v="2023-11-01T00:00:00"/>
    <s v="2023-24"/>
    <n v="2023"/>
    <x v="3"/>
    <x v="3"/>
    <s v="Dadra and Nagar Haveli and Daman and Diu"/>
    <n v="38"/>
    <s v="Union Territory"/>
    <n v="41.49"/>
    <n v="54.6"/>
    <n v="236.41"/>
    <n v="0.15"/>
    <n v="332.5"/>
    <n v="332.65"/>
    <m/>
  </r>
  <r>
    <d v="2023-11-01T00:00:00"/>
    <s v="2023-24"/>
    <n v="2023"/>
    <x v="3"/>
    <x v="3"/>
    <s v="Delhi"/>
    <n v="7"/>
    <s v="Union Territory"/>
    <n v="1081.54"/>
    <n v="1275.82"/>
    <n v="2880.33"/>
    <n v="109.38"/>
    <n v="5237.6899999999996"/>
    <n v="5347.07"/>
    <m/>
  </r>
  <r>
    <d v="2023-11-01T00:00:00"/>
    <s v="2023-24"/>
    <n v="2023"/>
    <x v="3"/>
    <x v="3"/>
    <s v="Goa"/>
    <n v="30"/>
    <s v="State"/>
    <n v="140.26"/>
    <n v="180.03"/>
    <n v="180.11"/>
    <n v="2.69"/>
    <n v="500.4"/>
    <n v="503.09"/>
    <m/>
  </r>
  <r>
    <d v="2023-11-01T00:00:00"/>
    <s v="2023-24"/>
    <n v="2023"/>
    <x v="3"/>
    <x v="3"/>
    <s v="Gujarat"/>
    <n v="24"/>
    <s v="State"/>
    <n v="2981.72"/>
    <n v="3665.77"/>
    <n v="3475.42"/>
    <n v="730.35"/>
    <n v="10122.91"/>
    <n v="10853.26"/>
    <m/>
  </r>
  <r>
    <d v="2023-11-01T00:00:00"/>
    <s v="2023-24"/>
    <n v="2023"/>
    <x v="3"/>
    <x v="3"/>
    <s v="Haryana"/>
    <n v="6"/>
    <s v="State"/>
    <n v="1415.4"/>
    <n v="1778.52"/>
    <n v="5868.5"/>
    <n v="669.6"/>
    <n v="9062.42"/>
    <n v="9732.02"/>
    <m/>
  </r>
  <r>
    <d v="2023-11-01T00:00:00"/>
    <s v="2023-24"/>
    <n v="2023"/>
    <x v="3"/>
    <x v="3"/>
    <s v="Himachal Pradesh"/>
    <n v="2"/>
    <s v="State"/>
    <n v="128.63999999999999"/>
    <n v="185.23"/>
    <n v="487.01"/>
    <n v="1.1499999999999999"/>
    <n v="800.88"/>
    <n v="802.03"/>
    <m/>
  </r>
  <r>
    <d v="2023-11-01T00:00:00"/>
    <s v="2023-24"/>
    <n v="2023"/>
    <x v="3"/>
    <x v="3"/>
    <s v="Jammu and Kashmir"/>
    <n v="1"/>
    <s v="Union Territory"/>
    <n v="132.65"/>
    <n v="198.39"/>
    <n v="134.83000000000001"/>
    <n v="3.39"/>
    <n v="465.87"/>
    <n v="469.26"/>
    <m/>
  </r>
  <r>
    <d v="2023-11-01T00:00:00"/>
    <s v="2023-24"/>
    <n v="2023"/>
    <x v="3"/>
    <x v="3"/>
    <s v="Jharkhand"/>
    <n v="20"/>
    <s v="State"/>
    <n v="510.25"/>
    <n v="714.13"/>
    <n v="933.25"/>
    <n v="475.07"/>
    <n v="2157.63"/>
    <n v="2632.7"/>
    <m/>
  </r>
  <r>
    <d v="2023-11-01T00:00:00"/>
    <s v="2023-24"/>
    <n v="2023"/>
    <x v="3"/>
    <x v="3"/>
    <s v="Karnataka"/>
    <n v="29"/>
    <s v="State"/>
    <n v="2745.92"/>
    <n v="3312.81"/>
    <n v="4551.3900000000003"/>
    <n v="1360.03"/>
    <n v="10610.12"/>
    <n v="11970.15"/>
    <m/>
  </r>
  <r>
    <d v="2023-11-01T00:00:00"/>
    <s v="2023-24"/>
    <n v="2023"/>
    <x v="3"/>
    <x v="3"/>
    <s v="Kerala"/>
    <n v="32"/>
    <s v="State"/>
    <n v="873.74"/>
    <n v="1089.1500000000001"/>
    <n v="547.94000000000005"/>
    <n v="3.9"/>
    <n v="2510.83"/>
    <n v="2514.73"/>
    <m/>
  </r>
  <r>
    <d v="2023-11-01T00:00:00"/>
    <s v="2023-24"/>
    <n v="2023"/>
    <x v="3"/>
    <x v="3"/>
    <s v="Ladakh"/>
    <n v="37"/>
    <s v="Union Territory"/>
    <n v="24.54"/>
    <n v="34.06"/>
    <n v="3.67"/>
    <n v="0"/>
    <n v="62.27"/>
    <n v="62.27"/>
    <m/>
  </r>
  <r>
    <d v="2023-11-01T00:00:00"/>
    <s v="2023-24"/>
    <n v="2023"/>
    <x v="3"/>
    <x v="3"/>
    <s v="Lakshadweep"/>
    <n v="31"/>
    <s v="Union Territory"/>
    <n v="0.12"/>
    <n v="0.13"/>
    <n v="0.16"/>
    <n v="0"/>
    <n v="0.41"/>
    <n v="0.41"/>
    <m/>
  </r>
  <r>
    <d v="2023-11-01T00:00:00"/>
    <s v="2023-24"/>
    <n v="2023"/>
    <x v="3"/>
    <x v="3"/>
    <s v="Madhya Pradesh"/>
    <n v="23"/>
    <s v="State"/>
    <n v="881.06"/>
    <n v="1112.17"/>
    <n v="1016.85"/>
    <n v="635.96"/>
    <n v="3010.08"/>
    <n v="3646.04"/>
    <m/>
  </r>
  <r>
    <d v="2023-11-01T00:00:00"/>
    <s v="2023-24"/>
    <n v="2023"/>
    <x v="3"/>
    <x v="3"/>
    <s v="Maharashtra"/>
    <n v="27"/>
    <s v="State"/>
    <n v="6813.52"/>
    <n v="7925.71"/>
    <n v="8683.4599999999991"/>
    <n v="2162.08"/>
    <n v="23422.69"/>
    <n v="25584.77"/>
    <m/>
  </r>
  <r>
    <d v="2023-11-01T00:00:00"/>
    <s v="2023-24"/>
    <n v="2023"/>
    <x v="3"/>
    <x v="3"/>
    <s v="Manipur"/>
    <n v="14"/>
    <s v="State"/>
    <n v="13.64"/>
    <n v="18.82"/>
    <n v="7.15"/>
    <n v="0.13"/>
    <n v="39.61"/>
    <n v="39.74"/>
    <m/>
  </r>
  <r>
    <d v="2023-11-01T00:00:00"/>
    <s v="2023-24"/>
    <n v="2023"/>
    <x v="3"/>
    <x v="3"/>
    <s v="Meghalaya"/>
    <n v="17"/>
    <s v="State"/>
    <n v="32.159999999999997"/>
    <n v="41.1"/>
    <n v="87.89"/>
    <n v="1.47"/>
    <n v="161.15"/>
    <n v="162.62"/>
    <m/>
  </r>
  <r>
    <d v="2023-11-01T00:00:00"/>
    <s v="2023-24"/>
    <n v="2023"/>
    <x v="3"/>
    <x v="3"/>
    <s v="Mizoram"/>
    <n v="15"/>
    <s v="State"/>
    <n v="9.1999999999999993"/>
    <n v="14.11"/>
    <n v="9.19"/>
    <n v="0.03"/>
    <n v="32.5"/>
    <n v="32.53"/>
    <m/>
  </r>
  <r>
    <d v="2023-11-01T00:00:00"/>
    <s v="2023-24"/>
    <n v="2023"/>
    <x v="3"/>
    <x v="3"/>
    <s v="Nagaland"/>
    <n v="13"/>
    <s v="State"/>
    <n v="23.46"/>
    <n v="29.24"/>
    <n v="11.06"/>
    <n v="2.8"/>
    <n v="63.76"/>
    <n v="66.56"/>
    <m/>
  </r>
  <r>
    <d v="2023-11-01T00:00:00"/>
    <s v="2023-24"/>
    <n v="2023"/>
    <x v="3"/>
    <x v="3"/>
    <s v="Odisha"/>
    <n v="21"/>
    <s v="State"/>
    <n v="1080.6600000000001"/>
    <n v="1251.5899999999999"/>
    <n v="1161.06"/>
    <n v="801.77"/>
    <n v="3493.31"/>
    <n v="4295.08"/>
    <m/>
  </r>
  <r>
    <d v="2023-11-01T00:00:00"/>
    <s v="2023-24"/>
    <n v="2023"/>
    <x v="3"/>
    <x v="3"/>
    <s v="Puducherry"/>
    <n v="34"/>
    <s v="Union Territory"/>
    <n v="28.81"/>
    <n v="42.8"/>
    <n v="155.63"/>
    <n v="1.01"/>
    <n v="227.24"/>
    <n v="228.25"/>
    <m/>
  </r>
  <r>
    <d v="2023-11-01T00:00:00"/>
    <s v="2023-24"/>
    <n v="2023"/>
    <x v="3"/>
    <x v="3"/>
    <s v="Punjab"/>
    <n v="3"/>
    <s v="State"/>
    <n v="502"/>
    <n v="708.39"/>
    <n v="1032.71"/>
    <n v="21.85"/>
    <n v="2243.1"/>
    <n v="2264.9499999999998"/>
    <m/>
  </r>
  <r>
    <d v="2023-11-01T00:00:00"/>
    <s v="2023-24"/>
    <n v="2023"/>
    <x v="3"/>
    <x v="3"/>
    <s v="Rajasthan"/>
    <n v="8"/>
    <s v="State"/>
    <n v="1161.72"/>
    <n v="1489.09"/>
    <n v="1839.87"/>
    <n v="191.22"/>
    <n v="4490.68"/>
    <n v="4681.8999999999996"/>
    <m/>
  </r>
  <r>
    <d v="2023-11-01T00:00:00"/>
    <s v="2023-24"/>
    <n v="2023"/>
    <x v="3"/>
    <x v="3"/>
    <s v="Sikkim"/>
    <n v="11"/>
    <s v="State"/>
    <n v="19.399999999999999"/>
    <n v="23.35"/>
    <n v="190.73"/>
    <n v="0.09"/>
    <n v="233.48"/>
    <n v="233.57"/>
    <m/>
  </r>
  <r>
    <d v="2023-11-01T00:00:00"/>
    <s v="2023-24"/>
    <n v="2023"/>
    <x v="3"/>
    <x v="3"/>
    <s v="Tamil Nadu"/>
    <n v="33"/>
    <s v="State"/>
    <n v="2631.64"/>
    <n v="3385.39"/>
    <n v="3593.44"/>
    <n v="644.26"/>
    <n v="9610.4699999999993"/>
    <n v="10254.73"/>
    <m/>
  </r>
  <r>
    <d v="2023-11-01T00:00:00"/>
    <s v="2023-24"/>
    <n v="2023"/>
    <x v="3"/>
    <x v="3"/>
    <s v="Telangana"/>
    <n v="36"/>
    <s v="State"/>
    <n v="1221.71"/>
    <n v="1616.74"/>
    <n v="1630.97"/>
    <n v="516.48"/>
    <n v="4469.42"/>
    <n v="4985.8999999999996"/>
    <m/>
  </r>
  <r>
    <d v="2023-11-01T00:00:00"/>
    <s v="2023-24"/>
    <n v="2023"/>
    <x v="3"/>
    <x v="3"/>
    <s v="Tripura"/>
    <n v="16"/>
    <s v="State"/>
    <n v="27.35"/>
    <n v="35.74"/>
    <n v="19.93"/>
    <n v="0.13"/>
    <n v="83.02"/>
    <n v="83.15"/>
    <m/>
  </r>
  <r>
    <d v="2023-11-01T00:00:00"/>
    <s v="2023-24"/>
    <n v="2023"/>
    <x v="3"/>
    <x v="3"/>
    <s v="Uttar Pradesh"/>
    <n v="9"/>
    <s v="State"/>
    <n v="1863.64"/>
    <n v="2744.22"/>
    <n v="3029.79"/>
    <n v="1335.51"/>
    <n v="7637.65"/>
    <n v="8973.16"/>
    <m/>
  </r>
  <r>
    <d v="2023-11-01T00:00:00"/>
    <s v="2023-24"/>
    <n v="2023"/>
    <x v="3"/>
    <x v="3"/>
    <s v="Uttarakhand"/>
    <n v="5"/>
    <s v="State"/>
    <n v="313.35000000000002"/>
    <n v="485.55"/>
    <n v="791.52"/>
    <n v="10.210000000000001"/>
    <n v="1590.42"/>
    <n v="1600.63"/>
    <m/>
  </r>
  <r>
    <d v="2023-11-01T00:00:00"/>
    <s v="2023-24"/>
    <n v="2023"/>
    <x v="3"/>
    <x v="3"/>
    <s v="West Bengal"/>
    <n v="19"/>
    <s v="State"/>
    <n v="1496.83"/>
    <n v="1800.46"/>
    <n v="1290.8900000000001"/>
    <n v="326.32"/>
    <n v="4588.18"/>
    <n v="4914.5"/>
    <m/>
  </r>
  <r>
    <d v="2023-12-01T00:00:00"/>
    <s v="2023-24"/>
    <n v="2023"/>
    <x v="4"/>
    <x v="4"/>
    <s v="Andaman and Nicobar Islands"/>
    <n v="35"/>
    <s v="Union Territory"/>
    <n v="10.37"/>
    <n v="14.24"/>
    <n v="3.67"/>
    <n v="0.04"/>
    <n v="28.28"/>
    <n v="28.32"/>
    <m/>
  </r>
  <r>
    <d v="2023-12-01T00:00:00"/>
    <s v="2023-24"/>
    <n v="2023"/>
    <x v="4"/>
    <x v="4"/>
    <s v="Andhra Pradesh"/>
    <n v="28"/>
    <s v="State"/>
    <n v="841.26"/>
    <n v="1116.48"/>
    <n v="1267.97"/>
    <n v="319.02999999999997"/>
    <n v="3225.71"/>
    <n v="3544.74"/>
    <m/>
  </r>
  <r>
    <d v="2023-12-01T00:00:00"/>
    <s v="2023-24"/>
    <n v="2023"/>
    <x v="4"/>
    <x v="4"/>
    <s v="Arunachal Pradesh"/>
    <n v="12"/>
    <s v="State"/>
    <n v="38.450000000000003"/>
    <n v="45.85"/>
    <n v="12.17"/>
    <n v="0.21"/>
    <n v="96.47"/>
    <n v="96.68"/>
    <m/>
  </r>
  <r>
    <d v="2023-12-01T00:00:00"/>
    <s v="2023-24"/>
    <n v="2023"/>
    <x v="4"/>
    <x v="4"/>
    <s v="Assam"/>
    <n v="18"/>
    <s v="State"/>
    <n v="363.84"/>
    <n v="461.04"/>
    <n v="337.54"/>
    <n v="140.53"/>
    <n v="1162.42"/>
    <n v="1302.95"/>
    <m/>
  </r>
  <r>
    <d v="2023-12-01T00:00:00"/>
    <s v="2023-24"/>
    <n v="2023"/>
    <x v="4"/>
    <x v="4"/>
    <s v="Bihar"/>
    <n v="10"/>
    <s v="State"/>
    <n v="404.35"/>
    <n v="690.78"/>
    <n v="202.77"/>
    <n v="189.27"/>
    <n v="1297.9000000000001"/>
    <n v="1487.17"/>
    <m/>
  </r>
  <r>
    <d v="2023-12-01T00:00:00"/>
    <s v="2023-24"/>
    <n v="2023"/>
    <x v="4"/>
    <x v="4"/>
    <s v="Chandigarh"/>
    <n v="4"/>
    <s v="Union Territory"/>
    <n v="42.3"/>
    <n v="56.61"/>
    <n v="181.57"/>
    <n v="0.3"/>
    <n v="280.48"/>
    <n v="280.77999999999997"/>
    <m/>
  </r>
  <r>
    <d v="2023-12-01T00:00:00"/>
    <s v="2023-24"/>
    <n v="2023"/>
    <x v="4"/>
    <x v="4"/>
    <s v="Chhattisgarh"/>
    <n v="22"/>
    <s v="State"/>
    <n v="489.65"/>
    <n v="605.82000000000005"/>
    <n v="900.73"/>
    <n v="616.29999999999995"/>
    <n v="1996.2"/>
    <n v="2612.5"/>
    <m/>
  </r>
  <r>
    <d v="2023-12-01T00:00:00"/>
    <s v="2023-24"/>
    <n v="2023"/>
    <x v="4"/>
    <x v="4"/>
    <s v="Dadra and Nagar Haveli and Daman and Diu"/>
    <n v="38"/>
    <s v="Union Territory"/>
    <n v="43.3"/>
    <n v="54.99"/>
    <n v="234.67"/>
    <n v="0.5"/>
    <n v="332.96"/>
    <n v="333.46"/>
    <m/>
  </r>
  <r>
    <d v="2023-12-01T00:00:00"/>
    <s v="2023-24"/>
    <n v="2023"/>
    <x v="4"/>
    <x v="4"/>
    <s v="Delhi"/>
    <n v="7"/>
    <s v="Union Territory"/>
    <n v="1012.06"/>
    <n v="1204.79"/>
    <n v="2793.12"/>
    <n v="111.37"/>
    <n v="5009.97"/>
    <n v="5121.34"/>
    <m/>
  </r>
  <r>
    <d v="2023-12-01T00:00:00"/>
    <s v="2023-24"/>
    <n v="2023"/>
    <x v="4"/>
    <x v="4"/>
    <s v="Goa"/>
    <n v="30"/>
    <s v="State"/>
    <n v="152.22"/>
    <n v="197.72"/>
    <n v="199.85"/>
    <n v="2.86"/>
    <n v="549.79"/>
    <n v="552.65"/>
    <m/>
  </r>
  <r>
    <d v="2023-12-01T00:00:00"/>
    <s v="2023-24"/>
    <n v="2023"/>
    <x v="4"/>
    <x v="4"/>
    <s v="Gujarat"/>
    <n v="24"/>
    <s v="State"/>
    <n v="2801.72"/>
    <n v="3357.84"/>
    <n v="3044.73"/>
    <n v="669.96"/>
    <n v="9204.2900000000009"/>
    <n v="9874.25"/>
    <m/>
  </r>
  <r>
    <d v="2023-12-01T00:00:00"/>
    <s v="2023-24"/>
    <n v="2023"/>
    <x v="4"/>
    <x v="4"/>
    <s v="Haryana"/>
    <n v="6"/>
    <s v="State"/>
    <n v="1247.99"/>
    <n v="1577.16"/>
    <n v="4728.68"/>
    <n v="575.72"/>
    <n v="7553.83"/>
    <n v="8129.55"/>
    <m/>
  </r>
  <r>
    <d v="2023-12-01T00:00:00"/>
    <s v="2023-24"/>
    <n v="2023"/>
    <x v="4"/>
    <x v="4"/>
    <s v="Himachal Pradesh"/>
    <n v="2"/>
    <s v="State"/>
    <n v="141.12"/>
    <n v="198.6"/>
    <n v="403.18"/>
    <n v="1.72"/>
    <n v="742.9"/>
    <n v="744.62"/>
    <m/>
  </r>
  <r>
    <d v="2023-12-01T00:00:00"/>
    <s v="2023-24"/>
    <n v="2023"/>
    <x v="4"/>
    <x v="4"/>
    <s v="Jammu and Kashmir"/>
    <n v="1"/>
    <s v="Union Territory"/>
    <n v="156.74"/>
    <n v="228.33"/>
    <n v="105.05"/>
    <n v="2.09"/>
    <n v="490.12"/>
    <n v="492.21"/>
    <m/>
  </r>
  <r>
    <d v="2023-12-01T00:00:00"/>
    <s v="2023-24"/>
    <n v="2023"/>
    <x v="4"/>
    <x v="4"/>
    <s v="Jharkhand"/>
    <n v="20"/>
    <s v="State"/>
    <n v="493.99"/>
    <n v="678.71"/>
    <n v="858.75"/>
    <n v="600.08000000000004"/>
    <n v="2031.45"/>
    <n v="2631.53"/>
    <m/>
  </r>
  <r>
    <d v="2023-12-01T00:00:00"/>
    <s v="2023-24"/>
    <n v="2023"/>
    <x v="4"/>
    <x v="4"/>
    <s v="Karnataka"/>
    <n v="29"/>
    <s v="State"/>
    <n v="2696.45"/>
    <n v="3357.31"/>
    <n v="4371.53"/>
    <n v="1333.48"/>
    <n v="10425.290000000001"/>
    <n v="11758.77"/>
    <m/>
  </r>
  <r>
    <d v="2023-12-01T00:00:00"/>
    <s v="2023-24"/>
    <n v="2023"/>
    <x v="4"/>
    <x v="4"/>
    <s v="Kerala"/>
    <n v="32"/>
    <s v="State"/>
    <n v="865.21"/>
    <n v="1121.53"/>
    <n v="465.73"/>
    <n v="5.19"/>
    <n v="2452.4699999999998"/>
    <n v="2457.66"/>
    <m/>
  </r>
  <r>
    <d v="2023-12-01T00:00:00"/>
    <s v="2023-24"/>
    <n v="2023"/>
    <x v="4"/>
    <x v="4"/>
    <s v="Ladakh"/>
    <n v="37"/>
    <s v="Union Territory"/>
    <n v="21.71"/>
    <n v="30.74"/>
    <n v="5.21"/>
    <n v="0.13"/>
    <n v="57.66"/>
    <n v="57.79"/>
    <m/>
  </r>
  <r>
    <d v="2023-12-01T00:00:00"/>
    <s v="2023-24"/>
    <n v="2023"/>
    <x v="4"/>
    <x v="4"/>
    <s v="Lakshadweep"/>
    <n v="31"/>
    <s v="Union Territory"/>
    <n v="0.72"/>
    <n v="0.93"/>
    <n v="2.12"/>
    <n v="0"/>
    <n v="3.77"/>
    <n v="3.77"/>
    <m/>
  </r>
  <r>
    <d v="2023-12-01T00:00:00"/>
    <s v="2023-24"/>
    <n v="2023"/>
    <x v="4"/>
    <x v="4"/>
    <s v="Madhya Pradesh"/>
    <n v="23"/>
    <s v="State"/>
    <n v="867.98"/>
    <n v="1110.45"/>
    <n v="792.36"/>
    <n v="652.07000000000005"/>
    <n v="2770.79"/>
    <n v="3422.86"/>
    <m/>
  </r>
  <r>
    <d v="2023-12-01T00:00:00"/>
    <s v="2023-24"/>
    <n v="2023"/>
    <x v="4"/>
    <x v="4"/>
    <s v="Maharashtra"/>
    <n v="27"/>
    <s v="State"/>
    <n v="7527.61"/>
    <n v="8606.43"/>
    <n v="8655.8700000000008"/>
    <n v="2024.42"/>
    <n v="24789.91"/>
    <n v="26814.33"/>
    <m/>
  </r>
  <r>
    <d v="2023-12-01T00:00:00"/>
    <s v="2023-24"/>
    <n v="2023"/>
    <x v="4"/>
    <x v="4"/>
    <s v="Manipur"/>
    <n v="14"/>
    <s v="State"/>
    <n v="18.53"/>
    <n v="25.12"/>
    <n v="6.2"/>
    <n v="0.05"/>
    <n v="49.85"/>
    <n v="49.9"/>
    <m/>
  </r>
  <r>
    <d v="2023-12-01T00:00:00"/>
    <s v="2023-24"/>
    <n v="2023"/>
    <x v="4"/>
    <x v="4"/>
    <s v="Meghalaya"/>
    <n v="17"/>
    <s v="State"/>
    <n v="35.07"/>
    <n v="44.48"/>
    <n v="88.93"/>
    <n v="2.8"/>
    <n v="168.48"/>
    <n v="171.28"/>
    <m/>
  </r>
  <r>
    <d v="2023-12-01T00:00:00"/>
    <s v="2023-24"/>
    <n v="2023"/>
    <x v="4"/>
    <x v="4"/>
    <s v="Mizoram"/>
    <n v="15"/>
    <s v="State"/>
    <n v="10.02"/>
    <n v="14.7"/>
    <n v="2.02"/>
    <n v="0.1"/>
    <n v="26.74"/>
    <n v="26.84"/>
    <m/>
  </r>
  <r>
    <d v="2023-12-01T00:00:00"/>
    <s v="2023-24"/>
    <n v="2023"/>
    <x v="4"/>
    <x v="4"/>
    <s v="Nagaland"/>
    <n v="13"/>
    <s v="State"/>
    <n v="15.46"/>
    <n v="19.760000000000002"/>
    <n v="7.43"/>
    <n v="2.96"/>
    <n v="42.65"/>
    <n v="45.61"/>
    <m/>
  </r>
  <r>
    <d v="2023-12-01T00:00:00"/>
    <s v="2023-24"/>
    <n v="2023"/>
    <x v="4"/>
    <x v="4"/>
    <s v="Odisha"/>
    <n v="21"/>
    <s v="State"/>
    <n v="1071.42"/>
    <n v="1276.83"/>
    <n v="1207.1099999999999"/>
    <n v="796.06"/>
    <n v="3555.36"/>
    <n v="4351.42"/>
    <m/>
  </r>
  <r>
    <d v="2023-12-01T00:00:00"/>
    <s v="2023-24"/>
    <n v="2023"/>
    <x v="4"/>
    <x v="4"/>
    <s v="Puducherry"/>
    <n v="34"/>
    <s v="Union Territory"/>
    <n v="28.01"/>
    <n v="41.12"/>
    <n v="162.21"/>
    <n v="0.61"/>
    <n v="231.34"/>
    <n v="231.95"/>
    <m/>
  </r>
  <r>
    <d v="2023-12-01T00:00:00"/>
    <s v="2023-24"/>
    <n v="2023"/>
    <x v="4"/>
    <x v="4"/>
    <s v="Punjab"/>
    <n v="3"/>
    <s v="State"/>
    <n v="450.57"/>
    <n v="668.71"/>
    <n v="738.23"/>
    <n v="17.41"/>
    <n v="1857.51"/>
    <n v="1874.92"/>
    <m/>
  </r>
  <r>
    <d v="2023-12-01T00:00:00"/>
    <s v="2023-24"/>
    <n v="2023"/>
    <x v="4"/>
    <x v="4"/>
    <s v="Rajasthan"/>
    <n v="8"/>
    <s v="State"/>
    <n v="1077.08"/>
    <n v="1384.78"/>
    <n v="1191.1099999999999"/>
    <n v="174.56"/>
    <n v="3652.97"/>
    <n v="3827.53"/>
    <m/>
  </r>
  <r>
    <d v="2023-12-01T00:00:00"/>
    <s v="2023-24"/>
    <n v="2023"/>
    <x v="4"/>
    <x v="4"/>
    <s v="Sikkim"/>
    <n v="11"/>
    <s v="State"/>
    <n v="17.32"/>
    <n v="20.48"/>
    <n v="215.86"/>
    <n v="0.01"/>
    <n v="253.66"/>
    <n v="253.67"/>
    <m/>
  </r>
  <r>
    <d v="2023-12-01T00:00:00"/>
    <s v="2023-24"/>
    <n v="2023"/>
    <x v="4"/>
    <x v="4"/>
    <s v="Tamil Nadu"/>
    <n v="33"/>
    <s v="State"/>
    <n v="2560.77"/>
    <n v="3283.37"/>
    <n v="3393.7"/>
    <n v="649.72"/>
    <n v="9237.84"/>
    <n v="9887.56"/>
    <m/>
  </r>
  <r>
    <d v="2023-12-01T00:00:00"/>
    <s v="2023-24"/>
    <n v="2023"/>
    <x v="4"/>
    <x v="4"/>
    <s v="Telangana"/>
    <n v="36"/>
    <s v="State"/>
    <n v="1246"/>
    <n v="1584.54"/>
    <n v="1365.19"/>
    <n v="557.16"/>
    <n v="4195.7299999999996"/>
    <n v="4752.8900000000003"/>
    <m/>
  </r>
  <r>
    <d v="2023-12-01T00:00:00"/>
    <s v="2023-24"/>
    <n v="2023"/>
    <x v="4"/>
    <x v="4"/>
    <s v="Tripura"/>
    <n v="16"/>
    <s v="State"/>
    <n v="29.45"/>
    <n v="40.47"/>
    <n v="9.26"/>
    <n v="0.06"/>
    <n v="79.180000000000007"/>
    <n v="79.239999999999995"/>
    <m/>
  </r>
  <r>
    <d v="2023-12-01T00:00:00"/>
    <s v="2023-24"/>
    <n v="2023"/>
    <x v="4"/>
    <x v="4"/>
    <s v="Uttar Pradesh"/>
    <n v="9"/>
    <s v="State"/>
    <n v="1833.84"/>
    <n v="2539.3200000000002"/>
    <n v="2314.44"/>
    <n v="1323"/>
    <n v="6687.6"/>
    <n v="8010.6"/>
    <m/>
  </r>
  <r>
    <d v="2023-12-01T00:00:00"/>
    <s v="2023-24"/>
    <n v="2023"/>
    <x v="4"/>
    <x v="4"/>
    <s v="Uttarakhand"/>
    <n v="5"/>
    <s v="State"/>
    <n v="294.06"/>
    <n v="421.38"/>
    <n v="744.4"/>
    <n v="9.83"/>
    <n v="1459.84"/>
    <n v="1469.67"/>
    <m/>
  </r>
  <r>
    <d v="2023-12-01T00:00:00"/>
    <s v="2023-24"/>
    <n v="2023"/>
    <x v="4"/>
    <x v="4"/>
    <s v="West Bengal"/>
    <n v="19"/>
    <s v="State"/>
    <n v="1519.56"/>
    <n v="1827.76"/>
    <n v="1281.08"/>
    <n v="390.33"/>
    <n v="4628.3999999999996"/>
    <n v="5018.7299999999996"/>
    <m/>
  </r>
  <r>
    <d v="2024-01-01T00:00:00"/>
    <s v="2023-24"/>
    <n v="2024"/>
    <x v="5"/>
    <x v="5"/>
    <s v="Andaman and Nicobar Islands"/>
    <n v="35"/>
    <s v="Union Territory"/>
    <n v="12.67"/>
    <n v="16.489999999999998"/>
    <n v="5.29"/>
    <n v="0.05"/>
    <n v="34.450000000000003"/>
    <n v="34.5"/>
    <m/>
  </r>
  <r>
    <d v="2024-01-01T00:00:00"/>
    <s v="2023-24"/>
    <n v="2024"/>
    <x v="5"/>
    <x v="5"/>
    <s v="Andhra Pradesh"/>
    <n v="28"/>
    <s v="State"/>
    <n v="866.79"/>
    <n v="1143.1199999999999"/>
    <n v="1317.46"/>
    <n v="259.87"/>
    <n v="3327.37"/>
    <n v="3587.24"/>
    <m/>
  </r>
  <r>
    <d v="2024-01-01T00:00:00"/>
    <s v="2023-24"/>
    <n v="2024"/>
    <x v="5"/>
    <x v="5"/>
    <s v="Arunachal Pradesh"/>
    <n v="12"/>
    <s v="State"/>
    <n v="28.83"/>
    <n v="35.79"/>
    <n v="12.18"/>
    <n v="0.09"/>
    <n v="76.8"/>
    <n v="76.89"/>
    <m/>
  </r>
  <r>
    <d v="2024-01-01T00:00:00"/>
    <s v="2023-24"/>
    <n v="2024"/>
    <x v="5"/>
    <x v="5"/>
    <s v="Assam"/>
    <n v="18"/>
    <s v="State"/>
    <n v="419.28"/>
    <n v="559.80999999999995"/>
    <n v="296.98"/>
    <n v="96.65"/>
    <n v="1276.07"/>
    <n v="1372.72"/>
    <m/>
  </r>
  <r>
    <d v="2024-01-01T00:00:00"/>
    <s v="2023-24"/>
    <n v="2024"/>
    <x v="5"/>
    <x v="5"/>
    <s v="Bihar"/>
    <n v="10"/>
    <s v="State"/>
    <n v="421.19"/>
    <n v="721.14"/>
    <n v="261.39999999999998"/>
    <n v="161.35"/>
    <n v="1403.73"/>
    <n v="1565.08"/>
    <m/>
  </r>
  <r>
    <d v="2024-01-01T00:00:00"/>
    <s v="2023-24"/>
    <n v="2024"/>
    <x v="5"/>
    <x v="5"/>
    <s v="Chandigarh"/>
    <n v="4"/>
    <s v="Union Territory"/>
    <n v="51.96"/>
    <n v="72.16"/>
    <n v="122.36"/>
    <n v="5.09"/>
    <n v="246.48"/>
    <n v="251.57"/>
    <m/>
  </r>
  <r>
    <d v="2024-01-01T00:00:00"/>
    <s v="2023-24"/>
    <n v="2024"/>
    <x v="5"/>
    <x v="5"/>
    <s v="Chhattisgarh"/>
    <n v="22"/>
    <s v="State"/>
    <n v="587.4"/>
    <n v="700.6"/>
    <n v="1015.21"/>
    <n v="645.33000000000004"/>
    <n v="2303.21"/>
    <n v="2948.54"/>
    <m/>
  </r>
  <r>
    <d v="2024-01-01T00:00:00"/>
    <s v="2023-24"/>
    <n v="2024"/>
    <x v="5"/>
    <x v="5"/>
    <s v="Dadra and Nagar Haveli and Daman and Diu"/>
    <n v="38"/>
    <s v="Union Territory"/>
    <n v="45.57"/>
    <n v="57.35"/>
    <n v="293.48"/>
    <n v="0.1"/>
    <n v="396.4"/>
    <n v="396.5"/>
    <m/>
  </r>
  <r>
    <d v="2024-01-01T00:00:00"/>
    <s v="2023-24"/>
    <n v="2024"/>
    <x v="5"/>
    <x v="5"/>
    <s v="Delhi"/>
    <n v="7"/>
    <s v="Union Territory"/>
    <n v="1151.74"/>
    <n v="1389.93"/>
    <n v="3101.1"/>
    <n v="131.4"/>
    <n v="5642.77"/>
    <n v="5774.17"/>
    <m/>
  </r>
  <r>
    <d v="2024-01-01T00:00:00"/>
    <s v="2023-24"/>
    <n v="2024"/>
    <x v="5"/>
    <x v="5"/>
    <s v="Goa"/>
    <n v="30"/>
    <s v="State"/>
    <n v="171.97"/>
    <n v="228.97"/>
    <n v="180.58"/>
    <n v="5.37"/>
    <n v="581.52"/>
    <n v="586.89"/>
    <m/>
  </r>
  <r>
    <d v="2024-01-01T00:00:00"/>
    <s v="2023-24"/>
    <n v="2024"/>
    <x v="5"/>
    <x v="5"/>
    <s v="Gujarat"/>
    <n v="24"/>
    <s v="State"/>
    <n v="3033.7"/>
    <n v="3627.27"/>
    <n v="3610.59"/>
    <n v="695.9"/>
    <n v="10271.56"/>
    <n v="10967.46"/>
    <m/>
  </r>
  <r>
    <d v="2024-01-01T00:00:00"/>
    <s v="2023-24"/>
    <n v="2024"/>
    <x v="5"/>
    <x v="5"/>
    <s v="Haryana"/>
    <n v="6"/>
    <s v="State"/>
    <n v="1466.22"/>
    <n v="1855.13"/>
    <n v="5719.89"/>
    <n v="580.52"/>
    <n v="9041.24"/>
    <n v="9621.76"/>
    <m/>
  </r>
  <r>
    <d v="2024-01-01T00:00:00"/>
    <s v="2023-24"/>
    <n v="2024"/>
    <x v="5"/>
    <x v="5"/>
    <s v="Himachal Pradesh"/>
    <n v="2"/>
    <s v="State"/>
    <n v="168.2"/>
    <n v="238.15"/>
    <n v="466.29"/>
    <n v="1.94"/>
    <n v="872.64"/>
    <n v="874.58"/>
    <m/>
  </r>
  <r>
    <d v="2024-01-01T00:00:00"/>
    <s v="2023-24"/>
    <n v="2024"/>
    <x v="5"/>
    <x v="5"/>
    <s v="Jammu and Kashmir"/>
    <n v="1"/>
    <s v="Union Territory"/>
    <n v="175.19"/>
    <n v="260.64"/>
    <n v="127.75"/>
    <n v="3.05"/>
    <n v="563.58000000000004"/>
    <n v="566.63"/>
    <m/>
  </r>
  <r>
    <d v="2024-01-01T00:00:00"/>
    <s v="2023-24"/>
    <n v="2024"/>
    <x v="5"/>
    <x v="5"/>
    <s v="Jharkhand"/>
    <n v="20"/>
    <s v="State"/>
    <n v="504.9"/>
    <n v="682.61"/>
    <n v="1269.6600000000001"/>
    <n v="636.16"/>
    <n v="2457.17"/>
    <n v="3093.33"/>
    <m/>
  </r>
  <r>
    <d v="2024-01-01T00:00:00"/>
    <s v="2023-24"/>
    <n v="2024"/>
    <x v="5"/>
    <x v="5"/>
    <s v="Karnataka"/>
    <n v="29"/>
    <s v="State"/>
    <n v="3045.55"/>
    <n v="3715.29"/>
    <n v="5234.6099999999997"/>
    <n v="1324.8"/>
    <n v="11995.45"/>
    <n v="13320.25"/>
    <m/>
  </r>
  <r>
    <d v="2024-01-01T00:00:00"/>
    <s v="2023-24"/>
    <n v="2024"/>
    <x v="5"/>
    <x v="5"/>
    <s v="Kerala"/>
    <n v="32"/>
    <s v="State"/>
    <n v="958.29"/>
    <n v="1285.5899999999999"/>
    <n v="523.97"/>
    <n v="8.52"/>
    <n v="2767.85"/>
    <n v="2776.37"/>
    <m/>
  </r>
  <r>
    <d v="2024-01-01T00:00:00"/>
    <s v="2023-24"/>
    <n v="2024"/>
    <x v="5"/>
    <x v="5"/>
    <s v="Ladakh"/>
    <n v="37"/>
    <s v="Union Territory"/>
    <n v="18.84"/>
    <n v="26.05"/>
    <n v="4.22"/>
    <n v="7.0000000000000007E-2"/>
    <n v="49.11"/>
    <n v="49.18"/>
    <m/>
  </r>
  <r>
    <d v="2024-01-01T00:00:00"/>
    <s v="2023-24"/>
    <n v="2024"/>
    <x v="5"/>
    <x v="5"/>
    <s v="Lakshadweep"/>
    <n v="31"/>
    <s v="Union Territory"/>
    <n v="0.12"/>
    <n v="0.15"/>
    <n v="1.1399999999999999"/>
    <n v="0"/>
    <n v="1.41"/>
    <n v="1.41"/>
    <m/>
  </r>
  <r>
    <d v="2024-01-01T00:00:00"/>
    <s v="2023-24"/>
    <n v="2024"/>
    <x v="5"/>
    <x v="5"/>
    <s v="Madhya Pradesh"/>
    <n v="23"/>
    <s v="State"/>
    <n v="917.95"/>
    <n v="1152.45"/>
    <n v="989.98"/>
    <n v="633.29999999999995"/>
    <n v="3060.38"/>
    <n v="3693.68"/>
    <m/>
  </r>
  <r>
    <d v="2024-01-01T00:00:00"/>
    <s v="2023-24"/>
    <n v="2024"/>
    <x v="5"/>
    <x v="5"/>
    <s v="Maharashtra"/>
    <n v="27"/>
    <s v="State"/>
    <n v="7415.45"/>
    <n v="8524.74"/>
    <n v="10330.219999999999"/>
    <n v="2071.5700000000002"/>
    <n v="26270.41"/>
    <n v="28341.98"/>
    <m/>
  </r>
  <r>
    <d v="2024-01-01T00:00:00"/>
    <s v="2023-24"/>
    <n v="2024"/>
    <x v="5"/>
    <x v="5"/>
    <s v="Manipur"/>
    <n v="14"/>
    <s v="State"/>
    <n v="18.16"/>
    <n v="27.83"/>
    <n v="9.8699999999999992"/>
    <n v="0.56000000000000005"/>
    <n v="55.86"/>
    <n v="56.42"/>
    <m/>
  </r>
  <r>
    <d v="2024-01-01T00:00:00"/>
    <s v="2023-24"/>
    <n v="2024"/>
    <x v="5"/>
    <x v="5"/>
    <s v="Meghalaya"/>
    <n v="17"/>
    <s v="State"/>
    <n v="43.7"/>
    <n v="58.93"/>
    <n v="97.2"/>
    <n v="0.56000000000000005"/>
    <n v="199.83"/>
    <n v="200.39"/>
    <m/>
  </r>
  <r>
    <d v="2024-01-01T00:00:00"/>
    <s v="2023-24"/>
    <n v="2024"/>
    <x v="5"/>
    <x v="5"/>
    <s v="Mizoram"/>
    <n v="15"/>
    <s v="State"/>
    <n v="15.09"/>
    <n v="20.69"/>
    <n v="2.85"/>
    <n v="0.05"/>
    <n v="38.630000000000003"/>
    <n v="38.68"/>
    <m/>
  </r>
  <r>
    <d v="2024-01-01T00:00:00"/>
    <s v="2023-24"/>
    <n v="2024"/>
    <x v="5"/>
    <x v="5"/>
    <s v="Nagaland"/>
    <n v="13"/>
    <s v="State"/>
    <n v="16.64"/>
    <n v="22.73"/>
    <n v="8.19"/>
    <n v="3.59"/>
    <n v="47.56"/>
    <n v="51.15"/>
    <m/>
  </r>
  <r>
    <d v="2024-01-01T00:00:00"/>
    <s v="2023-24"/>
    <n v="2024"/>
    <x v="5"/>
    <x v="5"/>
    <s v="Odisha"/>
    <n v="21"/>
    <s v="State"/>
    <n v="1186.99"/>
    <n v="1428.72"/>
    <n v="1485.86"/>
    <n v="861.59"/>
    <n v="4101.57"/>
    <n v="4963.16"/>
    <m/>
  </r>
  <r>
    <d v="2024-01-01T00:00:00"/>
    <s v="2023-24"/>
    <n v="2024"/>
    <x v="5"/>
    <x v="5"/>
    <s v="Puducherry"/>
    <n v="34"/>
    <s v="Union Territory"/>
    <n v="31.45"/>
    <n v="53.7"/>
    <n v="150.21"/>
    <n v="1.93"/>
    <n v="235.36"/>
    <n v="237.29"/>
    <m/>
  </r>
  <r>
    <d v="2024-01-01T00:00:00"/>
    <s v="2023-24"/>
    <n v="2024"/>
    <x v="5"/>
    <x v="5"/>
    <s v="Punjab"/>
    <n v="3"/>
    <s v="State"/>
    <n v="539.02"/>
    <n v="777.29"/>
    <n v="847.71"/>
    <n v="25.07"/>
    <n v="2164.02"/>
    <n v="2189.09"/>
    <m/>
  </r>
  <r>
    <d v="2024-01-01T00:00:00"/>
    <s v="2023-24"/>
    <n v="2024"/>
    <x v="5"/>
    <x v="5"/>
    <s v="Rajasthan"/>
    <n v="8"/>
    <s v="State"/>
    <n v="1270.8499999999999"/>
    <n v="1601.07"/>
    <n v="1477.37"/>
    <n v="175.88"/>
    <n v="4349.29"/>
    <n v="4525.17"/>
    <m/>
  </r>
  <r>
    <d v="2024-01-01T00:00:00"/>
    <s v="2023-24"/>
    <n v="2024"/>
    <x v="5"/>
    <x v="5"/>
    <s v="Sikkim"/>
    <n v="11"/>
    <s v="State"/>
    <n v="19.32"/>
    <n v="22.89"/>
    <n v="252.87"/>
    <n v="0.1"/>
    <n v="295.08"/>
    <n v="295.18"/>
    <m/>
  </r>
  <r>
    <d v="2024-01-01T00:00:00"/>
    <s v="2023-24"/>
    <n v="2024"/>
    <x v="5"/>
    <x v="5"/>
    <s v="Tamil Nadu"/>
    <n v="33"/>
    <s v="State"/>
    <n v="2495.15"/>
    <n v="3297.6"/>
    <n v="3165.04"/>
    <n v="648.54"/>
    <n v="8957.7900000000009"/>
    <n v="9606.33"/>
    <m/>
  </r>
  <r>
    <d v="2024-01-01T00:00:00"/>
    <s v="2023-24"/>
    <n v="2024"/>
    <x v="5"/>
    <x v="5"/>
    <s v="Telangana"/>
    <n v="36"/>
    <s v="State"/>
    <n v="1421.84"/>
    <n v="1853.9"/>
    <n v="1580.23"/>
    <n v="592.25"/>
    <n v="4855.97"/>
    <n v="5448.22"/>
    <m/>
  </r>
  <r>
    <d v="2024-01-01T00:00:00"/>
    <s v="2023-24"/>
    <n v="2024"/>
    <x v="5"/>
    <x v="5"/>
    <s v="Tripura"/>
    <n v="16"/>
    <s v="State"/>
    <n v="30.17"/>
    <n v="38.57"/>
    <n v="11.68"/>
    <n v="0.3"/>
    <n v="80.42"/>
    <n v="80.72"/>
    <m/>
  </r>
  <r>
    <d v="2024-01-01T00:00:00"/>
    <s v="2023-24"/>
    <n v="2024"/>
    <x v="5"/>
    <x v="5"/>
    <s v="Uttar Pradesh"/>
    <n v="9"/>
    <s v="State"/>
    <n v="2096.9499999999998"/>
    <n v="2880.7"/>
    <n v="2432.66"/>
    <n v="1185.31"/>
    <n v="7410.31"/>
    <n v="8595.6200000000008"/>
    <m/>
  </r>
  <r>
    <d v="2024-01-01T00:00:00"/>
    <s v="2023-24"/>
    <n v="2024"/>
    <x v="5"/>
    <x v="5"/>
    <s v="Uttarakhand"/>
    <n v="5"/>
    <s v="State"/>
    <n v="303.5"/>
    <n v="447.97"/>
    <n v="850.48"/>
    <n v="14.51"/>
    <n v="1601.95"/>
    <n v="1616.46"/>
    <m/>
  </r>
  <r>
    <d v="2024-01-01T00:00:00"/>
    <s v="2023-24"/>
    <n v="2024"/>
    <x v="5"/>
    <x v="5"/>
    <s v="West Bengal"/>
    <n v="19"/>
    <s v="State"/>
    <n v="1721.71"/>
    <n v="2051.65"/>
    <n v="1290.28"/>
    <n v="401.57"/>
    <n v="5063.6400000000003"/>
    <n v="5465.21"/>
    <m/>
  </r>
  <r>
    <d v="2024-02-01T00:00:00"/>
    <s v="2023-24"/>
    <n v="2024"/>
    <x v="6"/>
    <x v="6"/>
    <s v="Andaman and Nicobar Islands"/>
    <n v="35"/>
    <s v="Union Territory"/>
    <n v="15.09"/>
    <n v="19.809999999999999"/>
    <n v="4.04"/>
    <n v="0.23"/>
    <n v="38.94"/>
    <n v="39.17"/>
    <m/>
  </r>
  <r>
    <d v="2024-02-01T00:00:00"/>
    <s v="2023-24"/>
    <n v="2024"/>
    <x v="6"/>
    <x v="6"/>
    <s v="Andhra Pradesh"/>
    <n v="28"/>
    <s v="State"/>
    <n v="884.63"/>
    <n v="1145.21"/>
    <n v="1400.43"/>
    <n v="247.83"/>
    <n v="3430.27"/>
    <n v="3678.1"/>
    <m/>
  </r>
  <r>
    <d v="2024-02-01T00:00:00"/>
    <s v="2023-24"/>
    <n v="2024"/>
    <x v="6"/>
    <x v="6"/>
    <s v="Arunachal Pradesh"/>
    <n v="12"/>
    <s v="State"/>
    <n v="36.82"/>
    <n v="48.36"/>
    <n v="15.72"/>
    <n v="0.12"/>
    <n v="100.9"/>
    <n v="101.02"/>
    <m/>
  </r>
  <r>
    <d v="2024-02-01T00:00:00"/>
    <s v="2023-24"/>
    <n v="2024"/>
    <x v="6"/>
    <x v="6"/>
    <s v="Assam"/>
    <n v="18"/>
    <s v="State"/>
    <n v="403"/>
    <n v="507.08"/>
    <n v="292.56"/>
    <n v="186.99"/>
    <n v="1202.6400000000001"/>
    <n v="1389.63"/>
    <m/>
  </r>
  <r>
    <d v="2024-02-01T00:00:00"/>
    <s v="2023-24"/>
    <n v="2024"/>
    <x v="6"/>
    <x v="6"/>
    <s v="Bihar"/>
    <n v="10"/>
    <s v="State"/>
    <n v="399.29"/>
    <n v="689.37"/>
    <n v="214.36"/>
    <n v="188.08"/>
    <n v="1303.02"/>
    <n v="1491.1"/>
    <m/>
  </r>
  <r>
    <d v="2024-02-01T00:00:00"/>
    <s v="2023-24"/>
    <n v="2024"/>
    <x v="6"/>
    <x v="6"/>
    <s v="Chandigarh"/>
    <n v="4"/>
    <s v="Union Territory"/>
    <n v="42.95"/>
    <n v="58.94"/>
    <n v="106.97"/>
    <n v="2.11"/>
    <n v="208.86"/>
    <n v="210.97"/>
    <m/>
  </r>
  <r>
    <d v="2024-02-01T00:00:00"/>
    <s v="2023-24"/>
    <n v="2024"/>
    <x v="6"/>
    <x v="6"/>
    <s v="Chhattisgarh"/>
    <n v="22"/>
    <s v="State"/>
    <n v="597.74"/>
    <n v="712.07"/>
    <n v="1130.32"/>
    <n v="683.74"/>
    <n v="2440.13"/>
    <n v="3123.87"/>
    <m/>
  </r>
  <r>
    <d v="2024-02-01T00:00:00"/>
    <s v="2023-24"/>
    <n v="2024"/>
    <x v="6"/>
    <x v="6"/>
    <s v="Dadra and Nagar Haveli and Daman and Diu"/>
    <n v="38"/>
    <s v="Union Territory"/>
    <n v="46.06"/>
    <n v="60.13"/>
    <n v="248.87"/>
    <n v="0.43"/>
    <n v="355.06"/>
    <n v="355.49"/>
    <m/>
  </r>
  <r>
    <d v="2024-02-01T00:00:00"/>
    <s v="2023-24"/>
    <n v="2024"/>
    <x v="6"/>
    <x v="6"/>
    <s v="Delhi"/>
    <n v="7"/>
    <s v="Union Territory"/>
    <n v="1098.07"/>
    <n v="1300.18"/>
    <n v="3025.19"/>
    <n v="120.52"/>
    <n v="5423.44"/>
    <n v="5543.96"/>
    <m/>
  </r>
  <r>
    <d v="2024-02-01T00:00:00"/>
    <s v="2023-24"/>
    <n v="2024"/>
    <x v="6"/>
    <x v="6"/>
    <s v="Goa"/>
    <n v="30"/>
    <s v="State"/>
    <n v="181.24"/>
    <n v="223.63"/>
    <n v="172.3"/>
    <n v="3.53"/>
    <n v="577.16999999999996"/>
    <n v="580.70000000000005"/>
    <m/>
  </r>
  <r>
    <d v="2024-02-01T00:00:00"/>
    <s v="2023-24"/>
    <n v="2024"/>
    <x v="6"/>
    <x v="6"/>
    <s v="Gujarat"/>
    <n v="24"/>
    <s v="State"/>
    <n v="3103.69"/>
    <n v="3808.84"/>
    <n v="3428.24"/>
    <n v="688.12"/>
    <n v="10340.77"/>
    <n v="11028.89"/>
    <m/>
  </r>
  <r>
    <d v="2024-02-01T00:00:00"/>
    <s v="2023-24"/>
    <n v="2024"/>
    <x v="6"/>
    <x v="6"/>
    <s v="Haryana"/>
    <n v="6"/>
    <s v="State"/>
    <n v="1315.33"/>
    <n v="1720.33"/>
    <n v="4642.79"/>
    <n v="590.79"/>
    <n v="7678.45"/>
    <n v="8269.24"/>
    <m/>
  </r>
  <r>
    <d v="2024-02-01T00:00:00"/>
    <s v="2023-24"/>
    <n v="2024"/>
    <x v="6"/>
    <x v="6"/>
    <s v="Himachal Pradesh"/>
    <n v="2"/>
    <s v="State"/>
    <n v="145.6"/>
    <n v="203.86"/>
    <n v="395.82"/>
    <n v="0.81"/>
    <n v="745.28"/>
    <n v="746.09"/>
    <m/>
  </r>
  <r>
    <d v="2024-02-01T00:00:00"/>
    <s v="2023-24"/>
    <n v="2024"/>
    <x v="6"/>
    <x v="6"/>
    <s v="Jammu and Kashmir"/>
    <n v="1"/>
    <s v="Union Territory"/>
    <n v="181.07"/>
    <n v="231.34"/>
    <n v="115.7"/>
    <n v="3.91"/>
    <n v="528.11"/>
    <n v="532.02"/>
    <m/>
  </r>
  <r>
    <d v="2024-02-01T00:00:00"/>
    <s v="2023-24"/>
    <n v="2024"/>
    <x v="6"/>
    <x v="6"/>
    <s v="Jharkhand"/>
    <n v="20"/>
    <s v="State"/>
    <n v="532.74"/>
    <n v="740.27"/>
    <n v="1034.6300000000001"/>
    <n v="625.13"/>
    <n v="2307.64"/>
    <n v="2932.77"/>
    <m/>
  </r>
  <r>
    <d v="2024-02-01T00:00:00"/>
    <s v="2023-24"/>
    <n v="2024"/>
    <x v="6"/>
    <x v="6"/>
    <s v="Karnataka"/>
    <n v="29"/>
    <s v="State"/>
    <n v="2942.2"/>
    <n v="3519.92"/>
    <n v="4670.2700000000004"/>
    <n v="1682.49"/>
    <n v="11132.39"/>
    <n v="12814.88"/>
    <m/>
  </r>
  <r>
    <d v="2024-02-01T00:00:00"/>
    <s v="2023-24"/>
    <n v="2024"/>
    <x v="6"/>
    <x v="6"/>
    <s v="Kerala"/>
    <n v="32"/>
    <s v="State"/>
    <n v="939.96"/>
    <n v="1230.52"/>
    <n v="512.44000000000005"/>
    <n v="4.76"/>
    <n v="2682.92"/>
    <n v="2687.68"/>
    <m/>
  </r>
  <r>
    <d v="2024-02-01T00:00:00"/>
    <s v="2023-24"/>
    <n v="2024"/>
    <x v="6"/>
    <x v="6"/>
    <s v="Ladakh"/>
    <n v="37"/>
    <s v="Union Territory"/>
    <n v="14.85"/>
    <n v="17.91"/>
    <n v="1.93"/>
    <n v="0.01"/>
    <n v="34.69"/>
    <n v="34.700000000000003"/>
    <m/>
  </r>
  <r>
    <d v="2024-02-01T00:00:00"/>
    <s v="2023-24"/>
    <n v="2024"/>
    <x v="6"/>
    <x v="6"/>
    <s v="Lakshadweep"/>
    <n v="31"/>
    <s v="Union Territory"/>
    <n v="0.82"/>
    <n v="0.93"/>
    <n v="0.16"/>
    <n v="0"/>
    <n v="1.91"/>
    <n v="1.91"/>
    <m/>
  </r>
  <r>
    <d v="2024-02-01T00:00:00"/>
    <s v="2023-24"/>
    <n v="2024"/>
    <x v="6"/>
    <x v="6"/>
    <s v="Madhya Pradesh"/>
    <n v="23"/>
    <s v="State"/>
    <n v="909.09"/>
    <n v="1105.8900000000001"/>
    <n v="935.93"/>
    <n v="620.66999999999996"/>
    <n v="2950.91"/>
    <n v="3571.58"/>
    <m/>
  </r>
  <r>
    <d v="2024-02-01T00:00:00"/>
    <s v="2023-24"/>
    <n v="2024"/>
    <x v="6"/>
    <x v="6"/>
    <s v="Maharashtra"/>
    <n v="27"/>
    <s v="State"/>
    <n v="7211.31"/>
    <n v="8470.41"/>
    <n v="9310.44"/>
    <n v="2072.5300000000002"/>
    <n v="24992.16"/>
    <n v="27064.69"/>
    <m/>
  </r>
  <r>
    <d v="2024-02-01T00:00:00"/>
    <s v="2023-24"/>
    <n v="2024"/>
    <x v="6"/>
    <x v="6"/>
    <s v="Manipur"/>
    <n v="14"/>
    <s v="State"/>
    <n v="18.920000000000002"/>
    <n v="28.4"/>
    <n v="8.08"/>
    <n v="0.15"/>
    <n v="55.4"/>
    <n v="55.55"/>
    <m/>
  </r>
  <r>
    <d v="2024-02-01T00:00:00"/>
    <s v="2023-24"/>
    <n v="2024"/>
    <x v="6"/>
    <x v="6"/>
    <s v="Meghalaya"/>
    <n v="17"/>
    <s v="State"/>
    <n v="44.25"/>
    <n v="53.02"/>
    <n v="95.65"/>
    <n v="0.4"/>
    <n v="192.92"/>
    <n v="193.32"/>
    <m/>
  </r>
  <r>
    <d v="2024-02-01T00:00:00"/>
    <s v="2023-24"/>
    <n v="2024"/>
    <x v="6"/>
    <x v="6"/>
    <s v="Mizoram"/>
    <n v="15"/>
    <s v="State"/>
    <n v="18.920000000000002"/>
    <n v="27.04"/>
    <n v="3.36"/>
    <n v="0.02"/>
    <n v="49.32"/>
    <n v="49.34"/>
    <m/>
  </r>
  <r>
    <d v="2024-02-01T00:00:00"/>
    <s v="2023-24"/>
    <n v="2024"/>
    <x v="6"/>
    <x v="6"/>
    <s v="Nagaland"/>
    <n v="13"/>
    <s v="State"/>
    <n v="15.41"/>
    <n v="21.24"/>
    <n v="10.53"/>
    <n v="4.03"/>
    <n v="47.18"/>
    <n v="51.21"/>
    <m/>
  </r>
  <r>
    <d v="2024-02-01T00:00:00"/>
    <s v="2023-24"/>
    <n v="2024"/>
    <x v="6"/>
    <x v="6"/>
    <s v="Odisha"/>
    <n v="21"/>
    <s v="State"/>
    <n v="1232.02"/>
    <n v="1464.73"/>
    <n v="1603.46"/>
    <n v="835.6"/>
    <n v="4300.21"/>
    <n v="5135.8100000000004"/>
    <m/>
  </r>
  <r>
    <d v="2024-02-01T00:00:00"/>
    <s v="2023-24"/>
    <n v="2024"/>
    <x v="6"/>
    <x v="6"/>
    <s v="Puducherry"/>
    <n v="34"/>
    <s v="Union Territory"/>
    <n v="27.5"/>
    <n v="41.54"/>
    <n v="161.47"/>
    <n v="0.26"/>
    <n v="230.51"/>
    <n v="230.77"/>
    <m/>
  </r>
  <r>
    <d v="2024-02-01T00:00:00"/>
    <s v="2023-24"/>
    <n v="2024"/>
    <x v="6"/>
    <x v="6"/>
    <s v="Punjab"/>
    <n v="3"/>
    <s v="State"/>
    <n v="468.33"/>
    <n v="631.39"/>
    <n v="834.26"/>
    <n v="21.15"/>
    <n v="1933.98"/>
    <n v="1955.13"/>
    <m/>
  </r>
  <r>
    <d v="2024-02-01T00:00:00"/>
    <s v="2023-24"/>
    <n v="2024"/>
    <x v="6"/>
    <x v="6"/>
    <s v="Rajasthan"/>
    <n v="8"/>
    <s v="State"/>
    <n v="1136.53"/>
    <n v="1428.73"/>
    <n v="1459.46"/>
    <n v="186.53"/>
    <n v="4024.72"/>
    <n v="4211.25"/>
    <m/>
  </r>
  <r>
    <d v="2024-02-01T00:00:00"/>
    <s v="2023-24"/>
    <n v="2024"/>
    <x v="6"/>
    <x v="6"/>
    <s v="Sikkim"/>
    <n v="11"/>
    <s v="State"/>
    <n v="19.07"/>
    <n v="23.3"/>
    <n v="256.68"/>
    <n v="0.13"/>
    <n v="299.05"/>
    <n v="299.18"/>
    <m/>
  </r>
  <r>
    <d v="2024-02-01T00:00:00"/>
    <s v="2023-24"/>
    <n v="2024"/>
    <x v="6"/>
    <x v="6"/>
    <s v="Tamil Nadu"/>
    <n v="33"/>
    <s v="State"/>
    <n v="2543.02"/>
    <n v="3396.67"/>
    <n v="3098.21"/>
    <n v="674.6"/>
    <n v="9037.9"/>
    <n v="9712.5"/>
    <m/>
  </r>
  <r>
    <d v="2024-02-01T00:00:00"/>
    <s v="2023-24"/>
    <n v="2024"/>
    <x v="6"/>
    <x v="6"/>
    <s v="Telangana"/>
    <n v="36"/>
    <s v="State"/>
    <n v="1418.86"/>
    <n v="1742.76"/>
    <n v="1461.76"/>
    <n v="587.15"/>
    <n v="4623.38"/>
    <n v="5210.53"/>
    <m/>
  </r>
  <r>
    <d v="2024-02-01T00:00:00"/>
    <s v="2023-24"/>
    <n v="2024"/>
    <x v="6"/>
    <x v="6"/>
    <s v="Tripura"/>
    <n v="16"/>
    <s v="State"/>
    <n v="33.299999999999997"/>
    <n v="41.57"/>
    <n v="10.26"/>
    <n v="0.14000000000000001"/>
    <n v="85.13"/>
    <n v="85.27"/>
    <m/>
  </r>
  <r>
    <d v="2024-02-01T00:00:00"/>
    <s v="2023-24"/>
    <n v="2024"/>
    <x v="6"/>
    <x v="6"/>
    <s v="Uttar Pradesh"/>
    <n v="9"/>
    <s v="State"/>
    <n v="1889.91"/>
    <n v="2515.0700000000002"/>
    <n v="2321.3000000000002"/>
    <n v="1327.55"/>
    <n v="6726.28"/>
    <n v="8053.83"/>
    <m/>
  </r>
  <r>
    <d v="2024-02-01T00:00:00"/>
    <s v="2023-24"/>
    <n v="2024"/>
    <x v="6"/>
    <x v="6"/>
    <s v="Uttarakhand"/>
    <n v="5"/>
    <s v="State"/>
    <n v="298.64999999999998"/>
    <n v="439.69"/>
    <n v="776.22"/>
    <n v="10.61"/>
    <n v="1514.56"/>
    <n v="1525.17"/>
    <m/>
  </r>
  <r>
    <d v="2024-02-01T00:00:00"/>
    <s v="2023-24"/>
    <n v="2024"/>
    <x v="6"/>
    <x v="6"/>
    <s v="West Bengal"/>
    <n v="19"/>
    <s v="State"/>
    <n v="1604.66"/>
    <n v="1927.33"/>
    <n v="1341.59"/>
    <n v="483.24"/>
    <n v="4873.58"/>
    <n v="5356.82"/>
    <m/>
  </r>
  <r>
    <d v="2024-03-01T00:00:00"/>
    <s v="2023-24"/>
    <n v="2024"/>
    <x v="7"/>
    <x v="7"/>
    <s v="Andaman and Nicobar Islands"/>
    <n v="35"/>
    <s v="Union Territory"/>
    <n v="12.37"/>
    <n v="15.35"/>
    <n v="4.43"/>
    <n v="0.06"/>
    <n v="32.15"/>
    <n v="32.21"/>
    <m/>
  </r>
  <r>
    <d v="2024-03-01T00:00:00"/>
    <s v="2023-24"/>
    <n v="2024"/>
    <x v="7"/>
    <x v="7"/>
    <s v="Andhra Pradesh"/>
    <n v="28"/>
    <s v="State"/>
    <n v="1022.48"/>
    <n v="1312.44"/>
    <n v="1501.3"/>
    <n v="245.7"/>
    <n v="3836.22"/>
    <n v="4081.92"/>
    <m/>
  </r>
  <r>
    <d v="2024-03-01T00:00:00"/>
    <s v="2023-24"/>
    <n v="2024"/>
    <x v="7"/>
    <x v="7"/>
    <s v="Arunachal Pradesh"/>
    <n v="12"/>
    <s v="State"/>
    <n v="69.45"/>
    <n v="79.58"/>
    <n v="18.440000000000001"/>
    <n v="0.17"/>
    <n v="167.47"/>
    <n v="167.64"/>
    <m/>
  </r>
  <r>
    <d v="2024-03-01T00:00:00"/>
    <s v="2023-24"/>
    <n v="2024"/>
    <x v="7"/>
    <x v="7"/>
    <s v="Assam"/>
    <n v="18"/>
    <s v="State"/>
    <n v="477.95"/>
    <n v="596.96"/>
    <n v="350.79"/>
    <n v="117.62"/>
    <n v="1425.7"/>
    <n v="1543.32"/>
    <m/>
  </r>
  <r>
    <d v="2024-03-01T00:00:00"/>
    <s v="2023-24"/>
    <n v="2024"/>
    <x v="7"/>
    <x v="7"/>
    <s v="Bihar"/>
    <n v="10"/>
    <s v="State"/>
    <n v="553.52"/>
    <n v="1057.3900000000001"/>
    <n v="239.56"/>
    <n v="140.93"/>
    <n v="1850.47"/>
    <n v="1991.4"/>
    <m/>
  </r>
  <r>
    <d v="2024-03-01T00:00:00"/>
    <s v="2023-24"/>
    <n v="2024"/>
    <x v="7"/>
    <x v="7"/>
    <s v="Chandigarh"/>
    <n v="4"/>
    <s v="Union Territory"/>
    <n v="51.59"/>
    <n v="62.54"/>
    <n v="121.84"/>
    <n v="2.1800000000000002"/>
    <n v="235.97"/>
    <n v="238.15"/>
    <m/>
  </r>
  <r>
    <d v="2024-03-01T00:00:00"/>
    <s v="2023-24"/>
    <n v="2024"/>
    <x v="7"/>
    <x v="7"/>
    <s v="Chhattisgarh"/>
    <n v="22"/>
    <s v="State"/>
    <n v="650.44000000000005"/>
    <n v="757.85"/>
    <n v="1056.0999999999999"/>
    <n v="678.55"/>
    <n v="2464.39"/>
    <n v="3142.94"/>
    <m/>
  </r>
  <r>
    <d v="2024-03-01T00:00:00"/>
    <s v="2023-24"/>
    <n v="2024"/>
    <x v="7"/>
    <x v="7"/>
    <s v="Dadra and Nagar Haveli and Daman and Diu"/>
    <n v="38"/>
    <s v="Union Territory"/>
    <n v="49.2"/>
    <n v="62.65"/>
    <n v="340.43"/>
    <n v="0.21"/>
    <n v="452.28"/>
    <n v="452.49"/>
    <m/>
  </r>
  <r>
    <d v="2024-03-01T00:00:00"/>
    <s v="2023-24"/>
    <n v="2024"/>
    <x v="7"/>
    <x v="7"/>
    <s v="Delhi"/>
    <n v="7"/>
    <s v="Union Territory"/>
    <n v="1225.07"/>
    <n v="1412.73"/>
    <n v="3057.59"/>
    <n v="124.55"/>
    <n v="5695.39"/>
    <n v="5819.94"/>
    <m/>
  </r>
  <r>
    <d v="2024-03-01T00:00:00"/>
    <s v="2023-24"/>
    <n v="2024"/>
    <x v="7"/>
    <x v="7"/>
    <s v="Goa"/>
    <n v="30"/>
    <s v="State"/>
    <n v="166.5"/>
    <n v="214.37"/>
    <n v="180.55"/>
    <n v="3.71"/>
    <n v="561.41999999999996"/>
    <n v="565.13"/>
    <m/>
  </r>
  <r>
    <d v="2024-03-01T00:00:00"/>
    <s v="2023-24"/>
    <n v="2024"/>
    <x v="7"/>
    <x v="7"/>
    <s v="Gujarat"/>
    <n v="24"/>
    <s v="State"/>
    <n v="3210.45"/>
    <n v="3905.96"/>
    <n v="3685.87"/>
    <n v="589.96"/>
    <n v="10802.28"/>
    <n v="11392.24"/>
    <m/>
  </r>
  <r>
    <d v="2024-03-01T00:00:00"/>
    <s v="2023-24"/>
    <n v="2024"/>
    <x v="7"/>
    <x v="7"/>
    <s v="Haryana"/>
    <n v="6"/>
    <s v="State"/>
    <n v="1428.35"/>
    <n v="1766.53"/>
    <n v="5733.67"/>
    <n v="616.52"/>
    <n v="8928.5499999999993"/>
    <n v="9545.07"/>
    <m/>
  </r>
  <r>
    <d v="2024-03-01T00:00:00"/>
    <s v="2023-24"/>
    <n v="2024"/>
    <x v="7"/>
    <x v="7"/>
    <s v="Himachal Pradesh"/>
    <n v="2"/>
    <s v="State"/>
    <n v="165.61"/>
    <n v="225.35"/>
    <n v="459.77"/>
    <n v="1.05"/>
    <n v="850.73"/>
    <n v="851.78"/>
    <m/>
  </r>
  <r>
    <d v="2024-03-01T00:00:00"/>
    <s v="2023-24"/>
    <n v="2024"/>
    <x v="7"/>
    <x v="7"/>
    <s v="Jammu and Kashmir"/>
    <n v="1"/>
    <s v="Union Territory"/>
    <n v="200.79"/>
    <n v="264.52"/>
    <n v="129.96"/>
    <n v="6.13"/>
    <n v="595.27"/>
    <n v="601.4"/>
    <m/>
  </r>
  <r>
    <d v="2024-03-01T00:00:00"/>
    <s v="2023-24"/>
    <n v="2024"/>
    <x v="7"/>
    <x v="7"/>
    <s v="Jharkhand"/>
    <n v="20"/>
    <s v="State"/>
    <n v="574.63"/>
    <n v="872.88"/>
    <n v="1165.68"/>
    <n v="629.67999999999995"/>
    <n v="2613.19"/>
    <n v="3242.87"/>
    <m/>
  </r>
  <r>
    <d v="2024-03-01T00:00:00"/>
    <s v="2023-24"/>
    <n v="2024"/>
    <x v="7"/>
    <x v="7"/>
    <s v="Karnataka"/>
    <n v="29"/>
    <s v="State"/>
    <n v="3001.22"/>
    <n v="3664.3"/>
    <n v="4916.82"/>
    <n v="1431.37"/>
    <n v="11582.34"/>
    <n v="13013.71"/>
    <m/>
  </r>
  <r>
    <d v="2024-03-01T00:00:00"/>
    <s v="2023-24"/>
    <n v="2024"/>
    <x v="7"/>
    <x v="7"/>
    <s v="Kerala"/>
    <n v="32"/>
    <s v="State"/>
    <n v="929.52"/>
    <n v="1158.49"/>
    <n v="506.9"/>
    <n v="3.01"/>
    <n v="2594.91"/>
    <n v="2597.92"/>
    <m/>
  </r>
  <r>
    <d v="2024-03-01T00:00:00"/>
    <s v="2023-24"/>
    <n v="2024"/>
    <x v="7"/>
    <x v="7"/>
    <s v="Ladakh"/>
    <n v="37"/>
    <s v="Union Territory"/>
    <n v="17.63"/>
    <n v="20.52"/>
    <n v="3.09"/>
    <n v="0.06"/>
    <n v="41.24"/>
    <n v="41.3"/>
    <m/>
  </r>
  <r>
    <d v="2024-03-01T00:00:00"/>
    <s v="2023-24"/>
    <n v="2024"/>
    <x v="7"/>
    <x v="7"/>
    <s v="Lakshadweep"/>
    <n v="31"/>
    <s v="Union Territory"/>
    <n v="0.8"/>
    <n v="1.2"/>
    <n v="0.22"/>
    <n v="0"/>
    <n v="2.2200000000000002"/>
    <n v="2.2200000000000002"/>
    <m/>
  </r>
  <r>
    <d v="2024-03-01T00:00:00"/>
    <s v="2023-24"/>
    <n v="2024"/>
    <x v="7"/>
    <x v="7"/>
    <s v="Madhya Pradesh"/>
    <n v="23"/>
    <s v="State"/>
    <n v="994.04"/>
    <n v="1207.56"/>
    <n v="1131.26"/>
    <n v="641.19000000000005"/>
    <n v="3332.86"/>
    <n v="3974.05"/>
    <m/>
  </r>
  <r>
    <d v="2024-03-01T00:00:00"/>
    <s v="2023-24"/>
    <n v="2024"/>
    <x v="7"/>
    <x v="7"/>
    <s v="Maharashtra"/>
    <n v="27"/>
    <s v="State"/>
    <n v="7734.14"/>
    <n v="9259.19"/>
    <n v="8662.98"/>
    <n v="2031.55"/>
    <n v="25656.31"/>
    <n v="27687.86"/>
    <m/>
  </r>
  <r>
    <d v="2024-03-01T00:00:00"/>
    <s v="2023-24"/>
    <n v="2024"/>
    <x v="7"/>
    <x v="7"/>
    <s v="Manipur"/>
    <n v="14"/>
    <s v="State"/>
    <n v="26.06"/>
    <n v="35.479999999999997"/>
    <n v="7.51"/>
    <n v="0.15"/>
    <n v="69.05"/>
    <n v="69.2"/>
    <m/>
  </r>
  <r>
    <d v="2024-03-01T00:00:00"/>
    <s v="2023-24"/>
    <n v="2024"/>
    <x v="7"/>
    <x v="7"/>
    <s v="Meghalaya"/>
    <n v="17"/>
    <s v="State"/>
    <n v="48.63"/>
    <n v="57.1"/>
    <n v="106.12"/>
    <n v="1.0900000000000001"/>
    <n v="211.85"/>
    <n v="212.94"/>
    <m/>
  </r>
  <r>
    <d v="2024-03-01T00:00:00"/>
    <s v="2023-24"/>
    <n v="2024"/>
    <x v="7"/>
    <x v="7"/>
    <s v="Mizoram"/>
    <n v="15"/>
    <s v="State"/>
    <n v="18.25"/>
    <n v="28.71"/>
    <n v="3.21"/>
    <n v="7.0000000000000007E-2"/>
    <n v="50.17"/>
    <n v="50.24"/>
    <m/>
  </r>
  <r>
    <d v="2024-03-01T00:00:00"/>
    <s v="2023-24"/>
    <n v="2024"/>
    <x v="7"/>
    <x v="7"/>
    <s v="Nagaland"/>
    <n v="13"/>
    <s v="State"/>
    <n v="31.19"/>
    <n v="37.19"/>
    <n v="10.18"/>
    <n v="4.03"/>
    <n v="78.56"/>
    <n v="82.59"/>
    <m/>
  </r>
  <r>
    <d v="2024-03-01T00:00:00"/>
    <s v="2023-24"/>
    <n v="2024"/>
    <x v="7"/>
    <x v="7"/>
    <s v="Odisha"/>
    <n v="21"/>
    <s v="State"/>
    <n v="1380.4"/>
    <n v="1659.31"/>
    <n v="1266.47"/>
    <n v="803.15"/>
    <n v="4306.18"/>
    <n v="5109.33"/>
    <m/>
  </r>
  <r>
    <d v="2024-03-01T00:00:00"/>
    <s v="2023-24"/>
    <n v="2024"/>
    <x v="7"/>
    <x v="7"/>
    <s v="Puducherry"/>
    <n v="34"/>
    <s v="Union Territory"/>
    <n v="29.7"/>
    <n v="42.03"/>
    <n v="149.19999999999999"/>
    <n v="0.56000000000000005"/>
    <n v="220.93"/>
    <n v="221.49"/>
    <m/>
  </r>
  <r>
    <d v="2024-03-01T00:00:00"/>
    <s v="2023-24"/>
    <n v="2024"/>
    <x v="7"/>
    <x v="7"/>
    <s v="Punjab"/>
    <n v="3"/>
    <s v="State"/>
    <n v="503.96"/>
    <n v="716.53"/>
    <n v="840.79"/>
    <n v="29.04"/>
    <n v="2061.2800000000002"/>
    <n v="2090.3200000000002"/>
    <m/>
  </r>
  <r>
    <d v="2024-03-01T00:00:00"/>
    <s v="2023-24"/>
    <n v="2024"/>
    <x v="7"/>
    <x v="7"/>
    <s v="Rajasthan"/>
    <n v="8"/>
    <s v="State"/>
    <n v="1291.8599999999999"/>
    <n v="1768.59"/>
    <n v="1565.7"/>
    <n v="171.96"/>
    <n v="4626.1499999999996"/>
    <n v="4798.1099999999997"/>
    <m/>
  </r>
  <r>
    <d v="2024-03-01T00:00:00"/>
    <s v="2023-24"/>
    <n v="2024"/>
    <x v="7"/>
    <x v="7"/>
    <s v="Sikkim"/>
    <n v="11"/>
    <s v="State"/>
    <n v="22.2"/>
    <n v="32.58"/>
    <n v="248.44"/>
    <n v="0.15"/>
    <n v="303.22000000000003"/>
    <n v="303.37"/>
    <m/>
  </r>
  <r>
    <d v="2024-03-01T00:00:00"/>
    <s v="2023-24"/>
    <n v="2024"/>
    <x v="7"/>
    <x v="7"/>
    <s v="Tamil Nadu"/>
    <n v="33"/>
    <s v="State"/>
    <n v="2875.4"/>
    <n v="4058.41"/>
    <n v="3302.15"/>
    <n v="780.88"/>
    <n v="10235.959999999999"/>
    <n v="11016.84"/>
    <m/>
  </r>
  <r>
    <d v="2024-03-01T00:00:00"/>
    <s v="2023-24"/>
    <n v="2024"/>
    <x v="7"/>
    <x v="7"/>
    <s v="Telangana"/>
    <n v="36"/>
    <s v="State"/>
    <n v="1404.47"/>
    <n v="1837.21"/>
    <n v="1595.58"/>
    <n v="561.96"/>
    <n v="4837.26"/>
    <n v="5399.22"/>
    <m/>
  </r>
  <r>
    <d v="2024-03-01T00:00:00"/>
    <s v="2023-24"/>
    <n v="2024"/>
    <x v="7"/>
    <x v="7"/>
    <s v="Tripura"/>
    <n v="16"/>
    <s v="State"/>
    <n v="44.74"/>
    <n v="56.67"/>
    <n v="19.23"/>
    <n v="0.09"/>
    <n v="120.64"/>
    <n v="120.73"/>
    <m/>
  </r>
  <r>
    <d v="2024-03-01T00:00:00"/>
    <s v="2023-24"/>
    <n v="2024"/>
    <x v="7"/>
    <x v="7"/>
    <s v="Uttar Pradesh"/>
    <n v="9"/>
    <s v="State"/>
    <n v="2262.4299999999998"/>
    <n v="2974.26"/>
    <n v="2626.33"/>
    <n v="1224"/>
    <n v="7863.02"/>
    <n v="9087.02"/>
    <m/>
  </r>
  <r>
    <d v="2024-03-01T00:00:00"/>
    <s v="2023-24"/>
    <n v="2024"/>
    <x v="7"/>
    <x v="7"/>
    <s v="Uttarakhand"/>
    <n v="5"/>
    <s v="State"/>
    <n v="353.87"/>
    <n v="481.09"/>
    <n v="885.31"/>
    <n v="9.3699999999999992"/>
    <n v="1720.27"/>
    <n v="1729.64"/>
    <m/>
  </r>
  <r>
    <d v="2024-03-01T00:00:00"/>
    <s v="2023-24"/>
    <n v="2024"/>
    <x v="7"/>
    <x v="7"/>
    <s v="West Bengal"/>
    <n v="19"/>
    <s v="State"/>
    <n v="1691.71"/>
    <n v="2029.51"/>
    <n v="1338.97"/>
    <n v="412.55"/>
    <n v="5060.1899999999996"/>
    <n v="5472.74"/>
    <m/>
  </r>
  <r>
    <d v="2024-04-01T00:00:00"/>
    <s v="2024-25"/>
    <n v="2024"/>
    <x v="8"/>
    <x v="8"/>
    <s v="Andaman and Nicobar Islands"/>
    <n v="35"/>
    <s v="Union Territory"/>
    <n v="26.79"/>
    <n v="31.56"/>
    <n v="6.15"/>
    <n v="0.05"/>
    <n v="64.5"/>
    <n v="64.55"/>
    <m/>
  </r>
  <r>
    <d v="2024-04-01T00:00:00"/>
    <s v="2024-25"/>
    <n v="2024"/>
    <x v="8"/>
    <x v="8"/>
    <s v="Andhra Pradesh"/>
    <n v="28"/>
    <s v="State"/>
    <n v="1290.8399999999999"/>
    <n v="1621.08"/>
    <n v="1639.61"/>
    <n v="297.99"/>
    <n v="4551.53"/>
    <n v="4849.5200000000004"/>
    <m/>
  </r>
  <r>
    <d v="2024-04-01T00:00:00"/>
    <s v="2024-25"/>
    <n v="2024"/>
    <x v="8"/>
    <x v="8"/>
    <s v="Arunachal Pradesh"/>
    <n v="12"/>
    <s v="State"/>
    <n v="80.92"/>
    <n v="100.91"/>
    <n v="18.149999999999999"/>
    <n v="0.1"/>
    <n v="199.98"/>
    <n v="200.08"/>
    <m/>
  </r>
  <r>
    <d v="2024-04-01T00:00:00"/>
    <s v="2024-25"/>
    <n v="2024"/>
    <x v="8"/>
    <x v="8"/>
    <s v="Assam"/>
    <n v="18"/>
    <s v="State"/>
    <n v="601.58000000000004"/>
    <n v="735.17"/>
    <n v="371.56"/>
    <n v="186.25"/>
    <n v="1708.31"/>
    <n v="1894.56"/>
    <m/>
  </r>
  <r>
    <d v="2024-04-01T00:00:00"/>
    <s v="2024-25"/>
    <n v="2024"/>
    <x v="8"/>
    <x v="8"/>
    <s v="Bihar"/>
    <n v="10"/>
    <s v="State"/>
    <n v="616.45000000000005"/>
    <n v="950.72"/>
    <n v="253.01"/>
    <n v="171.6"/>
    <n v="1820.18"/>
    <n v="1991.78"/>
    <m/>
  </r>
  <r>
    <d v="2024-04-01T00:00:00"/>
    <s v="2024-25"/>
    <n v="2024"/>
    <x v="8"/>
    <x v="8"/>
    <s v="Chandigarh"/>
    <n v="4"/>
    <s v="Union Territory"/>
    <n v="54.82"/>
    <n v="75.48"/>
    <n v="178.47"/>
    <n v="4.26"/>
    <n v="308.77"/>
    <n v="313.02999999999997"/>
    <m/>
  </r>
  <r>
    <d v="2024-04-01T00:00:00"/>
    <s v="2024-25"/>
    <n v="2024"/>
    <x v="8"/>
    <x v="8"/>
    <s v="Chhattisgarh"/>
    <n v="22"/>
    <s v="State"/>
    <n v="810.72"/>
    <n v="929.38"/>
    <n v="1553.54"/>
    <n v="706.94"/>
    <n v="3293.64"/>
    <n v="4000.58"/>
    <m/>
  </r>
  <r>
    <d v="2024-04-01T00:00:00"/>
    <s v="2024-25"/>
    <n v="2024"/>
    <x v="8"/>
    <x v="8"/>
    <s v="Dadra and Nagar Haveli and Daman and Diu"/>
    <n v="38"/>
    <s v="Union Territory"/>
    <n v="59.88"/>
    <n v="75.38"/>
    <n v="312.02999999999997"/>
    <n v="0.13"/>
    <n v="447.29"/>
    <n v="447.42"/>
    <m/>
  </r>
  <r>
    <d v="2024-04-01T00:00:00"/>
    <s v="2024-25"/>
    <n v="2024"/>
    <x v="8"/>
    <x v="8"/>
    <s v="Delhi"/>
    <n v="7"/>
    <s v="Union Territory"/>
    <n v="1740.46"/>
    <n v="2026.77"/>
    <n v="3889.72"/>
    <n v="114.71"/>
    <n v="7656.95"/>
    <n v="7771.66"/>
    <m/>
  </r>
  <r>
    <d v="2024-04-01T00:00:00"/>
    <s v="2024-25"/>
    <n v="2024"/>
    <x v="8"/>
    <x v="8"/>
    <s v="Goa"/>
    <n v="30"/>
    <s v="State"/>
    <n v="225.39"/>
    <n v="282.75"/>
    <n v="252.25"/>
    <n v="4.38"/>
    <n v="760.39"/>
    <n v="764.77"/>
    <m/>
  </r>
  <r>
    <d v="2024-04-01T00:00:00"/>
    <s v="2024-25"/>
    <n v="2024"/>
    <x v="8"/>
    <x v="8"/>
    <s v="Gujarat"/>
    <n v="24"/>
    <s v="State"/>
    <n v="3846.83"/>
    <n v="4537.6499999999996"/>
    <n v="4232.33"/>
    <n v="684.05"/>
    <n v="12616.81"/>
    <n v="13300.86"/>
    <m/>
  </r>
  <r>
    <d v="2024-04-01T00:00:00"/>
    <s v="2024-25"/>
    <n v="2024"/>
    <x v="8"/>
    <x v="8"/>
    <s v="Haryana"/>
    <n v="6"/>
    <s v="State"/>
    <n v="1659.64"/>
    <n v="2172.14"/>
    <n v="7725.38"/>
    <n v="610.51"/>
    <n v="11557.16"/>
    <n v="12167.67"/>
    <m/>
  </r>
  <r>
    <d v="2024-04-01T00:00:00"/>
    <s v="2024-25"/>
    <n v="2024"/>
    <x v="8"/>
    <x v="8"/>
    <s v="Himachal Pradesh"/>
    <n v="2"/>
    <s v="State"/>
    <n v="219.7"/>
    <n v="302.64"/>
    <n v="491.19"/>
    <n v="1.59"/>
    <n v="1013.53"/>
    <n v="1015.12"/>
    <m/>
  </r>
  <r>
    <d v="2024-04-01T00:00:00"/>
    <s v="2024-25"/>
    <n v="2024"/>
    <x v="8"/>
    <x v="8"/>
    <s v="Jammu and Kashmir"/>
    <n v="1"/>
    <s v="Union Territory"/>
    <n v="269.64"/>
    <n v="362.34"/>
    <n v="149.88"/>
    <n v="7.35"/>
    <n v="781.86"/>
    <n v="789.21"/>
    <m/>
  </r>
  <r>
    <d v="2024-04-01T00:00:00"/>
    <s v="2024-25"/>
    <n v="2024"/>
    <x v="8"/>
    <x v="8"/>
    <s v="Jharkhand"/>
    <n v="20"/>
    <s v="State"/>
    <n v="714.08"/>
    <n v="934.43"/>
    <n v="1492.99"/>
    <n v="687.71"/>
    <n v="3141.5"/>
    <n v="3829.21"/>
    <m/>
  </r>
  <r>
    <d v="2024-04-01T00:00:00"/>
    <s v="2024-25"/>
    <n v="2024"/>
    <x v="8"/>
    <x v="8"/>
    <s v="Karnataka"/>
    <n v="29"/>
    <s v="State"/>
    <n v="3896.36"/>
    <n v="4715.34"/>
    <n v="5791.48"/>
    <n v="1574.97"/>
    <n v="14403.18"/>
    <n v="15978.15"/>
    <m/>
  </r>
  <r>
    <d v="2024-04-01T00:00:00"/>
    <s v="2024-25"/>
    <n v="2024"/>
    <x v="8"/>
    <x v="8"/>
    <s v="Kerala"/>
    <n v="32"/>
    <s v="State"/>
    <n v="1157.1099999999999"/>
    <n v="1456.12"/>
    <n v="652.1"/>
    <n v="6.88"/>
    <n v="3265.33"/>
    <n v="3272.21"/>
    <m/>
  </r>
  <r>
    <d v="2024-04-01T00:00:00"/>
    <s v="2024-25"/>
    <n v="2024"/>
    <x v="8"/>
    <x v="8"/>
    <s v="Ladakh"/>
    <n v="37"/>
    <s v="Union Territory"/>
    <n v="29.57"/>
    <n v="35.92"/>
    <n v="3.97"/>
    <n v="0.05"/>
    <n v="69.459999999999994"/>
    <n v="69.510000000000005"/>
    <m/>
  </r>
  <r>
    <d v="2024-04-01T00:00:00"/>
    <s v="2024-25"/>
    <n v="2024"/>
    <x v="8"/>
    <x v="8"/>
    <s v="Lakshadweep"/>
    <n v="31"/>
    <s v="Union Territory"/>
    <n v="0.18"/>
    <n v="0.22"/>
    <n v="0.81"/>
    <n v="0"/>
    <n v="1.21"/>
    <n v="1.21"/>
    <m/>
  </r>
  <r>
    <d v="2024-04-01T00:00:00"/>
    <s v="2024-25"/>
    <n v="2024"/>
    <x v="8"/>
    <x v="8"/>
    <s v="Madhya Pradesh"/>
    <n v="23"/>
    <s v="State"/>
    <n v="1220.58"/>
    <n v="1519.6"/>
    <n v="1365.12"/>
    <n v="622.53"/>
    <n v="4105.3"/>
    <n v="4727.83"/>
    <m/>
  </r>
  <r>
    <d v="2024-04-01T00:00:00"/>
    <s v="2024-25"/>
    <n v="2024"/>
    <x v="8"/>
    <x v="8"/>
    <s v="Maharashtra"/>
    <n v="27"/>
    <s v="State"/>
    <n v="10263.18"/>
    <n v="11729.43"/>
    <n v="13430.36"/>
    <n v="2247.84"/>
    <n v="35422.97"/>
    <n v="37670.81"/>
    <m/>
  </r>
  <r>
    <d v="2024-04-01T00:00:00"/>
    <s v="2024-25"/>
    <n v="2024"/>
    <x v="8"/>
    <x v="8"/>
    <s v="Manipur"/>
    <n v="14"/>
    <s v="State"/>
    <n v="41.34"/>
    <n v="52.61"/>
    <n v="9.9499999999999993"/>
    <n v="0.08"/>
    <n v="103.9"/>
    <n v="103.98"/>
    <m/>
  </r>
  <r>
    <d v="2024-04-01T00:00:00"/>
    <s v="2024-25"/>
    <n v="2024"/>
    <x v="8"/>
    <x v="8"/>
    <s v="Meghalaya"/>
    <n v="17"/>
    <s v="State"/>
    <n v="63.17"/>
    <n v="75.59"/>
    <n v="94.82"/>
    <n v="0.38"/>
    <n v="233.58"/>
    <n v="233.96"/>
    <m/>
  </r>
  <r>
    <d v="2024-04-01T00:00:00"/>
    <s v="2024-25"/>
    <n v="2024"/>
    <x v="8"/>
    <x v="8"/>
    <s v="Mizoram"/>
    <n v="15"/>
    <s v="State"/>
    <n v="43.71"/>
    <n v="59.38"/>
    <n v="4.9000000000000004"/>
    <n v="0.08"/>
    <n v="107.99"/>
    <n v="108.07"/>
    <m/>
  </r>
  <r>
    <d v="2024-04-01T00:00:00"/>
    <s v="2024-25"/>
    <n v="2024"/>
    <x v="8"/>
    <x v="8"/>
    <s v="Nagaland"/>
    <n v="13"/>
    <s v="State"/>
    <n v="30.71"/>
    <n v="40.6"/>
    <n v="10.42"/>
    <n v="4.13"/>
    <n v="81.73"/>
    <n v="85.86"/>
    <m/>
  </r>
  <r>
    <d v="2024-04-01T00:00:00"/>
    <s v="2024-25"/>
    <n v="2024"/>
    <x v="8"/>
    <x v="8"/>
    <s v="Odisha"/>
    <n v="21"/>
    <s v="State"/>
    <n v="1674.38"/>
    <n v="2081.83"/>
    <n v="1349.66"/>
    <n v="796.38"/>
    <n v="5105.87"/>
    <n v="5902.25"/>
    <m/>
  </r>
  <r>
    <d v="2024-04-01T00:00:00"/>
    <s v="2024-25"/>
    <n v="2024"/>
    <x v="8"/>
    <x v="8"/>
    <s v="Puducherry"/>
    <n v="34"/>
    <s v="Union Territory"/>
    <n v="35.36"/>
    <n v="54.12"/>
    <n v="154.94999999999999"/>
    <n v="2.2200000000000002"/>
    <n v="244.43"/>
    <n v="246.65"/>
    <m/>
  </r>
  <r>
    <d v="2024-04-01T00:00:00"/>
    <s v="2024-25"/>
    <n v="2024"/>
    <x v="8"/>
    <x v="8"/>
    <s v="Punjab"/>
    <n v="3"/>
    <s v="State"/>
    <n v="693.2"/>
    <n v="998.58"/>
    <n v="1068.8599999999999"/>
    <n v="35.159999999999997"/>
    <n v="2760.64"/>
    <n v="2795.8"/>
    <m/>
  </r>
  <r>
    <d v="2024-04-01T00:00:00"/>
    <s v="2024-25"/>
    <n v="2024"/>
    <x v="8"/>
    <x v="8"/>
    <s v="Rajasthan"/>
    <n v="8"/>
    <s v="State"/>
    <n v="1600.9"/>
    <n v="1889.1"/>
    <n v="1890.19"/>
    <n v="177.82"/>
    <n v="5380.19"/>
    <n v="5558.01"/>
    <m/>
  </r>
  <r>
    <d v="2024-04-01T00:00:00"/>
    <s v="2024-25"/>
    <n v="2024"/>
    <x v="8"/>
    <x v="8"/>
    <s v="Sikkim"/>
    <n v="11"/>
    <s v="State"/>
    <n v="46.69"/>
    <n v="69.2"/>
    <n v="287.54000000000002"/>
    <n v="0.05"/>
    <n v="403.43"/>
    <n v="403.48"/>
    <m/>
  </r>
  <r>
    <d v="2024-04-01T00:00:00"/>
    <s v="2024-25"/>
    <n v="2024"/>
    <x v="8"/>
    <x v="8"/>
    <s v="Tamil Nadu"/>
    <n v="33"/>
    <s v="State"/>
    <n v="3193.48"/>
    <n v="4066.49"/>
    <n v="4157.6899999999996"/>
    <n v="792.3"/>
    <n v="11417.66"/>
    <n v="12209.96"/>
    <m/>
  </r>
  <r>
    <d v="2024-04-01T00:00:00"/>
    <s v="2024-25"/>
    <n v="2024"/>
    <x v="8"/>
    <x v="8"/>
    <s v="Telangana"/>
    <n v="36"/>
    <s v="State"/>
    <n v="1720.73"/>
    <n v="2062.94"/>
    <n v="1890.34"/>
    <n v="561.88"/>
    <n v="5674.01"/>
    <n v="6235.89"/>
    <m/>
  </r>
  <r>
    <d v="2024-04-01T00:00:00"/>
    <s v="2024-25"/>
    <n v="2024"/>
    <x v="8"/>
    <x v="8"/>
    <s v="Tripura"/>
    <n v="16"/>
    <s v="State"/>
    <n v="64.34"/>
    <n v="79.81"/>
    <n v="16.43"/>
    <n v="0.04"/>
    <n v="160.58000000000001"/>
    <n v="160.62"/>
    <m/>
  </r>
  <r>
    <d v="2024-04-01T00:00:00"/>
    <s v="2024-25"/>
    <n v="2024"/>
    <x v="8"/>
    <x v="8"/>
    <s v="Uttar Pradesh"/>
    <n v="9"/>
    <s v="State"/>
    <n v="3202.68"/>
    <n v="4120.71"/>
    <n v="3606.43"/>
    <n v="1360.3"/>
    <n v="10929.82"/>
    <n v="12290.12"/>
    <m/>
  </r>
  <r>
    <d v="2024-04-01T00:00:00"/>
    <s v="2024-25"/>
    <n v="2024"/>
    <x v="8"/>
    <x v="8"/>
    <s v="Uttarakhand"/>
    <n v="5"/>
    <s v="State"/>
    <n v="460.53"/>
    <n v="636.26"/>
    <n v="1132.22"/>
    <n v="10.02"/>
    <n v="2229.0100000000002"/>
    <n v="2239.0300000000002"/>
    <m/>
  </r>
  <r>
    <d v="2024-04-01T00:00:00"/>
    <s v="2024-25"/>
    <n v="2024"/>
    <x v="8"/>
    <x v="8"/>
    <s v="West Bengal"/>
    <n v="19"/>
    <s v="State"/>
    <n v="2177.9499999999998"/>
    <n v="2640.03"/>
    <n v="1894.17"/>
    <n v="581.30999999999995"/>
    <n v="6712.15"/>
    <n v="7293.46"/>
    <m/>
  </r>
  <r>
    <d v="2024-05-01T00:00:00"/>
    <s v="2024-25"/>
    <n v="2024"/>
    <x v="9"/>
    <x v="9"/>
    <s v="Andaman and Nicobar Islands"/>
    <n v="35"/>
    <s v="Union Territory"/>
    <n v="13.54"/>
    <n v="17.7"/>
    <n v="5.28"/>
    <n v="0.05"/>
    <n v="36.520000000000003"/>
    <n v="36.57"/>
    <m/>
  </r>
  <r>
    <d v="2024-05-01T00:00:00"/>
    <s v="2024-25"/>
    <n v="2024"/>
    <x v="9"/>
    <x v="9"/>
    <s v="Andhra Pradesh"/>
    <n v="28"/>
    <s v="State"/>
    <n v="980.51"/>
    <n v="1240.0999999999999"/>
    <n v="1410.08"/>
    <n v="259.77999999999997"/>
    <n v="3630.69"/>
    <n v="3890.47"/>
    <m/>
  </r>
  <r>
    <d v="2024-05-01T00:00:00"/>
    <s v="2024-25"/>
    <n v="2024"/>
    <x v="9"/>
    <x v="9"/>
    <s v="Arunachal Pradesh"/>
    <n v="12"/>
    <s v="State"/>
    <n v="36.31"/>
    <n v="44.52"/>
    <n v="17.23"/>
    <n v="0.21"/>
    <n v="98.06"/>
    <n v="98.27"/>
    <m/>
  </r>
  <r>
    <d v="2024-05-01T00:00:00"/>
    <s v="2024-25"/>
    <n v="2024"/>
    <x v="9"/>
    <x v="9"/>
    <s v="Assam"/>
    <n v="18"/>
    <s v="State"/>
    <n v="375.64"/>
    <n v="511.47"/>
    <n v="281.93"/>
    <n v="59.42"/>
    <n v="1169.04"/>
    <n v="1228.46"/>
    <m/>
  </r>
  <r>
    <d v="2024-05-01T00:00:00"/>
    <s v="2024-25"/>
    <n v="2024"/>
    <x v="9"/>
    <x v="9"/>
    <s v="Bihar"/>
    <n v="10"/>
    <s v="State"/>
    <n v="425.19"/>
    <n v="694.56"/>
    <n v="210.87"/>
    <n v="190.55"/>
    <n v="1330.62"/>
    <n v="1521.17"/>
    <m/>
  </r>
  <r>
    <d v="2024-05-01T00:00:00"/>
    <s v="2024-25"/>
    <n v="2024"/>
    <x v="9"/>
    <x v="9"/>
    <s v="Chandigarh"/>
    <n v="4"/>
    <s v="Union Territory"/>
    <n v="41.51"/>
    <n v="54.22"/>
    <n v="138.1"/>
    <n v="3.32"/>
    <n v="233.83"/>
    <n v="237.15"/>
    <m/>
  </r>
  <r>
    <d v="2024-05-01T00:00:00"/>
    <s v="2024-25"/>
    <n v="2024"/>
    <x v="9"/>
    <x v="9"/>
    <s v="Chhattisgarh"/>
    <n v="22"/>
    <s v="State"/>
    <n v="556.91999999999996"/>
    <n v="661.49"/>
    <n v="952.81"/>
    <n v="681.79"/>
    <n v="2171.2199999999998"/>
    <n v="2853.01"/>
    <m/>
  </r>
  <r>
    <d v="2024-05-01T00:00:00"/>
    <s v="2024-25"/>
    <n v="2024"/>
    <x v="9"/>
    <x v="9"/>
    <s v="Dadra and Nagar Haveli and Daman and Diu"/>
    <n v="38"/>
    <s v="Union Territory"/>
    <n v="47.05"/>
    <n v="57.93"/>
    <n v="269.83999999999997"/>
    <n v="0.3"/>
    <n v="374.82"/>
    <n v="375.12"/>
    <m/>
  </r>
  <r>
    <d v="2024-05-01T00:00:00"/>
    <s v="2024-25"/>
    <n v="2024"/>
    <x v="9"/>
    <x v="9"/>
    <s v="Delhi"/>
    <n v="7"/>
    <s v="Union Territory"/>
    <n v="1286.6400000000001"/>
    <n v="1476.93"/>
    <n v="4630.3"/>
    <n v="117.64"/>
    <n v="7393.87"/>
    <n v="7511.51"/>
    <m/>
  </r>
  <r>
    <d v="2024-05-01T00:00:00"/>
    <s v="2024-25"/>
    <n v="2024"/>
    <x v="9"/>
    <x v="9"/>
    <s v="Goa"/>
    <n v="30"/>
    <s v="State"/>
    <n v="146.32"/>
    <n v="190.01"/>
    <n v="178.83"/>
    <n v="3.99"/>
    <n v="515.16"/>
    <n v="519.15"/>
    <m/>
  </r>
  <r>
    <d v="2024-05-01T00:00:00"/>
    <s v="2024-25"/>
    <n v="2024"/>
    <x v="9"/>
    <x v="9"/>
    <s v="Gujarat"/>
    <n v="24"/>
    <s v="State"/>
    <n v="2952.79"/>
    <n v="3525.91"/>
    <n v="4158"/>
    <n v="688"/>
    <n v="10636.7"/>
    <n v="11324.7"/>
    <m/>
  </r>
  <r>
    <d v="2024-05-01T00:00:00"/>
    <s v="2024-25"/>
    <n v="2024"/>
    <x v="9"/>
    <x v="9"/>
    <s v="Haryana"/>
    <n v="6"/>
    <s v="State"/>
    <n v="1518.57"/>
    <n v="1949.86"/>
    <n v="5208.96"/>
    <n v="611.29"/>
    <n v="8677.39"/>
    <n v="9288.68"/>
    <m/>
  </r>
  <r>
    <d v="2024-05-01T00:00:00"/>
    <s v="2024-25"/>
    <n v="2024"/>
    <x v="9"/>
    <x v="9"/>
    <s v="Himachal Pradesh"/>
    <n v="2"/>
    <s v="State"/>
    <n v="133.83000000000001"/>
    <n v="187.15"/>
    <n v="515.62"/>
    <n v="1.76"/>
    <n v="836.6"/>
    <n v="838.36"/>
    <m/>
  </r>
  <r>
    <d v="2024-05-01T00:00:00"/>
    <s v="2024-25"/>
    <n v="2024"/>
    <x v="9"/>
    <x v="9"/>
    <s v="Jammu and Kashmir"/>
    <n v="1"/>
    <s v="Union Territory"/>
    <n v="153.56"/>
    <n v="224.62"/>
    <n v="135.47999999999999"/>
    <n v="11.48"/>
    <n v="513.66"/>
    <n v="525.14"/>
    <m/>
  </r>
  <r>
    <d v="2024-05-01T00:00:00"/>
    <s v="2024-25"/>
    <n v="2024"/>
    <x v="9"/>
    <x v="9"/>
    <s v="Jharkhand"/>
    <n v="20"/>
    <s v="State"/>
    <n v="536.82000000000005"/>
    <n v="735.31"/>
    <n v="804.1"/>
    <n v="623.64"/>
    <n v="2076.23"/>
    <n v="2699.87"/>
    <m/>
  </r>
  <r>
    <d v="2024-05-01T00:00:00"/>
    <s v="2024-25"/>
    <n v="2024"/>
    <x v="9"/>
    <x v="9"/>
    <s v="Karnataka"/>
    <n v="29"/>
    <s v="State"/>
    <n v="2828.84"/>
    <n v="3440.89"/>
    <n v="4392.13"/>
    <n v="1227.52"/>
    <n v="10661.86"/>
    <n v="11889.38"/>
    <m/>
  </r>
  <r>
    <d v="2024-05-01T00:00:00"/>
    <s v="2024-25"/>
    <n v="2024"/>
    <x v="9"/>
    <x v="9"/>
    <s v="Kerala"/>
    <n v="32"/>
    <s v="State"/>
    <n v="935.92"/>
    <n v="1208.98"/>
    <n v="442.69"/>
    <n v="6.19"/>
    <n v="2587.59"/>
    <n v="2593.7800000000002"/>
    <m/>
  </r>
  <r>
    <d v="2024-05-01T00:00:00"/>
    <s v="2024-25"/>
    <n v="2024"/>
    <x v="9"/>
    <x v="9"/>
    <s v="Ladakh"/>
    <n v="37"/>
    <s v="Union Territory"/>
    <n v="5.93"/>
    <n v="7.79"/>
    <n v="1.77"/>
    <n v="0"/>
    <n v="15.49"/>
    <n v="15.49"/>
    <m/>
  </r>
  <r>
    <d v="2024-05-01T00:00:00"/>
    <s v="2024-25"/>
    <n v="2024"/>
    <x v="9"/>
    <x v="9"/>
    <s v="Lakshadweep"/>
    <n v="31"/>
    <s v="Union Territory"/>
    <n v="0.5"/>
    <n v="0.52"/>
    <n v="0.25"/>
    <n v="0"/>
    <n v="1.27"/>
    <n v="1.27"/>
    <m/>
  </r>
  <r>
    <d v="2024-05-01T00:00:00"/>
    <s v="2024-25"/>
    <n v="2024"/>
    <x v="9"/>
    <x v="9"/>
    <s v="Madhya Pradesh"/>
    <n v="23"/>
    <s v="State"/>
    <n v="801.71"/>
    <n v="1028.1500000000001"/>
    <n v="905.5"/>
    <n v="667.13"/>
    <n v="2735.36"/>
    <n v="3402.49"/>
    <m/>
  </r>
  <r>
    <d v="2024-05-01T00:00:00"/>
    <s v="2024-25"/>
    <n v="2024"/>
    <x v="9"/>
    <x v="9"/>
    <s v="Maharashtra"/>
    <n v="27"/>
    <s v="State"/>
    <n v="7607.26"/>
    <n v="8710.9699999999993"/>
    <n v="8462.4599999999991"/>
    <n v="2073.13"/>
    <n v="24780.69"/>
    <n v="26853.82"/>
    <m/>
  </r>
  <r>
    <d v="2024-05-01T00:00:00"/>
    <s v="2024-25"/>
    <n v="2024"/>
    <x v="9"/>
    <x v="9"/>
    <s v="Manipur"/>
    <n v="14"/>
    <s v="State"/>
    <n v="19.66"/>
    <n v="31.59"/>
    <n v="7.23"/>
    <n v="0.02"/>
    <n v="58.48"/>
    <n v="58.5"/>
    <m/>
  </r>
  <r>
    <d v="2024-05-01T00:00:00"/>
    <s v="2024-25"/>
    <n v="2024"/>
    <x v="9"/>
    <x v="9"/>
    <s v="Meghalaya"/>
    <n v="17"/>
    <s v="State"/>
    <n v="37.590000000000003"/>
    <n v="51.64"/>
    <n v="79.8"/>
    <n v="3.05"/>
    <n v="169.03"/>
    <n v="172.08"/>
    <m/>
  </r>
  <r>
    <d v="2024-05-01T00:00:00"/>
    <s v="2024-25"/>
    <n v="2024"/>
    <x v="9"/>
    <x v="9"/>
    <s v="Mizoram"/>
    <n v="15"/>
    <s v="State"/>
    <n v="14.85"/>
    <n v="21.61"/>
    <n v="2.4300000000000002"/>
    <n v="0.11"/>
    <n v="38.89"/>
    <n v="39"/>
    <m/>
  </r>
  <r>
    <d v="2024-05-01T00:00:00"/>
    <s v="2024-25"/>
    <n v="2024"/>
    <x v="9"/>
    <x v="9"/>
    <s v="Nagaland"/>
    <n v="13"/>
    <s v="State"/>
    <n v="15.71"/>
    <n v="19.25"/>
    <n v="6.38"/>
    <n v="3.35"/>
    <n v="41.34"/>
    <n v="44.69"/>
    <m/>
  </r>
  <r>
    <d v="2024-05-01T00:00:00"/>
    <s v="2024-25"/>
    <n v="2024"/>
    <x v="9"/>
    <x v="9"/>
    <s v="Odisha"/>
    <n v="21"/>
    <s v="State"/>
    <n v="1177.83"/>
    <n v="1415.25"/>
    <n v="1622.67"/>
    <n v="811.04"/>
    <n v="4215.75"/>
    <n v="5026.79"/>
    <m/>
  </r>
  <r>
    <d v="2024-05-01T00:00:00"/>
    <s v="2024-25"/>
    <n v="2024"/>
    <x v="9"/>
    <x v="9"/>
    <s v="Puducherry"/>
    <n v="34"/>
    <s v="Union Territory"/>
    <n v="28.73"/>
    <n v="40.65"/>
    <n v="168.77"/>
    <n v="0.81"/>
    <n v="238.15"/>
    <n v="238.96"/>
    <m/>
  </r>
  <r>
    <d v="2024-05-01T00:00:00"/>
    <s v="2024-25"/>
    <n v="2024"/>
    <x v="9"/>
    <x v="9"/>
    <s v="Punjab"/>
    <n v="3"/>
    <s v="State"/>
    <n v="501.05"/>
    <n v="724.42"/>
    <n v="918.32"/>
    <n v="45.77"/>
    <n v="2143.79"/>
    <n v="2189.56"/>
    <m/>
  </r>
  <r>
    <d v="2024-05-01T00:00:00"/>
    <s v="2024-25"/>
    <n v="2024"/>
    <x v="9"/>
    <x v="9"/>
    <s v="Rajasthan"/>
    <n v="8"/>
    <s v="State"/>
    <n v="1198.5899999999999"/>
    <n v="1505.61"/>
    <n v="1572.9"/>
    <n v="137.18"/>
    <n v="4277.1000000000004"/>
    <n v="4414.28"/>
    <m/>
  </r>
  <r>
    <d v="2024-05-01T00:00:00"/>
    <s v="2024-25"/>
    <n v="2024"/>
    <x v="9"/>
    <x v="9"/>
    <s v="Sikkim"/>
    <n v="11"/>
    <s v="State"/>
    <n v="20.94"/>
    <n v="25.95"/>
    <n v="264.61"/>
    <n v="0.33"/>
    <n v="311.5"/>
    <n v="311.83"/>
    <m/>
  </r>
  <r>
    <d v="2024-05-01T00:00:00"/>
    <s v="2024-25"/>
    <n v="2024"/>
    <x v="9"/>
    <x v="9"/>
    <s v="Tamil Nadu"/>
    <n v="33"/>
    <s v="State"/>
    <n v="2736.71"/>
    <n v="3529.8"/>
    <n v="2762.21"/>
    <n v="739.13"/>
    <n v="9028.7199999999993"/>
    <n v="9767.85"/>
    <m/>
  </r>
  <r>
    <d v="2024-05-01T00:00:00"/>
    <s v="2024-25"/>
    <n v="2024"/>
    <x v="9"/>
    <x v="9"/>
    <s v="Telangana"/>
    <n v="36"/>
    <s v="State"/>
    <n v="1266.21"/>
    <n v="1635.88"/>
    <n v="1550.39"/>
    <n v="533.67999999999995"/>
    <n v="4452.4799999999996"/>
    <n v="4986.16"/>
    <m/>
  </r>
  <r>
    <d v="2024-05-01T00:00:00"/>
    <s v="2024-25"/>
    <n v="2024"/>
    <x v="9"/>
    <x v="9"/>
    <s v="Tripura"/>
    <n v="16"/>
    <s v="State"/>
    <n v="28.32"/>
    <n v="36.03"/>
    <n v="8.09"/>
    <n v="0.12"/>
    <n v="72.44"/>
    <n v="72.56"/>
    <m/>
  </r>
  <r>
    <d v="2024-05-01T00:00:00"/>
    <s v="2024-25"/>
    <n v="2024"/>
    <x v="9"/>
    <x v="9"/>
    <s v="Uttar Pradesh"/>
    <n v="9"/>
    <s v="State"/>
    <n v="2020.29"/>
    <n v="2735.6"/>
    <n v="3056.26"/>
    <n v="1279.33"/>
    <n v="7812.15"/>
    <n v="9091.48"/>
    <m/>
  </r>
  <r>
    <d v="2024-05-01T00:00:00"/>
    <s v="2024-25"/>
    <n v="2024"/>
    <x v="9"/>
    <x v="9"/>
    <s v="Uttarakhand"/>
    <n v="5"/>
    <s v="State"/>
    <n v="322.98"/>
    <n v="475.89"/>
    <n v="1025.25"/>
    <n v="12.62"/>
    <n v="1824.12"/>
    <n v="1836.74"/>
    <m/>
  </r>
  <r>
    <d v="2024-05-01T00:00:00"/>
    <s v="2024-25"/>
    <n v="2024"/>
    <x v="9"/>
    <x v="9"/>
    <s v="West Bengal"/>
    <n v="19"/>
    <s v="State"/>
    <n v="1619.58"/>
    <n v="2029.96"/>
    <n v="1313.96"/>
    <n v="413.48"/>
    <n v="4963.5"/>
    <n v="5376.98"/>
    <m/>
  </r>
  <r>
    <d v="2024-06-01T00:00:00"/>
    <s v="2024-25"/>
    <n v="2024"/>
    <x v="10"/>
    <x v="10"/>
    <s v="Andaman and Nicobar Islands"/>
    <n v="35"/>
    <s v="Union Territory"/>
    <n v="12.05"/>
    <n v="14.05"/>
    <n v="4.75"/>
    <n v="0.09"/>
    <n v="30.85"/>
    <n v="30.94"/>
    <m/>
  </r>
  <r>
    <d v="2024-06-01T00:00:00"/>
    <s v="2024-25"/>
    <n v="2024"/>
    <x v="10"/>
    <x v="10"/>
    <s v="Andhra Pradesh"/>
    <n v="28"/>
    <s v="State"/>
    <n v="894.95"/>
    <n v="1150.42"/>
    <n v="1352.66"/>
    <n v="252.78"/>
    <n v="3398.03"/>
    <n v="3650.81"/>
    <m/>
  </r>
  <r>
    <d v="2024-06-01T00:00:00"/>
    <s v="2024-25"/>
    <n v="2024"/>
    <x v="10"/>
    <x v="10"/>
    <s v="Arunachal Pradesh"/>
    <n v="12"/>
    <s v="State"/>
    <n v="38.28"/>
    <n v="45.32"/>
    <n v="7.41"/>
    <n v="0.1"/>
    <n v="91.01"/>
    <n v="91.11"/>
    <m/>
  </r>
  <r>
    <d v="2024-06-01T00:00:00"/>
    <s v="2024-25"/>
    <n v="2024"/>
    <x v="10"/>
    <x v="10"/>
    <s v="Assam"/>
    <n v="18"/>
    <s v="State"/>
    <n v="408.9"/>
    <n v="515.92999999999995"/>
    <n v="364.88"/>
    <n v="158.78"/>
    <n v="1289.71"/>
    <n v="1448.49"/>
    <m/>
  </r>
  <r>
    <d v="2024-06-01T00:00:00"/>
    <s v="2024-25"/>
    <n v="2024"/>
    <x v="10"/>
    <x v="10"/>
    <s v="Bihar"/>
    <n v="10"/>
    <s v="State"/>
    <n v="416.93"/>
    <n v="687.97"/>
    <n v="234.5"/>
    <n v="185.57"/>
    <n v="1339.4"/>
    <n v="1524.97"/>
    <m/>
  </r>
  <r>
    <d v="2024-06-01T00:00:00"/>
    <s v="2024-25"/>
    <n v="2024"/>
    <x v="10"/>
    <x v="10"/>
    <s v="Chandigarh"/>
    <n v="4"/>
    <s v="Union Territory"/>
    <n v="44.56"/>
    <n v="59.64"/>
    <n v="115.93"/>
    <n v="3.38"/>
    <n v="220.13"/>
    <n v="223.51"/>
    <m/>
  </r>
  <r>
    <d v="2024-06-01T00:00:00"/>
    <s v="2024-25"/>
    <n v="2024"/>
    <x v="10"/>
    <x v="10"/>
    <s v="Chhattisgarh"/>
    <n v="22"/>
    <s v="State"/>
    <n v="628.83000000000004"/>
    <n v="730.99"/>
    <n v="1084.3800000000001"/>
    <n v="733.55"/>
    <n v="2444.1999999999998"/>
    <n v="3177.75"/>
    <m/>
  </r>
  <r>
    <d v="2024-06-01T00:00:00"/>
    <s v="2024-25"/>
    <n v="2024"/>
    <x v="10"/>
    <x v="10"/>
    <s v="Dadra and Nagar Haveli and Daman and Diu"/>
    <n v="38"/>
    <s v="Union Territory"/>
    <n v="60.66"/>
    <n v="71.05"/>
    <n v="262.05"/>
    <n v="0.18"/>
    <n v="393.76"/>
    <n v="393.94"/>
    <m/>
  </r>
  <r>
    <d v="2024-06-01T00:00:00"/>
    <s v="2024-25"/>
    <n v="2024"/>
    <x v="10"/>
    <x v="10"/>
    <s v="Delhi"/>
    <n v="7"/>
    <s v="Union Territory"/>
    <n v="1060.7"/>
    <n v="1257.03"/>
    <n v="2857.88"/>
    <n v="113.78"/>
    <n v="5175.6099999999997"/>
    <n v="5289.39"/>
    <m/>
  </r>
  <r>
    <d v="2024-06-01T00:00:00"/>
    <s v="2024-25"/>
    <n v="2024"/>
    <x v="10"/>
    <x v="10"/>
    <s v="Goa"/>
    <n v="30"/>
    <s v="State"/>
    <n v="156.84"/>
    <n v="203.52"/>
    <n v="181.11"/>
    <n v="4.6399999999999997"/>
    <n v="541.47"/>
    <n v="546.11"/>
    <m/>
  </r>
  <r>
    <d v="2024-06-01T00:00:00"/>
    <s v="2024-25"/>
    <n v="2024"/>
    <x v="10"/>
    <x v="10"/>
    <s v="Gujarat"/>
    <n v="24"/>
    <s v="State"/>
    <n v="3042.47"/>
    <n v="3701.91"/>
    <n v="3579.3"/>
    <n v="778.5"/>
    <n v="10323.68"/>
    <n v="11102.18"/>
    <m/>
  </r>
  <r>
    <d v="2024-06-01T00:00:00"/>
    <s v="2024-25"/>
    <n v="2024"/>
    <x v="10"/>
    <x v="10"/>
    <s v="Haryana"/>
    <n v="6"/>
    <s v="State"/>
    <n v="1528.78"/>
    <n v="1936.68"/>
    <n v="4977.62"/>
    <n v="595.22"/>
    <n v="8443.08"/>
    <n v="9038.2999999999993"/>
    <m/>
  </r>
  <r>
    <d v="2024-06-01T00:00:00"/>
    <s v="2024-25"/>
    <n v="2024"/>
    <x v="10"/>
    <x v="10"/>
    <s v="Himachal Pradesh"/>
    <n v="2"/>
    <s v="State"/>
    <n v="162.13"/>
    <n v="219.28"/>
    <n v="501.16"/>
    <n v="3.03"/>
    <n v="882.57"/>
    <n v="885.6"/>
    <m/>
  </r>
  <r>
    <d v="2024-06-01T00:00:00"/>
    <s v="2024-25"/>
    <n v="2024"/>
    <x v="10"/>
    <x v="10"/>
    <s v="Jammu and Kashmir"/>
    <n v="1"/>
    <s v="Union Territory"/>
    <n v="158.62"/>
    <n v="222.84"/>
    <n v="158.16"/>
    <n v="15.44"/>
    <n v="539.62"/>
    <n v="555.05999999999995"/>
    <m/>
  </r>
  <r>
    <d v="2024-06-01T00:00:00"/>
    <s v="2024-25"/>
    <n v="2024"/>
    <x v="10"/>
    <x v="10"/>
    <s v="Jharkhand"/>
    <n v="20"/>
    <s v="State"/>
    <n v="461.28"/>
    <n v="639.01"/>
    <n v="1008.46"/>
    <n v="704.98"/>
    <n v="2108.75"/>
    <n v="2813.73"/>
    <m/>
  </r>
  <r>
    <d v="2024-06-01T00:00:00"/>
    <s v="2024-25"/>
    <n v="2024"/>
    <x v="10"/>
    <x v="10"/>
    <s v="Karnataka"/>
    <n v="29"/>
    <s v="State"/>
    <n v="2832.65"/>
    <n v="3501.02"/>
    <n v="4513.95"/>
    <n v="1541.36"/>
    <n v="10847.62"/>
    <n v="12388.98"/>
    <m/>
  </r>
  <r>
    <d v="2024-06-01T00:00:00"/>
    <s v="2024-25"/>
    <n v="2024"/>
    <x v="10"/>
    <x v="10"/>
    <s v="Kerala"/>
    <n v="32"/>
    <s v="State"/>
    <n v="925.4"/>
    <n v="1181.24"/>
    <n v="505.18"/>
    <n v="5.87"/>
    <n v="2611.8200000000002"/>
    <n v="2617.69"/>
    <m/>
  </r>
  <r>
    <d v="2024-06-01T00:00:00"/>
    <s v="2024-25"/>
    <n v="2024"/>
    <x v="10"/>
    <x v="10"/>
    <s v="Ladakh"/>
    <n v="37"/>
    <s v="Union Territory"/>
    <n v="7.41"/>
    <n v="11.54"/>
    <n v="3.31"/>
    <n v="0.67"/>
    <n v="22.26"/>
    <n v="22.93"/>
    <m/>
  </r>
  <r>
    <d v="2024-06-01T00:00:00"/>
    <s v="2024-25"/>
    <n v="2024"/>
    <x v="10"/>
    <x v="10"/>
    <s v="Lakshadweep"/>
    <n v="31"/>
    <s v="Union Territory"/>
    <n v="0.17"/>
    <n v="0.49"/>
    <n v="0.13"/>
    <n v="0"/>
    <n v="0.79"/>
    <n v="0.79"/>
    <m/>
  </r>
  <r>
    <d v="2024-06-01T00:00:00"/>
    <s v="2024-25"/>
    <n v="2024"/>
    <x v="10"/>
    <x v="10"/>
    <s v="Madhya Pradesh"/>
    <n v="23"/>
    <s v="State"/>
    <n v="842.38"/>
    <n v="1061.69"/>
    <n v="996.77"/>
    <n v="730.27"/>
    <n v="2900.84"/>
    <n v="3631.11"/>
    <m/>
  </r>
  <r>
    <d v="2024-06-01T00:00:00"/>
    <s v="2024-25"/>
    <n v="2024"/>
    <x v="10"/>
    <x v="10"/>
    <s v="Maharashtra"/>
    <n v="27"/>
    <s v="State"/>
    <n v="7929.96"/>
    <n v="9213.1299999999992"/>
    <n v="9682.98"/>
    <n v="2054.79"/>
    <n v="26826.07"/>
    <n v="28880.86"/>
    <m/>
  </r>
  <r>
    <d v="2024-06-01T00:00:00"/>
    <s v="2024-25"/>
    <n v="2024"/>
    <x v="10"/>
    <x v="10"/>
    <s v="Manipur"/>
    <n v="14"/>
    <s v="State"/>
    <n v="21.1"/>
    <n v="33.869999999999997"/>
    <n v="7.05"/>
    <n v="7.0000000000000007E-2"/>
    <n v="62.02"/>
    <n v="62.09"/>
    <m/>
  </r>
  <r>
    <d v="2024-06-01T00:00:00"/>
    <s v="2024-25"/>
    <n v="2024"/>
    <x v="10"/>
    <x v="10"/>
    <s v="Meghalaya"/>
    <n v="17"/>
    <s v="State"/>
    <n v="46.24"/>
    <n v="54.98"/>
    <n v="78"/>
    <n v="1.25"/>
    <n v="179.22"/>
    <n v="180.47"/>
    <m/>
  </r>
  <r>
    <d v="2024-06-01T00:00:00"/>
    <s v="2024-25"/>
    <n v="2024"/>
    <x v="10"/>
    <x v="10"/>
    <s v="Mizoram"/>
    <n v="15"/>
    <s v="State"/>
    <n v="14.69"/>
    <n v="22.78"/>
    <n v="4.5"/>
    <n v="0.26"/>
    <n v="41.97"/>
    <n v="42.23"/>
    <m/>
  </r>
  <r>
    <d v="2024-06-01T00:00:00"/>
    <s v="2024-25"/>
    <n v="2024"/>
    <x v="10"/>
    <x v="10"/>
    <s v="Nagaland"/>
    <n v="13"/>
    <s v="State"/>
    <n v="16.66"/>
    <n v="20.63"/>
    <n v="10.14"/>
    <n v="2.0099999999999998"/>
    <n v="47.43"/>
    <n v="49.44"/>
    <m/>
  </r>
  <r>
    <d v="2024-06-01T00:00:00"/>
    <s v="2024-25"/>
    <n v="2024"/>
    <x v="10"/>
    <x v="10"/>
    <s v="Odisha"/>
    <n v="21"/>
    <s v="State"/>
    <n v="1242.25"/>
    <n v="1458.96"/>
    <n v="1424.14"/>
    <n v="861.92"/>
    <n v="4125.3500000000004"/>
    <n v="4987.2700000000004"/>
    <m/>
  </r>
  <r>
    <d v="2024-06-01T00:00:00"/>
    <s v="2024-25"/>
    <n v="2024"/>
    <x v="10"/>
    <x v="10"/>
    <s v="Puducherry"/>
    <n v="34"/>
    <s v="Union Territory"/>
    <n v="28.57"/>
    <n v="42.92"/>
    <n v="171.01"/>
    <n v="0.79"/>
    <n v="242.5"/>
    <n v="243.29"/>
    <m/>
  </r>
  <r>
    <d v="2024-06-01T00:00:00"/>
    <s v="2024-25"/>
    <n v="2024"/>
    <x v="10"/>
    <x v="10"/>
    <s v="Punjab"/>
    <n v="3"/>
    <s v="State"/>
    <n v="500.15"/>
    <n v="730.67"/>
    <n v="1022.36"/>
    <n v="53"/>
    <n v="2253.1799999999998"/>
    <n v="2306.1799999999998"/>
    <m/>
  </r>
  <r>
    <d v="2024-06-01T00:00:00"/>
    <s v="2024-25"/>
    <n v="2024"/>
    <x v="10"/>
    <x v="10"/>
    <s v="Rajasthan"/>
    <n v="8"/>
    <s v="State"/>
    <n v="1139.8800000000001"/>
    <n v="1458.24"/>
    <n v="1527.78"/>
    <n v="128.18"/>
    <n v="4125.8999999999996"/>
    <n v="4254.08"/>
    <m/>
  </r>
  <r>
    <d v="2024-06-01T00:00:00"/>
    <s v="2024-25"/>
    <n v="2024"/>
    <x v="10"/>
    <x v="10"/>
    <s v="Sikkim"/>
    <n v="11"/>
    <s v="State"/>
    <n v="20.68"/>
    <n v="25.73"/>
    <n v="271.16000000000003"/>
    <n v="0.02"/>
    <n v="317.57"/>
    <n v="317.58999999999997"/>
    <m/>
  </r>
  <r>
    <d v="2024-06-01T00:00:00"/>
    <s v="2024-25"/>
    <n v="2024"/>
    <x v="10"/>
    <x v="10"/>
    <s v="Tamil Nadu"/>
    <n v="33"/>
    <s v="State"/>
    <n v="2674.76"/>
    <n v="3572.88"/>
    <n v="3245.77"/>
    <n v="724.51"/>
    <n v="9493.41"/>
    <n v="10217.92"/>
    <m/>
  </r>
  <r>
    <d v="2024-06-01T00:00:00"/>
    <s v="2024-25"/>
    <n v="2024"/>
    <x v="10"/>
    <x v="10"/>
    <s v="Telangana"/>
    <n v="36"/>
    <s v="State"/>
    <n v="1216.6099999999999"/>
    <n v="1567.93"/>
    <n v="1381.23"/>
    <n v="550.46"/>
    <n v="4165.7700000000004"/>
    <n v="4716.2299999999996"/>
    <m/>
  </r>
  <r>
    <d v="2024-06-01T00:00:00"/>
    <s v="2024-25"/>
    <n v="2024"/>
    <x v="10"/>
    <x v="10"/>
    <s v="Tripura"/>
    <n v="16"/>
    <s v="State"/>
    <n v="27.03"/>
    <n v="35.619999999999997"/>
    <n v="11.45"/>
    <n v="7.0000000000000007E-2"/>
    <n v="74.099999999999994"/>
    <n v="74.17"/>
    <m/>
  </r>
  <r>
    <d v="2024-06-01T00:00:00"/>
    <s v="2024-25"/>
    <n v="2024"/>
    <x v="10"/>
    <x v="10"/>
    <s v="Uttar Pradesh"/>
    <n v="9"/>
    <s v="State"/>
    <n v="2202.4699999999998"/>
    <n v="2906.73"/>
    <n v="3008.16"/>
    <n v="1483.76"/>
    <n v="8117.36"/>
    <n v="9601.1200000000008"/>
    <m/>
  </r>
  <r>
    <d v="2024-06-01T00:00:00"/>
    <s v="2024-25"/>
    <n v="2024"/>
    <x v="10"/>
    <x v="10"/>
    <s v="Uttarakhand"/>
    <n v="5"/>
    <s v="State"/>
    <n v="323.14999999999998"/>
    <n v="472.33"/>
    <n v="897.87"/>
    <n v="11.7"/>
    <n v="1693.35"/>
    <n v="1705.05"/>
    <m/>
  </r>
  <r>
    <d v="2024-06-01T00:00:00"/>
    <s v="2024-25"/>
    <n v="2024"/>
    <x v="10"/>
    <x v="10"/>
    <s v="West Bengal"/>
    <n v="19"/>
    <s v="State"/>
    <n v="1526.38"/>
    <n v="1870.94"/>
    <n v="1388.06"/>
    <n v="487.32"/>
    <n v="4785.38"/>
    <n v="5272.7"/>
    <m/>
  </r>
  <r>
    <d v="2024-07-01T00:00:00"/>
    <s v="2024-25"/>
    <n v="2024"/>
    <x v="11"/>
    <x v="11"/>
    <s v="Andaman and Nicobar Islands"/>
    <n v="35"/>
    <s v="Union Territory"/>
    <n v="15.83"/>
    <n v="18.79"/>
    <n v="4.5"/>
    <n v="0.12"/>
    <n v="39.119999999999997"/>
    <n v="39.24"/>
    <m/>
  </r>
  <r>
    <d v="2024-07-01T00:00:00"/>
    <s v="2024-25"/>
    <n v="2024"/>
    <x v="11"/>
    <x v="11"/>
    <s v="Andhra Pradesh"/>
    <n v="28"/>
    <s v="State"/>
    <n v="839.82"/>
    <n v="1074.17"/>
    <n v="1195.83"/>
    <n v="236.32"/>
    <n v="3109.82"/>
    <n v="3346.14"/>
    <m/>
  </r>
  <r>
    <d v="2024-07-01T00:00:00"/>
    <s v="2024-25"/>
    <n v="2024"/>
    <x v="11"/>
    <x v="11"/>
    <s v="Arunachal Pradesh"/>
    <n v="12"/>
    <s v="State"/>
    <n v="31.58"/>
    <n v="36.97"/>
    <n v="12.16"/>
    <n v="0.06"/>
    <n v="80.709999999999994"/>
    <n v="80.77"/>
    <m/>
  </r>
  <r>
    <d v="2024-07-01T00:00:00"/>
    <s v="2024-25"/>
    <n v="2024"/>
    <x v="11"/>
    <x v="11"/>
    <s v="Assam"/>
    <n v="18"/>
    <s v="State"/>
    <n v="379.03"/>
    <n v="463.24"/>
    <n v="371.76"/>
    <n v="155.83000000000001"/>
    <n v="1214.03"/>
    <n v="1369.86"/>
    <m/>
  </r>
  <r>
    <d v="2024-07-01T00:00:00"/>
    <s v="2024-25"/>
    <n v="2024"/>
    <x v="11"/>
    <x v="11"/>
    <s v="Bihar"/>
    <n v="10"/>
    <s v="State"/>
    <n v="430.73"/>
    <n v="739.27"/>
    <n v="213.12"/>
    <n v="185.49"/>
    <n v="1383.12"/>
    <n v="1568.61"/>
    <m/>
  </r>
  <r>
    <d v="2024-07-01T00:00:00"/>
    <s v="2024-25"/>
    <n v="2024"/>
    <x v="11"/>
    <x v="11"/>
    <s v="Chandigarh"/>
    <n v="4"/>
    <s v="Union Territory"/>
    <n v="45.25"/>
    <n v="62.84"/>
    <n v="124.37"/>
    <n v="0.91"/>
    <n v="232.46"/>
    <n v="233.37"/>
    <m/>
  </r>
  <r>
    <d v="2024-07-01T00:00:00"/>
    <s v="2024-25"/>
    <n v="2024"/>
    <x v="11"/>
    <x v="11"/>
    <s v="Chhattisgarh"/>
    <n v="22"/>
    <s v="State"/>
    <n v="608.76"/>
    <n v="722.25"/>
    <n v="1302.6600000000001"/>
    <n v="685.32"/>
    <n v="2633.67"/>
    <n v="3318.99"/>
    <m/>
  </r>
  <r>
    <d v="2024-07-01T00:00:00"/>
    <s v="2024-25"/>
    <n v="2024"/>
    <x v="11"/>
    <x v="11"/>
    <s v="Dadra and Nagar Haveli and Daman and Diu"/>
    <n v="38"/>
    <s v="Union Territory"/>
    <n v="44.7"/>
    <n v="59.64"/>
    <n v="234.43"/>
    <n v="0.1"/>
    <n v="338.77"/>
    <n v="338.87"/>
    <m/>
  </r>
  <r>
    <d v="2024-07-01T00:00:00"/>
    <s v="2024-25"/>
    <n v="2024"/>
    <x v="11"/>
    <x v="11"/>
    <s v="Delhi"/>
    <n v="7"/>
    <s v="Union Territory"/>
    <n v="1106.8800000000001"/>
    <n v="1285.1600000000001"/>
    <n v="3457.07"/>
    <n v="114.87"/>
    <n v="5849.11"/>
    <n v="5963.98"/>
    <m/>
  </r>
  <r>
    <d v="2024-07-01T00:00:00"/>
    <s v="2024-25"/>
    <n v="2024"/>
    <x v="11"/>
    <x v="11"/>
    <s v="Goa"/>
    <n v="30"/>
    <s v="State"/>
    <n v="167.16"/>
    <n v="207.32"/>
    <n v="215.75"/>
    <n v="2.82"/>
    <n v="590.23"/>
    <n v="593.04999999999995"/>
    <m/>
  </r>
  <r>
    <d v="2024-07-01T00:00:00"/>
    <s v="2024-25"/>
    <n v="2024"/>
    <x v="11"/>
    <x v="11"/>
    <s v="Gujarat"/>
    <n v="24"/>
    <s v="State"/>
    <n v="3064.14"/>
    <n v="3736.15"/>
    <n v="3508.88"/>
    <n v="705.55"/>
    <n v="10309.17"/>
    <n v="11014.72"/>
    <m/>
  </r>
  <r>
    <d v="2024-07-01T00:00:00"/>
    <s v="2024-25"/>
    <n v="2024"/>
    <x v="11"/>
    <x v="11"/>
    <s v="Haryana"/>
    <n v="6"/>
    <s v="State"/>
    <n v="1363.99"/>
    <n v="1819.54"/>
    <n v="5286.48"/>
    <n v="611.71"/>
    <n v="8470.01"/>
    <n v="9081.7199999999993"/>
    <m/>
  </r>
  <r>
    <d v="2024-07-01T00:00:00"/>
    <s v="2024-25"/>
    <n v="2024"/>
    <x v="11"/>
    <x v="11"/>
    <s v="Himachal Pradesh"/>
    <n v="2"/>
    <s v="State"/>
    <n v="173.13"/>
    <n v="240.16"/>
    <n v="438.3"/>
    <n v="2.9"/>
    <n v="851.59"/>
    <n v="854.49"/>
    <m/>
  </r>
  <r>
    <d v="2024-07-01T00:00:00"/>
    <s v="2024-25"/>
    <n v="2024"/>
    <x v="11"/>
    <x v="11"/>
    <s v="Jammu and Kashmir"/>
    <n v="1"/>
    <s v="Union Territory"/>
    <n v="186.25"/>
    <n v="257.39999999999998"/>
    <n v="168.94"/>
    <n v="16.89"/>
    <n v="612.59"/>
    <n v="629.48"/>
    <m/>
  </r>
  <r>
    <d v="2024-07-01T00:00:00"/>
    <s v="2024-25"/>
    <n v="2024"/>
    <x v="11"/>
    <x v="11"/>
    <s v="Jharkhand"/>
    <n v="20"/>
    <s v="State"/>
    <n v="558.54999999999995"/>
    <n v="740.79"/>
    <n v="1166.3800000000001"/>
    <n v="669.18"/>
    <n v="2465.7199999999998"/>
    <n v="3134.9"/>
    <m/>
  </r>
  <r>
    <d v="2024-07-01T00:00:00"/>
    <s v="2024-25"/>
    <n v="2024"/>
    <x v="11"/>
    <x v="11"/>
    <s v="Karnataka"/>
    <n v="29"/>
    <s v="State"/>
    <n v="2871.8"/>
    <n v="3557.23"/>
    <n v="4948.18"/>
    <n v="1647.32"/>
    <n v="11377.21"/>
    <n v="13024.53"/>
    <m/>
  </r>
  <r>
    <d v="2024-07-01T00:00:00"/>
    <s v="2024-25"/>
    <n v="2024"/>
    <x v="11"/>
    <x v="11"/>
    <s v="Kerala"/>
    <n v="32"/>
    <s v="State"/>
    <n v="896.24"/>
    <n v="1100.54"/>
    <n v="491.87"/>
    <n v="3.98"/>
    <n v="2488.65"/>
    <n v="2492.63"/>
    <m/>
  </r>
  <r>
    <d v="2024-07-01T00:00:00"/>
    <s v="2024-25"/>
    <n v="2024"/>
    <x v="11"/>
    <x v="11"/>
    <s v="Ladakh"/>
    <n v="37"/>
    <s v="Union Territory"/>
    <n v="14.21"/>
    <n v="19.21"/>
    <n v="4.16"/>
    <n v="0.1"/>
    <n v="37.58"/>
    <n v="37.68"/>
    <m/>
  </r>
  <r>
    <d v="2024-07-01T00:00:00"/>
    <s v="2024-25"/>
    <n v="2024"/>
    <x v="11"/>
    <x v="11"/>
    <s v="Lakshadweep"/>
    <n v="31"/>
    <s v="Union Territory"/>
    <n v="0.49"/>
    <n v="0.52"/>
    <n v="0.16"/>
    <n v="0"/>
    <n v="1.17"/>
    <n v="1.17"/>
    <m/>
  </r>
  <r>
    <d v="2024-07-01T00:00:00"/>
    <s v="2024-25"/>
    <n v="2024"/>
    <x v="11"/>
    <x v="11"/>
    <s v="Madhya Pradesh"/>
    <n v="23"/>
    <s v="State"/>
    <n v="884.85"/>
    <n v="1118.93"/>
    <n v="1020.77"/>
    <n v="658.46"/>
    <n v="3024.55"/>
    <n v="3683.01"/>
    <m/>
  </r>
  <r>
    <d v="2024-07-01T00:00:00"/>
    <s v="2024-25"/>
    <n v="2024"/>
    <x v="11"/>
    <x v="11"/>
    <s v="Maharashtra"/>
    <n v="27"/>
    <s v="State"/>
    <n v="7538.29"/>
    <n v="8629.8799999999992"/>
    <n v="10835.14"/>
    <n v="1966.59"/>
    <n v="27003.31"/>
    <n v="28969.9"/>
    <m/>
  </r>
  <r>
    <d v="2024-07-01T00:00:00"/>
    <s v="2024-25"/>
    <n v="2024"/>
    <x v="11"/>
    <x v="11"/>
    <s v="Manipur"/>
    <n v="14"/>
    <s v="State"/>
    <n v="25.85"/>
    <n v="34.22"/>
    <n v="7.57"/>
    <n v="0.02"/>
    <n v="67.64"/>
    <n v="67.66"/>
    <m/>
  </r>
  <r>
    <d v="2024-07-01T00:00:00"/>
    <s v="2024-25"/>
    <n v="2024"/>
    <x v="11"/>
    <x v="11"/>
    <s v="Meghalaya"/>
    <n v="17"/>
    <s v="State"/>
    <n v="33.72"/>
    <n v="40.159999999999997"/>
    <n v="65.98"/>
    <n v="1.66"/>
    <n v="139.86000000000001"/>
    <n v="141.52000000000001"/>
    <m/>
  </r>
  <r>
    <d v="2024-07-01T00:00:00"/>
    <s v="2024-25"/>
    <n v="2024"/>
    <x v="11"/>
    <x v="11"/>
    <s v="Mizoram"/>
    <n v="15"/>
    <s v="State"/>
    <n v="13.59"/>
    <n v="21.07"/>
    <n v="4.1100000000000003"/>
    <n v="0.11"/>
    <n v="38.770000000000003"/>
    <n v="38.880000000000003"/>
    <m/>
  </r>
  <r>
    <d v="2024-07-01T00:00:00"/>
    <s v="2024-25"/>
    <n v="2024"/>
    <x v="11"/>
    <x v="11"/>
    <s v="Nagaland"/>
    <n v="13"/>
    <s v="State"/>
    <n v="20.43"/>
    <n v="25.58"/>
    <n v="9.89"/>
    <n v="1.69"/>
    <n v="55.9"/>
    <n v="57.59"/>
    <m/>
  </r>
  <r>
    <d v="2024-07-01T00:00:00"/>
    <s v="2024-25"/>
    <n v="2024"/>
    <x v="11"/>
    <x v="11"/>
    <s v="Odisha"/>
    <n v="21"/>
    <s v="State"/>
    <n v="1237.69"/>
    <n v="1482.22"/>
    <n v="1385.06"/>
    <n v="820.05"/>
    <n v="4104.97"/>
    <n v="4925.0200000000004"/>
    <m/>
  </r>
  <r>
    <d v="2024-07-01T00:00:00"/>
    <s v="2024-25"/>
    <n v="2024"/>
    <x v="11"/>
    <x v="11"/>
    <s v="Puducherry"/>
    <n v="34"/>
    <s v="Union Territory"/>
    <n v="28.73"/>
    <n v="42.17"/>
    <n v="153.15"/>
    <n v="0.59"/>
    <n v="224.05"/>
    <n v="224.64"/>
    <m/>
  </r>
  <r>
    <d v="2024-07-01T00:00:00"/>
    <s v="2024-25"/>
    <n v="2024"/>
    <x v="11"/>
    <x v="11"/>
    <s v="Punjab"/>
    <n v="3"/>
    <s v="State"/>
    <n v="541.75"/>
    <n v="753.19"/>
    <n v="726.03"/>
    <n v="48.11"/>
    <n v="2020.97"/>
    <n v="2069.08"/>
    <m/>
  </r>
  <r>
    <d v="2024-07-01T00:00:00"/>
    <s v="2024-25"/>
    <n v="2024"/>
    <x v="11"/>
    <x v="11"/>
    <s v="Rajasthan"/>
    <n v="8"/>
    <s v="State"/>
    <n v="1119.78"/>
    <n v="1436.33"/>
    <n v="1665.18"/>
    <n v="147.47999999999999"/>
    <n v="4221.29"/>
    <n v="4368.7700000000004"/>
    <m/>
  </r>
  <r>
    <d v="2024-07-01T00:00:00"/>
    <s v="2024-25"/>
    <n v="2024"/>
    <x v="11"/>
    <x v="11"/>
    <s v="Sikkim"/>
    <n v="11"/>
    <s v="State"/>
    <n v="19.329999999999998"/>
    <n v="25.4"/>
    <n v="280.16000000000003"/>
    <n v="0.11"/>
    <n v="324.89"/>
    <n v="325"/>
    <m/>
  </r>
  <r>
    <d v="2024-07-01T00:00:00"/>
    <s v="2024-25"/>
    <n v="2024"/>
    <x v="11"/>
    <x v="11"/>
    <s v="Tamil Nadu"/>
    <n v="33"/>
    <s v="State"/>
    <n v="2753.61"/>
    <n v="3637.41"/>
    <n v="3265.9"/>
    <n v="832.89"/>
    <n v="9656.92"/>
    <n v="10489.81"/>
    <m/>
  </r>
  <r>
    <d v="2024-07-01T00:00:00"/>
    <s v="2024-25"/>
    <n v="2024"/>
    <x v="11"/>
    <x v="11"/>
    <s v="Telangana"/>
    <n v="36"/>
    <s v="State"/>
    <n v="1290.9000000000001"/>
    <n v="1625.38"/>
    <n v="1484.03"/>
    <n v="539.42999999999995"/>
    <n v="4400.3100000000004"/>
    <n v="4939.74"/>
    <m/>
  </r>
  <r>
    <d v="2024-07-01T00:00:00"/>
    <s v="2024-25"/>
    <n v="2024"/>
    <x v="11"/>
    <x v="11"/>
    <s v="Tripura"/>
    <n v="16"/>
    <s v="State"/>
    <n v="25.96"/>
    <n v="34.71"/>
    <n v="11.21"/>
    <n v="0.08"/>
    <n v="71.88"/>
    <n v="71.959999999999994"/>
    <m/>
  </r>
  <r>
    <d v="2024-07-01T00:00:00"/>
    <s v="2024-25"/>
    <n v="2024"/>
    <x v="11"/>
    <x v="11"/>
    <s v="Uttar Pradesh"/>
    <n v="9"/>
    <s v="State"/>
    <n v="2139.65"/>
    <n v="2811.37"/>
    <n v="2782.45"/>
    <n v="1391.55"/>
    <n v="7733.47"/>
    <n v="9125.02"/>
    <m/>
  </r>
  <r>
    <d v="2024-07-01T00:00:00"/>
    <s v="2024-25"/>
    <n v="2024"/>
    <x v="11"/>
    <x v="11"/>
    <s v="Uttarakhand"/>
    <n v="5"/>
    <s v="State"/>
    <n v="342.54"/>
    <n v="490.49"/>
    <n v="854.05"/>
    <n v="12.62"/>
    <n v="1687.08"/>
    <n v="1699.7"/>
    <m/>
  </r>
  <r>
    <d v="2024-07-01T00:00:00"/>
    <s v="2024-25"/>
    <n v="2024"/>
    <x v="11"/>
    <x v="11"/>
    <s v="West Bengal"/>
    <n v="19"/>
    <s v="State"/>
    <n v="1558.83"/>
    <n v="1925.17"/>
    <n v="1310.1199999999999"/>
    <n v="462.46"/>
    <n v="4794.12"/>
    <n v="5256.58"/>
    <m/>
  </r>
  <r>
    <d v="2024-08-01T00:00:00"/>
    <s v="2024-25"/>
    <n v="2024"/>
    <x v="0"/>
    <x v="0"/>
    <s v="Andaman and Nicobar Islands"/>
    <n v="35"/>
    <s v="Union Territory"/>
    <n v="9.6"/>
    <n v="13.27"/>
    <n v="4.4000000000000004"/>
    <n v="0.04"/>
    <n v="27.27"/>
    <n v="27.31"/>
    <m/>
  </r>
  <r>
    <d v="2024-08-01T00:00:00"/>
    <s v="2024-25"/>
    <n v="2024"/>
    <x v="0"/>
    <x v="0"/>
    <s v="Andhra Pradesh"/>
    <n v="28"/>
    <s v="State"/>
    <n v="827.59"/>
    <n v="1061.17"/>
    <n v="1195.7"/>
    <n v="213.62"/>
    <n v="3084.46"/>
    <n v="3298.08"/>
    <m/>
  </r>
  <r>
    <d v="2024-08-01T00:00:00"/>
    <s v="2024-25"/>
    <n v="2024"/>
    <x v="0"/>
    <x v="0"/>
    <s v="Arunachal Pradesh"/>
    <n v="12"/>
    <s v="State"/>
    <n v="26.63"/>
    <n v="34.85"/>
    <n v="11.92"/>
    <n v="0.4"/>
    <n v="73.400000000000006"/>
    <n v="73.8"/>
    <m/>
  </r>
  <r>
    <d v="2024-08-01T00:00:00"/>
    <s v="2024-25"/>
    <n v="2024"/>
    <x v="0"/>
    <x v="0"/>
    <s v="Assam"/>
    <n v="18"/>
    <s v="State"/>
    <n v="388.73"/>
    <n v="483.02"/>
    <n v="372.99"/>
    <n v="108.66"/>
    <n v="1244.74"/>
    <n v="1353.4"/>
    <m/>
  </r>
  <r>
    <d v="2024-08-01T00:00:00"/>
    <s v="2024-25"/>
    <n v="2024"/>
    <x v="0"/>
    <x v="0"/>
    <s v="Bihar"/>
    <n v="10"/>
    <s v="State"/>
    <n v="426.54"/>
    <n v="695.26"/>
    <n v="220.04"/>
    <n v="149.58000000000001"/>
    <n v="1341.84"/>
    <n v="1491.42"/>
    <m/>
  </r>
  <r>
    <d v="2024-08-01T00:00:00"/>
    <s v="2024-25"/>
    <n v="2024"/>
    <x v="0"/>
    <x v="0"/>
    <s v="Chandigarh"/>
    <n v="4"/>
    <s v="Union Territory"/>
    <n v="49.85"/>
    <n v="63.85"/>
    <n v="128.69999999999999"/>
    <n v="1.37"/>
    <n v="242.4"/>
    <n v="243.77"/>
    <m/>
  </r>
  <r>
    <d v="2024-08-01T00:00:00"/>
    <s v="2024-25"/>
    <n v="2024"/>
    <x v="0"/>
    <x v="0"/>
    <s v="Chhattisgarh"/>
    <n v="22"/>
    <s v="State"/>
    <n v="533.20000000000005"/>
    <n v="630.05999999999995"/>
    <n v="872.39"/>
    <n v="575.15"/>
    <n v="2035.65"/>
    <n v="2610.8000000000002"/>
    <m/>
  </r>
  <r>
    <d v="2024-08-01T00:00:00"/>
    <s v="2024-25"/>
    <n v="2024"/>
    <x v="0"/>
    <x v="0"/>
    <s v="Dadra and Nagar Haveli and Daman and Diu"/>
    <n v="38"/>
    <s v="Union Territory"/>
    <n v="40.229999999999997"/>
    <n v="53.28"/>
    <n v="226.66"/>
    <n v="0.14000000000000001"/>
    <n v="320.17"/>
    <n v="320.31"/>
    <m/>
  </r>
  <r>
    <d v="2024-08-01T00:00:00"/>
    <s v="2024-25"/>
    <n v="2024"/>
    <x v="0"/>
    <x v="0"/>
    <s v="Delhi"/>
    <n v="7"/>
    <s v="Union Territory"/>
    <n v="1107"/>
    <n v="1296.18"/>
    <n v="3118.28"/>
    <n v="113.06"/>
    <n v="5521.46"/>
    <n v="5634.52"/>
    <m/>
  </r>
  <r>
    <d v="2024-08-01T00:00:00"/>
    <s v="2024-25"/>
    <n v="2024"/>
    <x v="0"/>
    <x v="0"/>
    <s v="Goa"/>
    <n v="30"/>
    <s v="State"/>
    <n v="147.51"/>
    <n v="184.06"/>
    <n v="196.81"/>
    <n v="2.3199999999999998"/>
    <n v="528.38"/>
    <n v="530.70000000000005"/>
    <m/>
  </r>
  <r>
    <d v="2024-08-01T00:00:00"/>
    <s v="2024-25"/>
    <n v="2024"/>
    <x v="0"/>
    <x v="0"/>
    <s v="Gujarat"/>
    <n v="24"/>
    <s v="State"/>
    <n v="2834.73"/>
    <n v="3423.52"/>
    <n v="3388.83"/>
    <n v="696.44"/>
    <n v="9647.08"/>
    <n v="10343.52"/>
    <m/>
  </r>
  <r>
    <d v="2024-08-01T00:00:00"/>
    <s v="2024-25"/>
    <n v="2024"/>
    <x v="0"/>
    <x v="0"/>
    <s v="Haryana"/>
    <n v="6"/>
    <s v="State"/>
    <n v="1400.61"/>
    <n v="1785.59"/>
    <n v="4770.3100000000004"/>
    <n v="666.48"/>
    <n v="7956.51"/>
    <n v="8622.99"/>
    <m/>
  </r>
  <r>
    <d v="2024-08-01T00:00:00"/>
    <s v="2024-25"/>
    <n v="2024"/>
    <x v="0"/>
    <x v="0"/>
    <s v="Himachal Pradesh"/>
    <n v="2"/>
    <s v="State"/>
    <n v="159.25"/>
    <n v="223.24"/>
    <n v="442.59"/>
    <n v="2.12"/>
    <n v="825.08"/>
    <n v="827.2"/>
    <m/>
  </r>
  <r>
    <d v="2024-08-01T00:00:00"/>
    <s v="2024-25"/>
    <n v="2024"/>
    <x v="0"/>
    <x v="0"/>
    <s v="Jammu and Kashmir"/>
    <n v="1"/>
    <s v="Union Territory"/>
    <n v="150.76"/>
    <n v="221.31"/>
    <n v="182.59"/>
    <n v="14.32"/>
    <n v="554.66"/>
    <n v="568.98"/>
    <m/>
  </r>
  <r>
    <d v="2024-08-01T00:00:00"/>
    <s v="2024-25"/>
    <n v="2024"/>
    <x v="0"/>
    <x v="0"/>
    <s v="Jharkhand"/>
    <n v="20"/>
    <s v="State"/>
    <n v="527.16999999999996"/>
    <n v="669.26"/>
    <n v="983.3"/>
    <n v="670.32"/>
    <n v="2179.73"/>
    <n v="2850.05"/>
    <m/>
  </r>
  <r>
    <d v="2024-08-01T00:00:00"/>
    <s v="2024-25"/>
    <n v="2024"/>
    <x v="0"/>
    <x v="0"/>
    <s v="Karnataka"/>
    <n v="29"/>
    <s v="State"/>
    <n v="2797.93"/>
    <n v="3416.5"/>
    <n v="4675.6899999999996"/>
    <n v="1454.02"/>
    <n v="10890.12"/>
    <n v="12344.14"/>
    <m/>
  </r>
  <r>
    <d v="2024-08-01T00:00:00"/>
    <s v="2024-25"/>
    <n v="2024"/>
    <x v="0"/>
    <x v="0"/>
    <s v="Kerala"/>
    <n v="32"/>
    <s v="State"/>
    <n v="892.9"/>
    <n v="1086.78"/>
    <n v="525.6"/>
    <n v="6.05"/>
    <n v="2505.2800000000002"/>
    <n v="2511.33"/>
    <m/>
  </r>
  <r>
    <d v="2024-08-01T00:00:00"/>
    <s v="2024-25"/>
    <n v="2024"/>
    <x v="0"/>
    <x v="0"/>
    <s v="Ladakh"/>
    <n v="37"/>
    <s v="Union Territory"/>
    <n v="12.49"/>
    <n v="15.35"/>
    <n v="4.83"/>
    <n v="0.25"/>
    <n v="32.67"/>
    <n v="32.92"/>
    <m/>
  </r>
  <r>
    <d v="2024-08-01T00:00:00"/>
    <s v="2024-25"/>
    <n v="2024"/>
    <x v="0"/>
    <x v="0"/>
    <s v="Lakshadweep"/>
    <n v="31"/>
    <s v="Union Territory"/>
    <n v="0.4"/>
    <n v="0.75"/>
    <n v="0.76"/>
    <n v="0"/>
    <n v="1.91"/>
    <n v="1.91"/>
    <m/>
  </r>
  <r>
    <d v="2024-08-01T00:00:00"/>
    <s v="2024-25"/>
    <n v="2024"/>
    <x v="0"/>
    <x v="0"/>
    <s v="Madhya Pradesh"/>
    <n v="23"/>
    <s v="State"/>
    <n v="862.49"/>
    <n v="1054.45"/>
    <n v="890.19"/>
    <n v="630.96"/>
    <n v="2807.13"/>
    <n v="3438.09"/>
    <m/>
  </r>
  <r>
    <d v="2024-08-01T00:00:00"/>
    <s v="2024-25"/>
    <n v="2024"/>
    <x v="0"/>
    <x v="0"/>
    <s v="Maharashtra"/>
    <n v="27"/>
    <s v="State"/>
    <n v="7111.78"/>
    <n v="8304.66"/>
    <n v="8938.4599999999991"/>
    <n v="2011.74"/>
    <n v="24354.9"/>
    <n v="26366.639999999999"/>
    <m/>
  </r>
  <r>
    <d v="2024-08-01T00:00:00"/>
    <s v="2024-25"/>
    <n v="2024"/>
    <x v="0"/>
    <x v="0"/>
    <s v="Manipur"/>
    <n v="14"/>
    <s v="State"/>
    <n v="18.36"/>
    <n v="29.04"/>
    <n v="8.1199999999999992"/>
    <n v="0.03"/>
    <n v="55.52"/>
    <n v="55.55"/>
    <m/>
  </r>
  <r>
    <d v="2024-08-01T00:00:00"/>
    <s v="2024-25"/>
    <n v="2024"/>
    <x v="0"/>
    <x v="0"/>
    <s v="Meghalaya"/>
    <n v="17"/>
    <s v="State"/>
    <n v="41.27"/>
    <n v="45.9"/>
    <n v="67.87"/>
    <n v="0.11"/>
    <n v="155.04"/>
    <n v="155.15"/>
    <m/>
  </r>
  <r>
    <d v="2024-08-01T00:00:00"/>
    <s v="2024-25"/>
    <n v="2024"/>
    <x v="0"/>
    <x v="0"/>
    <s v="Mizoram"/>
    <n v="15"/>
    <s v="State"/>
    <n v="10.119999999999999"/>
    <n v="13.57"/>
    <n v="3.75"/>
    <n v="0.22"/>
    <n v="27.44"/>
    <n v="27.66"/>
    <m/>
  </r>
  <r>
    <d v="2024-08-01T00:00:00"/>
    <s v="2024-25"/>
    <n v="2024"/>
    <x v="0"/>
    <x v="0"/>
    <s v="Nagaland"/>
    <n v="13"/>
    <s v="State"/>
    <n v="14.76"/>
    <n v="19.02"/>
    <n v="7.48"/>
    <n v="1.04"/>
    <n v="41.26"/>
    <n v="42.3"/>
    <m/>
  </r>
  <r>
    <d v="2024-08-01T00:00:00"/>
    <s v="2024-25"/>
    <n v="2024"/>
    <x v="0"/>
    <x v="0"/>
    <s v="Odisha"/>
    <n v="21"/>
    <s v="State"/>
    <n v="1181.1300000000001"/>
    <n v="1378.12"/>
    <n v="1515.41"/>
    <n v="803.7"/>
    <n v="4074.66"/>
    <n v="4878.3599999999997"/>
    <m/>
  </r>
  <r>
    <d v="2024-08-01T00:00:00"/>
    <s v="2024-25"/>
    <n v="2024"/>
    <x v="0"/>
    <x v="0"/>
    <s v="Puducherry"/>
    <n v="34"/>
    <s v="Union Territory"/>
    <n v="28.32"/>
    <n v="45"/>
    <n v="159.93"/>
    <n v="0.46"/>
    <n v="233.25"/>
    <n v="233.71"/>
    <m/>
  </r>
  <r>
    <d v="2024-08-01T00:00:00"/>
    <s v="2024-25"/>
    <n v="2024"/>
    <x v="0"/>
    <x v="0"/>
    <s v="Punjab"/>
    <n v="3"/>
    <s v="State"/>
    <n v="484.67"/>
    <n v="682.67"/>
    <n v="731.98"/>
    <n v="36.94"/>
    <n v="1899.32"/>
    <n v="1936.26"/>
    <m/>
  </r>
  <r>
    <d v="2024-08-01T00:00:00"/>
    <s v="2024-25"/>
    <n v="2024"/>
    <x v="0"/>
    <x v="0"/>
    <s v="Rajasthan"/>
    <n v="8"/>
    <s v="State"/>
    <n v="990.13"/>
    <n v="1279.8"/>
    <n v="1429.13"/>
    <n v="121.31"/>
    <n v="3699.06"/>
    <n v="3820.37"/>
    <m/>
  </r>
  <r>
    <d v="2024-08-01T00:00:00"/>
    <s v="2024-25"/>
    <n v="2024"/>
    <x v="0"/>
    <x v="0"/>
    <s v="Sikkim"/>
    <n v="11"/>
    <s v="State"/>
    <n v="14.2"/>
    <n v="18.46"/>
    <n v="292.98"/>
    <n v="0.11"/>
    <n v="325.64"/>
    <n v="325.75"/>
    <m/>
  </r>
  <r>
    <d v="2024-08-01T00:00:00"/>
    <s v="2024-25"/>
    <n v="2024"/>
    <x v="0"/>
    <x v="0"/>
    <s v="Tamil Nadu"/>
    <n v="33"/>
    <s v="State"/>
    <n v="2719.72"/>
    <n v="3728.47"/>
    <n v="3030.31"/>
    <n v="702.25"/>
    <n v="9478.5"/>
    <n v="10180.75"/>
    <m/>
  </r>
  <r>
    <d v="2024-08-01T00:00:00"/>
    <s v="2024-25"/>
    <n v="2024"/>
    <x v="0"/>
    <x v="0"/>
    <s v="Telangana"/>
    <n v="36"/>
    <s v="State"/>
    <n v="1238.6199999999999"/>
    <n v="1544.62"/>
    <n v="1365.9"/>
    <n v="419.45"/>
    <n v="4149.1400000000003"/>
    <n v="4568.59"/>
    <m/>
  </r>
  <r>
    <d v="2024-08-01T00:00:00"/>
    <s v="2024-25"/>
    <n v="2024"/>
    <x v="0"/>
    <x v="0"/>
    <s v="Tripura"/>
    <n v="16"/>
    <s v="State"/>
    <n v="33.369999999999997"/>
    <n v="41.3"/>
    <n v="10.48"/>
    <n v="0.02"/>
    <n v="85.15"/>
    <n v="85.17"/>
    <m/>
  </r>
  <r>
    <d v="2024-08-01T00:00:00"/>
    <s v="2024-25"/>
    <n v="2024"/>
    <x v="0"/>
    <x v="0"/>
    <s v="Uttar Pradesh"/>
    <n v="9"/>
    <s v="State"/>
    <n v="1969.36"/>
    <n v="2571.77"/>
    <n v="2424.5100000000002"/>
    <n v="1303.83"/>
    <n v="6965.64"/>
    <n v="8269.4699999999993"/>
    <m/>
  </r>
  <r>
    <d v="2024-08-01T00:00:00"/>
    <s v="2024-25"/>
    <n v="2024"/>
    <x v="0"/>
    <x v="0"/>
    <s v="Uttarakhand"/>
    <n v="5"/>
    <s v="State"/>
    <n v="291.64999999999998"/>
    <n v="432.22"/>
    <n v="617.77"/>
    <n v="9.09"/>
    <n v="1341.64"/>
    <n v="1350.73"/>
    <m/>
  </r>
  <r>
    <d v="2024-08-01T00:00:00"/>
    <s v="2024-25"/>
    <n v="2024"/>
    <x v="0"/>
    <x v="0"/>
    <s v="West Bengal"/>
    <n v="19"/>
    <s v="State"/>
    <n v="1503.35"/>
    <n v="1846.55"/>
    <n v="1323.32"/>
    <n v="404.05"/>
    <n v="4673.22"/>
    <n v="5077.2700000000004"/>
    <m/>
  </r>
  <r>
    <d v="2024-09-01T00:00:00"/>
    <s v="2024-25"/>
    <n v="2024"/>
    <x v="1"/>
    <x v="1"/>
    <s v="Andaman and Nicobar Islands"/>
    <n v="35"/>
    <s v="Union Territory"/>
    <n v="10.75"/>
    <n v="14.18"/>
    <n v="3.66"/>
    <n v="0.08"/>
    <n v="28.59"/>
    <n v="28.67"/>
    <m/>
  </r>
  <r>
    <d v="2024-09-01T00:00:00"/>
    <s v="2024-25"/>
    <n v="2024"/>
    <x v="1"/>
    <x v="1"/>
    <s v="Andhra Pradesh"/>
    <n v="28"/>
    <s v="State"/>
    <n v="857.21"/>
    <n v="1094.17"/>
    <n v="1302.33"/>
    <n v="252.75"/>
    <n v="3253.71"/>
    <n v="3506.46"/>
    <m/>
  </r>
  <r>
    <d v="2024-09-01T00:00:00"/>
    <s v="2024-25"/>
    <n v="2024"/>
    <x v="1"/>
    <x v="1"/>
    <s v="Arunachal Pradesh"/>
    <n v="12"/>
    <s v="State"/>
    <n v="34.89"/>
    <n v="41.91"/>
    <n v="15.14"/>
    <n v="0.08"/>
    <n v="91.94"/>
    <n v="92.02"/>
    <m/>
  </r>
  <r>
    <d v="2024-09-01T00:00:00"/>
    <s v="2024-25"/>
    <n v="2024"/>
    <x v="1"/>
    <x v="1"/>
    <s v="Assam"/>
    <n v="18"/>
    <s v="State"/>
    <n v="380.28"/>
    <n v="471.66"/>
    <n v="365.79"/>
    <n v="69.040000000000006"/>
    <n v="1217.73"/>
    <n v="1286.77"/>
    <m/>
  </r>
  <r>
    <d v="2024-09-01T00:00:00"/>
    <s v="2024-25"/>
    <n v="2024"/>
    <x v="1"/>
    <x v="1"/>
    <s v="Bihar"/>
    <n v="10"/>
    <s v="State"/>
    <n v="417.22"/>
    <n v="659.53"/>
    <n v="244.41"/>
    <n v="175.62"/>
    <n v="1321.16"/>
    <n v="1496.78"/>
    <m/>
  </r>
  <r>
    <d v="2024-09-01T00:00:00"/>
    <s v="2024-25"/>
    <n v="2024"/>
    <x v="1"/>
    <x v="1"/>
    <s v="Chandigarh"/>
    <n v="4"/>
    <s v="Union Territory"/>
    <n v="41.16"/>
    <n v="53.42"/>
    <n v="99.8"/>
    <n v="2.3199999999999998"/>
    <n v="194.38"/>
    <n v="196.7"/>
    <m/>
  </r>
  <r>
    <d v="2024-09-01T00:00:00"/>
    <s v="2024-25"/>
    <n v="2024"/>
    <x v="1"/>
    <x v="1"/>
    <s v="Chhattisgarh"/>
    <n v="22"/>
    <s v="State"/>
    <n v="515.49"/>
    <n v="625.21"/>
    <n v="994.98"/>
    <n v="469.41"/>
    <n v="2135.6799999999998"/>
    <n v="2605.09"/>
    <m/>
  </r>
  <r>
    <d v="2024-09-01T00:00:00"/>
    <s v="2024-25"/>
    <n v="2024"/>
    <x v="1"/>
    <x v="1"/>
    <s v="Dadra and Nagar Haveli and Daman and Diu"/>
    <n v="38"/>
    <s v="Union Territory"/>
    <n v="44.14"/>
    <n v="55.44"/>
    <n v="205.57"/>
    <n v="0.08"/>
    <n v="305.14999999999998"/>
    <n v="305.23"/>
    <m/>
  </r>
  <r>
    <d v="2024-09-01T00:00:00"/>
    <s v="2024-25"/>
    <n v="2024"/>
    <x v="1"/>
    <x v="1"/>
    <s v="Delhi"/>
    <n v="7"/>
    <s v="Union Territory"/>
    <n v="1165.7"/>
    <n v="1334.27"/>
    <n v="3217.56"/>
    <n v="120.86"/>
    <n v="5717.53"/>
    <n v="5838.39"/>
    <m/>
  </r>
  <r>
    <d v="2024-09-01T00:00:00"/>
    <s v="2024-25"/>
    <n v="2024"/>
    <x v="1"/>
    <x v="1"/>
    <s v="Goa"/>
    <n v="30"/>
    <s v="State"/>
    <n v="150.13"/>
    <n v="191.29"/>
    <n v="174.43"/>
    <n v="3.32"/>
    <n v="515.85"/>
    <n v="519.16999999999996"/>
    <m/>
  </r>
  <r>
    <d v="2024-09-01T00:00:00"/>
    <s v="2024-25"/>
    <n v="2024"/>
    <x v="1"/>
    <x v="1"/>
    <s v="Gujarat"/>
    <n v="24"/>
    <s v="State"/>
    <n v="2776.9"/>
    <n v="3331.26"/>
    <n v="3469.78"/>
    <n v="574.91"/>
    <n v="9577.94"/>
    <n v="10152.85"/>
    <m/>
  </r>
  <r>
    <d v="2024-09-01T00:00:00"/>
    <s v="2024-25"/>
    <n v="2024"/>
    <x v="1"/>
    <x v="1"/>
    <s v="Haryana"/>
    <n v="6"/>
    <s v="State"/>
    <n v="1438.42"/>
    <n v="1852.35"/>
    <n v="5972.72"/>
    <n v="693.87"/>
    <n v="9263.49"/>
    <n v="9957.36"/>
    <m/>
  </r>
  <r>
    <d v="2024-09-01T00:00:00"/>
    <s v="2024-25"/>
    <n v="2024"/>
    <x v="1"/>
    <x v="1"/>
    <s v="Himachal Pradesh"/>
    <n v="2"/>
    <s v="State"/>
    <n v="138.44999999999999"/>
    <n v="193.55"/>
    <n v="522.38"/>
    <n v="1.9"/>
    <n v="854.38"/>
    <n v="856.28"/>
    <m/>
  </r>
  <r>
    <d v="2024-09-01T00:00:00"/>
    <s v="2024-25"/>
    <n v="2024"/>
    <x v="1"/>
    <x v="1"/>
    <s v="Jammu and Kashmir"/>
    <n v="1"/>
    <s v="Union Territory"/>
    <n v="169.87"/>
    <n v="236.18"/>
    <n v="182.7"/>
    <n v="10.11"/>
    <n v="588.75"/>
    <n v="598.86"/>
    <m/>
  </r>
  <r>
    <d v="2024-09-01T00:00:00"/>
    <s v="2024-25"/>
    <n v="2024"/>
    <x v="1"/>
    <x v="1"/>
    <s v="Jharkhand"/>
    <n v="20"/>
    <s v="State"/>
    <n v="492.48"/>
    <n v="636.89"/>
    <n v="942.48"/>
    <n v="580.83000000000004"/>
    <n v="2071.85"/>
    <n v="2652.68"/>
    <m/>
  </r>
  <r>
    <d v="2024-09-01T00:00:00"/>
    <s v="2024-25"/>
    <n v="2024"/>
    <x v="1"/>
    <x v="1"/>
    <s v="Karnataka"/>
    <n v="29"/>
    <s v="State"/>
    <n v="2874.2"/>
    <n v="3556.86"/>
    <n v="4652.5200000000004"/>
    <n v="1558.12"/>
    <n v="11083.58"/>
    <n v="12641.7"/>
    <m/>
  </r>
  <r>
    <d v="2024-09-01T00:00:00"/>
    <s v="2024-25"/>
    <n v="2024"/>
    <x v="1"/>
    <x v="1"/>
    <s v="Kerala"/>
    <n v="32"/>
    <s v="State"/>
    <n v="944.2"/>
    <n v="1219.98"/>
    <n v="506.41"/>
    <n v="4.45"/>
    <n v="2670.59"/>
    <n v="2675.04"/>
    <m/>
  </r>
  <r>
    <d v="2024-09-01T00:00:00"/>
    <s v="2024-25"/>
    <n v="2024"/>
    <x v="1"/>
    <x v="1"/>
    <s v="Ladakh"/>
    <n v="37"/>
    <s v="Union Territory"/>
    <n v="17.809999999999999"/>
    <n v="21.46"/>
    <n v="4.25"/>
    <n v="0.02"/>
    <n v="43.52"/>
    <n v="43.54"/>
    <m/>
  </r>
  <r>
    <d v="2024-09-01T00:00:00"/>
    <s v="2024-25"/>
    <n v="2024"/>
    <x v="1"/>
    <x v="1"/>
    <s v="Lakshadweep"/>
    <n v="31"/>
    <s v="Union Territory"/>
    <n v="0.52"/>
    <n v="0.6"/>
    <n v="0.26"/>
    <n v="0"/>
    <n v="1.38"/>
    <n v="1.38"/>
    <m/>
  </r>
  <r>
    <d v="2024-09-01T00:00:00"/>
    <s v="2024-25"/>
    <n v="2024"/>
    <x v="1"/>
    <x v="1"/>
    <s v="Madhya Pradesh"/>
    <n v="23"/>
    <s v="State"/>
    <n v="761.19"/>
    <n v="929.17"/>
    <n v="866.26"/>
    <n v="537.88"/>
    <n v="2556.62"/>
    <n v="3094.5"/>
    <m/>
  </r>
  <r>
    <d v="2024-09-01T00:00:00"/>
    <s v="2024-25"/>
    <n v="2024"/>
    <x v="1"/>
    <x v="1"/>
    <s v="Maharashtra"/>
    <n v="27"/>
    <s v="State"/>
    <n v="7535.79"/>
    <n v="8627.9699999999993"/>
    <n v="8214"/>
    <n v="1990.85"/>
    <n v="24377.759999999998"/>
    <n v="26368.61"/>
    <m/>
  </r>
  <r>
    <d v="2024-09-01T00:00:00"/>
    <s v="2024-25"/>
    <n v="2024"/>
    <x v="1"/>
    <x v="1"/>
    <s v="Manipur"/>
    <n v="14"/>
    <s v="State"/>
    <n v="11.62"/>
    <n v="17.5"/>
    <n v="8.69"/>
    <n v="0.01"/>
    <n v="37.81"/>
    <n v="37.82"/>
    <m/>
  </r>
  <r>
    <d v="2024-09-01T00:00:00"/>
    <s v="2024-25"/>
    <n v="2024"/>
    <x v="1"/>
    <x v="1"/>
    <s v="Meghalaya"/>
    <n v="17"/>
    <s v="State"/>
    <n v="35.93"/>
    <n v="42.96"/>
    <n v="73.63"/>
    <n v="0.36"/>
    <n v="152.52000000000001"/>
    <n v="152.88"/>
    <m/>
  </r>
  <r>
    <d v="2024-09-01T00:00:00"/>
    <s v="2024-25"/>
    <n v="2024"/>
    <x v="1"/>
    <x v="1"/>
    <s v="Mizoram"/>
    <n v="15"/>
    <s v="State"/>
    <n v="9.1300000000000008"/>
    <n v="12.01"/>
    <n v="4.99"/>
    <n v="0.02"/>
    <n v="26.13"/>
    <n v="26.15"/>
    <m/>
  </r>
  <r>
    <d v="2024-09-01T00:00:00"/>
    <s v="2024-25"/>
    <n v="2024"/>
    <x v="1"/>
    <x v="1"/>
    <s v="Nagaland"/>
    <n v="13"/>
    <s v="State"/>
    <n v="15.95"/>
    <n v="20.28"/>
    <n v="11.37"/>
    <n v="0.91"/>
    <n v="47.6"/>
    <n v="48.51"/>
    <m/>
  </r>
  <r>
    <d v="2024-09-01T00:00:00"/>
    <s v="2024-25"/>
    <n v="2024"/>
    <x v="1"/>
    <x v="1"/>
    <s v="Odisha"/>
    <n v="21"/>
    <s v="State"/>
    <n v="1054.1500000000001"/>
    <n v="1272.75"/>
    <n v="1449.38"/>
    <n v="819.89"/>
    <n v="3776.28"/>
    <n v="4596.17"/>
    <m/>
  </r>
  <r>
    <d v="2024-09-01T00:00:00"/>
    <s v="2024-25"/>
    <n v="2024"/>
    <x v="1"/>
    <x v="1"/>
    <s v="Puducherry"/>
    <n v="34"/>
    <s v="Union Territory"/>
    <n v="28.26"/>
    <n v="44.92"/>
    <n v="151.19"/>
    <n v="0.98"/>
    <n v="224.37"/>
    <n v="225.35"/>
    <m/>
  </r>
  <r>
    <d v="2024-09-01T00:00:00"/>
    <s v="2024-25"/>
    <n v="2024"/>
    <x v="1"/>
    <x v="1"/>
    <s v="Punjab"/>
    <n v="3"/>
    <s v="State"/>
    <n v="483.72"/>
    <n v="680.05"/>
    <n v="734.11"/>
    <n v="35.36"/>
    <n v="1897.88"/>
    <n v="1933.24"/>
    <m/>
  </r>
  <r>
    <d v="2024-09-01T00:00:00"/>
    <s v="2024-25"/>
    <n v="2024"/>
    <x v="1"/>
    <x v="1"/>
    <s v="Rajasthan"/>
    <n v="8"/>
    <s v="State"/>
    <n v="1042.8399999999999"/>
    <n v="1343.79"/>
    <n v="1419.14"/>
    <n v="123.22"/>
    <n v="3805.77"/>
    <n v="3928.99"/>
    <m/>
  </r>
  <r>
    <d v="2024-09-01T00:00:00"/>
    <s v="2024-25"/>
    <n v="2024"/>
    <x v="1"/>
    <x v="1"/>
    <s v="Sikkim"/>
    <n v="11"/>
    <s v="State"/>
    <n v="18.45"/>
    <n v="22.24"/>
    <n v="283.01"/>
    <n v="0.03"/>
    <n v="323.7"/>
    <n v="323.73"/>
    <m/>
  </r>
  <r>
    <d v="2024-09-01T00:00:00"/>
    <s v="2024-25"/>
    <n v="2024"/>
    <x v="1"/>
    <x v="1"/>
    <s v="Tamil Nadu"/>
    <n v="33"/>
    <s v="State"/>
    <n v="2840.13"/>
    <n v="3932.74"/>
    <n v="3382.94"/>
    <n v="867.76"/>
    <n v="10155.81"/>
    <n v="11023.57"/>
    <m/>
  </r>
  <r>
    <d v="2024-09-01T00:00:00"/>
    <s v="2024-25"/>
    <n v="2024"/>
    <x v="1"/>
    <x v="1"/>
    <s v="Telangana"/>
    <n v="36"/>
    <s v="State"/>
    <n v="1364.87"/>
    <n v="1961.32"/>
    <n v="1398.39"/>
    <n v="542.12"/>
    <n v="4724.58"/>
    <n v="5266.7"/>
    <m/>
  </r>
  <r>
    <d v="2024-09-01T00:00:00"/>
    <s v="2024-25"/>
    <n v="2024"/>
    <x v="1"/>
    <x v="1"/>
    <s v="Tripura"/>
    <n v="16"/>
    <s v="State"/>
    <n v="26.5"/>
    <n v="33.69"/>
    <n v="18.16"/>
    <n v="0.38"/>
    <n v="78.349999999999994"/>
    <n v="78.73"/>
    <m/>
  </r>
  <r>
    <d v="2024-09-01T00:00:00"/>
    <s v="2024-25"/>
    <n v="2024"/>
    <x v="1"/>
    <x v="1"/>
    <s v="Uttar Pradesh"/>
    <n v="9"/>
    <s v="State"/>
    <n v="1944.85"/>
    <n v="2527.96"/>
    <n v="2392.89"/>
    <n v="1191.1199999999999"/>
    <n v="6865.7"/>
    <n v="8056.82"/>
    <m/>
  </r>
  <r>
    <d v="2024-09-01T00:00:00"/>
    <s v="2024-25"/>
    <n v="2024"/>
    <x v="1"/>
    <x v="1"/>
    <s v="Uttarakhand"/>
    <n v="5"/>
    <s v="State"/>
    <n v="273.5"/>
    <n v="399.73"/>
    <n v="900.05"/>
    <n v="8.48"/>
    <n v="1573.28"/>
    <n v="1581.76"/>
    <m/>
  </r>
  <r>
    <d v="2024-09-01T00:00:00"/>
    <s v="2024-25"/>
    <n v="2024"/>
    <x v="1"/>
    <x v="1"/>
    <s v="West Bengal"/>
    <n v="19"/>
    <s v="State"/>
    <n v="1489.75"/>
    <n v="1805.89"/>
    <n v="1449.56"/>
    <n v="421.51"/>
    <n v="4745.2"/>
    <n v="5166.71"/>
    <m/>
  </r>
  <r>
    <d v="2024-10-01T00:00:00"/>
    <s v="2024-25"/>
    <n v="2024"/>
    <x v="2"/>
    <x v="2"/>
    <s v="Andaman and Nicobar Islands"/>
    <n v="35"/>
    <s v="Union Territory"/>
    <n v="10.029999999999999"/>
    <n v="13.67"/>
    <n v="4.0599999999999996"/>
    <n v="0.05"/>
    <n v="27.76"/>
    <n v="27.81"/>
    <m/>
  </r>
  <r>
    <d v="2024-10-01T00:00:00"/>
    <s v="2024-25"/>
    <n v="2024"/>
    <x v="2"/>
    <x v="2"/>
    <s v="Andhra Pradesh"/>
    <n v="28"/>
    <s v="State"/>
    <n v="909.24"/>
    <n v="1174.46"/>
    <n v="1489.98"/>
    <n v="241.36"/>
    <n v="3573.68"/>
    <n v="3815.04"/>
    <m/>
  </r>
  <r>
    <d v="2024-10-01T00:00:00"/>
    <s v="2024-25"/>
    <n v="2024"/>
    <x v="2"/>
    <x v="2"/>
    <s v="Arunachal Pradesh"/>
    <n v="12"/>
    <s v="State"/>
    <n v="21.08"/>
    <n v="25.95"/>
    <n v="11.25"/>
    <n v="0.06"/>
    <n v="58.28"/>
    <n v="58.34"/>
    <m/>
  </r>
  <r>
    <d v="2024-10-01T00:00:00"/>
    <s v="2024-25"/>
    <n v="2024"/>
    <x v="2"/>
    <x v="2"/>
    <s v="Assam"/>
    <n v="18"/>
    <s v="State"/>
    <n v="408.39"/>
    <n v="522.35"/>
    <n v="412.2"/>
    <n v="134.62"/>
    <n v="1342.94"/>
    <n v="1477.56"/>
    <m/>
  </r>
  <r>
    <d v="2024-10-01T00:00:00"/>
    <s v="2024-25"/>
    <n v="2024"/>
    <x v="2"/>
    <x v="2"/>
    <s v="Bihar"/>
    <n v="10"/>
    <s v="State"/>
    <n v="445.54"/>
    <n v="725.19"/>
    <n v="256.39999999999998"/>
    <n v="177.2"/>
    <n v="1427.13"/>
    <n v="1604.33"/>
    <m/>
  </r>
  <r>
    <d v="2024-10-01T00:00:00"/>
    <s v="2024-25"/>
    <n v="2024"/>
    <x v="2"/>
    <x v="2"/>
    <s v="Chandigarh"/>
    <n v="4"/>
    <s v="Union Territory"/>
    <n v="46.33"/>
    <n v="59.18"/>
    <n v="136.66"/>
    <n v="1.2"/>
    <n v="242.17"/>
    <n v="243.37"/>
    <m/>
  </r>
  <r>
    <d v="2024-10-01T00:00:00"/>
    <s v="2024-25"/>
    <n v="2024"/>
    <x v="2"/>
    <x v="2"/>
    <s v="Chhattisgarh"/>
    <n v="22"/>
    <s v="State"/>
    <n v="549.71"/>
    <n v="663.72"/>
    <n v="936.49"/>
    <n v="506.49"/>
    <n v="2149.92"/>
    <n v="2656.41"/>
    <m/>
  </r>
  <r>
    <d v="2024-10-01T00:00:00"/>
    <s v="2024-25"/>
    <n v="2024"/>
    <x v="2"/>
    <x v="2"/>
    <s v="Dadra and Nagar Haveli and Daman and Diu"/>
    <n v="38"/>
    <s v="Union Territory"/>
    <n v="46.52"/>
    <n v="61.09"/>
    <n v="260.95"/>
    <n v="0.19"/>
    <n v="368.56"/>
    <n v="368.75"/>
    <m/>
  </r>
  <r>
    <d v="2024-10-01T00:00:00"/>
    <s v="2024-25"/>
    <n v="2024"/>
    <x v="2"/>
    <x v="2"/>
    <s v="Delhi"/>
    <n v="7"/>
    <s v="Union Territory"/>
    <n v="1521.51"/>
    <n v="1738.92"/>
    <n v="5278.16"/>
    <n v="121.03"/>
    <n v="8538.59"/>
    <n v="8659.6200000000008"/>
    <m/>
  </r>
  <r>
    <d v="2024-10-01T00:00:00"/>
    <s v="2024-25"/>
    <n v="2024"/>
    <x v="2"/>
    <x v="2"/>
    <s v="Goa"/>
    <n v="30"/>
    <s v="State"/>
    <n v="154.61000000000001"/>
    <n v="191.97"/>
    <n v="208.37"/>
    <n v="3.88"/>
    <n v="554.95000000000005"/>
    <n v="558.83000000000004"/>
    <m/>
  </r>
  <r>
    <d v="2024-10-01T00:00:00"/>
    <s v="2024-25"/>
    <n v="2024"/>
    <x v="2"/>
    <x v="2"/>
    <s v="Gujarat"/>
    <n v="24"/>
    <s v="State"/>
    <n v="3138.21"/>
    <n v="3641.89"/>
    <n v="3913.53"/>
    <n v="713"/>
    <n v="10693.63"/>
    <n v="11406.63"/>
    <m/>
  </r>
  <r>
    <d v="2024-10-01T00:00:00"/>
    <s v="2024-25"/>
    <n v="2024"/>
    <x v="2"/>
    <x v="2"/>
    <s v="Haryana"/>
    <n v="6"/>
    <s v="State"/>
    <n v="1536.29"/>
    <n v="1956.07"/>
    <n v="5864.27"/>
    <n v="688.19"/>
    <n v="9356.6299999999992"/>
    <n v="10044.82"/>
    <m/>
  </r>
  <r>
    <d v="2024-10-01T00:00:00"/>
    <s v="2024-25"/>
    <n v="2024"/>
    <x v="2"/>
    <x v="2"/>
    <s v="Himachal Pradesh"/>
    <n v="2"/>
    <s v="State"/>
    <n v="160.52000000000001"/>
    <n v="230.58"/>
    <n v="473.91"/>
    <n v="1.9"/>
    <n v="865.01"/>
    <n v="866.91"/>
    <m/>
  </r>
  <r>
    <d v="2024-10-01T00:00:00"/>
    <s v="2024-25"/>
    <n v="2024"/>
    <x v="2"/>
    <x v="2"/>
    <s v="Jammu and Kashmir"/>
    <n v="1"/>
    <s v="Union Territory"/>
    <n v="166.66"/>
    <n v="240.77"/>
    <n v="192.74"/>
    <n v="7.67"/>
    <n v="600.16999999999996"/>
    <n v="607.84"/>
    <m/>
  </r>
  <r>
    <d v="2024-10-01T00:00:00"/>
    <s v="2024-25"/>
    <n v="2024"/>
    <x v="2"/>
    <x v="2"/>
    <s v="Jharkhand"/>
    <n v="20"/>
    <s v="State"/>
    <n v="553.94000000000005"/>
    <n v="718.96"/>
    <n v="1114.31"/>
    <n v="586.83000000000004"/>
    <n v="2387.21"/>
    <n v="2974.04"/>
    <m/>
  </r>
  <r>
    <d v="2024-10-01T00:00:00"/>
    <s v="2024-25"/>
    <n v="2024"/>
    <x v="2"/>
    <x v="2"/>
    <s v="Karnataka"/>
    <n v="29"/>
    <s v="State"/>
    <n v="2922.4"/>
    <n v="3634.38"/>
    <n v="5073.53"/>
    <n v="1451.12"/>
    <n v="11630.31"/>
    <n v="13081.43"/>
    <m/>
  </r>
  <r>
    <d v="2024-10-01T00:00:00"/>
    <s v="2024-25"/>
    <n v="2024"/>
    <x v="2"/>
    <x v="2"/>
    <s v="Kerala"/>
    <n v="32"/>
    <s v="State"/>
    <n v="993.26"/>
    <n v="1275.31"/>
    <n v="624.08000000000004"/>
    <n v="3.34"/>
    <n v="2892.65"/>
    <n v="2895.99"/>
    <m/>
  </r>
  <r>
    <d v="2024-10-01T00:00:00"/>
    <s v="2024-25"/>
    <n v="2024"/>
    <x v="2"/>
    <x v="2"/>
    <s v="Ladakh"/>
    <n v="37"/>
    <s v="Union Territory"/>
    <n v="20.79"/>
    <n v="30.77"/>
    <n v="4.6100000000000003"/>
    <n v="0.18"/>
    <n v="56.17"/>
    <n v="56.35"/>
    <m/>
  </r>
  <r>
    <d v="2024-10-01T00:00:00"/>
    <s v="2024-25"/>
    <n v="2024"/>
    <x v="2"/>
    <x v="2"/>
    <s v="Lakshadweep"/>
    <n v="31"/>
    <s v="Union Territory"/>
    <n v="0.28999999999999998"/>
    <n v="0.84"/>
    <n v="0.16"/>
    <n v="0"/>
    <n v="1.29"/>
    <n v="1.29"/>
    <m/>
  </r>
  <r>
    <d v="2024-10-01T00:00:00"/>
    <s v="2024-25"/>
    <n v="2024"/>
    <x v="2"/>
    <x v="2"/>
    <s v="Madhya Pradesh"/>
    <n v="23"/>
    <s v="State"/>
    <n v="873.82"/>
    <n v="1108.48"/>
    <n v="1052.93"/>
    <n v="613.72"/>
    <n v="3035.23"/>
    <n v="3648.95"/>
    <m/>
  </r>
  <r>
    <d v="2024-10-01T00:00:00"/>
    <s v="2024-25"/>
    <n v="2024"/>
    <x v="2"/>
    <x v="2"/>
    <s v="Maharashtra"/>
    <n v="27"/>
    <s v="State"/>
    <n v="8048.03"/>
    <n v="9107.5"/>
    <n v="11664.76"/>
    <n v="2209.7600000000002"/>
    <n v="28820.29"/>
    <n v="31030.05"/>
    <m/>
  </r>
  <r>
    <d v="2024-10-01T00:00:00"/>
    <s v="2024-25"/>
    <n v="2024"/>
    <x v="2"/>
    <x v="2"/>
    <s v="Manipur"/>
    <n v="14"/>
    <s v="State"/>
    <n v="26.84"/>
    <n v="32.75"/>
    <n v="6.99"/>
    <n v="0.02"/>
    <n v="66.58"/>
    <n v="66.599999999999994"/>
    <m/>
  </r>
  <r>
    <d v="2024-10-01T00:00:00"/>
    <s v="2024-25"/>
    <n v="2024"/>
    <x v="2"/>
    <x v="2"/>
    <s v="Meghalaya"/>
    <n v="17"/>
    <s v="State"/>
    <n v="40.81"/>
    <n v="51.68"/>
    <n v="71.209999999999994"/>
    <n v="0.06"/>
    <n v="163.69999999999999"/>
    <n v="163.76"/>
    <m/>
  </r>
  <r>
    <d v="2024-10-01T00:00:00"/>
    <s v="2024-25"/>
    <n v="2024"/>
    <x v="2"/>
    <x v="2"/>
    <s v="Mizoram"/>
    <n v="15"/>
    <s v="State"/>
    <n v="18.079999999999998"/>
    <n v="20.03"/>
    <n v="3.28"/>
    <n v="0.03"/>
    <n v="41.39"/>
    <n v="41.42"/>
    <m/>
  </r>
  <r>
    <d v="2024-10-01T00:00:00"/>
    <s v="2024-25"/>
    <n v="2024"/>
    <x v="2"/>
    <x v="2"/>
    <s v="Nagaland"/>
    <n v="13"/>
    <s v="State"/>
    <n v="15.8"/>
    <n v="19.45"/>
    <n v="8.4700000000000006"/>
    <n v="1.61"/>
    <n v="43.72"/>
    <n v="45.33"/>
    <m/>
  </r>
  <r>
    <d v="2024-10-01T00:00:00"/>
    <s v="2024-25"/>
    <n v="2024"/>
    <x v="2"/>
    <x v="2"/>
    <s v="Odisha"/>
    <n v="21"/>
    <s v="State"/>
    <n v="1043.07"/>
    <n v="1288.0999999999999"/>
    <n v="1431.23"/>
    <n v="829.58"/>
    <n v="3762.4"/>
    <n v="4591.9799999999996"/>
    <m/>
  </r>
  <r>
    <d v="2024-10-01T00:00:00"/>
    <s v="2024-25"/>
    <n v="2024"/>
    <x v="2"/>
    <x v="2"/>
    <s v="Puducherry"/>
    <n v="34"/>
    <s v="Union Territory"/>
    <n v="29.4"/>
    <n v="46.53"/>
    <n v="175.18"/>
    <n v="0.59"/>
    <n v="251.11"/>
    <n v="251.7"/>
    <m/>
  </r>
  <r>
    <d v="2024-10-01T00:00:00"/>
    <s v="2024-25"/>
    <n v="2024"/>
    <x v="2"/>
    <x v="2"/>
    <s v="Punjab"/>
    <n v="3"/>
    <s v="State"/>
    <n v="524.16999999999996"/>
    <n v="772.5"/>
    <n v="878.57"/>
    <n v="36.03"/>
    <n v="2175.2399999999998"/>
    <n v="2211.27"/>
    <m/>
  </r>
  <r>
    <d v="2024-10-01T00:00:00"/>
    <s v="2024-25"/>
    <n v="2024"/>
    <x v="2"/>
    <x v="2"/>
    <s v="Rajasthan"/>
    <n v="8"/>
    <s v="State"/>
    <n v="1175.25"/>
    <n v="1504.72"/>
    <n v="1585.8"/>
    <n v="203.04"/>
    <n v="4265.7700000000004"/>
    <n v="4468.8100000000004"/>
    <m/>
  </r>
  <r>
    <d v="2024-10-01T00:00:00"/>
    <s v="2024-25"/>
    <n v="2024"/>
    <x v="2"/>
    <x v="2"/>
    <s v="Sikkim"/>
    <n v="11"/>
    <s v="State"/>
    <n v="23.52"/>
    <n v="30.22"/>
    <n v="279.05"/>
    <n v="7.0000000000000007E-2"/>
    <n v="332.79"/>
    <n v="332.86"/>
    <m/>
  </r>
  <r>
    <d v="2024-10-01T00:00:00"/>
    <s v="2024-25"/>
    <n v="2024"/>
    <x v="2"/>
    <x v="2"/>
    <s v="Tamil Nadu"/>
    <n v="33"/>
    <s v="State"/>
    <n v="2754.58"/>
    <n v="3891.47"/>
    <n v="3671.48"/>
    <n v="870.26"/>
    <n v="10317.530000000001"/>
    <n v="11187.79"/>
    <m/>
  </r>
  <r>
    <d v="2024-10-01T00:00:00"/>
    <s v="2024-25"/>
    <n v="2024"/>
    <x v="2"/>
    <x v="2"/>
    <s v="Telangana"/>
    <n v="36"/>
    <s v="State"/>
    <n v="1483.27"/>
    <n v="1690.98"/>
    <n v="1568.87"/>
    <n v="467.54"/>
    <n v="4743.12"/>
    <n v="5210.66"/>
    <m/>
  </r>
  <r>
    <d v="2024-10-01T00:00:00"/>
    <s v="2024-25"/>
    <n v="2024"/>
    <x v="2"/>
    <x v="2"/>
    <s v="Tripura"/>
    <n v="16"/>
    <s v="State"/>
    <n v="42.83"/>
    <n v="50.36"/>
    <n v="10.46"/>
    <n v="1.34"/>
    <n v="103.65"/>
    <n v="104.99"/>
    <m/>
  </r>
  <r>
    <d v="2024-10-01T00:00:00"/>
    <s v="2024-25"/>
    <n v="2024"/>
    <x v="2"/>
    <x v="2"/>
    <s v="Uttar Pradesh"/>
    <n v="9"/>
    <s v="State"/>
    <n v="2136.61"/>
    <n v="2834.2"/>
    <n v="3257.72"/>
    <n v="1373.48"/>
    <n v="8228.5300000000007"/>
    <n v="9602.01"/>
    <m/>
  </r>
  <r>
    <d v="2024-10-01T00:00:00"/>
    <s v="2024-25"/>
    <n v="2024"/>
    <x v="2"/>
    <x v="2"/>
    <s v="Uttarakhand"/>
    <n v="5"/>
    <s v="State"/>
    <n v="343.01"/>
    <n v="485.96"/>
    <n v="995.35"/>
    <n v="9.42"/>
    <n v="1824.32"/>
    <n v="1833.74"/>
    <m/>
  </r>
  <r>
    <d v="2024-10-01T00:00:00"/>
    <s v="2024-25"/>
    <n v="2024"/>
    <x v="2"/>
    <x v="2"/>
    <s v="West Bengal"/>
    <n v="19"/>
    <s v="State"/>
    <n v="1624.13"/>
    <n v="2009.07"/>
    <n v="1530.67"/>
    <n v="432.96"/>
    <n v="5163.87"/>
    <n v="5596.83"/>
    <m/>
  </r>
  <r>
    <d v="2024-11-01T00:00:00"/>
    <s v="2024-25"/>
    <n v="2024"/>
    <x v="3"/>
    <x v="3"/>
    <s v="Andaman and Nicobar Islands"/>
    <n v="35"/>
    <s v="Union Territory"/>
    <n v="11.55"/>
    <n v="16.57"/>
    <n v="3.86"/>
    <n v="0.09"/>
    <n v="31.98"/>
    <n v="32.07"/>
    <m/>
  </r>
  <r>
    <d v="2024-11-01T00:00:00"/>
    <s v="2024-25"/>
    <n v="2024"/>
    <x v="3"/>
    <x v="3"/>
    <s v="Andhra Pradesh"/>
    <n v="28"/>
    <s v="State"/>
    <n v="879.67"/>
    <n v="1197.47"/>
    <n v="1346.1"/>
    <n v="276.18"/>
    <n v="3423.24"/>
    <n v="3699.42"/>
    <m/>
  </r>
  <r>
    <d v="2024-11-01T00:00:00"/>
    <s v="2024-25"/>
    <n v="2024"/>
    <x v="3"/>
    <x v="3"/>
    <s v="Arunachal Pradesh"/>
    <n v="12"/>
    <s v="State"/>
    <n v="24.33"/>
    <n v="30.88"/>
    <n v="15.54"/>
    <n v="0.15"/>
    <n v="70.75"/>
    <n v="70.900000000000006"/>
    <m/>
  </r>
  <r>
    <d v="2024-11-01T00:00:00"/>
    <s v="2024-25"/>
    <n v="2024"/>
    <x v="3"/>
    <x v="3"/>
    <s v="Assam"/>
    <n v="18"/>
    <s v="State"/>
    <n v="392.05"/>
    <n v="503.43"/>
    <n v="358.61"/>
    <n v="103.51"/>
    <n v="1254.0899999999999"/>
    <n v="1357.6"/>
    <m/>
  </r>
  <r>
    <d v="2024-11-01T00:00:00"/>
    <s v="2024-25"/>
    <n v="2024"/>
    <x v="3"/>
    <x v="3"/>
    <s v="Bihar"/>
    <n v="10"/>
    <s v="State"/>
    <n v="417.05"/>
    <n v="760.37"/>
    <n v="214.44"/>
    <n v="168.65"/>
    <n v="1391.86"/>
    <n v="1560.51"/>
    <m/>
  </r>
  <r>
    <d v="2024-11-01T00:00:00"/>
    <s v="2024-25"/>
    <n v="2024"/>
    <x v="3"/>
    <x v="3"/>
    <s v="Chandigarh"/>
    <n v="4"/>
    <s v="Union Territory"/>
    <n v="52.26"/>
    <n v="73.14"/>
    <n v="121.26"/>
    <n v="6.12"/>
    <n v="246.66"/>
    <n v="252.78"/>
    <m/>
  </r>
  <r>
    <d v="2024-11-01T00:00:00"/>
    <s v="2024-25"/>
    <n v="2024"/>
    <x v="3"/>
    <x v="3"/>
    <s v="Chhattisgarh"/>
    <n v="22"/>
    <s v="State"/>
    <n v="590.41999999999996"/>
    <n v="728.8"/>
    <n v="969.39"/>
    <n v="607.97"/>
    <n v="2288.61"/>
    <n v="2896.58"/>
    <m/>
  </r>
  <r>
    <d v="2024-11-01T00:00:00"/>
    <s v="2024-25"/>
    <n v="2024"/>
    <x v="3"/>
    <x v="3"/>
    <s v="Dadra and Nagar Haveli and Daman and Diu"/>
    <n v="38"/>
    <s v="Union Territory"/>
    <n v="48.04"/>
    <n v="63.4"/>
    <n v="236.22"/>
    <n v="0.49"/>
    <n v="347.66"/>
    <n v="348.15"/>
    <m/>
  </r>
  <r>
    <d v="2024-11-01T00:00:00"/>
    <s v="2024-25"/>
    <n v="2024"/>
    <x v="3"/>
    <x v="3"/>
    <s v="Delhi"/>
    <n v="7"/>
    <s v="Union Territory"/>
    <n v="1187.31"/>
    <n v="1432.1"/>
    <n v="3565.01"/>
    <n v="126.26"/>
    <n v="6184.42"/>
    <n v="6310.68"/>
    <m/>
  </r>
  <r>
    <d v="2024-11-01T00:00:00"/>
    <s v="2024-25"/>
    <n v="2024"/>
    <x v="3"/>
    <x v="3"/>
    <s v="Goa"/>
    <n v="30"/>
    <s v="State"/>
    <n v="163.13999999999999"/>
    <n v="207.59"/>
    <n v="185.6"/>
    <n v="4.1100000000000003"/>
    <n v="556.33000000000004"/>
    <n v="560.44000000000005"/>
    <m/>
  </r>
  <r>
    <d v="2024-11-01T00:00:00"/>
    <s v="2024-25"/>
    <n v="2024"/>
    <x v="3"/>
    <x v="3"/>
    <s v="Gujarat"/>
    <n v="24"/>
    <s v="State"/>
    <n v="3362.76"/>
    <n v="4101.3100000000004"/>
    <n v="3894.44"/>
    <n v="833.62"/>
    <n v="11358.51"/>
    <n v="12192.13"/>
    <m/>
  </r>
  <r>
    <d v="2024-11-01T00:00:00"/>
    <s v="2024-25"/>
    <n v="2024"/>
    <x v="3"/>
    <x v="3"/>
    <s v="Haryana"/>
    <n v="6"/>
    <s v="State"/>
    <n v="1512.02"/>
    <n v="1995.5"/>
    <n v="5592.06"/>
    <n v="800.65"/>
    <n v="9099.58"/>
    <n v="9900.23"/>
    <m/>
  </r>
  <r>
    <d v="2024-11-01T00:00:00"/>
    <s v="2024-25"/>
    <n v="2024"/>
    <x v="3"/>
    <x v="3"/>
    <s v="Himachal Pradesh"/>
    <n v="2"/>
    <s v="State"/>
    <n v="166.47"/>
    <n v="244.83"/>
    <n v="463.05"/>
    <n v="3.17"/>
    <n v="874.35"/>
    <n v="877.52"/>
    <m/>
  </r>
  <r>
    <d v="2024-11-01T00:00:00"/>
    <s v="2024-25"/>
    <n v="2024"/>
    <x v="3"/>
    <x v="3"/>
    <s v="Jammu and Kashmir"/>
    <n v="1"/>
    <s v="Union Territory"/>
    <n v="169.06"/>
    <n v="247.16"/>
    <n v="164.26"/>
    <n v="5.82"/>
    <n v="580.48"/>
    <n v="586.29999999999995"/>
    <m/>
  </r>
  <r>
    <d v="2024-11-01T00:00:00"/>
    <s v="2024-25"/>
    <n v="2024"/>
    <x v="3"/>
    <x v="3"/>
    <s v="Jharkhand"/>
    <n v="20"/>
    <s v="State"/>
    <n v="547.04999999999995"/>
    <n v="701.59"/>
    <n v="1078.69"/>
    <n v="623.12"/>
    <n v="2327.33"/>
    <n v="2950.45"/>
    <m/>
  </r>
  <r>
    <d v="2024-11-01T00:00:00"/>
    <s v="2024-25"/>
    <n v="2024"/>
    <x v="3"/>
    <x v="3"/>
    <s v="Karnataka"/>
    <n v="29"/>
    <s v="State"/>
    <n v="2992.9"/>
    <n v="3692.27"/>
    <n v="5524.34"/>
    <n v="1512.66"/>
    <n v="12209.51"/>
    <n v="13722.17"/>
    <m/>
  </r>
  <r>
    <d v="2024-11-01T00:00:00"/>
    <s v="2024-25"/>
    <n v="2024"/>
    <x v="3"/>
    <x v="3"/>
    <s v="Kerala"/>
    <n v="32"/>
    <s v="State"/>
    <n v="960.1"/>
    <n v="1213.76"/>
    <n v="583.45000000000005"/>
    <n v="5.98"/>
    <n v="2757.31"/>
    <n v="2763.29"/>
    <m/>
  </r>
  <r>
    <d v="2024-11-01T00:00:00"/>
    <s v="2024-25"/>
    <n v="2024"/>
    <x v="3"/>
    <x v="3"/>
    <s v="Ladakh"/>
    <n v="37"/>
    <s v="Union Territory"/>
    <n v="25.48"/>
    <n v="34.11"/>
    <n v="6.76"/>
    <n v="0.38"/>
    <n v="66.349999999999994"/>
    <n v="66.73"/>
    <m/>
  </r>
  <r>
    <d v="2024-11-01T00:00:00"/>
    <s v="2024-25"/>
    <n v="2024"/>
    <x v="3"/>
    <x v="3"/>
    <s v="Lakshadweep"/>
    <n v="31"/>
    <s v="Union Territory"/>
    <n v="2.3199999999999998"/>
    <n v="2.39"/>
    <n v="0.28999999999999998"/>
    <n v="0"/>
    <n v="5"/>
    <n v="5"/>
    <m/>
  </r>
  <r>
    <d v="2024-11-01T00:00:00"/>
    <s v="2024-25"/>
    <n v="2024"/>
    <x v="3"/>
    <x v="3"/>
    <s v="Madhya Pradesh"/>
    <n v="23"/>
    <s v="State"/>
    <n v="984.31"/>
    <n v="1222.1600000000001"/>
    <n v="916.51"/>
    <n v="688.97"/>
    <n v="3122.98"/>
    <n v="3811.95"/>
    <m/>
  </r>
  <r>
    <d v="2024-11-01T00:00:00"/>
    <s v="2024-25"/>
    <n v="2024"/>
    <x v="3"/>
    <x v="3"/>
    <s v="Maharashtra"/>
    <n v="27"/>
    <s v="State"/>
    <n v="8313.7099999999991"/>
    <n v="9617.2999999999993"/>
    <n v="9602.31"/>
    <n v="2414.8200000000002"/>
    <n v="27533.32"/>
    <n v="29948.14"/>
    <m/>
  </r>
  <r>
    <d v="2024-11-01T00:00:00"/>
    <s v="2024-25"/>
    <n v="2024"/>
    <x v="3"/>
    <x v="3"/>
    <s v="Manipur"/>
    <n v="14"/>
    <s v="State"/>
    <n v="13.3"/>
    <n v="17.64"/>
    <n v="7.24"/>
    <n v="0.04"/>
    <n v="38.18"/>
    <n v="38.22"/>
    <m/>
  </r>
  <r>
    <d v="2024-11-01T00:00:00"/>
    <s v="2024-25"/>
    <n v="2024"/>
    <x v="3"/>
    <x v="3"/>
    <s v="Meghalaya"/>
    <n v="17"/>
    <s v="State"/>
    <n v="37.44"/>
    <n v="44.21"/>
    <n v="61.93"/>
    <n v="0.1"/>
    <n v="143.58000000000001"/>
    <n v="143.68"/>
    <m/>
  </r>
  <r>
    <d v="2024-11-01T00:00:00"/>
    <s v="2024-25"/>
    <n v="2024"/>
    <x v="3"/>
    <x v="3"/>
    <s v="Mizoram"/>
    <n v="15"/>
    <s v="State"/>
    <n v="13.64"/>
    <n v="18.489999999999998"/>
    <n v="5.73"/>
    <n v="0.02"/>
    <n v="37.86"/>
    <n v="37.880000000000003"/>
    <m/>
  </r>
  <r>
    <d v="2024-11-01T00:00:00"/>
    <s v="2024-25"/>
    <n v="2024"/>
    <x v="3"/>
    <x v="3"/>
    <s v="Nagaland"/>
    <n v="13"/>
    <s v="State"/>
    <n v="18.91"/>
    <n v="21.38"/>
    <n v="10.039999999999999"/>
    <n v="1.52"/>
    <n v="50.33"/>
    <n v="51.85"/>
    <m/>
  </r>
  <r>
    <d v="2024-11-01T00:00:00"/>
    <s v="2024-25"/>
    <n v="2024"/>
    <x v="3"/>
    <x v="3"/>
    <s v="Odisha"/>
    <n v="21"/>
    <s v="State"/>
    <n v="1094.2"/>
    <n v="1345.42"/>
    <n v="1353.73"/>
    <n v="910.9"/>
    <n v="3793.35"/>
    <n v="4704.25"/>
    <m/>
  </r>
  <r>
    <d v="2024-11-01T00:00:00"/>
    <s v="2024-25"/>
    <n v="2024"/>
    <x v="3"/>
    <x v="3"/>
    <s v="Puducherry"/>
    <n v="34"/>
    <s v="Union Territory"/>
    <n v="29.45"/>
    <n v="46.53"/>
    <n v="152.65"/>
    <n v="0.44"/>
    <n v="228.63"/>
    <n v="229.07"/>
    <m/>
  </r>
  <r>
    <d v="2024-11-01T00:00:00"/>
    <s v="2024-25"/>
    <n v="2024"/>
    <x v="3"/>
    <x v="3"/>
    <s v="Punjab"/>
    <n v="3"/>
    <s v="State"/>
    <n v="539.51"/>
    <n v="787.29"/>
    <n v="964.82"/>
    <n v="35.56"/>
    <n v="2291.62"/>
    <n v="2327.1799999999998"/>
    <m/>
  </r>
  <r>
    <d v="2024-11-01T00:00:00"/>
    <s v="2024-25"/>
    <n v="2024"/>
    <x v="3"/>
    <x v="3"/>
    <s v="Rajasthan"/>
    <n v="8"/>
    <s v="State"/>
    <n v="1219.69"/>
    <n v="1599.86"/>
    <n v="1592.32"/>
    <n v="210.36"/>
    <n v="4411.87"/>
    <n v="4622.2299999999996"/>
    <m/>
  </r>
  <r>
    <d v="2024-11-01T00:00:00"/>
    <s v="2024-25"/>
    <n v="2024"/>
    <x v="3"/>
    <x v="3"/>
    <s v="Sikkim"/>
    <n v="11"/>
    <s v="State"/>
    <n v="37.51"/>
    <n v="47.22"/>
    <n v="270.70999999999998"/>
    <n v="7.0000000000000007E-2"/>
    <n v="355.44"/>
    <n v="355.51"/>
    <m/>
  </r>
  <r>
    <d v="2024-11-01T00:00:00"/>
    <s v="2024-25"/>
    <n v="2024"/>
    <x v="3"/>
    <x v="3"/>
    <s v="Tamil Nadu"/>
    <n v="33"/>
    <s v="State"/>
    <n v="2941.23"/>
    <n v="3923.18"/>
    <n v="3462.05"/>
    <n v="769.35"/>
    <n v="10326.459999999999"/>
    <n v="11095.81"/>
    <m/>
  </r>
  <r>
    <d v="2024-11-01T00:00:00"/>
    <s v="2024-25"/>
    <n v="2024"/>
    <x v="3"/>
    <x v="3"/>
    <s v="Telangana"/>
    <n v="36"/>
    <s v="State"/>
    <n v="1373.93"/>
    <n v="1769.45"/>
    <n v="1521.15"/>
    <n v="476.65"/>
    <n v="4664.53"/>
    <n v="5141.18"/>
    <m/>
  </r>
  <r>
    <d v="2024-11-01T00:00:00"/>
    <s v="2024-25"/>
    <n v="2024"/>
    <x v="3"/>
    <x v="3"/>
    <s v="Tripura"/>
    <n v="16"/>
    <s v="State"/>
    <n v="30.43"/>
    <n v="40"/>
    <n v="27.87"/>
    <n v="0.03"/>
    <n v="98.3"/>
    <n v="98.33"/>
    <m/>
  </r>
  <r>
    <d v="2024-11-01T00:00:00"/>
    <s v="2024-25"/>
    <n v="2024"/>
    <x v="3"/>
    <x v="3"/>
    <s v="Uttar Pradesh"/>
    <n v="9"/>
    <s v="State"/>
    <n v="2072.73"/>
    <n v="2867.65"/>
    <n v="3056.22"/>
    <n v="1435.24"/>
    <n v="7996.6"/>
    <n v="9431.84"/>
    <m/>
  </r>
  <r>
    <d v="2024-11-01T00:00:00"/>
    <s v="2024-25"/>
    <n v="2024"/>
    <x v="3"/>
    <x v="3"/>
    <s v="Uttarakhand"/>
    <n v="5"/>
    <s v="State"/>
    <n v="337.15"/>
    <n v="521.66999999999996"/>
    <n v="951.34"/>
    <n v="13.44"/>
    <n v="1810.16"/>
    <n v="1823.6"/>
    <m/>
  </r>
  <r>
    <d v="2024-11-01T00:00:00"/>
    <s v="2024-25"/>
    <n v="2024"/>
    <x v="3"/>
    <x v="3"/>
    <s v="West Bengal"/>
    <n v="19"/>
    <s v="State"/>
    <n v="1568.77"/>
    <n v="1897.28"/>
    <n v="1378.52"/>
    <n v="361.19"/>
    <n v="4844.57"/>
    <n v="5205.76"/>
    <m/>
  </r>
  <r>
    <d v="2024-12-01T00:00:00"/>
    <s v="2024-25"/>
    <n v="2024"/>
    <x v="4"/>
    <x v="4"/>
    <s v="Andaman and Nicobar Islands"/>
    <n v="35"/>
    <s v="Union Territory"/>
    <n v="18"/>
    <n v="23.8"/>
    <n v="6.36"/>
    <n v="0.46"/>
    <n v="48.16"/>
    <n v="48.62"/>
    <m/>
  </r>
  <r>
    <d v="2024-12-01T00:00:00"/>
    <s v="2024-25"/>
    <n v="2024"/>
    <x v="4"/>
    <x v="4"/>
    <s v="Andhra Pradesh"/>
    <n v="28"/>
    <s v="State"/>
    <n v="849.12"/>
    <n v="1076"/>
    <n v="1181.9000000000001"/>
    <n v="208.04"/>
    <n v="3107.02"/>
    <n v="3315.06"/>
    <m/>
  </r>
  <r>
    <d v="2024-12-01T00:00:00"/>
    <s v="2024-25"/>
    <n v="2024"/>
    <x v="4"/>
    <x v="4"/>
    <s v="Arunachal Pradesh"/>
    <n v="12"/>
    <s v="State"/>
    <n v="25.91"/>
    <n v="31.83"/>
    <n v="12.46"/>
    <n v="0.22"/>
    <n v="70.2"/>
    <n v="70.42"/>
    <m/>
  </r>
  <r>
    <d v="2024-12-01T00:00:00"/>
    <s v="2024-25"/>
    <n v="2024"/>
    <x v="4"/>
    <x v="4"/>
    <s v="Assam"/>
    <n v="18"/>
    <s v="State"/>
    <n v="396.2"/>
    <n v="505.45"/>
    <n v="377.11"/>
    <n v="94.87"/>
    <n v="1278.76"/>
    <n v="1373.63"/>
    <m/>
  </r>
  <r>
    <d v="2024-12-01T00:00:00"/>
    <s v="2024-25"/>
    <n v="2024"/>
    <x v="4"/>
    <x v="4"/>
    <s v="Bihar"/>
    <n v="10"/>
    <s v="State"/>
    <n v="407.54"/>
    <n v="768.34"/>
    <n v="193.66"/>
    <n v="151.43"/>
    <n v="1369.54"/>
    <n v="1520.97"/>
    <m/>
  </r>
  <r>
    <d v="2024-12-01T00:00:00"/>
    <s v="2024-25"/>
    <n v="2024"/>
    <x v="4"/>
    <x v="4"/>
    <s v="Chandigarh"/>
    <n v="4"/>
    <s v="Union Territory"/>
    <n v="49.32"/>
    <n v="65.599999999999994"/>
    <n v="103.17"/>
    <n v="6.06"/>
    <n v="218.09"/>
    <n v="224.15"/>
    <m/>
  </r>
  <r>
    <d v="2024-12-01T00:00:00"/>
    <s v="2024-25"/>
    <n v="2024"/>
    <x v="4"/>
    <x v="4"/>
    <s v="Chhattisgarh"/>
    <n v="22"/>
    <s v="State"/>
    <n v="580.11"/>
    <n v="696.58"/>
    <n v="1029.3800000000001"/>
    <n v="575.98"/>
    <n v="2306.0700000000002"/>
    <n v="2882.05"/>
    <m/>
  </r>
  <r>
    <d v="2024-12-01T00:00:00"/>
    <s v="2024-25"/>
    <n v="2024"/>
    <x v="4"/>
    <x v="4"/>
    <s v="Dadra and Nagar Haveli and Daman and Diu"/>
    <n v="38"/>
    <s v="Union Territory"/>
    <n v="45.51"/>
    <n v="55.35"/>
    <n v="229.98"/>
    <n v="1.5"/>
    <n v="330.84"/>
    <n v="332.34"/>
    <m/>
  </r>
  <r>
    <d v="2024-12-01T00:00:00"/>
    <s v="2024-25"/>
    <n v="2024"/>
    <x v="4"/>
    <x v="4"/>
    <s v="Delhi"/>
    <n v="7"/>
    <s v="Union Territory"/>
    <n v="1158.23"/>
    <n v="1352.77"/>
    <n v="2989.91"/>
    <n v="92.36"/>
    <n v="5500.91"/>
    <n v="5593.27"/>
    <m/>
  </r>
  <r>
    <d v="2024-12-01T00:00:00"/>
    <s v="2024-25"/>
    <n v="2024"/>
    <x v="4"/>
    <x v="4"/>
    <s v="Goa"/>
    <n v="30"/>
    <s v="State"/>
    <n v="177.55"/>
    <n v="219.41"/>
    <n v="178.07"/>
    <n v="3.28"/>
    <n v="575.03"/>
    <n v="578.30999999999995"/>
    <m/>
  </r>
  <r>
    <d v="2024-12-01T00:00:00"/>
    <s v="2024-25"/>
    <n v="2024"/>
    <x v="4"/>
    <x v="4"/>
    <s v="Gujarat"/>
    <n v="24"/>
    <s v="State"/>
    <n v="2785.75"/>
    <n v="3328.49"/>
    <n v="3501.67"/>
    <n v="663.45"/>
    <n v="9615.91"/>
    <n v="10279.36"/>
    <m/>
  </r>
  <r>
    <d v="2024-12-01T00:00:00"/>
    <s v="2024-25"/>
    <n v="2024"/>
    <x v="4"/>
    <x v="4"/>
    <s v="Haryana"/>
    <n v="6"/>
    <s v="State"/>
    <n v="1469.32"/>
    <n v="1810.99"/>
    <n v="6495.48"/>
    <n v="627.6"/>
    <n v="9775.7900000000009"/>
    <n v="10403.39"/>
    <m/>
  </r>
  <r>
    <d v="2024-12-01T00:00:00"/>
    <s v="2024-25"/>
    <n v="2024"/>
    <x v="4"/>
    <x v="4"/>
    <s v="Himachal Pradesh"/>
    <n v="2"/>
    <s v="State"/>
    <n v="145.33000000000001"/>
    <n v="200.51"/>
    <n v="468"/>
    <n v="1.78"/>
    <n v="813.84"/>
    <n v="815.62"/>
    <m/>
  </r>
  <r>
    <d v="2024-12-01T00:00:00"/>
    <s v="2024-25"/>
    <n v="2024"/>
    <x v="4"/>
    <x v="4"/>
    <s v="Jammu and Kashmir"/>
    <n v="1"/>
    <s v="Union Territory"/>
    <n v="153.41999999999999"/>
    <n v="221.49"/>
    <n v="167.62"/>
    <n v="4.3099999999999996"/>
    <n v="542.53"/>
    <n v="546.84"/>
    <m/>
  </r>
  <r>
    <d v="2024-12-01T00:00:00"/>
    <s v="2024-25"/>
    <n v="2024"/>
    <x v="4"/>
    <x v="4"/>
    <s v="Jharkhand"/>
    <n v="20"/>
    <s v="State"/>
    <n v="548.53"/>
    <n v="704.9"/>
    <n v="1074.6300000000001"/>
    <n v="653.36"/>
    <n v="2328.06"/>
    <n v="2981.42"/>
    <m/>
  </r>
  <r>
    <d v="2024-12-01T00:00:00"/>
    <s v="2024-25"/>
    <n v="2024"/>
    <x v="4"/>
    <x v="4"/>
    <s v="Karnataka"/>
    <n v="29"/>
    <s v="State"/>
    <n v="2947.4"/>
    <n v="3651.44"/>
    <n v="4551.2299999999996"/>
    <n v="1376.17"/>
    <n v="11150.07"/>
    <n v="12526.24"/>
    <m/>
  </r>
  <r>
    <d v="2024-12-01T00:00:00"/>
    <s v="2024-25"/>
    <n v="2024"/>
    <x v="4"/>
    <x v="4"/>
    <s v="Kerala"/>
    <n v="32"/>
    <s v="State"/>
    <n v="928.58"/>
    <n v="1183.93"/>
    <n v="455.94"/>
    <n v="6.6"/>
    <n v="2568.4499999999998"/>
    <n v="2575.0500000000002"/>
    <m/>
  </r>
  <r>
    <d v="2024-12-01T00:00:00"/>
    <s v="2024-25"/>
    <n v="2024"/>
    <x v="4"/>
    <x v="4"/>
    <s v="Ladakh"/>
    <n v="37"/>
    <s v="Union Territory"/>
    <n v="25.66"/>
    <n v="32.85"/>
    <n v="6.16"/>
    <n v="0.21"/>
    <n v="64.67"/>
    <n v="64.88"/>
    <m/>
  </r>
  <r>
    <d v="2024-12-01T00:00:00"/>
    <s v="2024-25"/>
    <n v="2024"/>
    <x v="4"/>
    <x v="4"/>
    <s v="Lakshadweep"/>
    <n v="31"/>
    <s v="Union Territory"/>
    <n v="0.3"/>
    <n v="0.35"/>
    <n v="1.0900000000000001"/>
    <n v="0"/>
    <n v="1.74"/>
    <n v="1.74"/>
    <m/>
  </r>
  <r>
    <d v="2024-12-01T00:00:00"/>
    <s v="2024-25"/>
    <n v="2024"/>
    <x v="4"/>
    <x v="4"/>
    <s v="Madhya Pradesh"/>
    <n v="23"/>
    <s v="State"/>
    <n v="858.78"/>
    <n v="1064.53"/>
    <n v="843.67"/>
    <n v="693.2"/>
    <n v="2766.98"/>
    <n v="3460.18"/>
    <m/>
  </r>
  <r>
    <d v="2024-12-01T00:00:00"/>
    <s v="2024-25"/>
    <n v="2024"/>
    <x v="4"/>
    <x v="4"/>
    <s v="Maharashtra"/>
    <n v="27"/>
    <s v="State"/>
    <n v="8342.31"/>
    <n v="9465.08"/>
    <n v="9386.69"/>
    <n v="2066.34"/>
    <n v="27194.080000000002"/>
    <n v="29260.42"/>
    <m/>
  </r>
  <r>
    <d v="2024-12-01T00:00:00"/>
    <s v="2024-25"/>
    <n v="2024"/>
    <x v="4"/>
    <x v="4"/>
    <s v="Manipur"/>
    <n v="14"/>
    <s v="State"/>
    <n v="14.9"/>
    <n v="21.28"/>
    <n v="9.5500000000000007"/>
    <n v="0.12"/>
    <n v="45.73"/>
    <n v="45.85"/>
    <m/>
  </r>
  <r>
    <d v="2024-12-01T00:00:00"/>
    <s v="2024-25"/>
    <n v="2024"/>
    <x v="4"/>
    <x v="4"/>
    <s v="Meghalaya"/>
    <n v="17"/>
    <s v="State"/>
    <n v="30.47"/>
    <n v="36.630000000000003"/>
    <n v="79.14"/>
    <n v="3.98"/>
    <n v="146.24"/>
    <n v="150.22"/>
    <m/>
  </r>
  <r>
    <d v="2024-12-01T00:00:00"/>
    <s v="2024-25"/>
    <n v="2024"/>
    <x v="4"/>
    <x v="4"/>
    <s v="Mizoram"/>
    <n v="15"/>
    <s v="State"/>
    <n v="10.95"/>
    <n v="13.55"/>
    <n v="3.74"/>
    <n v="0.03"/>
    <n v="28.24"/>
    <n v="28.27"/>
    <m/>
  </r>
  <r>
    <d v="2024-12-01T00:00:00"/>
    <s v="2024-25"/>
    <n v="2024"/>
    <x v="4"/>
    <x v="4"/>
    <s v="Nagaland"/>
    <n v="13"/>
    <s v="State"/>
    <n v="17.36"/>
    <n v="21.51"/>
    <n v="9.5500000000000007"/>
    <n v="2.42"/>
    <n v="48.42"/>
    <n v="50.84"/>
    <m/>
  </r>
  <r>
    <d v="2024-12-01T00:00:00"/>
    <s v="2024-25"/>
    <n v="2024"/>
    <x v="4"/>
    <x v="4"/>
    <s v="Odisha"/>
    <n v="21"/>
    <s v="State"/>
    <n v="1136.3800000000001"/>
    <n v="1354.02"/>
    <n v="1488.43"/>
    <n v="862.44"/>
    <n v="3978.83"/>
    <n v="4841.2700000000004"/>
    <m/>
  </r>
  <r>
    <d v="2024-12-01T00:00:00"/>
    <s v="2024-25"/>
    <n v="2024"/>
    <x v="4"/>
    <x v="4"/>
    <s v="Puducherry"/>
    <n v="34"/>
    <s v="Union Territory"/>
    <n v="29.54"/>
    <n v="44.22"/>
    <n v="151.72"/>
    <n v="2.4900000000000002"/>
    <n v="225.48"/>
    <n v="227.97"/>
    <m/>
  </r>
  <r>
    <d v="2024-12-01T00:00:00"/>
    <s v="2024-25"/>
    <n v="2024"/>
    <x v="4"/>
    <x v="4"/>
    <s v="Punjab"/>
    <n v="3"/>
    <s v="State"/>
    <n v="537.38"/>
    <n v="728.01"/>
    <n v="1001.9"/>
    <n v="26.32"/>
    <n v="2267.29"/>
    <n v="2293.61"/>
    <m/>
  </r>
  <r>
    <d v="2024-12-01T00:00:00"/>
    <s v="2024-25"/>
    <n v="2024"/>
    <x v="4"/>
    <x v="4"/>
    <s v="Rajasthan"/>
    <n v="8"/>
    <s v="State"/>
    <n v="1134.0999999999999"/>
    <n v="1419.19"/>
    <n v="1418.32"/>
    <n v="174.87"/>
    <n v="3971.61"/>
    <n v="4146.4799999999996"/>
    <m/>
  </r>
  <r>
    <d v="2024-12-01T00:00:00"/>
    <s v="2024-25"/>
    <n v="2024"/>
    <x v="4"/>
    <x v="4"/>
    <s v="Sikkim"/>
    <n v="11"/>
    <s v="State"/>
    <n v="29.21"/>
    <n v="37.79"/>
    <n v="262.37"/>
    <n v="0.12"/>
    <n v="329.37"/>
    <n v="329.49"/>
    <m/>
  </r>
  <r>
    <d v="2024-12-01T00:00:00"/>
    <s v="2024-25"/>
    <n v="2024"/>
    <x v="4"/>
    <x v="4"/>
    <s v="Tamil Nadu"/>
    <n v="33"/>
    <s v="State"/>
    <n v="2797.99"/>
    <n v="3707.16"/>
    <n v="3653.33"/>
    <n v="797.52"/>
    <n v="10158.48"/>
    <n v="10956"/>
    <m/>
  </r>
  <r>
    <d v="2024-12-01T00:00:00"/>
    <s v="2024-25"/>
    <n v="2024"/>
    <x v="4"/>
    <x v="4"/>
    <s v="Telangana"/>
    <n v="36"/>
    <s v="State"/>
    <n v="1442.23"/>
    <n v="1816.51"/>
    <n v="1422.47"/>
    <n v="542.41999999999996"/>
    <n v="4681.21"/>
    <n v="5223.63"/>
    <m/>
  </r>
  <r>
    <d v="2024-12-01T00:00:00"/>
    <s v="2024-25"/>
    <n v="2024"/>
    <x v="4"/>
    <x v="4"/>
    <s v="Tripura"/>
    <n v="16"/>
    <s v="State"/>
    <n v="32.479999999999997"/>
    <n v="39.840000000000003"/>
    <n v="10.63"/>
    <n v="0.11"/>
    <n v="82.95"/>
    <n v="83.06"/>
    <m/>
  </r>
  <r>
    <d v="2024-12-01T00:00:00"/>
    <s v="2024-25"/>
    <n v="2024"/>
    <x v="4"/>
    <x v="4"/>
    <s v="Uttar Pradesh"/>
    <n v="9"/>
    <s v="State"/>
    <n v="1881.8"/>
    <n v="2535.19"/>
    <n v="2340.5"/>
    <n v="1359.5"/>
    <n v="6757.49"/>
    <n v="8116.99"/>
    <m/>
  </r>
  <r>
    <d v="2024-12-01T00:00:00"/>
    <s v="2024-25"/>
    <n v="2024"/>
    <x v="4"/>
    <x v="4"/>
    <s v="Uttarakhand"/>
    <n v="5"/>
    <s v="State"/>
    <n v="295.68"/>
    <n v="439.24"/>
    <n v="803.69"/>
    <n v="8.7799999999999994"/>
    <n v="1538.61"/>
    <n v="1547.39"/>
    <m/>
  </r>
  <r>
    <d v="2024-12-01T00:00:00"/>
    <s v="2024-25"/>
    <n v="2024"/>
    <x v="4"/>
    <x v="4"/>
    <s v="West Bengal"/>
    <n v="19"/>
    <s v="State"/>
    <n v="1518.15"/>
    <n v="1809.4"/>
    <n v="1399.52"/>
    <n v="462.46"/>
    <n v="4727.07"/>
    <n v="5189.53"/>
    <m/>
  </r>
  <r>
    <d v="2025-01-01T00:00:00"/>
    <s v="2024-25"/>
    <n v="2025"/>
    <x v="5"/>
    <x v="5"/>
    <s v="Andaman and Nicobar Islands"/>
    <n v="35"/>
    <s v="Union Territory"/>
    <n v="17.72"/>
    <n v="21.57"/>
    <n v="4.13"/>
    <n v="0.06"/>
    <n v="43.42"/>
    <n v="43.48"/>
    <m/>
  </r>
  <r>
    <d v="2025-01-01T00:00:00"/>
    <s v="2024-25"/>
    <n v="2025"/>
    <x v="5"/>
    <x v="5"/>
    <s v="Andhra Pradesh"/>
    <n v="28"/>
    <s v="State"/>
    <n v="919.18"/>
    <n v="1184.57"/>
    <n v="1378.31"/>
    <n v="121.45"/>
    <n v="3482.06"/>
    <n v="3603.51"/>
    <m/>
  </r>
  <r>
    <d v="2025-01-01T00:00:00"/>
    <s v="2024-25"/>
    <n v="2025"/>
    <x v="5"/>
    <x v="5"/>
    <s v="Arunachal Pradesh"/>
    <n v="12"/>
    <s v="State"/>
    <n v="34.53"/>
    <n v="41.2"/>
    <n v="12.84"/>
    <n v="0.17"/>
    <n v="88.57"/>
    <n v="88.74"/>
    <m/>
  </r>
  <r>
    <d v="2025-01-01T00:00:00"/>
    <s v="2024-25"/>
    <n v="2025"/>
    <x v="5"/>
    <x v="5"/>
    <s v="Assam"/>
    <n v="18"/>
    <s v="State"/>
    <n v="424.57"/>
    <n v="562.75"/>
    <n v="372.59"/>
    <n v="106.11"/>
    <n v="1359.91"/>
    <n v="1466.02"/>
    <m/>
  </r>
  <r>
    <d v="2025-01-01T00:00:00"/>
    <s v="2024-25"/>
    <n v="2025"/>
    <x v="5"/>
    <x v="5"/>
    <s v="Bihar"/>
    <n v="10"/>
    <s v="State"/>
    <n v="422.33"/>
    <n v="866.25"/>
    <n v="229.57"/>
    <n v="166.21"/>
    <n v="1518.15"/>
    <n v="1684.36"/>
    <m/>
  </r>
  <r>
    <d v="2025-01-01T00:00:00"/>
    <s v="2024-25"/>
    <n v="2025"/>
    <x v="5"/>
    <x v="5"/>
    <s v="Chandigarh"/>
    <n v="4"/>
    <s v="Union Territory"/>
    <n v="58"/>
    <n v="81.86"/>
    <n v="122.62"/>
    <n v="8.56"/>
    <n v="262.48"/>
    <n v="271.04000000000002"/>
    <m/>
  </r>
  <r>
    <d v="2025-01-01T00:00:00"/>
    <s v="2024-25"/>
    <n v="2025"/>
    <x v="5"/>
    <x v="5"/>
    <s v="Chhattisgarh"/>
    <n v="22"/>
    <s v="State"/>
    <n v="638.09"/>
    <n v="767.2"/>
    <n v="1022.82"/>
    <n v="681.2"/>
    <n v="2428.11"/>
    <n v="3109.31"/>
    <m/>
  </r>
  <r>
    <d v="2025-01-01T00:00:00"/>
    <s v="2024-25"/>
    <n v="2025"/>
    <x v="5"/>
    <x v="5"/>
    <s v="Dadra and Nagar Haveli and Daman and Diu"/>
    <n v="38"/>
    <s v="Union Territory"/>
    <n v="50.57"/>
    <n v="61.13"/>
    <n v="296.56"/>
    <n v="0.25"/>
    <n v="408.26"/>
    <n v="408.51"/>
    <m/>
  </r>
  <r>
    <d v="2025-01-01T00:00:00"/>
    <s v="2024-25"/>
    <n v="2025"/>
    <x v="5"/>
    <x v="5"/>
    <s v="Delhi"/>
    <n v="7"/>
    <s v="Union Territory"/>
    <n v="1299.71"/>
    <n v="1592.39"/>
    <n v="3204.09"/>
    <n v="119.59"/>
    <n v="6096.19"/>
    <n v="6215.78"/>
    <m/>
  </r>
  <r>
    <d v="2025-01-01T00:00:00"/>
    <s v="2024-25"/>
    <n v="2025"/>
    <x v="5"/>
    <x v="5"/>
    <s v="Goa"/>
    <n v="30"/>
    <s v="State"/>
    <n v="214.98"/>
    <n v="275.19"/>
    <n v="199.54"/>
    <n v="5.1100000000000003"/>
    <n v="689.71"/>
    <n v="694.82"/>
    <m/>
  </r>
  <r>
    <d v="2025-01-01T00:00:00"/>
    <s v="2024-25"/>
    <n v="2025"/>
    <x v="5"/>
    <x v="5"/>
    <s v="Gujarat"/>
    <n v="24"/>
    <s v="State"/>
    <n v="3369.03"/>
    <n v="4025.16"/>
    <n v="3918.66"/>
    <n v="822.25"/>
    <n v="11312.85"/>
    <n v="12135.1"/>
    <m/>
  </r>
  <r>
    <d v="2025-01-01T00:00:00"/>
    <s v="2024-25"/>
    <n v="2025"/>
    <x v="5"/>
    <x v="5"/>
    <s v="Haryana"/>
    <n v="6"/>
    <s v="State"/>
    <n v="1596.53"/>
    <n v="2074.4699999999998"/>
    <n v="5899.77"/>
    <n v="713.05"/>
    <n v="9570.77"/>
    <n v="10283.82"/>
    <m/>
  </r>
  <r>
    <d v="2025-01-01T00:00:00"/>
    <s v="2024-25"/>
    <n v="2025"/>
    <x v="5"/>
    <x v="5"/>
    <s v="Himachal Pradesh"/>
    <n v="2"/>
    <s v="State"/>
    <n v="162.25"/>
    <n v="225.02"/>
    <n v="426.92"/>
    <n v="2.4700000000000002"/>
    <n v="814.19"/>
    <n v="816.66"/>
    <m/>
  </r>
  <r>
    <d v="2025-01-01T00:00:00"/>
    <s v="2024-25"/>
    <n v="2025"/>
    <x v="5"/>
    <x v="5"/>
    <s v="Jammu and Kashmir"/>
    <n v="1"/>
    <s v="Union Territory"/>
    <n v="199.36"/>
    <n v="290.75"/>
    <n v="153.1"/>
    <n v="6.63"/>
    <n v="643.21"/>
    <n v="649.84"/>
    <m/>
  </r>
  <r>
    <d v="2025-01-01T00:00:00"/>
    <s v="2024-25"/>
    <n v="2025"/>
    <x v="5"/>
    <x v="5"/>
    <s v="Jharkhand"/>
    <n v="20"/>
    <s v="State"/>
    <n v="590.87"/>
    <n v="752.58"/>
    <n v="1287.3499999999999"/>
    <n v="696.43"/>
    <n v="2630.8"/>
    <n v="3327.23"/>
    <m/>
  </r>
  <r>
    <d v="2025-01-01T00:00:00"/>
    <s v="2024-25"/>
    <n v="2025"/>
    <x v="5"/>
    <x v="5"/>
    <s v="Karnataka"/>
    <n v="29"/>
    <s v="State"/>
    <n v="3328.73"/>
    <n v="4063.13"/>
    <n v="5521.01"/>
    <n v="1439.7"/>
    <n v="12912.87"/>
    <n v="14352.57"/>
    <m/>
  </r>
  <r>
    <d v="2025-01-01T00:00:00"/>
    <s v="2024-25"/>
    <n v="2025"/>
    <x v="5"/>
    <x v="5"/>
    <s v="Kerala"/>
    <n v="32"/>
    <s v="State"/>
    <n v="1066.8499999999999"/>
    <n v="1380.49"/>
    <n v="522.98"/>
    <n v="18.420000000000002"/>
    <n v="2970.32"/>
    <n v="2988.74"/>
    <m/>
  </r>
  <r>
    <d v="2025-01-01T00:00:00"/>
    <s v="2024-25"/>
    <n v="2025"/>
    <x v="5"/>
    <x v="5"/>
    <s v="Ladakh"/>
    <n v="37"/>
    <s v="Union Territory"/>
    <n v="25.3"/>
    <n v="35.15"/>
    <n v="7.63"/>
    <n v="0.18"/>
    <n v="68.08"/>
    <n v="68.260000000000005"/>
    <m/>
  </r>
  <r>
    <d v="2025-01-01T00:00:00"/>
    <s v="2024-25"/>
    <n v="2025"/>
    <x v="5"/>
    <x v="5"/>
    <s v="Lakshadweep"/>
    <n v="31"/>
    <s v="Union Territory"/>
    <n v="0.47"/>
    <n v="0.62"/>
    <n v="0.26"/>
    <n v="0"/>
    <n v="1.35"/>
    <n v="1.35"/>
    <m/>
  </r>
  <r>
    <d v="2025-01-01T00:00:00"/>
    <s v="2024-25"/>
    <n v="2025"/>
    <x v="5"/>
    <x v="5"/>
    <s v="Madhya Pradesh"/>
    <n v="23"/>
    <s v="State"/>
    <n v="982.19"/>
    <n v="1220.06"/>
    <n v="1020.6"/>
    <n v="687.83"/>
    <n v="3222.85"/>
    <n v="3910.68"/>
    <m/>
  </r>
  <r>
    <d v="2025-01-01T00:00:00"/>
    <s v="2024-25"/>
    <n v="2025"/>
    <x v="5"/>
    <x v="5"/>
    <s v="Maharashtra"/>
    <n v="27"/>
    <s v="State"/>
    <n v="8584.7800000000007"/>
    <n v="9755.4699999999993"/>
    <n v="11639.01"/>
    <n v="2356.1"/>
    <n v="29979.26"/>
    <n v="32335.360000000001"/>
    <m/>
  </r>
  <r>
    <d v="2025-01-01T00:00:00"/>
    <s v="2024-25"/>
    <n v="2025"/>
    <x v="5"/>
    <x v="5"/>
    <s v="Manipur"/>
    <n v="14"/>
    <s v="State"/>
    <n v="18.54"/>
    <n v="25.46"/>
    <n v="11.44"/>
    <n v="0.14000000000000001"/>
    <n v="55.44"/>
    <n v="55.58"/>
    <m/>
  </r>
  <r>
    <d v="2025-01-01T00:00:00"/>
    <s v="2024-25"/>
    <n v="2025"/>
    <x v="5"/>
    <x v="5"/>
    <s v="Meghalaya"/>
    <n v="17"/>
    <s v="State"/>
    <n v="48.59"/>
    <n v="62.87"/>
    <n v="103.09"/>
    <n v="1.56"/>
    <n v="214.55"/>
    <n v="216.11"/>
    <m/>
  </r>
  <r>
    <d v="2025-01-01T00:00:00"/>
    <s v="2024-25"/>
    <n v="2025"/>
    <x v="5"/>
    <x v="5"/>
    <s v="Mizoram"/>
    <n v="15"/>
    <s v="State"/>
    <n v="12.22"/>
    <n v="16.54"/>
    <n v="5.86"/>
    <n v="0.03"/>
    <n v="34.619999999999997"/>
    <n v="34.65"/>
    <m/>
  </r>
  <r>
    <d v="2025-01-01T00:00:00"/>
    <s v="2024-25"/>
    <n v="2025"/>
    <x v="5"/>
    <x v="5"/>
    <s v="Nagaland"/>
    <n v="13"/>
    <s v="State"/>
    <n v="22.52"/>
    <n v="27.58"/>
    <n v="12.37"/>
    <n v="2.15"/>
    <n v="62.47"/>
    <n v="64.62"/>
    <m/>
  </r>
  <r>
    <d v="2025-01-01T00:00:00"/>
    <s v="2024-25"/>
    <n v="2025"/>
    <x v="5"/>
    <x v="5"/>
    <s v="Odisha"/>
    <n v="21"/>
    <s v="State"/>
    <n v="1206.24"/>
    <n v="1478.56"/>
    <n v="1687.73"/>
    <n v="948.66"/>
    <n v="4372.53"/>
    <n v="5321.19"/>
    <m/>
  </r>
  <r>
    <d v="2025-01-01T00:00:00"/>
    <s v="2024-25"/>
    <n v="2025"/>
    <x v="5"/>
    <x v="5"/>
    <s v="Puducherry"/>
    <n v="34"/>
    <s v="Union Territory"/>
    <n v="31.02"/>
    <n v="51.8"/>
    <n v="156.56"/>
    <n v="2.4700000000000002"/>
    <n v="239.38"/>
    <n v="241.85"/>
    <m/>
  </r>
  <r>
    <d v="2025-01-01T00:00:00"/>
    <s v="2024-25"/>
    <n v="2025"/>
    <x v="5"/>
    <x v="5"/>
    <s v="Punjab"/>
    <n v="3"/>
    <s v="State"/>
    <n v="592.86"/>
    <n v="820.49"/>
    <n v="914.75"/>
    <n v="34.549999999999997"/>
    <n v="2328.1"/>
    <n v="2362.65"/>
    <m/>
  </r>
  <r>
    <d v="2025-01-01T00:00:00"/>
    <s v="2024-25"/>
    <n v="2025"/>
    <x v="5"/>
    <x v="5"/>
    <s v="Rajasthan"/>
    <n v="8"/>
    <s v="State"/>
    <n v="1313.28"/>
    <n v="1631.59"/>
    <n v="1777.7"/>
    <n v="195.02"/>
    <n v="4722.57"/>
    <n v="4917.59"/>
    <m/>
  </r>
  <r>
    <d v="2025-01-01T00:00:00"/>
    <s v="2024-25"/>
    <n v="2025"/>
    <x v="5"/>
    <x v="5"/>
    <s v="Sikkim"/>
    <n v="11"/>
    <s v="State"/>
    <n v="27.16"/>
    <n v="36.58"/>
    <n v="292.89"/>
    <n v="0.13"/>
    <n v="356.63"/>
    <n v="356.76"/>
    <m/>
  </r>
  <r>
    <d v="2025-01-01T00:00:00"/>
    <s v="2024-25"/>
    <n v="2025"/>
    <x v="5"/>
    <x v="5"/>
    <s v="Tamil Nadu"/>
    <n v="33"/>
    <s v="State"/>
    <n v="2873.93"/>
    <n v="3832.43"/>
    <n v="4018.62"/>
    <n v="771.31"/>
    <n v="10724.98"/>
    <n v="11496.29"/>
    <m/>
  </r>
  <r>
    <d v="2025-01-01T00:00:00"/>
    <s v="2024-25"/>
    <n v="2025"/>
    <x v="5"/>
    <x v="5"/>
    <s v="Telangana"/>
    <n v="36"/>
    <s v="State"/>
    <n v="1613.75"/>
    <n v="2047.4"/>
    <n v="1754.28"/>
    <n v="601.35"/>
    <n v="5415.43"/>
    <n v="6016.78"/>
    <m/>
  </r>
  <r>
    <d v="2025-01-01T00:00:00"/>
    <s v="2024-25"/>
    <n v="2025"/>
    <x v="5"/>
    <x v="5"/>
    <s v="Tripura"/>
    <n v="16"/>
    <s v="State"/>
    <n v="38.090000000000003"/>
    <n v="50.51"/>
    <n v="11.8"/>
    <n v="0.48"/>
    <n v="100.4"/>
    <n v="100.88"/>
    <m/>
  </r>
  <r>
    <d v="2025-01-01T00:00:00"/>
    <s v="2024-25"/>
    <n v="2025"/>
    <x v="5"/>
    <x v="5"/>
    <s v="Uttar Pradesh"/>
    <n v="9"/>
    <s v="State"/>
    <n v="2221.64"/>
    <n v="2995.11"/>
    <n v="2792.88"/>
    <n v="1505.94"/>
    <n v="8009.63"/>
    <n v="9515.57"/>
    <m/>
  </r>
  <r>
    <d v="2025-01-01T00:00:00"/>
    <s v="2024-25"/>
    <n v="2025"/>
    <x v="5"/>
    <x v="5"/>
    <s v="Uttarakhand"/>
    <n v="5"/>
    <s v="State"/>
    <n v="343.2"/>
    <n v="493.63"/>
    <n v="807.55"/>
    <n v="10.210000000000001"/>
    <n v="1644.38"/>
    <n v="1654.59"/>
    <m/>
  </r>
  <r>
    <d v="2025-01-01T00:00:00"/>
    <s v="2024-25"/>
    <n v="2025"/>
    <x v="5"/>
    <x v="5"/>
    <s v="West Bengal"/>
    <n v="19"/>
    <s v="State"/>
    <n v="1709.45"/>
    <n v="2074.13"/>
    <n v="1591.92"/>
    <n v="457.15"/>
    <n v="5375.5"/>
    <n v="5832.65"/>
    <m/>
  </r>
  <r>
    <d v="2025-02-01T00:00:00"/>
    <s v="2024-25"/>
    <n v="2025"/>
    <x v="6"/>
    <x v="6"/>
    <s v="Andaman and Nicobar Islands"/>
    <n v="35"/>
    <s v="Union Territory"/>
    <n v="18.420000000000002"/>
    <n v="22.74"/>
    <n v="10.3"/>
    <n v="0.23"/>
    <n v="51.46"/>
    <n v="51.69"/>
    <m/>
  </r>
  <r>
    <d v="2025-02-01T00:00:00"/>
    <s v="2024-25"/>
    <n v="2025"/>
    <x v="6"/>
    <x v="6"/>
    <s v="Andhra Pradesh"/>
    <n v="28"/>
    <s v="State"/>
    <n v="967.45"/>
    <n v="1214.8599999999999"/>
    <n v="1387.05"/>
    <n v="247.39"/>
    <n v="3569.36"/>
    <n v="3816.75"/>
    <m/>
  </r>
  <r>
    <d v="2025-02-01T00:00:00"/>
    <s v="2024-25"/>
    <n v="2025"/>
    <x v="6"/>
    <x v="6"/>
    <s v="Arunachal Pradesh"/>
    <n v="12"/>
    <s v="State"/>
    <n v="39.28"/>
    <n v="49.39"/>
    <n v="12.78"/>
    <n v="0.67"/>
    <n v="101.45"/>
    <n v="102.12"/>
    <m/>
  </r>
  <r>
    <d v="2025-02-01T00:00:00"/>
    <s v="2024-25"/>
    <n v="2025"/>
    <x v="6"/>
    <x v="6"/>
    <s v="Assam"/>
    <n v="18"/>
    <s v="State"/>
    <n v="432.61"/>
    <n v="564.63"/>
    <n v="334.02"/>
    <n v="119.68"/>
    <n v="1331.26"/>
    <n v="1450.94"/>
    <m/>
  </r>
  <r>
    <d v="2025-02-01T00:00:00"/>
    <s v="2024-25"/>
    <n v="2025"/>
    <x v="6"/>
    <x v="6"/>
    <s v="Bihar"/>
    <n v="10"/>
    <s v="State"/>
    <n v="398.73"/>
    <n v="802.67"/>
    <n v="256.37"/>
    <n v="186.55"/>
    <n v="1457.77"/>
    <n v="1644.32"/>
    <m/>
  </r>
  <r>
    <d v="2025-02-01T00:00:00"/>
    <s v="2024-25"/>
    <n v="2025"/>
    <x v="6"/>
    <x v="6"/>
    <s v="Chandigarh"/>
    <n v="4"/>
    <s v="Union Territory"/>
    <n v="47.59"/>
    <n v="60.66"/>
    <n v="122.2"/>
    <n v="5.25"/>
    <n v="230.45"/>
    <n v="235.7"/>
    <m/>
  </r>
  <r>
    <d v="2025-02-01T00:00:00"/>
    <s v="2024-25"/>
    <n v="2025"/>
    <x v="6"/>
    <x v="6"/>
    <s v="Chhattisgarh"/>
    <n v="22"/>
    <s v="State"/>
    <n v="715.94"/>
    <n v="884.35"/>
    <n v="1054.26"/>
    <n v="696.81"/>
    <n v="2654.55"/>
    <n v="3351.36"/>
    <m/>
  </r>
  <r>
    <d v="2025-02-01T00:00:00"/>
    <s v="2024-25"/>
    <n v="2025"/>
    <x v="6"/>
    <x v="6"/>
    <s v="Dadra and Nagar Haveli and Daman and Diu"/>
    <n v="38"/>
    <s v="Union Territory"/>
    <n v="47.5"/>
    <n v="63.48"/>
    <n v="274.56"/>
    <n v="0.08"/>
    <n v="385.54"/>
    <n v="385.62"/>
    <m/>
  </r>
  <r>
    <d v="2025-02-01T00:00:00"/>
    <s v="2024-25"/>
    <n v="2025"/>
    <x v="6"/>
    <x v="6"/>
    <s v="Delhi"/>
    <n v="7"/>
    <s v="Union Territory"/>
    <n v="1233.81"/>
    <n v="1454.51"/>
    <n v="3285.79"/>
    <n v="100.19"/>
    <n v="5974.11"/>
    <n v="6074.3"/>
    <m/>
  </r>
  <r>
    <d v="2025-02-01T00:00:00"/>
    <s v="2024-25"/>
    <n v="2025"/>
    <x v="6"/>
    <x v="6"/>
    <s v="Goa"/>
    <n v="30"/>
    <s v="State"/>
    <n v="184.79"/>
    <n v="227.54"/>
    <n v="183.9"/>
    <n v="4.3099999999999996"/>
    <n v="596.23"/>
    <n v="600.54"/>
    <m/>
  </r>
  <r>
    <d v="2025-02-01T00:00:00"/>
    <s v="2024-25"/>
    <n v="2025"/>
    <x v="6"/>
    <x v="6"/>
    <s v="Gujarat"/>
    <n v="24"/>
    <s v="State"/>
    <n v="3334.34"/>
    <n v="3941"/>
    <n v="3400.91"/>
    <n v="725.37"/>
    <n v="10676.25"/>
    <n v="11401.62"/>
    <m/>
  </r>
  <r>
    <d v="2025-02-01T00:00:00"/>
    <s v="2024-25"/>
    <n v="2025"/>
    <x v="6"/>
    <x v="6"/>
    <s v="Haryana"/>
    <n v="6"/>
    <s v="State"/>
    <n v="1508.54"/>
    <n v="1921.14"/>
    <n v="5833.46"/>
    <n v="662.1"/>
    <n v="9263.14"/>
    <n v="9925.24"/>
    <m/>
  </r>
  <r>
    <d v="2025-02-01T00:00:00"/>
    <s v="2024-25"/>
    <n v="2025"/>
    <x v="6"/>
    <x v="6"/>
    <s v="Himachal Pradesh"/>
    <n v="2"/>
    <s v="State"/>
    <n v="156.69999999999999"/>
    <n v="217.23"/>
    <n v="490.77"/>
    <n v="4.1100000000000003"/>
    <n v="864.7"/>
    <n v="868.81"/>
    <m/>
  </r>
  <r>
    <d v="2025-02-01T00:00:00"/>
    <s v="2024-25"/>
    <n v="2025"/>
    <x v="6"/>
    <x v="6"/>
    <s v="Jammu and Kashmir"/>
    <n v="1"/>
    <s v="Union Territory"/>
    <n v="143.47999999999999"/>
    <n v="209.81"/>
    <n v="161.94999999999999"/>
    <n v="7.29"/>
    <n v="515.24"/>
    <n v="522.53"/>
    <m/>
  </r>
  <r>
    <d v="2025-02-01T00:00:00"/>
    <s v="2024-25"/>
    <n v="2025"/>
    <x v="6"/>
    <x v="6"/>
    <s v="Jharkhand"/>
    <n v="20"/>
    <s v="State"/>
    <n v="598.20000000000005"/>
    <n v="787.04"/>
    <n v="1237.96"/>
    <n v="695.72"/>
    <n v="2623.2"/>
    <n v="3318.92"/>
    <m/>
  </r>
  <r>
    <d v="2025-02-01T00:00:00"/>
    <s v="2024-25"/>
    <n v="2025"/>
    <x v="6"/>
    <x v="6"/>
    <s v="Karnataka"/>
    <n v="29"/>
    <s v="State"/>
    <n v="3259.05"/>
    <n v="3907.15"/>
    <n v="5236.5600000000004"/>
    <n v="1714.31"/>
    <n v="12402.76"/>
    <n v="14117.07"/>
    <m/>
  </r>
  <r>
    <d v="2025-02-01T00:00:00"/>
    <s v="2024-25"/>
    <n v="2025"/>
    <x v="6"/>
    <x v="6"/>
    <s v="Kerala"/>
    <n v="32"/>
    <s v="State"/>
    <n v="1023.01"/>
    <n v="1312.42"/>
    <n v="545.98"/>
    <n v="12.43"/>
    <n v="2881.41"/>
    <n v="2893.84"/>
    <m/>
  </r>
  <r>
    <d v="2025-02-01T00:00:00"/>
    <s v="2024-25"/>
    <n v="2025"/>
    <x v="6"/>
    <x v="6"/>
    <s v="Ladakh"/>
    <n v="37"/>
    <s v="Union Territory"/>
    <n v="6.96"/>
    <n v="9.69"/>
    <n v="2.11"/>
    <n v="0.05"/>
    <n v="18.760000000000002"/>
    <n v="18.809999999999999"/>
    <m/>
  </r>
  <r>
    <d v="2025-02-01T00:00:00"/>
    <s v="2024-25"/>
    <n v="2025"/>
    <x v="6"/>
    <x v="6"/>
    <s v="Lakshadweep"/>
    <n v="31"/>
    <s v="Union Territory"/>
    <n v="0.36"/>
    <n v="0.39"/>
    <n v="0.11"/>
    <n v="0"/>
    <n v="0.86"/>
    <n v="0.86"/>
    <m/>
  </r>
  <r>
    <d v="2025-02-01T00:00:00"/>
    <s v="2024-25"/>
    <n v="2025"/>
    <x v="6"/>
    <x v="6"/>
    <s v="Madhya Pradesh"/>
    <n v="23"/>
    <s v="State"/>
    <n v="1088.53"/>
    <n v="1286.6199999999999"/>
    <n v="999.42"/>
    <n v="715.24"/>
    <n v="3374.57"/>
    <n v="4089.81"/>
    <m/>
  </r>
  <r>
    <d v="2025-02-01T00:00:00"/>
    <s v="2024-25"/>
    <n v="2025"/>
    <x v="6"/>
    <x v="6"/>
    <s v="Maharashtra"/>
    <n v="27"/>
    <s v="State"/>
    <n v="8396.01"/>
    <n v="9682.19"/>
    <n v="10195.24"/>
    <n v="2363.13"/>
    <n v="28273.439999999999"/>
    <n v="30636.57"/>
    <m/>
  </r>
  <r>
    <d v="2025-02-01T00:00:00"/>
    <s v="2024-25"/>
    <n v="2025"/>
    <x v="6"/>
    <x v="6"/>
    <s v="Manipur"/>
    <n v="14"/>
    <s v="State"/>
    <n v="17.37"/>
    <n v="24"/>
    <n v="8.9600000000000009"/>
    <n v="0.06"/>
    <n v="50.33"/>
    <n v="50.39"/>
    <m/>
  </r>
  <r>
    <d v="2025-02-01T00:00:00"/>
    <s v="2024-25"/>
    <n v="2025"/>
    <x v="6"/>
    <x v="6"/>
    <s v="Meghalaya"/>
    <n v="17"/>
    <s v="State"/>
    <n v="42.48"/>
    <n v="53.89"/>
    <n v="117.54"/>
    <n v="0.4"/>
    <n v="213.91"/>
    <n v="214.31"/>
    <m/>
  </r>
  <r>
    <d v="2025-02-01T00:00:00"/>
    <s v="2024-25"/>
    <n v="2025"/>
    <x v="6"/>
    <x v="6"/>
    <s v="Mizoram"/>
    <n v="15"/>
    <s v="State"/>
    <n v="15.22"/>
    <n v="22"/>
    <n v="4.4000000000000004"/>
    <n v="0.02"/>
    <n v="41.62"/>
    <n v="41.64"/>
    <m/>
  </r>
  <r>
    <d v="2025-02-01T00:00:00"/>
    <s v="2024-25"/>
    <n v="2025"/>
    <x v="6"/>
    <x v="6"/>
    <s v="Nagaland"/>
    <n v="13"/>
    <s v="State"/>
    <n v="19.440000000000001"/>
    <n v="24.85"/>
    <n v="10.25"/>
    <n v="1.38"/>
    <n v="54.54"/>
    <n v="55.92"/>
    <m/>
  </r>
  <r>
    <d v="2025-02-01T00:00:00"/>
    <s v="2024-25"/>
    <n v="2025"/>
    <x v="6"/>
    <x v="6"/>
    <s v="Odisha"/>
    <n v="21"/>
    <s v="State"/>
    <n v="1221.6600000000001"/>
    <n v="1513.44"/>
    <n v="1688.63"/>
    <n v="920.75"/>
    <n v="4423.7299999999996"/>
    <n v="5344.48"/>
    <m/>
  </r>
  <r>
    <d v="2025-02-01T00:00:00"/>
    <s v="2024-25"/>
    <n v="2025"/>
    <x v="6"/>
    <x v="6"/>
    <s v="Puducherry"/>
    <n v="34"/>
    <s v="Union Territory"/>
    <n v="31.84"/>
    <n v="45.83"/>
    <n v="172.38"/>
    <n v="0.57999999999999996"/>
    <n v="250.05"/>
    <n v="250.63"/>
    <m/>
  </r>
  <r>
    <d v="2025-02-01T00:00:00"/>
    <s v="2024-25"/>
    <n v="2025"/>
    <x v="6"/>
    <x v="6"/>
    <s v="Punjab"/>
    <n v="3"/>
    <s v="State"/>
    <n v="534.53"/>
    <n v="762.61"/>
    <n v="798.13"/>
    <n v="29.63"/>
    <n v="2095.27"/>
    <n v="2124.9"/>
    <m/>
  </r>
  <r>
    <d v="2025-02-01T00:00:00"/>
    <s v="2024-25"/>
    <n v="2025"/>
    <x v="6"/>
    <x v="6"/>
    <s v="Rajasthan"/>
    <n v="8"/>
    <s v="State"/>
    <n v="1284.3"/>
    <n v="1619.47"/>
    <n v="1671.1"/>
    <n v="211.89"/>
    <n v="4574.87"/>
    <n v="4786.76"/>
    <m/>
  </r>
  <r>
    <d v="2025-02-01T00:00:00"/>
    <s v="2024-25"/>
    <n v="2025"/>
    <x v="6"/>
    <x v="6"/>
    <s v="Sikkim"/>
    <n v="11"/>
    <s v="State"/>
    <n v="22.42"/>
    <n v="27.15"/>
    <n v="281.93"/>
    <n v="0.19"/>
    <n v="331.5"/>
    <n v="331.69"/>
    <m/>
  </r>
  <r>
    <d v="2025-02-01T00:00:00"/>
    <s v="2024-25"/>
    <n v="2025"/>
    <x v="6"/>
    <x v="6"/>
    <s v="Tamil Nadu"/>
    <n v="33"/>
    <s v="State"/>
    <n v="2845.11"/>
    <n v="3930.95"/>
    <n v="3244.8"/>
    <n v="673.62"/>
    <n v="10020.86"/>
    <n v="10694.48"/>
    <m/>
  </r>
  <r>
    <d v="2025-02-01T00:00:00"/>
    <s v="2024-25"/>
    <n v="2025"/>
    <x v="6"/>
    <x v="6"/>
    <s v="Telangana"/>
    <n v="36"/>
    <s v="State"/>
    <n v="1401.63"/>
    <n v="1747.72"/>
    <n v="1552.22"/>
    <n v="578.47"/>
    <n v="4701.57"/>
    <n v="5280.04"/>
    <m/>
  </r>
  <r>
    <d v="2025-02-01T00:00:00"/>
    <s v="2024-25"/>
    <n v="2025"/>
    <x v="6"/>
    <x v="6"/>
    <s v="Tripura"/>
    <n v="16"/>
    <s v="State"/>
    <n v="38.83"/>
    <n v="52.27"/>
    <n v="12.1"/>
    <n v="0.13"/>
    <n v="103.2"/>
    <n v="103.33"/>
    <m/>
  </r>
  <r>
    <d v="2025-02-01T00:00:00"/>
    <s v="2024-25"/>
    <n v="2025"/>
    <x v="6"/>
    <x v="6"/>
    <s v="Uttar Pradesh"/>
    <n v="9"/>
    <s v="State"/>
    <n v="2081.0700000000002"/>
    <n v="2731.75"/>
    <n v="2612.1999999999998"/>
    <n v="1730.45"/>
    <n v="7425.02"/>
    <n v="9155.4699999999993"/>
    <m/>
  </r>
  <r>
    <d v="2025-02-01T00:00:00"/>
    <s v="2024-25"/>
    <n v="2025"/>
    <x v="6"/>
    <x v="6"/>
    <s v="Uttarakhand"/>
    <n v="5"/>
    <s v="State"/>
    <n v="330.65"/>
    <n v="473.15"/>
    <n v="839.7"/>
    <n v="12.19"/>
    <n v="1643.5"/>
    <n v="1655.69"/>
    <m/>
  </r>
  <r>
    <d v="2025-02-01T00:00:00"/>
    <s v="2024-25"/>
    <n v="2025"/>
    <x v="6"/>
    <x v="6"/>
    <s v="West Bengal"/>
    <n v="19"/>
    <s v="State"/>
    <n v="1694.4"/>
    <n v="2029.4"/>
    <n v="1506.2"/>
    <n v="566.79"/>
    <n v="5230"/>
    <n v="5796.79"/>
    <m/>
  </r>
  <r>
    <d v="2025-03-01T00:00:00"/>
    <s v="2024-25"/>
    <n v="2025"/>
    <x v="7"/>
    <x v="7"/>
    <s v="Andaman and Nicobar Islands"/>
    <n v="35"/>
    <s v="Union Territory"/>
    <n v="16.04"/>
    <n v="20.5"/>
    <n v="14.71"/>
    <n v="0.2"/>
    <n v="51.25"/>
    <n v="51.45"/>
    <m/>
  </r>
  <r>
    <d v="2025-03-01T00:00:00"/>
    <s v="2024-25"/>
    <n v="2025"/>
    <x v="7"/>
    <x v="7"/>
    <s v="Andhra Pradesh"/>
    <n v="28"/>
    <s v="State"/>
    <n v="985.07"/>
    <n v="1399.46"/>
    <n v="1413.21"/>
    <n v="235.51"/>
    <n v="3797.74"/>
    <n v="4033.25"/>
    <m/>
  </r>
  <r>
    <d v="2025-03-01T00:00:00"/>
    <s v="2024-25"/>
    <n v="2025"/>
    <x v="7"/>
    <x v="7"/>
    <s v="Arunachal Pradesh"/>
    <n v="12"/>
    <s v="State"/>
    <n v="71.099999999999994"/>
    <n v="82.86"/>
    <n v="20.03"/>
    <n v="0.2"/>
    <n v="173.99"/>
    <n v="174.19"/>
    <m/>
  </r>
  <r>
    <d v="2025-03-01T00:00:00"/>
    <s v="2024-25"/>
    <n v="2025"/>
    <x v="7"/>
    <x v="7"/>
    <s v="Assam"/>
    <n v="18"/>
    <s v="State"/>
    <n v="530.07000000000005"/>
    <n v="693.54"/>
    <n v="362.86"/>
    <n v="121.45"/>
    <n v="1586.47"/>
    <n v="1707.92"/>
    <m/>
  </r>
  <r>
    <d v="2025-03-01T00:00:00"/>
    <s v="2024-25"/>
    <n v="2025"/>
    <x v="7"/>
    <x v="7"/>
    <s v="Bihar"/>
    <n v="10"/>
    <s v="State"/>
    <n v="606.4"/>
    <n v="1574.37"/>
    <n v="247.88"/>
    <n v="169.99"/>
    <n v="2428.65"/>
    <n v="2598.64"/>
    <m/>
  </r>
  <r>
    <d v="2025-03-01T00:00:00"/>
    <s v="2024-25"/>
    <n v="2025"/>
    <x v="7"/>
    <x v="7"/>
    <s v="Chandigarh"/>
    <n v="4"/>
    <s v="Union Territory"/>
    <n v="51.76"/>
    <n v="67.290000000000006"/>
    <n v="118.58"/>
    <n v="2.92"/>
    <n v="237.63"/>
    <n v="240.55"/>
    <m/>
  </r>
  <r>
    <d v="2025-03-01T00:00:00"/>
    <s v="2024-25"/>
    <n v="2025"/>
    <x v="7"/>
    <x v="7"/>
    <s v="Chhattisgarh"/>
    <n v="22"/>
    <s v="State"/>
    <n v="770.12"/>
    <n v="1304.32"/>
    <n v="1002.41"/>
    <n v="644.05999999999995"/>
    <n v="3076.85"/>
    <n v="3720.91"/>
    <m/>
  </r>
  <r>
    <d v="2025-03-01T00:00:00"/>
    <s v="2024-25"/>
    <n v="2025"/>
    <x v="7"/>
    <x v="7"/>
    <s v="Dadra and Nagar Haveli and Daman and Diu"/>
    <n v="38"/>
    <s v="Union Territory"/>
    <n v="49.63"/>
    <n v="60.45"/>
    <n v="275.27999999999997"/>
    <n v="0.2"/>
    <n v="385.36"/>
    <n v="385.56"/>
    <m/>
  </r>
  <r>
    <d v="2025-03-01T00:00:00"/>
    <s v="2024-25"/>
    <n v="2025"/>
    <x v="7"/>
    <x v="7"/>
    <s v="Delhi"/>
    <n v="7"/>
    <s v="Union Territory"/>
    <n v="1288.3599999999999"/>
    <n v="1541.12"/>
    <n v="3211.94"/>
    <n v="97.82"/>
    <n v="6041.42"/>
    <n v="6139.24"/>
    <m/>
  </r>
  <r>
    <d v="2025-03-01T00:00:00"/>
    <s v="2024-25"/>
    <n v="2025"/>
    <x v="7"/>
    <x v="7"/>
    <s v="Goa"/>
    <n v="30"/>
    <s v="State"/>
    <n v="185.06"/>
    <n v="228.71"/>
    <n v="262.64999999999998"/>
    <n v="3.62"/>
    <n v="676.42"/>
    <n v="680.04"/>
    <m/>
  </r>
  <r>
    <d v="2025-03-01T00:00:00"/>
    <s v="2024-25"/>
    <n v="2025"/>
    <x v="7"/>
    <x v="7"/>
    <s v="Gujarat"/>
    <n v="24"/>
    <s v="State"/>
    <n v="3423.3"/>
    <n v="4246.16"/>
    <n v="3898.2"/>
    <n v="526.88"/>
    <n v="11567.66"/>
    <n v="12094.54"/>
    <m/>
  </r>
  <r>
    <d v="2025-03-01T00:00:00"/>
    <s v="2024-25"/>
    <n v="2025"/>
    <x v="7"/>
    <x v="7"/>
    <s v="Haryana"/>
    <n v="6"/>
    <s v="State"/>
    <n v="1632.47"/>
    <n v="2010.72"/>
    <n v="6407.97"/>
    <n v="596.86"/>
    <n v="10051.16"/>
    <n v="10648.02"/>
    <m/>
  </r>
  <r>
    <d v="2025-03-01T00:00:00"/>
    <s v="2024-25"/>
    <n v="2025"/>
    <x v="7"/>
    <x v="7"/>
    <s v="Himachal Pradesh"/>
    <n v="2"/>
    <s v="State"/>
    <n v="166.76"/>
    <n v="225.2"/>
    <n v="435.45"/>
    <n v="2.0099999999999998"/>
    <n v="827.41"/>
    <n v="829.42"/>
    <m/>
  </r>
  <r>
    <d v="2025-03-01T00:00:00"/>
    <s v="2024-25"/>
    <n v="2025"/>
    <x v="7"/>
    <x v="7"/>
    <s v="Jammu and Kashmir"/>
    <n v="1"/>
    <s v="Union Territory"/>
    <n v="192.47"/>
    <n v="256.56"/>
    <n v="137.06"/>
    <n v="8.83"/>
    <n v="586.09"/>
    <n v="594.91999999999996"/>
    <m/>
  </r>
  <r>
    <d v="2025-03-01T00:00:00"/>
    <s v="2024-25"/>
    <n v="2025"/>
    <x v="7"/>
    <x v="7"/>
    <s v="Jharkhand"/>
    <n v="20"/>
    <s v="State"/>
    <n v="650.86"/>
    <n v="902.31"/>
    <n v="1129.54"/>
    <n v="626.02"/>
    <n v="2682.71"/>
    <n v="3308.73"/>
    <m/>
  </r>
  <r>
    <d v="2025-03-01T00:00:00"/>
    <s v="2024-25"/>
    <n v="2025"/>
    <x v="7"/>
    <x v="7"/>
    <s v="Karnataka"/>
    <n v="29"/>
    <s v="State"/>
    <n v="3352.87"/>
    <n v="4178.0200000000004"/>
    <n v="4669.58"/>
    <n v="1296.97"/>
    <n v="12200.47"/>
    <n v="13497.44"/>
    <m/>
  </r>
  <r>
    <d v="2025-03-01T00:00:00"/>
    <s v="2024-25"/>
    <n v="2025"/>
    <x v="7"/>
    <x v="7"/>
    <s v="Kerala"/>
    <n v="32"/>
    <s v="State"/>
    <n v="1039.8900000000001"/>
    <n v="1265.2"/>
    <n v="518.71"/>
    <n v="5.23"/>
    <n v="2823.8"/>
    <n v="2829.03"/>
    <m/>
  </r>
  <r>
    <d v="2025-03-01T00:00:00"/>
    <s v="2024-25"/>
    <n v="2025"/>
    <x v="7"/>
    <x v="7"/>
    <s v="Ladakh"/>
    <n v="37"/>
    <s v="Union Territory"/>
    <n v="19.87"/>
    <n v="21.79"/>
    <n v="6.57"/>
    <n v="0.23"/>
    <n v="48.23"/>
    <n v="48.46"/>
    <m/>
  </r>
  <r>
    <d v="2025-03-01T00:00:00"/>
    <s v="2024-25"/>
    <n v="2025"/>
    <x v="7"/>
    <x v="7"/>
    <s v="Lakshadweep"/>
    <n v="31"/>
    <s v="Union Territory"/>
    <n v="0.67"/>
    <n v="1.2"/>
    <n v="0.96"/>
    <n v="0"/>
    <n v="2.83"/>
    <n v="2.83"/>
    <m/>
  </r>
  <r>
    <d v="2025-03-01T00:00:00"/>
    <s v="2024-25"/>
    <n v="2025"/>
    <x v="7"/>
    <x v="7"/>
    <s v="Madhya Pradesh"/>
    <n v="23"/>
    <s v="State"/>
    <n v="1116.6099999999999"/>
    <n v="1417.07"/>
    <n v="944.95"/>
    <n v="694.85"/>
    <n v="3478.63"/>
    <n v="4173.4799999999996"/>
    <m/>
  </r>
  <r>
    <d v="2025-03-01T00:00:00"/>
    <s v="2024-25"/>
    <n v="2025"/>
    <x v="7"/>
    <x v="7"/>
    <s v="Maharashtra"/>
    <n v="27"/>
    <s v="State"/>
    <n v="9057.7199999999993"/>
    <n v="10925.59"/>
    <n v="9363.1200000000008"/>
    <n v="2187.09"/>
    <n v="29346.43"/>
    <n v="31533.52"/>
    <m/>
  </r>
  <r>
    <d v="2025-03-01T00:00:00"/>
    <s v="2024-25"/>
    <n v="2025"/>
    <x v="7"/>
    <x v="7"/>
    <s v="Manipur"/>
    <n v="14"/>
    <s v="State"/>
    <n v="19.07"/>
    <n v="28.07"/>
    <n v="9.6999999999999993"/>
    <n v="0.15"/>
    <n v="56.84"/>
    <n v="56.99"/>
    <m/>
  </r>
  <r>
    <d v="2025-03-01T00:00:00"/>
    <s v="2024-25"/>
    <n v="2025"/>
    <x v="7"/>
    <x v="7"/>
    <s v="Meghalaya"/>
    <n v="17"/>
    <s v="State"/>
    <n v="71.709999999999994"/>
    <n v="85.42"/>
    <n v="109.89"/>
    <n v="0.67"/>
    <n v="267.02"/>
    <n v="267.69"/>
    <m/>
  </r>
  <r>
    <d v="2025-03-01T00:00:00"/>
    <s v="2024-25"/>
    <n v="2025"/>
    <x v="7"/>
    <x v="7"/>
    <s v="Mizoram"/>
    <n v="15"/>
    <s v="State"/>
    <n v="17.239999999999998"/>
    <n v="23.44"/>
    <n v="5.59"/>
    <n v="0.04"/>
    <n v="46.27"/>
    <n v="46.31"/>
    <m/>
  </r>
  <r>
    <d v="2025-03-01T00:00:00"/>
    <s v="2024-25"/>
    <n v="2025"/>
    <x v="7"/>
    <x v="7"/>
    <s v="Nagaland"/>
    <n v="13"/>
    <s v="State"/>
    <n v="29.71"/>
    <n v="35.72"/>
    <n v="17.760000000000002"/>
    <n v="1.46"/>
    <n v="83.19"/>
    <n v="84.65"/>
    <m/>
  </r>
  <r>
    <d v="2025-03-01T00:00:00"/>
    <s v="2024-25"/>
    <n v="2025"/>
    <x v="7"/>
    <x v="7"/>
    <s v="Odisha"/>
    <n v="21"/>
    <s v="State"/>
    <n v="1408.5"/>
    <n v="2039.43"/>
    <n v="1561.29"/>
    <n v="800.19"/>
    <n v="5009.22"/>
    <n v="5809.41"/>
    <m/>
  </r>
  <r>
    <d v="2025-03-01T00:00:00"/>
    <s v="2024-25"/>
    <n v="2025"/>
    <x v="7"/>
    <x v="7"/>
    <s v="Puducherry"/>
    <n v="34"/>
    <s v="Union Territory"/>
    <n v="34.44"/>
    <n v="48.6"/>
    <n v="167.56"/>
    <n v="0.86"/>
    <n v="250.6"/>
    <n v="251.46"/>
    <m/>
  </r>
  <r>
    <d v="2025-03-01T00:00:00"/>
    <s v="2024-25"/>
    <n v="2025"/>
    <x v="7"/>
    <x v="7"/>
    <s v="Punjab"/>
    <n v="3"/>
    <s v="State"/>
    <n v="561.85"/>
    <n v="752.4"/>
    <n v="819.28"/>
    <n v="38.21"/>
    <n v="2133.5300000000002"/>
    <n v="2171.7399999999998"/>
    <m/>
  </r>
  <r>
    <d v="2025-03-01T00:00:00"/>
    <s v="2024-25"/>
    <n v="2025"/>
    <x v="7"/>
    <x v="7"/>
    <s v="Rajasthan"/>
    <n v="8"/>
    <s v="State"/>
    <n v="1419.83"/>
    <n v="2048.73"/>
    <n v="1827.73"/>
    <n v="202.01"/>
    <n v="5296.29"/>
    <n v="5498.3"/>
    <m/>
  </r>
  <r>
    <d v="2025-03-01T00:00:00"/>
    <s v="2024-25"/>
    <n v="2025"/>
    <x v="7"/>
    <x v="7"/>
    <s v="Sikkim"/>
    <n v="11"/>
    <s v="State"/>
    <n v="26.61"/>
    <n v="33.159999999999997"/>
    <n v="289.35000000000002"/>
    <n v="0.28999999999999998"/>
    <n v="349.12"/>
    <n v="349.41"/>
    <m/>
  </r>
  <r>
    <d v="2025-03-01T00:00:00"/>
    <s v="2024-25"/>
    <n v="2025"/>
    <x v="7"/>
    <x v="7"/>
    <s v="Tamil Nadu"/>
    <n v="33"/>
    <s v="State"/>
    <n v="3152.02"/>
    <n v="4565.37"/>
    <n v="3349.24"/>
    <n v="728.57"/>
    <n v="11066.63"/>
    <n v="11795.2"/>
    <m/>
  </r>
  <r>
    <d v="2025-03-01T00:00:00"/>
    <s v="2024-25"/>
    <n v="2025"/>
    <x v="7"/>
    <x v="7"/>
    <s v="Telangana"/>
    <n v="36"/>
    <s v="State"/>
    <n v="1479.76"/>
    <n v="1821.92"/>
    <n v="1564.3"/>
    <n v="535.04999999999995"/>
    <n v="4865.9799999999996"/>
    <n v="5401.03"/>
    <m/>
  </r>
  <r>
    <d v="2025-03-01T00:00:00"/>
    <s v="2024-25"/>
    <n v="2025"/>
    <x v="7"/>
    <x v="7"/>
    <s v="Tripura"/>
    <n v="16"/>
    <s v="State"/>
    <n v="62.24"/>
    <n v="83.9"/>
    <n v="13.24"/>
    <n v="0.12"/>
    <n v="159.38"/>
    <n v="159.5"/>
    <m/>
  </r>
  <r>
    <d v="2025-03-01T00:00:00"/>
    <s v="2024-25"/>
    <n v="2025"/>
    <x v="7"/>
    <x v="7"/>
    <s v="Uttar Pradesh"/>
    <n v="9"/>
    <s v="State"/>
    <n v="2454.6999999999998"/>
    <n v="3207.19"/>
    <n v="3131.53"/>
    <n v="1162.9000000000001"/>
    <n v="8793.42"/>
    <n v="9956.32"/>
    <m/>
  </r>
  <r>
    <d v="2025-03-01T00:00:00"/>
    <s v="2024-25"/>
    <n v="2025"/>
    <x v="7"/>
    <x v="7"/>
    <s v="Uttarakhand"/>
    <n v="5"/>
    <s v="State"/>
    <n v="382.24"/>
    <n v="526.80999999999995"/>
    <n v="823.01"/>
    <n v="10.26"/>
    <n v="1732.06"/>
    <n v="1742.32"/>
    <m/>
  </r>
  <r>
    <d v="2025-03-01T00:00:00"/>
    <s v="2024-25"/>
    <n v="2025"/>
    <x v="7"/>
    <x v="7"/>
    <s v="West Bengal"/>
    <n v="19"/>
    <s v="State"/>
    <n v="1799.47"/>
    <n v="2147.4"/>
    <n v="1466"/>
    <n v="414.15"/>
    <n v="5412.87"/>
    <n v="5827.02"/>
    <m/>
  </r>
  <r>
    <d v="2025-08-01T00:00:00"/>
    <s v="2025-26"/>
    <n v="2025"/>
    <x v="0"/>
    <x v="0"/>
    <s v="Andaman and Nicobar Islands"/>
    <n v="35"/>
    <s v="Union Territory"/>
    <n v="12.28"/>
    <n v="15.08"/>
    <n v="9.44"/>
    <m/>
    <n v="36.799999999999997"/>
    <m/>
    <s v="Cess removed - suspected data error"/>
  </r>
  <r>
    <d v="2025-08-01T00:00:00"/>
    <s v="2025-26"/>
    <n v="2025"/>
    <x v="0"/>
    <x v="0"/>
    <s v="Andhra Pradesh"/>
    <n v="28"/>
    <s v="State"/>
    <n v="1048.75"/>
    <n v="1364.26"/>
    <n v="1297.05"/>
    <m/>
    <n v="3710.06"/>
    <m/>
    <s v="Cess removed - suspected data error"/>
  </r>
  <r>
    <d v="2025-08-01T00:00:00"/>
    <s v="2025-26"/>
    <n v="2025"/>
    <x v="0"/>
    <x v="0"/>
    <s v="Arunachal Pradesh"/>
    <n v="12"/>
    <s v="State"/>
    <n v="35.53"/>
    <n v="41.08"/>
    <n v="11.62"/>
    <m/>
    <n v="88.23"/>
    <m/>
    <s v="Cess removed - suspected data error"/>
  </r>
  <r>
    <d v="2025-08-01T00:00:00"/>
    <s v="2025-26"/>
    <n v="2025"/>
    <x v="0"/>
    <x v="0"/>
    <s v="Assam"/>
    <n v="18"/>
    <s v="State"/>
    <n v="444.29"/>
    <n v="562.42999999999995"/>
    <n v="396.72"/>
    <m/>
    <n v="1403.44"/>
    <m/>
    <s v="Cess removed - suspected data error"/>
  </r>
  <r>
    <d v="2025-08-01T00:00:00"/>
    <s v="2025-26"/>
    <n v="2025"/>
    <x v="0"/>
    <x v="0"/>
    <s v="Bihar"/>
    <n v="10"/>
    <s v="State"/>
    <n v="464.74"/>
    <n v="840.52"/>
    <n v="245.5"/>
    <m/>
    <n v="1550.76"/>
    <m/>
    <s v="Cess removed - suspected data error"/>
  </r>
  <r>
    <d v="2025-08-01T00:00:00"/>
    <s v="2025-26"/>
    <n v="2025"/>
    <x v="0"/>
    <x v="0"/>
    <s v="Chandigarh"/>
    <n v="4"/>
    <s v="Union Territory"/>
    <n v="46.09"/>
    <n v="60.54"/>
    <n v="105.49"/>
    <m/>
    <n v="212.12"/>
    <m/>
    <s v="Cess removed - suspected data error"/>
  </r>
  <r>
    <d v="2025-08-01T00:00:00"/>
    <s v="2025-26"/>
    <n v="2025"/>
    <x v="0"/>
    <x v="0"/>
    <s v="Chhattisgarh"/>
    <n v="22"/>
    <s v="State"/>
    <n v="573.78"/>
    <n v="720.33"/>
    <n v="943.6"/>
    <m/>
    <n v="2237.71"/>
    <m/>
    <s v="Cess removed - suspected data error"/>
  </r>
  <r>
    <d v="2025-08-01T00:00:00"/>
    <s v="2025-26"/>
    <n v="2025"/>
    <x v="0"/>
    <x v="0"/>
    <s v="Dadra and Nagar Haveli and Daman and Diu"/>
    <n v="38"/>
    <s v="Union Territory"/>
    <n v="49.7"/>
    <n v="61.66"/>
    <n v="251.13"/>
    <m/>
    <n v="362.49"/>
    <m/>
    <s v="Cess removed - suspected data error"/>
  </r>
  <r>
    <d v="2025-08-01T00:00:00"/>
    <s v="2025-26"/>
    <n v="2025"/>
    <x v="0"/>
    <x v="0"/>
    <s v="Delhi"/>
    <n v="7"/>
    <s v="Union Territory"/>
    <n v="1182.58"/>
    <n v="1360.68"/>
    <n v="3095.8"/>
    <m/>
    <n v="5639.06"/>
    <m/>
    <s v="Cess removed - suspected data error"/>
  </r>
  <r>
    <d v="2025-08-01T00:00:00"/>
    <s v="2025-26"/>
    <n v="2025"/>
    <x v="0"/>
    <x v="0"/>
    <s v="Goa"/>
    <n v="30"/>
    <s v="State"/>
    <n v="158.44"/>
    <n v="193.19"/>
    <n v="191.61"/>
    <m/>
    <n v="543.24"/>
    <m/>
    <s v="Cess removed - suspected data error"/>
  </r>
  <r>
    <d v="2025-08-01T00:00:00"/>
    <s v="2025-26"/>
    <n v="2025"/>
    <x v="0"/>
    <x v="0"/>
    <s v="Gujarat"/>
    <n v="24"/>
    <s v="State"/>
    <n v="3130.42"/>
    <n v="3881.59"/>
    <n v="3470.11"/>
    <m/>
    <n v="10482.120000000001"/>
    <m/>
    <s v="Cess removed - suspected data error"/>
  </r>
  <r>
    <d v="2025-08-01T00:00:00"/>
    <s v="2025-26"/>
    <n v="2025"/>
    <x v="0"/>
    <x v="0"/>
    <s v="Haryana"/>
    <n v="6"/>
    <s v="State"/>
    <n v="1547.11"/>
    <n v="1997.51"/>
    <n v="5531.81"/>
    <m/>
    <n v="9076.43"/>
    <m/>
    <s v="Cess removed - suspected data error"/>
  </r>
  <r>
    <d v="2025-08-01T00:00:00"/>
    <s v="2025-26"/>
    <n v="2025"/>
    <x v="0"/>
    <x v="0"/>
    <s v="Himachal Pradesh"/>
    <n v="2"/>
    <s v="State"/>
    <n v="147.9"/>
    <n v="210.38"/>
    <n v="506.56"/>
    <m/>
    <n v="864.84"/>
    <m/>
    <s v="Cess removed - suspected data error"/>
  </r>
  <r>
    <d v="2025-08-01T00:00:00"/>
    <s v="2025-26"/>
    <n v="2025"/>
    <x v="0"/>
    <x v="0"/>
    <s v="Jammu and Kashmir"/>
    <n v="1"/>
    <s v="Union Territory"/>
    <n v="162.30000000000001"/>
    <n v="235.04"/>
    <n v="171.11"/>
    <m/>
    <n v="568.45000000000005"/>
    <m/>
    <s v="Cess removed - suspected data error"/>
  </r>
  <r>
    <d v="2025-08-01T00:00:00"/>
    <s v="2025-26"/>
    <n v="2025"/>
    <x v="0"/>
    <x v="0"/>
    <s v="Jharkhand"/>
    <n v="20"/>
    <s v="State"/>
    <n v="586.84"/>
    <n v="751.67"/>
    <n v="1005.1"/>
    <m/>
    <n v="2343.61"/>
    <m/>
    <s v="Cess removed - suspected data error"/>
  </r>
  <r>
    <d v="2025-08-01T00:00:00"/>
    <s v="2025-26"/>
    <n v="2025"/>
    <x v="0"/>
    <x v="0"/>
    <s v="Karnataka"/>
    <n v="29"/>
    <s v="State"/>
    <n v="3308.49"/>
    <n v="3958.77"/>
    <n v="5244.97"/>
    <m/>
    <n v="12512.23"/>
    <m/>
    <s v="Cess removed - suspected data error"/>
  </r>
  <r>
    <d v="2025-08-01T00:00:00"/>
    <s v="2025-26"/>
    <n v="2025"/>
    <x v="0"/>
    <x v="0"/>
    <s v="Kerala"/>
    <n v="32"/>
    <s v="State"/>
    <n v="991.22"/>
    <n v="1220.93"/>
    <n v="504.63"/>
    <m/>
    <n v="2716.78"/>
    <m/>
    <s v="Cess removed - suspected data error"/>
  </r>
  <r>
    <d v="2025-08-01T00:00:00"/>
    <s v="2025-26"/>
    <n v="2025"/>
    <x v="0"/>
    <x v="0"/>
    <s v="Ladakh"/>
    <n v="37"/>
    <s v="Union Territory"/>
    <n v="13.25"/>
    <n v="18.11"/>
    <n v="3.58"/>
    <m/>
    <n v="34.94"/>
    <m/>
    <s v="Cess removed - suspected data error"/>
  </r>
  <r>
    <d v="2025-08-01T00:00:00"/>
    <s v="2025-26"/>
    <n v="2025"/>
    <x v="0"/>
    <x v="0"/>
    <s v="Lakshadweep"/>
    <n v="31"/>
    <s v="Union Territory"/>
    <n v="0.17"/>
    <n v="0.27"/>
    <n v="0.21"/>
    <m/>
    <n v="0.65"/>
    <m/>
    <s v="Cess removed - suspected data error"/>
  </r>
  <r>
    <d v="2025-08-01T00:00:00"/>
    <s v="2025-26"/>
    <n v="2025"/>
    <x v="0"/>
    <x v="0"/>
    <s v="Madhya Pradesh"/>
    <n v="23"/>
    <s v="State"/>
    <n v="904.58"/>
    <n v="1129.1300000000001"/>
    <n v="1052.99"/>
    <m/>
    <n v="3086.7"/>
    <m/>
    <s v="Cess removed - suspected data error"/>
  </r>
  <r>
    <d v="2025-08-01T00:00:00"/>
    <s v="2025-26"/>
    <n v="2025"/>
    <x v="0"/>
    <x v="0"/>
    <s v="Maharashtra"/>
    <n v="27"/>
    <s v="State"/>
    <n v="7840.27"/>
    <n v="9400"/>
    <n v="9505.44"/>
    <m/>
    <n v="26745.71"/>
    <m/>
    <s v="Cess removed - suspected data error"/>
  </r>
  <r>
    <d v="2025-08-01T00:00:00"/>
    <s v="2025-26"/>
    <n v="2025"/>
    <x v="0"/>
    <x v="0"/>
    <s v="Manipur"/>
    <n v="14"/>
    <s v="State"/>
    <n v="15"/>
    <n v="19.02"/>
    <n v="8.01"/>
    <m/>
    <n v="42.03"/>
    <m/>
    <s v="Cess removed - suspected data error"/>
  </r>
  <r>
    <d v="2025-08-01T00:00:00"/>
    <s v="2025-26"/>
    <n v="2025"/>
    <x v="0"/>
    <x v="0"/>
    <s v="Meghalaya"/>
    <n v="17"/>
    <s v="State"/>
    <n v="39.75"/>
    <n v="47.21"/>
    <n v="119.82"/>
    <m/>
    <n v="206.78"/>
    <m/>
    <s v="Cess removed - suspected data error"/>
  </r>
  <r>
    <d v="2025-08-01T00:00:00"/>
    <s v="2025-26"/>
    <n v="2025"/>
    <x v="0"/>
    <x v="0"/>
    <s v="Mizoram"/>
    <n v="15"/>
    <s v="State"/>
    <n v="9.36"/>
    <n v="13"/>
    <n v="7.46"/>
    <m/>
    <n v="29.82"/>
    <m/>
    <s v="Cess removed - suspected data error"/>
  </r>
  <r>
    <d v="2025-08-01T00:00:00"/>
    <s v="2025-26"/>
    <n v="2025"/>
    <x v="0"/>
    <x v="0"/>
    <s v="Nagaland"/>
    <n v="13"/>
    <s v="State"/>
    <n v="20.03"/>
    <n v="24.09"/>
    <n v="10.23"/>
    <m/>
    <n v="54.35"/>
    <m/>
    <s v="Cess removed - suspected data error"/>
  </r>
  <r>
    <d v="2025-08-01T00:00:00"/>
    <s v="2025-26"/>
    <n v="2025"/>
    <x v="0"/>
    <x v="0"/>
    <s v="Odisha"/>
    <n v="21"/>
    <s v="State"/>
    <n v="1095.8399999999999"/>
    <n v="1452.2"/>
    <n v="1658.54"/>
    <m/>
    <n v="4206.58"/>
    <m/>
    <s v="Cess removed - suspected data error"/>
  </r>
  <r>
    <d v="2025-08-01T00:00:00"/>
    <s v="2025-26"/>
    <n v="2025"/>
    <x v="0"/>
    <x v="0"/>
    <s v="Puducherry"/>
    <n v="34"/>
    <s v="Union Territory"/>
    <n v="31.16"/>
    <n v="46.8"/>
    <n v="147.1"/>
    <m/>
    <n v="225.06"/>
    <m/>
    <s v="Cess removed - suspected data error"/>
  </r>
  <r>
    <d v="2025-08-01T00:00:00"/>
    <s v="2025-26"/>
    <n v="2025"/>
    <x v="0"/>
    <x v="0"/>
    <s v="Punjab"/>
    <n v="3"/>
    <s v="State"/>
    <n v="535.62"/>
    <n v="750.37"/>
    <n v="882.11"/>
    <m/>
    <n v="2168.1"/>
    <m/>
    <s v="Cess removed - suspected data error"/>
  </r>
  <r>
    <d v="2025-08-01T00:00:00"/>
    <s v="2025-26"/>
    <n v="2025"/>
    <x v="0"/>
    <x v="0"/>
    <s v="Rajasthan"/>
    <n v="8"/>
    <s v="State"/>
    <n v="1122.8599999999999"/>
    <n v="1480.05"/>
    <n v="1619.22"/>
    <m/>
    <n v="4222.13"/>
    <m/>
    <s v="Cess removed - suspected data error"/>
  </r>
  <r>
    <d v="2025-08-01T00:00:00"/>
    <s v="2025-26"/>
    <n v="2025"/>
    <x v="0"/>
    <x v="0"/>
    <s v="Sikkim"/>
    <n v="11"/>
    <s v="State"/>
    <n v="30.14"/>
    <n v="47.41"/>
    <n v="376.61"/>
    <m/>
    <n v="454.16"/>
    <m/>
    <s v="Cess removed - suspected data error"/>
  </r>
  <r>
    <d v="2025-08-01T00:00:00"/>
    <s v="2025-26"/>
    <n v="2025"/>
    <x v="0"/>
    <x v="0"/>
    <s v="Tamil Nadu"/>
    <n v="33"/>
    <s v="State"/>
    <n v="3105.19"/>
    <n v="4038.01"/>
    <n v="3185.78"/>
    <m/>
    <n v="10328.98"/>
    <m/>
    <s v="Cess removed - suspected data error"/>
  </r>
  <r>
    <d v="2025-08-01T00:00:00"/>
    <s v="2025-26"/>
    <n v="2025"/>
    <x v="0"/>
    <x v="0"/>
    <s v="Telangana"/>
    <n v="36"/>
    <s v="State"/>
    <n v="1335.67"/>
    <n v="1688.75"/>
    <n v="1587.69"/>
    <m/>
    <n v="4612.1099999999997"/>
    <m/>
    <s v="Cess removed - suspected data error"/>
  </r>
  <r>
    <d v="2025-08-01T00:00:00"/>
    <s v="2025-26"/>
    <n v="2025"/>
    <x v="0"/>
    <x v="0"/>
    <s v="Tripura"/>
    <n v="16"/>
    <s v="State"/>
    <n v="32.74"/>
    <n v="40.42"/>
    <n v="13.3"/>
    <m/>
    <n v="86.46"/>
    <m/>
    <s v="Cess removed - suspected data error"/>
  </r>
  <r>
    <d v="2025-08-01T00:00:00"/>
    <s v="2025-26"/>
    <n v="2025"/>
    <x v="0"/>
    <x v="0"/>
    <s v="Uttar Pradesh"/>
    <n v="9"/>
    <s v="State"/>
    <n v="2125.94"/>
    <n v="2735.7"/>
    <n v="2785.79"/>
    <m/>
    <n v="7647.43"/>
    <m/>
    <s v="Cess removed - suspected data error"/>
  </r>
  <r>
    <d v="2025-08-01T00:00:00"/>
    <s v="2025-26"/>
    <n v="2025"/>
    <x v="0"/>
    <x v="0"/>
    <s v="Uttarakhand"/>
    <n v="5"/>
    <s v="State"/>
    <n v="295.42"/>
    <n v="493.37"/>
    <n v="647.38"/>
    <m/>
    <n v="1436.17"/>
    <m/>
    <s v="Cess removed - suspected data error"/>
  </r>
  <r>
    <d v="2025-08-01T00:00:00"/>
    <s v="2025-26"/>
    <n v="2025"/>
    <x v="0"/>
    <x v="0"/>
    <s v="West Bengal"/>
    <n v="19"/>
    <s v="State"/>
    <n v="1615.47"/>
    <n v="1931"/>
    <n v="1491"/>
    <m/>
    <n v="5037.47"/>
    <m/>
    <s v="Cess removed - suspected data error"/>
  </r>
  <r>
    <d v="2026-01-01T00:00:00"/>
    <s v="2025-26"/>
    <n v="2026"/>
    <x v="5"/>
    <x v="5"/>
    <s v="Andaman and Nicobar Islands"/>
    <n v="35"/>
    <s v="Union Territory"/>
    <n v="17.100000000000001"/>
    <n v="20.54"/>
    <n v="8.9700000000000006"/>
    <m/>
    <n v="46.61"/>
    <m/>
    <s v="Cess removed - suspected data error"/>
  </r>
  <r>
    <d v="2026-01-01T00:00:00"/>
    <s v="2025-26"/>
    <n v="2026"/>
    <x v="5"/>
    <x v="5"/>
    <s v="Andhra Pradesh"/>
    <n v="28"/>
    <s v="State"/>
    <n v="1007.68"/>
    <n v="1283.73"/>
    <n v="1183.23"/>
    <m/>
    <n v="3474.64"/>
    <m/>
    <s v="Cess removed - suspected data error"/>
  </r>
  <r>
    <d v="2026-01-01T00:00:00"/>
    <s v="2025-26"/>
    <n v="2026"/>
    <x v="5"/>
    <x v="5"/>
    <s v="Arunachal Pradesh"/>
    <n v="12"/>
    <s v="State"/>
    <n v="43.95"/>
    <n v="51.23"/>
    <n v="15.54"/>
    <m/>
    <n v="110.72"/>
    <m/>
    <s v="Cess removed - suspected data error"/>
  </r>
  <r>
    <d v="2026-01-01T00:00:00"/>
    <s v="2025-26"/>
    <n v="2026"/>
    <x v="5"/>
    <x v="5"/>
    <s v="Assam"/>
    <n v="18"/>
    <s v="State"/>
    <n v="414.71"/>
    <n v="571.9"/>
    <n v="298"/>
    <m/>
    <n v="1284.6099999999999"/>
    <m/>
    <s v="Cess removed - suspected data error"/>
  </r>
  <r>
    <d v="2026-01-01T00:00:00"/>
    <s v="2025-26"/>
    <n v="2026"/>
    <x v="5"/>
    <x v="5"/>
    <s v="Bihar"/>
    <n v="10"/>
    <s v="State"/>
    <n v="421.28"/>
    <n v="926.21"/>
    <n v="238.05"/>
    <m/>
    <n v="1585.54"/>
    <m/>
    <s v="Cess removed - suspected data error"/>
  </r>
  <r>
    <d v="2026-01-01T00:00:00"/>
    <s v="2025-26"/>
    <n v="2026"/>
    <x v="5"/>
    <x v="5"/>
    <s v="Chandigarh"/>
    <n v="4"/>
    <s v="Union Territory"/>
    <n v="63.84"/>
    <n v="89.45"/>
    <n v="136.46"/>
    <m/>
    <n v="289.75"/>
    <m/>
    <s v="Cess removed - suspected data error"/>
  </r>
  <r>
    <d v="2026-01-01T00:00:00"/>
    <s v="2025-26"/>
    <n v="2026"/>
    <x v="5"/>
    <x v="5"/>
    <s v="Chhattisgarh"/>
    <n v="22"/>
    <s v="State"/>
    <n v="706.66"/>
    <n v="815.18"/>
    <n v="897.08"/>
    <m/>
    <n v="2418.92"/>
    <m/>
    <s v="Cess removed - suspected data error"/>
  </r>
  <r>
    <d v="2026-01-01T00:00:00"/>
    <s v="2025-26"/>
    <n v="2026"/>
    <x v="5"/>
    <x v="5"/>
    <s v="Dadra and Nagar Haveli and Daman and Diu"/>
    <n v="38"/>
    <s v="Union Territory"/>
    <n v="53.07"/>
    <n v="67.63"/>
    <n v="306.58"/>
    <m/>
    <n v="427.28"/>
    <m/>
    <s v="Cess removed - suspected data error"/>
  </r>
  <r>
    <d v="2026-01-01T00:00:00"/>
    <s v="2025-26"/>
    <n v="2026"/>
    <x v="5"/>
    <x v="5"/>
    <s v="Delhi"/>
    <n v="7"/>
    <s v="Union Territory"/>
    <n v="1334.94"/>
    <n v="1609.34"/>
    <n v="3553.91"/>
    <m/>
    <n v="6498.19"/>
    <m/>
    <s v="Cess removed - suspected data error"/>
  </r>
  <r>
    <d v="2026-01-01T00:00:00"/>
    <s v="2025-26"/>
    <n v="2026"/>
    <x v="5"/>
    <x v="5"/>
    <s v="Goa"/>
    <n v="30"/>
    <s v="State"/>
    <n v="205.66"/>
    <n v="261.25"/>
    <n v="150.11000000000001"/>
    <m/>
    <n v="617.02"/>
    <m/>
    <s v="Cess removed - suspected data error"/>
  </r>
  <r>
    <d v="2026-01-01T00:00:00"/>
    <s v="2025-26"/>
    <n v="2026"/>
    <x v="5"/>
    <x v="5"/>
    <s v="Gujarat"/>
    <n v="24"/>
    <s v="State"/>
    <n v="3682.32"/>
    <n v="4338.1099999999997"/>
    <n v="3965.65"/>
    <m/>
    <n v="11986.08"/>
    <m/>
    <s v="Cess removed - suspected data error"/>
  </r>
  <r>
    <d v="2026-01-01T00:00:00"/>
    <s v="2025-26"/>
    <n v="2026"/>
    <x v="5"/>
    <x v="5"/>
    <s v="Haryana"/>
    <n v="6"/>
    <s v="State"/>
    <n v="1654"/>
    <n v="2173.85"/>
    <n v="6651.92"/>
    <m/>
    <n v="10479.77"/>
    <m/>
    <s v="Cess removed - suspected data error"/>
  </r>
  <r>
    <d v="2026-01-01T00:00:00"/>
    <s v="2025-26"/>
    <n v="2026"/>
    <x v="5"/>
    <x v="5"/>
    <s v="Himachal Pradesh"/>
    <n v="2"/>
    <s v="State"/>
    <n v="172.88"/>
    <n v="239.18"/>
    <n v="268.66000000000003"/>
    <m/>
    <n v="680.72"/>
    <m/>
    <s v="Cess removed - suspected data error"/>
  </r>
  <r>
    <d v="2026-01-01T00:00:00"/>
    <s v="2025-26"/>
    <n v="2026"/>
    <x v="5"/>
    <x v="5"/>
    <s v="Jammu and Kashmir"/>
    <n v="1"/>
    <s v="Union Territory"/>
    <n v="224.97"/>
    <n v="292.60000000000002"/>
    <n v="101.94"/>
    <m/>
    <n v="619.51"/>
    <m/>
    <s v="Cess removed - suspected data error"/>
  </r>
  <r>
    <d v="2026-01-01T00:00:00"/>
    <s v="2025-26"/>
    <n v="2026"/>
    <x v="5"/>
    <x v="5"/>
    <s v="Jharkhand"/>
    <n v="20"/>
    <s v="State"/>
    <n v="602.52"/>
    <n v="766.37"/>
    <n v="1056.8"/>
    <m/>
    <n v="2425.69"/>
    <m/>
    <s v="Cess removed - suspected data error"/>
  </r>
  <r>
    <d v="2026-01-01T00:00:00"/>
    <s v="2025-26"/>
    <n v="2026"/>
    <x v="5"/>
    <x v="5"/>
    <s v="Karnataka"/>
    <n v="29"/>
    <s v="State"/>
    <n v="3656.2"/>
    <n v="4425.49"/>
    <n v="6094.15"/>
    <m/>
    <n v="14175.84"/>
    <m/>
    <s v="Cess removed - suspected data error"/>
  </r>
  <r>
    <d v="2026-01-01T00:00:00"/>
    <s v="2025-26"/>
    <n v="2026"/>
    <x v="5"/>
    <x v="5"/>
    <s v="Kerala"/>
    <n v="32"/>
    <s v="State"/>
    <n v="1239.28"/>
    <n v="1488.5"/>
    <n v="532.61"/>
    <m/>
    <n v="3260.39"/>
    <m/>
    <s v="Cess removed - suspected data error"/>
  </r>
  <r>
    <d v="2026-01-01T00:00:00"/>
    <s v="2025-26"/>
    <n v="2026"/>
    <x v="5"/>
    <x v="5"/>
    <s v="Ladakh"/>
    <n v="37"/>
    <s v="Union Territory"/>
    <n v="24.04"/>
    <n v="30.94"/>
    <n v="8.25"/>
    <m/>
    <n v="63.23"/>
    <m/>
    <s v="Cess removed - suspected data error"/>
  </r>
  <r>
    <d v="2026-01-01T00:00:00"/>
    <s v="2025-26"/>
    <n v="2026"/>
    <x v="5"/>
    <x v="5"/>
    <s v="Lakshadweep"/>
    <n v="31"/>
    <s v="Union Territory"/>
    <n v="0.38"/>
    <n v="0.5"/>
    <n v="0.62"/>
    <m/>
    <n v="1.5"/>
    <m/>
    <s v="Cess removed - suspected data error"/>
  </r>
  <r>
    <d v="2026-01-01T00:00:00"/>
    <s v="2025-26"/>
    <n v="2026"/>
    <x v="5"/>
    <x v="5"/>
    <s v="Madhya Pradesh"/>
    <n v="23"/>
    <s v="State"/>
    <n v="1039.48"/>
    <n v="1280.19"/>
    <n v="920.09"/>
    <m/>
    <n v="3239.76"/>
    <m/>
    <s v="Cess removed - suspected data error"/>
  </r>
  <r>
    <d v="2026-01-01T00:00:00"/>
    <s v="2025-26"/>
    <n v="2026"/>
    <x v="5"/>
    <x v="5"/>
    <s v="Maharashtra"/>
    <n v="27"/>
    <s v="State"/>
    <n v="9353.92"/>
    <n v="10571.83"/>
    <n v="12902.61"/>
    <m/>
    <n v="32828.36"/>
    <m/>
    <s v="Cess removed - suspected data error"/>
  </r>
  <r>
    <d v="2026-01-01T00:00:00"/>
    <s v="2025-26"/>
    <n v="2026"/>
    <x v="5"/>
    <x v="5"/>
    <s v="Manipur"/>
    <n v="14"/>
    <s v="State"/>
    <n v="19.77"/>
    <n v="26.61"/>
    <n v="8.61"/>
    <m/>
    <n v="54.99"/>
    <m/>
    <s v="Cess removed - suspected data error"/>
  </r>
  <r>
    <d v="2026-01-01T00:00:00"/>
    <s v="2025-26"/>
    <n v="2026"/>
    <x v="5"/>
    <x v="5"/>
    <s v="Meghalaya"/>
    <n v="17"/>
    <s v="State"/>
    <n v="54.06"/>
    <n v="69.599999999999994"/>
    <n v="70.67"/>
    <m/>
    <n v="194.33"/>
    <m/>
    <s v="Cess removed - suspected data error"/>
  </r>
  <r>
    <d v="2026-01-01T00:00:00"/>
    <s v="2025-26"/>
    <n v="2026"/>
    <x v="5"/>
    <x v="5"/>
    <s v="Mizoram"/>
    <n v="15"/>
    <s v="State"/>
    <n v="11.43"/>
    <n v="16.61"/>
    <n v="5"/>
    <m/>
    <n v="33.04"/>
    <m/>
    <s v="Cess removed - suspected data error"/>
  </r>
  <r>
    <d v="2026-01-01T00:00:00"/>
    <s v="2025-26"/>
    <n v="2026"/>
    <x v="5"/>
    <x v="5"/>
    <s v="Nagaland"/>
    <n v="13"/>
    <s v="State"/>
    <n v="21.36"/>
    <n v="25.96"/>
    <n v="14.41"/>
    <m/>
    <n v="61.73"/>
    <m/>
    <s v="Cess removed - suspected data error"/>
  </r>
  <r>
    <d v="2026-01-01T00:00:00"/>
    <s v="2025-26"/>
    <n v="2026"/>
    <x v="5"/>
    <x v="5"/>
    <s v="Odisha"/>
    <n v="21"/>
    <s v="State"/>
    <n v="1313.93"/>
    <n v="1668.52"/>
    <n v="1157.08"/>
    <m/>
    <n v="4139.53"/>
    <m/>
    <s v="Cess removed - suspected data error"/>
  </r>
  <r>
    <d v="2026-01-01T00:00:00"/>
    <s v="2025-26"/>
    <n v="2026"/>
    <x v="5"/>
    <x v="5"/>
    <s v="Puducherry"/>
    <n v="34"/>
    <s v="Union Territory"/>
    <n v="38.33"/>
    <n v="59.36"/>
    <n v="119.46"/>
    <m/>
    <n v="217.15"/>
    <m/>
    <s v="Cess removed - suspected data error"/>
  </r>
  <r>
    <d v="2026-01-01T00:00:00"/>
    <s v="2025-26"/>
    <n v="2026"/>
    <x v="5"/>
    <x v="5"/>
    <s v="Punjab"/>
    <n v="3"/>
    <s v="State"/>
    <n v="634.04"/>
    <n v="938.46"/>
    <n v="822.76"/>
    <m/>
    <n v="2395.2600000000002"/>
    <m/>
    <s v="Cess removed - suspected data error"/>
  </r>
  <r>
    <d v="2026-01-01T00:00:00"/>
    <s v="2025-26"/>
    <n v="2026"/>
    <x v="5"/>
    <x v="5"/>
    <s v="Rajasthan"/>
    <n v="8"/>
    <s v="State"/>
    <n v="1370.56"/>
    <n v="1807.52"/>
    <n v="1464.17"/>
    <m/>
    <n v="4642.25"/>
    <m/>
    <s v="Cess removed - suspected data error"/>
  </r>
  <r>
    <d v="2026-01-01T00:00:00"/>
    <s v="2025-26"/>
    <n v="2026"/>
    <x v="5"/>
    <x v="5"/>
    <s v="Sikkim"/>
    <n v="11"/>
    <s v="State"/>
    <n v="28.66"/>
    <n v="34.83"/>
    <n v="88.21"/>
    <m/>
    <n v="151.69999999999999"/>
    <m/>
    <s v="Cess removed - suspected data error"/>
  </r>
  <r>
    <d v="2026-01-01T00:00:00"/>
    <s v="2025-26"/>
    <n v="2026"/>
    <x v="5"/>
    <x v="5"/>
    <s v="Tamil Nadu"/>
    <n v="33"/>
    <s v="State"/>
    <n v="3066.33"/>
    <n v="3947.34"/>
    <n v="3893.34"/>
    <m/>
    <n v="10907.01"/>
    <m/>
    <s v="Cess removed - suspected data error"/>
  </r>
  <r>
    <d v="2026-01-01T00:00:00"/>
    <s v="2025-26"/>
    <n v="2026"/>
    <x v="5"/>
    <x v="5"/>
    <s v="Telangana"/>
    <n v="36"/>
    <s v="State"/>
    <n v="1760.95"/>
    <n v="2189.96"/>
    <n v="1753.26"/>
    <m/>
    <n v="5704.17"/>
    <m/>
    <s v="Cess removed - suspected data error"/>
  </r>
  <r>
    <d v="2026-01-01T00:00:00"/>
    <s v="2025-26"/>
    <n v="2026"/>
    <x v="5"/>
    <x v="5"/>
    <s v="Tripura"/>
    <n v="16"/>
    <s v="State"/>
    <n v="41.25"/>
    <n v="55.09"/>
    <n v="16.78"/>
    <m/>
    <n v="113.12"/>
    <m/>
    <s v="Cess removed - suspected data error"/>
  </r>
  <r>
    <d v="2026-01-01T00:00:00"/>
    <s v="2025-26"/>
    <n v="2026"/>
    <x v="5"/>
    <x v="5"/>
    <s v="Uttar Pradesh"/>
    <n v="9"/>
    <s v="State"/>
    <n v="2294.85"/>
    <n v="3003.33"/>
    <n v="3080.54"/>
    <m/>
    <n v="8378.7199999999993"/>
    <m/>
    <s v="Cess removed - suspected data error"/>
  </r>
  <r>
    <d v="2026-01-01T00:00:00"/>
    <s v="2025-26"/>
    <n v="2026"/>
    <x v="5"/>
    <x v="5"/>
    <s v="Uttarakhand"/>
    <n v="5"/>
    <s v="State"/>
    <n v="311.86"/>
    <n v="470.4"/>
    <n v="687.53"/>
    <m/>
    <n v="1469.79"/>
    <m/>
    <s v="Cess removed - suspected data error"/>
  </r>
  <r>
    <d v="2026-01-01T00:00:00"/>
    <s v="2025-26"/>
    <n v="2026"/>
    <x v="5"/>
    <x v="5"/>
    <s v="West Bengal"/>
    <n v="19"/>
    <s v="State"/>
    <n v="1872.17"/>
    <n v="2150.6"/>
    <n v="1482.96"/>
    <m/>
    <n v="5505.73"/>
    <m/>
    <s v="Cess removed - suspected data erro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4">
  <r>
    <x v="0"/>
    <x v="0"/>
    <n v="2017"/>
    <n v="8"/>
    <s v="Aug"/>
    <x v="0"/>
    <n v="35"/>
    <x v="0"/>
    <n v="3.33"/>
    <n v="3.98"/>
    <n v="0.37"/>
    <n v="0.02"/>
    <n v="7.68"/>
    <n v="7.7"/>
    <m/>
  </r>
  <r>
    <x v="0"/>
    <x v="0"/>
    <n v="2017"/>
    <n v="8"/>
    <s v="Aug"/>
    <x v="1"/>
    <n v="28"/>
    <x v="1"/>
    <n v="448.07"/>
    <n v="660.89"/>
    <n v="755.96"/>
    <n v="24.43"/>
    <n v="1864.92"/>
    <n v="1889.35"/>
    <m/>
  </r>
  <r>
    <x v="0"/>
    <x v="0"/>
    <n v="2017"/>
    <n v="8"/>
    <s v="Aug"/>
    <x v="2"/>
    <n v="12"/>
    <x v="1"/>
    <n v="3.45"/>
    <n v="6.17"/>
    <n v="3.21"/>
    <n v="0.02"/>
    <n v="12.83"/>
    <n v="12.85"/>
    <m/>
  </r>
  <r>
    <x v="0"/>
    <x v="0"/>
    <n v="2017"/>
    <n v="8"/>
    <s v="Aug"/>
    <x v="3"/>
    <n v="18"/>
    <x v="1"/>
    <n v="161.79"/>
    <n v="270.70999999999998"/>
    <n v="244.51"/>
    <n v="26.22"/>
    <n v="677.01"/>
    <n v="703.23"/>
    <m/>
  </r>
  <r>
    <x v="0"/>
    <x v="0"/>
    <n v="2017"/>
    <n v="8"/>
    <s v="Aug"/>
    <x v="4"/>
    <n v="10"/>
    <x v="1"/>
    <n v="180.5"/>
    <n v="378.96"/>
    <n v="85.84"/>
    <n v="141.03"/>
    <n v="645.29999999999995"/>
    <n v="786.33"/>
    <m/>
  </r>
  <r>
    <x v="0"/>
    <x v="0"/>
    <n v="2017"/>
    <n v="8"/>
    <s v="Aug"/>
    <x v="5"/>
    <n v="4"/>
    <x v="0"/>
    <n v="39.65"/>
    <n v="58.89"/>
    <n v="76.150000000000006"/>
    <n v="0.28999999999999998"/>
    <n v="174.69"/>
    <n v="174.98"/>
    <m/>
  </r>
  <r>
    <x v="0"/>
    <x v="0"/>
    <n v="2017"/>
    <n v="8"/>
    <s v="Aug"/>
    <x v="6"/>
    <n v="22"/>
    <x v="1"/>
    <n v="246.72"/>
    <n v="328.39"/>
    <n v="473.24"/>
    <n v="581.67999999999995"/>
    <n v="1048.3499999999999"/>
    <n v="1630.03"/>
    <m/>
  </r>
  <r>
    <x v="0"/>
    <x v="0"/>
    <n v="2017"/>
    <n v="8"/>
    <s v="Aug"/>
    <x v="7"/>
    <n v="38"/>
    <x v="0"/>
    <n v="17.940000000000001"/>
    <n v="32.81"/>
    <n v="231.94"/>
    <n v="0.28000000000000003"/>
    <n v="282.69"/>
    <n v="282.97000000000003"/>
    <m/>
  </r>
  <r>
    <x v="0"/>
    <x v="0"/>
    <n v="2017"/>
    <n v="8"/>
    <s v="Aug"/>
    <x v="8"/>
    <n v="7"/>
    <x v="0"/>
    <n v="732.5"/>
    <n v="1050.58"/>
    <n v="1381.49"/>
    <n v="90.11"/>
    <n v="3164.57"/>
    <n v="3254.68"/>
    <m/>
  </r>
  <r>
    <x v="0"/>
    <x v="0"/>
    <n v="2017"/>
    <n v="8"/>
    <s v="Aug"/>
    <x v="9"/>
    <n v="30"/>
    <x v="1"/>
    <n v="76.05"/>
    <n v="105.54"/>
    <n v="221.43"/>
    <n v="1.75"/>
    <n v="403.02"/>
    <n v="404.77"/>
    <m/>
  </r>
  <r>
    <x v="0"/>
    <x v="0"/>
    <n v="2017"/>
    <n v="8"/>
    <s v="Aug"/>
    <x v="10"/>
    <n v="24"/>
    <x v="1"/>
    <n v="1330.26"/>
    <n v="1868.47"/>
    <n v="2602.87"/>
    <n v="213.3"/>
    <n v="5801.6"/>
    <n v="6014.9"/>
    <m/>
  </r>
  <r>
    <x v="0"/>
    <x v="0"/>
    <n v="2017"/>
    <n v="8"/>
    <s v="Aug"/>
    <x v="11"/>
    <n v="6"/>
    <x v="1"/>
    <n v="799.75"/>
    <n v="1271.55"/>
    <n v="2256.54"/>
    <n v="342.68"/>
    <n v="4327.84"/>
    <n v="4670.5200000000004"/>
    <m/>
  </r>
  <r>
    <x v="0"/>
    <x v="0"/>
    <n v="2017"/>
    <n v="8"/>
    <s v="Aug"/>
    <x v="12"/>
    <n v="2"/>
    <x v="1"/>
    <n v="88.06"/>
    <n v="133.75"/>
    <n v="600.59"/>
    <n v="1.1000000000000001"/>
    <n v="822.4"/>
    <n v="823.5"/>
    <m/>
  </r>
  <r>
    <x v="0"/>
    <x v="0"/>
    <n v="2017"/>
    <n v="8"/>
    <s v="Aug"/>
    <x v="13"/>
    <n v="1"/>
    <x v="0"/>
    <n v="49.55"/>
    <n v="103.16"/>
    <n v="95.47"/>
    <n v="17.149999999999999"/>
    <n v="248.18"/>
    <n v="265.33"/>
    <m/>
  </r>
  <r>
    <x v="0"/>
    <x v="0"/>
    <n v="2017"/>
    <n v="8"/>
    <s v="Aug"/>
    <x v="14"/>
    <n v="20"/>
    <x v="1"/>
    <n v="202.52"/>
    <n v="334.11"/>
    <n v="685.69"/>
    <n v="359.61"/>
    <n v="1222.32"/>
    <n v="1581.93"/>
    <m/>
  </r>
  <r>
    <x v="0"/>
    <x v="0"/>
    <n v="2017"/>
    <n v="8"/>
    <s v="Aug"/>
    <x v="15"/>
    <n v="29"/>
    <x v="1"/>
    <n v="1398.26"/>
    <n v="2107.27"/>
    <n v="2590.31"/>
    <n v="880.37"/>
    <n v="6095.84"/>
    <n v="6976.21"/>
    <m/>
  </r>
  <r>
    <x v="0"/>
    <x v="0"/>
    <n v="2017"/>
    <n v="8"/>
    <s v="Aug"/>
    <x v="16"/>
    <n v="32"/>
    <x v="1"/>
    <n v="474.65"/>
    <n v="799.13"/>
    <n v="249.93"/>
    <n v="10.050000000000001"/>
    <n v="1523.71"/>
    <n v="1533.76"/>
    <m/>
  </r>
  <r>
    <x v="0"/>
    <x v="0"/>
    <n v="2017"/>
    <n v="8"/>
    <s v="Aug"/>
    <x v="17"/>
    <n v="31"/>
    <x v="0"/>
    <n v="0.17"/>
    <n v="0.17"/>
    <n v="0.01"/>
    <n v="0"/>
    <n v="0.35"/>
    <n v="0.35"/>
    <m/>
  </r>
  <r>
    <x v="0"/>
    <x v="0"/>
    <n v="2017"/>
    <n v="8"/>
    <s v="Aug"/>
    <x v="18"/>
    <n v="23"/>
    <x v="1"/>
    <n v="404.15"/>
    <n v="626.25"/>
    <n v="655.27"/>
    <n v="426.32"/>
    <n v="1685.67"/>
    <n v="2111.9899999999998"/>
    <m/>
  </r>
  <r>
    <x v="0"/>
    <x v="0"/>
    <n v="2017"/>
    <n v="8"/>
    <s v="Aug"/>
    <x v="19"/>
    <n v="27"/>
    <x v="1"/>
    <n v="3504.23"/>
    <n v="4855.67"/>
    <n v="4383.49"/>
    <n v="847.19"/>
    <n v="12743.39"/>
    <n v="13590.58"/>
    <m/>
  </r>
  <r>
    <x v="0"/>
    <x v="0"/>
    <n v="2017"/>
    <n v="8"/>
    <s v="Aug"/>
    <x v="20"/>
    <n v="14"/>
    <x v="1"/>
    <n v="3.66"/>
    <n v="8.9700000000000006"/>
    <n v="0.89"/>
    <n v="0.16"/>
    <n v="13.52"/>
    <n v="13.68"/>
    <m/>
  </r>
  <r>
    <x v="0"/>
    <x v="0"/>
    <n v="2017"/>
    <n v="8"/>
    <s v="Aug"/>
    <x v="21"/>
    <n v="17"/>
    <x v="1"/>
    <n v="12.1"/>
    <n v="20.59"/>
    <n v="37.93"/>
    <n v="6.86"/>
    <n v="70.62"/>
    <n v="77.48"/>
    <m/>
  </r>
  <r>
    <x v="0"/>
    <x v="0"/>
    <n v="2017"/>
    <n v="8"/>
    <s v="Aug"/>
    <x v="22"/>
    <n v="15"/>
    <x v="1"/>
    <n v="1.59"/>
    <n v="4.17"/>
    <n v="0.26"/>
    <n v="0.03"/>
    <n v="6.02"/>
    <n v="6.05"/>
    <m/>
  </r>
  <r>
    <x v="0"/>
    <x v="0"/>
    <n v="2017"/>
    <n v="8"/>
    <s v="Aug"/>
    <x v="23"/>
    <n v="13"/>
    <x v="1"/>
    <n v="2.65"/>
    <n v="5.57"/>
    <n v="5.41"/>
    <n v="0.1"/>
    <n v="13.63"/>
    <n v="13.73"/>
    <m/>
  </r>
  <r>
    <x v="0"/>
    <x v="0"/>
    <n v="2017"/>
    <n v="8"/>
    <s v="Aug"/>
    <x v="24"/>
    <n v="21"/>
    <x v="1"/>
    <n v="317.68"/>
    <n v="471.37"/>
    <n v="555.89"/>
    <n v="564.80999999999995"/>
    <n v="1344.94"/>
    <n v="1909.75"/>
    <m/>
  </r>
  <r>
    <x v="0"/>
    <x v="0"/>
    <n v="2017"/>
    <n v="8"/>
    <s v="Aug"/>
    <x v="25"/>
    <n v="34"/>
    <x v="0"/>
    <n v="19.690000000000001"/>
    <n v="35.549999999999997"/>
    <n v="152.16"/>
    <n v="0.54"/>
    <n v="207.4"/>
    <n v="207.94"/>
    <m/>
  </r>
  <r>
    <x v="0"/>
    <x v="0"/>
    <n v="2017"/>
    <n v="8"/>
    <s v="Aug"/>
    <x v="26"/>
    <n v="3"/>
    <x v="1"/>
    <n v="313.45"/>
    <n v="577.38"/>
    <n v="618.5"/>
    <n v="12.5"/>
    <n v="1509.33"/>
    <n v="1521.83"/>
    <m/>
  </r>
  <r>
    <x v="0"/>
    <x v="0"/>
    <n v="2017"/>
    <n v="8"/>
    <s v="Aug"/>
    <x v="27"/>
    <n v="8"/>
    <x v="1"/>
    <n v="522.29"/>
    <n v="806.2"/>
    <n v="1084.97"/>
    <n v="126.74"/>
    <n v="2413.46"/>
    <n v="2540.1999999999998"/>
    <m/>
  </r>
  <r>
    <x v="0"/>
    <x v="0"/>
    <n v="2017"/>
    <n v="8"/>
    <s v="Aug"/>
    <x v="28"/>
    <n v="11"/>
    <x v="1"/>
    <n v="5.09"/>
    <n v="24.81"/>
    <n v="130.09"/>
    <n v="0.04"/>
    <n v="159.99"/>
    <n v="160.03"/>
    <m/>
  </r>
  <r>
    <x v="0"/>
    <x v="0"/>
    <n v="2017"/>
    <n v="8"/>
    <s v="Aug"/>
    <x v="29"/>
    <n v="33"/>
    <x v="1"/>
    <n v="1505.14"/>
    <n v="2472.9299999999998"/>
    <n v="2218.65"/>
    <n v="429.37"/>
    <n v="6196.72"/>
    <n v="6626.09"/>
    <m/>
  </r>
  <r>
    <x v="0"/>
    <x v="0"/>
    <n v="2017"/>
    <n v="8"/>
    <s v="Aug"/>
    <x v="30"/>
    <n v="36"/>
    <x v="1"/>
    <n v="543.29"/>
    <n v="840.53"/>
    <n v="929.76"/>
    <n v="445.13"/>
    <n v="2313.58"/>
    <n v="2758.71"/>
    <m/>
  </r>
  <r>
    <x v="0"/>
    <x v="0"/>
    <n v="2017"/>
    <n v="8"/>
    <s v="Aug"/>
    <x v="31"/>
    <n v="16"/>
    <x v="1"/>
    <n v="11.34"/>
    <n v="18.71"/>
    <n v="2.8"/>
    <n v="4.24"/>
    <n v="32.85"/>
    <n v="37.090000000000003"/>
    <m/>
  </r>
  <r>
    <x v="0"/>
    <x v="0"/>
    <n v="2017"/>
    <n v="8"/>
    <s v="Aug"/>
    <x v="32"/>
    <n v="9"/>
    <x v="1"/>
    <n v="931.02"/>
    <n v="1569.63"/>
    <n v="1468.42"/>
    <n v="757.93"/>
    <n v="3969.07"/>
    <n v="4727"/>
    <m/>
  </r>
  <r>
    <x v="0"/>
    <x v="0"/>
    <n v="2017"/>
    <n v="8"/>
    <s v="Aug"/>
    <x v="33"/>
    <n v="5"/>
    <x v="1"/>
    <n v="150.38"/>
    <n v="285.43"/>
    <n v="1241.9100000000001"/>
    <n v="15.13"/>
    <n v="1677.72"/>
    <n v="1692.85"/>
    <m/>
  </r>
  <r>
    <x v="0"/>
    <x v="0"/>
    <n v="2017"/>
    <n v="8"/>
    <s v="Aug"/>
    <x v="34"/>
    <n v="19"/>
    <x v="1"/>
    <n v="751.01"/>
    <n v="1118.82"/>
    <n v="858.65"/>
    <n v="280.42"/>
    <n v="2728.48"/>
    <n v="3008.9"/>
    <m/>
  </r>
  <r>
    <x v="1"/>
    <x v="0"/>
    <n v="2017"/>
    <n v="9"/>
    <s v="Sep"/>
    <x v="0"/>
    <n v="35"/>
    <x v="0"/>
    <n v="12.07"/>
    <n v="13.37"/>
    <n v="0.74"/>
    <n v="0"/>
    <n v="26.18"/>
    <n v="26.18"/>
    <m/>
  </r>
  <r>
    <x v="1"/>
    <x v="0"/>
    <n v="2017"/>
    <n v="9"/>
    <s v="Sep"/>
    <x v="1"/>
    <n v="28"/>
    <x v="1"/>
    <n v="428.46"/>
    <n v="634.91999999999996"/>
    <n v="718.73"/>
    <n v="19.93"/>
    <n v="1782.11"/>
    <n v="1802.04"/>
    <m/>
  </r>
  <r>
    <x v="1"/>
    <x v="0"/>
    <n v="2017"/>
    <n v="9"/>
    <s v="Sep"/>
    <x v="2"/>
    <n v="12"/>
    <x v="1"/>
    <n v="2.5499999999999998"/>
    <n v="4.29"/>
    <n v="2.5"/>
    <n v="0.03"/>
    <n v="9.34"/>
    <n v="9.3699999999999992"/>
    <m/>
  </r>
  <r>
    <x v="1"/>
    <x v="0"/>
    <n v="2017"/>
    <n v="9"/>
    <s v="Sep"/>
    <x v="3"/>
    <n v="18"/>
    <x v="1"/>
    <n v="155.97"/>
    <n v="250.95"/>
    <n v="234.04"/>
    <n v="31.81"/>
    <n v="640.96"/>
    <n v="672.77"/>
    <m/>
  </r>
  <r>
    <x v="1"/>
    <x v="0"/>
    <n v="2017"/>
    <n v="9"/>
    <s v="Sep"/>
    <x v="4"/>
    <n v="10"/>
    <x v="1"/>
    <n v="130.25"/>
    <n v="260.97000000000003"/>
    <n v="79.17"/>
    <n v="203.85"/>
    <n v="470.39"/>
    <n v="674.24"/>
    <m/>
  </r>
  <r>
    <x v="1"/>
    <x v="0"/>
    <n v="2017"/>
    <n v="9"/>
    <s v="Sep"/>
    <x v="5"/>
    <n v="4"/>
    <x v="0"/>
    <n v="31.94"/>
    <n v="43.68"/>
    <n v="70.989999999999995"/>
    <n v="1.03"/>
    <n v="146.61000000000001"/>
    <n v="147.63999999999999"/>
    <m/>
  </r>
  <r>
    <x v="1"/>
    <x v="0"/>
    <n v="2017"/>
    <n v="9"/>
    <s v="Sep"/>
    <x v="6"/>
    <n v="22"/>
    <x v="1"/>
    <n v="237.28"/>
    <n v="330.84"/>
    <n v="396.97"/>
    <n v="634.34"/>
    <n v="965.09"/>
    <n v="1599.43"/>
    <m/>
  </r>
  <r>
    <x v="1"/>
    <x v="0"/>
    <n v="2017"/>
    <n v="9"/>
    <s v="Sep"/>
    <x v="7"/>
    <n v="38"/>
    <x v="0"/>
    <n v="20.61"/>
    <n v="32.74"/>
    <n v="238.98"/>
    <n v="0.21"/>
    <n v="292.33"/>
    <n v="292.54000000000002"/>
    <m/>
  </r>
  <r>
    <x v="1"/>
    <x v="0"/>
    <n v="2017"/>
    <n v="9"/>
    <s v="Sep"/>
    <x v="8"/>
    <n v="7"/>
    <x v="0"/>
    <n v="745.28"/>
    <n v="1021.16"/>
    <n v="1535.08"/>
    <n v="103.21"/>
    <n v="3301.52"/>
    <n v="3404.73"/>
    <m/>
  </r>
  <r>
    <x v="1"/>
    <x v="0"/>
    <n v="2017"/>
    <n v="9"/>
    <s v="Sep"/>
    <x v="9"/>
    <n v="30"/>
    <x v="1"/>
    <n v="76.39"/>
    <n v="109.27"/>
    <n v="163.56"/>
    <n v="2.58"/>
    <n v="349.22"/>
    <n v="351.8"/>
    <m/>
  </r>
  <r>
    <x v="1"/>
    <x v="0"/>
    <n v="2017"/>
    <n v="9"/>
    <s v="Sep"/>
    <x v="10"/>
    <n v="24"/>
    <x v="1"/>
    <n v="1401.94"/>
    <n v="1877.44"/>
    <n v="2143.73"/>
    <n v="298.11"/>
    <n v="5423.11"/>
    <n v="5721.22"/>
    <m/>
  </r>
  <r>
    <x v="1"/>
    <x v="0"/>
    <n v="2017"/>
    <n v="9"/>
    <s v="Sep"/>
    <x v="11"/>
    <n v="6"/>
    <x v="1"/>
    <n v="747.89"/>
    <n v="1147.96"/>
    <n v="3181.07"/>
    <n v="363.26"/>
    <n v="5076.92"/>
    <n v="5440.18"/>
    <m/>
  </r>
  <r>
    <x v="1"/>
    <x v="0"/>
    <n v="2017"/>
    <n v="9"/>
    <s v="Sep"/>
    <x v="12"/>
    <n v="2"/>
    <x v="1"/>
    <n v="90.25"/>
    <n v="134.94"/>
    <n v="518.72"/>
    <n v="1.67"/>
    <n v="743.91"/>
    <n v="745.58"/>
    <m/>
  </r>
  <r>
    <x v="1"/>
    <x v="0"/>
    <n v="2017"/>
    <n v="9"/>
    <s v="Sep"/>
    <x v="13"/>
    <n v="1"/>
    <x v="0"/>
    <n v="71.31"/>
    <n v="136.54"/>
    <n v="107"/>
    <n v="4.92"/>
    <n v="314.85000000000002"/>
    <n v="319.77"/>
    <m/>
  </r>
  <r>
    <x v="1"/>
    <x v="0"/>
    <n v="2017"/>
    <n v="9"/>
    <s v="Sep"/>
    <x v="14"/>
    <n v="20"/>
    <x v="1"/>
    <n v="210.01"/>
    <n v="295.25"/>
    <n v="697.34"/>
    <n v="437.86"/>
    <n v="1202.5999999999999"/>
    <n v="1640.46"/>
    <m/>
  </r>
  <r>
    <x v="1"/>
    <x v="0"/>
    <n v="2017"/>
    <n v="9"/>
    <s v="Sep"/>
    <x v="15"/>
    <n v="29"/>
    <x v="1"/>
    <n v="1363.58"/>
    <n v="1996.53"/>
    <n v="1941.17"/>
    <n v="838.44"/>
    <n v="5301.28"/>
    <n v="6139.72"/>
    <m/>
  </r>
  <r>
    <x v="1"/>
    <x v="0"/>
    <n v="2017"/>
    <n v="9"/>
    <s v="Sep"/>
    <x v="16"/>
    <n v="32"/>
    <x v="1"/>
    <n v="483.3"/>
    <n v="802.58"/>
    <n v="243.71"/>
    <n v="13.55"/>
    <n v="1529.59"/>
    <n v="1543.14"/>
    <m/>
  </r>
  <r>
    <x v="1"/>
    <x v="0"/>
    <n v="2017"/>
    <n v="9"/>
    <s v="Sep"/>
    <x v="17"/>
    <n v="31"/>
    <x v="0"/>
    <n v="0.4"/>
    <n v="0.4"/>
    <n v="0.03"/>
    <n v="0"/>
    <n v="0.83"/>
    <n v="0.83"/>
    <m/>
  </r>
  <r>
    <x v="1"/>
    <x v="0"/>
    <n v="2017"/>
    <n v="9"/>
    <s v="Sep"/>
    <x v="18"/>
    <n v="23"/>
    <x v="1"/>
    <n v="391.63"/>
    <n v="567.30999999999995"/>
    <n v="533.07000000000005"/>
    <n v="414.14"/>
    <n v="1492.01"/>
    <n v="1906.15"/>
    <m/>
  </r>
  <r>
    <x v="1"/>
    <x v="0"/>
    <n v="2017"/>
    <n v="9"/>
    <s v="Sep"/>
    <x v="19"/>
    <n v="27"/>
    <x v="1"/>
    <n v="3381.9"/>
    <n v="4557.62"/>
    <n v="4162.2700000000004"/>
    <n v="945.88"/>
    <n v="12101.79"/>
    <n v="13047.67"/>
    <m/>
  </r>
  <r>
    <x v="1"/>
    <x v="0"/>
    <n v="2017"/>
    <n v="9"/>
    <s v="Sep"/>
    <x v="20"/>
    <n v="14"/>
    <x v="1"/>
    <n v="4.5999999999999996"/>
    <n v="7.91"/>
    <n v="1.03"/>
    <n v="0.18"/>
    <n v="13.54"/>
    <n v="13.72"/>
    <m/>
  </r>
  <r>
    <x v="1"/>
    <x v="0"/>
    <n v="2017"/>
    <n v="9"/>
    <s v="Sep"/>
    <x v="21"/>
    <n v="17"/>
    <x v="1"/>
    <n v="8.4600000000000009"/>
    <n v="14.05"/>
    <n v="39.94"/>
    <n v="0.09"/>
    <n v="62.45"/>
    <n v="62.54"/>
    <m/>
  </r>
  <r>
    <x v="1"/>
    <x v="0"/>
    <n v="2017"/>
    <n v="9"/>
    <s v="Sep"/>
    <x v="22"/>
    <n v="15"/>
    <x v="1"/>
    <n v="2.46"/>
    <n v="4.46"/>
    <n v="0.6"/>
    <n v="0"/>
    <n v="7.52"/>
    <n v="7.52"/>
    <m/>
  </r>
  <r>
    <x v="1"/>
    <x v="0"/>
    <n v="2017"/>
    <n v="9"/>
    <s v="Sep"/>
    <x v="23"/>
    <n v="13"/>
    <x v="1"/>
    <n v="2.97"/>
    <n v="5.67"/>
    <n v="4.4000000000000004"/>
    <n v="0.13"/>
    <n v="13.04"/>
    <n v="13.17"/>
    <m/>
  </r>
  <r>
    <x v="1"/>
    <x v="0"/>
    <n v="2017"/>
    <n v="9"/>
    <s v="Sep"/>
    <x v="24"/>
    <n v="21"/>
    <x v="1"/>
    <n v="332"/>
    <n v="450.53"/>
    <n v="468.11"/>
    <n v="465.56"/>
    <n v="1250.6400000000001"/>
    <n v="1716.2"/>
    <m/>
  </r>
  <r>
    <x v="1"/>
    <x v="0"/>
    <n v="2017"/>
    <n v="9"/>
    <s v="Sep"/>
    <x v="25"/>
    <n v="34"/>
    <x v="0"/>
    <n v="19.829999999999998"/>
    <n v="32.57"/>
    <n v="131.51"/>
    <n v="0.41"/>
    <n v="183.91"/>
    <n v="184.32"/>
    <m/>
  </r>
  <r>
    <x v="1"/>
    <x v="0"/>
    <n v="2017"/>
    <n v="9"/>
    <s v="Sep"/>
    <x v="26"/>
    <n v="3"/>
    <x v="1"/>
    <n v="276.49"/>
    <n v="491.65"/>
    <n v="507.03"/>
    <n v="13.87"/>
    <n v="1275.17"/>
    <n v="1289.04"/>
    <m/>
  </r>
  <r>
    <x v="1"/>
    <x v="0"/>
    <n v="2017"/>
    <n v="9"/>
    <s v="Sep"/>
    <x v="27"/>
    <n v="8"/>
    <x v="1"/>
    <n v="518.84"/>
    <n v="774.14"/>
    <n v="833.47"/>
    <n v="157.78"/>
    <n v="2126.4499999999998"/>
    <n v="2284.23"/>
    <m/>
  </r>
  <r>
    <x v="1"/>
    <x v="0"/>
    <n v="2017"/>
    <n v="9"/>
    <s v="Sep"/>
    <x v="28"/>
    <n v="11"/>
    <x v="1"/>
    <n v="4.09"/>
    <n v="7.18"/>
    <n v="144.99"/>
    <n v="0.02"/>
    <n v="156.26"/>
    <n v="156.28"/>
    <m/>
  </r>
  <r>
    <x v="1"/>
    <x v="0"/>
    <n v="2017"/>
    <n v="9"/>
    <s v="Sep"/>
    <x v="29"/>
    <n v="33"/>
    <x v="1"/>
    <n v="1487.85"/>
    <n v="2220.66"/>
    <n v="1972.8"/>
    <n v="503.27"/>
    <n v="5681.31"/>
    <n v="6184.58"/>
    <m/>
  </r>
  <r>
    <x v="1"/>
    <x v="0"/>
    <n v="2017"/>
    <n v="9"/>
    <s v="Sep"/>
    <x v="30"/>
    <n v="36"/>
    <x v="1"/>
    <n v="565.52"/>
    <n v="803.39"/>
    <n v="863.21"/>
    <n v="484.68"/>
    <n v="2232.12"/>
    <n v="2716.8"/>
    <m/>
  </r>
  <r>
    <x v="1"/>
    <x v="0"/>
    <n v="2017"/>
    <n v="9"/>
    <s v="Sep"/>
    <x v="31"/>
    <n v="16"/>
    <x v="1"/>
    <n v="11.13"/>
    <n v="19.079999999999998"/>
    <n v="3.29"/>
    <n v="0.49"/>
    <n v="33.5"/>
    <n v="33.99"/>
    <m/>
  </r>
  <r>
    <x v="1"/>
    <x v="0"/>
    <n v="2017"/>
    <n v="9"/>
    <s v="Sep"/>
    <x v="32"/>
    <n v="9"/>
    <x v="1"/>
    <n v="933.99"/>
    <n v="1438.64"/>
    <n v="1381.1"/>
    <n v="1085.93"/>
    <n v="3753.73"/>
    <n v="4839.66"/>
    <m/>
  </r>
  <r>
    <x v="1"/>
    <x v="0"/>
    <n v="2017"/>
    <n v="9"/>
    <s v="Sep"/>
    <x v="33"/>
    <n v="5"/>
    <x v="1"/>
    <n v="150.13"/>
    <n v="307.52999999999997"/>
    <n v="998.81"/>
    <n v="14.95"/>
    <n v="1456.47"/>
    <n v="1471.42"/>
    <m/>
  </r>
  <r>
    <x v="1"/>
    <x v="0"/>
    <n v="2017"/>
    <n v="9"/>
    <s v="Sep"/>
    <x v="34"/>
    <n v="19"/>
    <x v="1"/>
    <n v="829.96"/>
    <n v="1183.08"/>
    <n v="670.45"/>
    <n v="259.31"/>
    <n v="2683.49"/>
    <n v="2942.8"/>
    <m/>
  </r>
  <r>
    <x v="2"/>
    <x v="0"/>
    <n v="2017"/>
    <n v="10"/>
    <s v="Oct"/>
    <x v="0"/>
    <n v="35"/>
    <x v="0"/>
    <n v="8"/>
    <n v="9.85"/>
    <n v="0.7"/>
    <n v="0.04"/>
    <n v="18.55"/>
    <n v="18.59"/>
    <m/>
  </r>
  <r>
    <x v="2"/>
    <x v="0"/>
    <n v="2017"/>
    <n v="10"/>
    <s v="Oct"/>
    <x v="1"/>
    <n v="28"/>
    <x v="1"/>
    <n v="435.16"/>
    <n v="701.86"/>
    <n v="670.84"/>
    <n v="20.72"/>
    <n v="1807.86"/>
    <n v="1828.58"/>
    <m/>
  </r>
  <r>
    <x v="2"/>
    <x v="0"/>
    <n v="2017"/>
    <n v="10"/>
    <s v="Oct"/>
    <x v="2"/>
    <n v="12"/>
    <x v="1"/>
    <n v="4.16"/>
    <n v="6.05"/>
    <n v="2.2200000000000002"/>
    <n v="0.21"/>
    <n v="12.43"/>
    <n v="12.64"/>
    <m/>
  </r>
  <r>
    <x v="2"/>
    <x v="0"/>
    <n v="2017"/>
    <n v="10"/>
    <s v="Oct"/>
    <x v="3"/>
    <n v="18"/>
    <x v="1"/>
    <n v="147.93"/>
    <n v="237.68"/>
    <n v="200.29"/>
    <n v="38.659999999999997"/>
    <n v="585.9"/>
    <n v="624.55999999999995"/>
    <m/>
  </r>
  <r>
    <x v="2"/>
    <x v="0"/>
    <n v="2017"/>
    <n v="10"/>
    <s v="Oct"/>
    <x v="4"/>
    <n v="10"/>
    <x v="1"/>
    <n v="140.80000000000001"/>
    <n v="307.70999999999998"/>
    <n v="65.02"/>
    <n v="131.63"/>
    <n v="513.53"/>
    <n v="645.16"/>
    <m/>
  </r>
  <r>
    <x v="2"/>
    <x v="0"/>
    <n v="2017"/>
    <n v="10"/>
    <s v="Oct"/>
    <x v="5"/>
    <n v="4"/>
    <x v="0"/>
    <n v="29.25"/>
    <n v="42.09"/>
    <n v="72.23"/>
    <n v="1.03"/>
    <n v="143.57"/>
    <n v="144.6"/>
    <m/>
  </r>
  <r>
    <x v="2"/>
    <x v="0"/>
    <n v="2017"/>
    <n v="10"/>
    <s v="Oct"/>
    <x v="6"/>
    <n v="22"/>
    <x v="1"/>
    <n v="220.93"/>
    <n v="306.23"/>
    <n v="479.93"/>
    <n v="547.99"/>
    <n v="1007.09"/>
    <n v="1555.08"/>
    <m/>
  </r>
  <r>
    <x v="2"/>
    <x v="0"/>
    <n v="2017"/>
    <n v="10"/>
    <s v="Oct"/>
    <x v="7"/>
    <n v="38"/>
    <x v="0"/>
    <n v="22.11"/>
    <n v="34.409999999999997"/>
    <n v="236.14"/>
    <n v="0.21"/>
    <n v="292.66000000000003"/>
    <n v="292.87"/>
    <m/>
  </r>
  <r>
    <x v="2"/>
    <x v="0"/>
    <n v="2017"/>
    <n v="10"/>
    <s v="Oct"/>
    <x v="8"/>
    <n v="7"/>
    <x v="0"/>
    <n v="760.16"/>
    <n v="1069.1500000000001"/>
    <n v="1588.95"/>
    <n v="108.57"/>
    <n v="3418.26"/>
    <n v="3526.83"/>
    <m/>
  </r>
  <r>
    <x v="2"/>
    <x v="0"/>
    <n v="2017"/>
    <n v="10"/>
    <s v="Oct"/>
    <x v="9"/>
    <n v="30"/>
    <x v="1"/>
    <n v="69.239999999999995"/>
    <n v="105.51"/>
    <n v="168.52"/>
    <n v="2.94"/>
    <n v="343.27"/>
    <n v="346.21"/>
    <m/>
  </r>
  <r>
    <x v="2"/>
    <x v="0"/>
    <n v="2017"/>
    <n v="10"/>
    <s v="Oct"/>
    <x v="10"/>
    <n v="24"/>
    <x v="1"/>
    <n v="1400.77"/>
    <n v="1880.76"/>
    <n v="2286.6799999999998"/>
    <n v="314.58"/>
    <n v="5568.21"/>
    <n v="5882.79"/>
    <m/>
  </r>
  <r>
    <x v="2"/>
    <x v="0"/>
    <n v="2017"/>
    <n v="10"/>
    <s v="Oct"/>
    <x v="11"/>
    <n v="6"/>
    <x v="1"/>
    <n v="700.03"/>
    <n v="1144.46"/>
    <n v="2849.56"/>
    <n v="369.15"/>
    <n v="4694.05"/>
    <n v="5063.2"/>
    <m/>
  </r>
  <r>
    <x v="2"/>
    <x v="0"/>
    <n v="2017"/>
    <n v="10"/>
    <s v="Oct"/>
    <x v="12"/>
    <n v="2"/>
    <x v="1"/>
    <n v="70.77"/>
    <n v="133.41999999999999"/>
    <n v="494.68"/>
    <n v="1.53"/>
    <n v="698.87"/>
    <n v="700.4"/>
    <m/>
  </r>
  <r>
    <x v="2"/>
    <x v="0"/>
    <n v="2017"/>
    <n v="10"/>
    <s v="Oct"/>
    <x v="13"/>
    <n v="1"/>
    <x v="0"/>
    <n v="63.39"/>
    <n v="113.18"/>
    <n v="108.06"/>
    <n v="3.09"/>
    <n v="284.63"/>
    <n v="287.72000000000003"/>
    <m/>
  </r>
  <r>
    <x v="2"/>
    <x v="0"/>
    <n v="2017"/>
    <n v="10"/>
    <s v="Oct"/>
    <x v="14"/>
    <n v="20"/>
    <x v="1"/>
    <n v="230.02"/>
    <n v="347.48"/>
    <n v="715.45"/>
    <n v="453.73"/>
    <n v="1292.95"/>
    <n v="1746.68"/>
    <m/>
  </r>
  <r>
    <x v="2"/>
    <x v="0"/>
    <n v="2017"/>
    <n v="10"/>
    <s v="Oct"/>
    <x v="15"/>
    <n v="29"/>
    <x v="1"/>
    <n v="1283.33"/>
    <n v="1921.92"/>
    <n v="2232.16"/>
    <n v="811.09"/>
    <n v="5437.41"/>
    <n v="6248.5"/>
    <m/>
  </r>
  <r>
    <x v="2"/>
    <x v="0"/>
    <n v="2017"/>
    <n v="10"/>
    <s v="Oct"/>
    <x v="16"/>
    <n v="32"/>
    <x v="1"/>
    <n v="458.24"/>
    <n v="736.9"/>
    <n v="254.35"/>
    <n v="7.65"/>
    <n v="1449.49"/>
    <n v="1457.14"/>
    <m/>
  </r>
  <r>
    <x v="2"/>
    <x v="0"/>
    <n v="2017"/>
    <n v="10"/>
    <s v="Oct"/>
    <x v="17"/>
    <n v="31"/>
    <x v="0"/>
    <n v="0.28000000000000003"/>
    <n v="0.3"/>
    <n v="0.02"/>
    <n v="0"/>
    <n v="0.6"/>
    <n v="0.6"/>
    <m/>
  </r>
  <r>
    <x v="2"/>
    <x v="0"/>
    <n v="2017"/>
    <n v="10"/>
    <s v="Oct"/>
    <x v="18"/>
    <n v="23"/>
    <x v="1"/>
    <n v="355.14"/>
    <n v="577.07000000000005"/>
    <n v="587.78"/>
    <n v="407.24"/>
    <n v="1519.99"/>
    <n v="1927.23"/>
    <m/>
  </r>
  <r>
    <x v="2"/>
    <x v="0"/>
    <n v="2017"/>
    <n v="10"/>
    <s v="Oct"/>
    <x v="19"/>
    <n v="27"/>
    <x v="1"/>
    <n v="3559.82"/>
    <n v="4938.8999999999996"/>
    <n v="4765.38"/>
    <n v="1056.3699999999999"/>
    <n v="13264.1"/>
    <n v="14320.47"/>
    <m/>
  </r>
  <r>
    <x v="2"/>
    <x v="0"/>
    <n v="2017"/>
    <n v="10"/>
    <s v="Oct"/>
    <x v="20"/>
    <n v="14"/>
    <x v="1"/>
    <n v="6.31"/>
    <n v="12.26"/>
    <n v="0.92"/>
    <n v="0.01"/>
    <n v="19.489999999999998"/>
    <n v="19.5"/>
    <m/>
  </r>
  <r>
    <x v="2"/>
    <x v="0"/>
    <n v="2017"/>
    <n v="10"/>
    <s v="Oct"/>
    <x v="21"/>
    <n v="17"/>
    <x v="1"/>
    <n v="10.6"/>
    <n v="16.690000000000001"/>
    <n v="38.04"/>
    <n v="0.1"/>
    <n v="65.33"/>
    <n v="65.430000000000007"/>
    <m/>
  </r>
  <r>
    <x v="2"/>
    <x v="0"/>
    <n v="2017"/>
    <n v="10"/>
    <s v="Oct"/>
    <x v="22"/>
    <n v="15"/>
    <x v="1"/>
    <n v="3.93"/>
    <n v="5.55"/>
    <n v="0.99"/>
    <n v="0"/>
    <n v="10.47"/>
    <n v="10.47"/>
    <m/>
  </r>
  <r>
    <x v="2"/>
    <x v="0"/>
    <n v="2017"/>
    <n v="10"/>
    <s v="Oct"/>
    <x v="23"/>
    <n v="13"/>
    <x v="1"/>
    <n v="3.73"/>
    <n v="5.69"/>
    <n v="5.17"/>
    <n v="0.12"/>
    <n v="14.59"/>
    <n v="14.71"/>
    <m/>
  </r>
  <r>
    <x v="2"/>
    <x v="0"/>
    <n v="2017"/>
    <n v="10"/>
    <s v="Oct"/>
    <x v="24"/>
    <n v="21"/>
    <x v="1"/>
    <n v="321.88"/>
    <n v="529.86"/>
    <n v="481.14"/>
    <n v="468.05"/>
    <n v="1332.88"/>
    <n v="1800.93"/>
    <m/>
  </r>
  <r>
    <x v="2"/>
    <x v="0"/>
    <n v="2017"/>
    <n v="10"/>
    <s v="Oct"/>
    <x v="25"/>
    <n v="34"/>
    <x v="0"/>
    <n v="19.87"/>
    <n v="31.53"/>
    <n v="91.34"/>
    <n v="1.49"/>
    <n v="142.74"/>
    <n v="144.22999999999999"/>
    <m/>
  </r>
  <r>
    <x v="2"/>
    <x v="0"/>
    <n v="2017"/>
    <n v="10"/>
    <s v="Oct"/>
    <x v="26"/>
    <n v="3"/>
    <x v="1"/>
    <n v="263.8"/>
    <n v="477.63"/>
    <n v="522.09"/>
    <n v="13.49"/>
    <n v="1263.52"/>
    <n v="1277.01"/>
    <m/>
  </r>
  <r>
    <x v="2"/>
    <x v="0"/>
    <n v="2017"/>
    <n v="10"/>
    <s v="Oct"/>
    <x v="27"/>
    <n v="8"/>
    <x v="1"/>
    <n v="530.78"/>
    <n v="808.66"/>
    <n v="759.75"/>
    <n v="156.55000000000001"/>
    <n v="2099.19"/>
    <n v="2255.7399999999998"/>
    <m/>
  </r>
  <r>
    <x v="2"/>
    <x v="0"/>
    <n v="2017"/>
    <n v="10"/>
    <s v="Oct"/>
    <x v="28"/>
    <n v="11"/>
    <x v="1"/>
    <n v="10.16"/>
    <n v="13.36"/>
    <n v="116.72"/>
    <n v="0.08"/>
    <n v="140.24"/>
    <n v="140.32"/>
    <m/>
  </r>
  <r>
    <x v="2"/>
    <x v="0"/>
    <n v="2017"/>
    <n v="10"/>
    <s v="Oct"/>
    <x v="29"/>
    <n v="33"/>
    <x v="1"/>
    <n v="1457.13"/>
    <n v="2132.29"/>
    <n v="1913.92"/>
    <n v="589.61"/>
    <n v="5503.34"/>
    <n v="6092.95"/>
    <m/>
  </r>
  <r>
    <x v="2"/>
    <x v="0"/>
    <n v="2017"/>
    <n v="10"/>
    <s v="Oct"/>
    <x v="30"/>
    <n v="36"/>
    <x v="1"/>
    <n v="565.15"/>
    <n v="847.61"/>
    <n v="853.96"/>
    <n v="492.04"/>
    <n v="2266.7199999999998"/>
    <n v="2758.76"/>
    <m/>
  </r>
  <r>
    <x v="2"/>
    <x v="0"/>
    <n v="2017"/>
    <n v="10"/>
    <s v="Oct"/>
    <x v="31"/>
    <n v="16"/>
    <x v="1"/>
    <n v="23.62"/>
    <n v="30.54"/>
    <n v="2.89"/>
    <n v="0.16"/>
    <n v="57.05"/>
    <n v="57.21"/>
    <m/>
  </r>
  <r>
    <x v="2"/>
    <x v="0"/>
    <n v="2017"/>
    <n v="10"/>
    <s v="Oct"/>
    <x v="32"/>
    <n v="9"/>
    <x v="1"/>
    <n v="928.42"/>
    <n v="1477.13"/>
    <n v="1340.51"/>
    <n v="930.65"/>
    <n v="3746.06"/>
    <n v="4676.71"/>
    <m/>
  </r>
  <r>
    <x v="2"/>
    <x v="0"/>
    <n v="2017"/>
    <n v="10"/>
    <s v="Oct"/>
    <x v="33"/>
    <n v="5"/>
    <x v="1"/>
    <n v="143.5"/>
    <n v="278.72000000000003"/>
    <n v="1240.6199999999999"/>
    <n v="22.97"/>
    <n v="1662.84"/>
    <n v="1685.81"/>
    <m/>
  </r>
  <r>
    <x v="2"/>
    <x v="0"/>
    <n v="2017"/>
    <n v="10"/>
    <s v="Oct"/>
    <x v="34"/>
    <n v="19"/>
    <x v="1"/>
    <n v="693.87"/>
    <n v="1042.51"/>
    <n v="708.67"/>
    <n v="339.52"/>
    <n v="2445.0500000000002"/>
    <n v="2784.57"/>
    <m/>
  </r>
  <r>
    <x v="3"/>
    <x v="0"/>
    <n v="2017"/>
    <n v="11"/>
    <s v="Nov"/>
    <x v="0"/>
    <n v="35"/>
    <x v="0"/>
    <n v="10.199999999999999"/>
    <n v="11.63"/>
    <n v="1.27"/>
    <n v="0.03"/>
    <n v="23.1"/>
    <n v="23.13"/>
    <m/>
  </r>
  <r>
    <x v="3"/>
    <x v="0"/>
    <n v="2017"/>
    <n v="11"/>
    <s v="Nov"/>
    <x v="1"/>
    <n v="28"/>
    <x v="1"/>
    <n v="389.38"/>
    <n v="588.89"/>
    <n v="669.29"/>
    <n v="20.010000000000002"/>
    <n v="1647.56"/>
    <n v="1667.57"/>
    <m/>
  </r>
  <r>
    <x v="3"/>
    <x v="0"/>
    <n v="2017"/>
    <n v="11"/>
    <s v="Nov"/>
    <x v="2"/>
    <n v="12"/>
    <x v="1"/>
    <n v="2.98"/>
    <n v="4.8600000000000003"/>
    <n v="3.37"/>
    <n v="0"/>
    <n v="11.21"/>
    <n v="11.21"/>
    <m/>
  </r>
  <r>
    <x v="3"/>
    <x v="0"/>
    <n v="2017"/>
    <n v="11"/>
    <s v="Nov"/>
    <x v="3"/>
    <n v="18"/>
    <x v="1"/>
    <n v="150.31"/>
    <n v="227.85"/>
    <n v="226.84"/>
    <n v="49.07"/>
    <n v="605"/>
    <n v="654.07000000000005"/>
    <m/>
  </r>
  <r>
    <x v="3"/>
    <x v="0"/>
    <n v="2017"/>
    <n v="11"/>
    <s v="Nov"/>
    <x v="4"/>
    <n v="10"/>
    <x v="1"/>
    <n v="142.18"/>
    <n v="285.17"/>
    <n v="76.03"/>
    <n v="88.93"/>
    <n v="503.38"/>
    <n v="592.30999999999995"/>
    <m/>
  </r>
  <r>
    <x v="3"/>
    <x v="0"/>
    <n v="2017"/>
    <n v="11"/>
    <s v="Nov"/>
    <x v="5"/>
    <n v="4"/>
    <x v="0"/>
    <n v="30.33"/>
    <n v="45.77"/>
    <n v="68.62"/>
    <n v="0.57999999999999996"/>
    <n v="144.72"/>
    <n v="145.30000000000001"/>
    <m/>
  </r>
  <r>
    <x v="3"/>
    <x v="0"/>
    <n v="2017"/>
    <n v="11"/>
    <s v="Nov"/>
    <x v="6"/>
    <n v="22"/>
    <x v="1"/>
    <n v="209.82"/>
    <n v="302.39999999999998"/>
    <n v="467.79"/>
    <n v="523.72"/>
    <n v="980.01"/>
    <n v="1503.73"/>
    <m/>
  </r>
  <r>
    <x v="3"/>
    <x v="0"/>
    <n v="2017"/>
    <n v="11"/>
    <s v="Nov"/>
    <x v="7"/>
    <n v="38"/>
    <x v="0"/>
    <n v="20.03"/>
    <n v="31.32"/>
    <n v="233.46"/>
    <n v="0.27"/>
    <n v="284.81"/>
    <n v="285.08"/>
    <m/>
  </r>
  <r>
    <x v="3"/>
    <x v="0"/>
    <n v="2017"/>
    <n v="11"/>
    <s v="Nov"/>
    <x v="8"/>
    <n v="7"/>
    <x v="0"/>
    <n v="678.45"/>
    <n v="951.49"/>
    <n v="1489.96"/>
    <n v="111.64"/>
    <n v="3119.9"/>
    <n v="3231.54"/>
    <m/>
  </r>
  <r>
    <x v="3"/>
    <x v="0"/>
    <n v="2017"/>
    <n v="11"/>
    <s v="Nov"/>
    <x v="9"/>
    <n v="30"/>
    <x v="1"/>
    <n v="81.77"/>
    <n v="114.97"/>
    <n v="145.41"/>
    <n v="2.48"/>
    <n v="342.15"/>
    <n v="344.63"/>
    <m/>
  </r>
  <r>
    <x v="3"/>
    <x v="0"/>
    <n v="2017"/>
    <n v="11"/>
    <s v="Nov"/>
    <x v="10"/>
    <n v="24"/>
    <x v="1"/>
    <n v="1330.45"/>
    <n v="1748.09"/>
    <n v="1984.66"/>
    <n v="324.13"/>
    <n v="5063.2"/>
    <n v="5387.33"/>
    <m/>
  </r>
  <r>
    <x v="3"/>
    <x v="0"/>
    <n v="2017"/>
    <n v="11"/>
    <s v="Nov"/>
    <x v="11"/>
    <n v="6"/>
    <x v="1"/>
    <n v="641.97"/>
    <n v="1063.17"/>
    <n v="2589.71"/>
    <n v="373.72"/>
    <n v="4294.8500000000004"/>
    <n v="4668.57"/>
    <m/>
  </r>
  <r>
    <x v="3"/>
    <x v="0"/>
    <n v="2017"/>
    <n v="11"/>
    <s v="Nov"/>
    <x v="12"/>
    <n v="2"/>
    <x v="1"/>
    <n v="70.489999999999995"/>
    <n v="117.78"/>
    <n v="460.08"/>
    <n v="1.05"/>
    <n v="648.35"/>
    <n v="649.4"/>
    <m/>
  </r>
  <r>
    <x v="3"/>
    <x v="0"/>
    <n v="2017"/>
    <n v="11"/>
    <s v="Nov"/>
    <x v="13"/>
    <n v="1"/>
    <x v="0"/>
    <n v="66.27"/>
    <n v="120.32"/>
    <n v="99.53"/>
    <n v="12.83"/>
    <n v="286.12"/>
    <n v="298.95"/>
    <m/>
  </r>
  <r>
    <x v="3"/>
    <x v="0"/>
    <n v="2017"/>
    <n v="11"/>
    <s v="Nov"/>
    <x v="14"/>
    <n v="20"/>
    <x v="1"/>
    <n v="206.72"/>
    <n v="333.96"/>
    <n v="830.19"/>
    <n v="437.43"/>
    <n v="1370.87"/>
    <n v="1808.3"/>
    <m/>
  </r>
  <r>
    <x v="3"/>
    <x v="0"/>
    <n v="2017"/>
    <n v="11"/>
    <s v="Nov"/>
    <x v="15"/>
    <n v="29"/>
    <x v="1"/>
    <n v="1151.04"/>
    <n v="1709.72"/>
    <n v="1755.08"/>
    <n v="580.25"/>
    <n v="4615.84"/>
    <n v="5196.09"/>
    <m/>
  </r>
  <r>
    <x v="3"/>
    <x v="0"/>
    <n v="2017"/>
    <n v="11"/>
    <s v="Nov"/>
    <x v="16"/>
    <n v="32"/>
    <x v="1"/>
    <n v="410.37"/>
    <n v="611.52"/>
    <n v="215.74"/>
    <n v="11.9"/>
    <n v="1237.6300000000001"/>
    <n v="1249.53"/>
    <m/>
  </r>
  <r>
    <x v="3"/>
    <x v="0"/>
    <n v="2017"/>
    <n v="11"/>
    <s v="Nov"/>
    <x v="17"/>
    <n v="31"/>
    <x v="0"/>
    <n v="0.79"/>
    <n v="0.8"/>
    <n v="0.06"/>
    <n v="0"/>
    <n v="1.65"/>
    <n v="1.65"/>
    <m/>
  </r>
  <r>
    <x v="3"/>
    <x v="0"/>
    <n v="2017"/>
    <n v="11"/>
    <s v="Nov"/>
    <x v="18"/>
    <n v="23"/>
    <x v="1"/>
    <n v="363.71"/>
    <n v="586.45000000000005"/>
    <n v="498.79"/>
    <n v="425"/>
    <n v="1448.95"/>
    <n v="1873.95"/>
    <m/>
  </r>
  <r>
    <x v="3"/>
    <x v="0"/>
    <n v="2017"/>
    <n v="11"/>
    <s v="Nov"/>
    <x v="19"/>
    <n v="27"/>
    <x v="1"/>
    <n v="3206.99"/>
    <n v="4347.12"/>
    <n v="3866.25"/>
    <n v="852.76"/>
    <n v="11420.36"/>
    <n v="12273.12"/>
    <m/>
  </r>
  <r>
    <x v="3"/>
    <x v="0"/>
    <n v="2017"/>
    <n v="11"/>
    <s v="Nov"/>
    <x v="20"/>
    <n v="14"/>
    <x v="1"/>
    <n v="4.1399999999999997"/>
    <n v="6.37"/>
    <n v="0.92"/>
    <n v="0.01"/>
    <n v="11.43"/>
    <n v="11.44"/>
    <m/>
  </r>
  <r>
    <x v="3"/>
    <x v="0"/>
    <n v="2017"/>
    <n v="11"/>
    <s v="Nov"/>
    <x v="21"/>
    <n v="17"/>
    <x v="1"/>
    <n v="11.9"/>
    <n v="16.32"/>
    <n v="32.72"/>
    <n v="0.09"/>
    <n v="60.94"/>
    <n v="61.03"/>
    <m/>
  </r>
  <r>
    <x v="3"/>
    <x v="0"/>
    <n v="2017"/>
    <n v="11"/>
    <s v="Nov"/>
    <x v="22"/>
    <n v="15"/>
    <x v="1"/>
    <n v="2.87"/>
    <n v="4.83"/>
    <n v="0.74"/>
    <n v="0.04"/>
    <n v="8.44"/>
    <n v="8.48"/>
    <m/>
  </r>
  <r>
    <x v="3"/>
    <x v="0"/>
    <n v="2017"/>
    <n v="11"/>
    <s v="Nov"/>
    <x v="23"/>
    <n v="13"/>
    <x v="1"/>
    <n v="3.48"/>
    <n v="5.46"/>
    <n v="3.44"/>
    <n v="0.06"/>
    <n v="12.38"/>
    <n v="12.44"/>
    <m/>
  </r>
  <r>
    <x v="3"/>
    <x v="0"/>
    <n v="2017"/>
    <n v="11"/>
    <s v="Nov"/>
    <x v="24"/>
    <n v="21"/>
    <x v="1"/>
    <n v="308.62"/>
    <n v="444.02"/>
    <n v="523.61"/>
    <n v="508.13"/>
    <n v="1276.25"/>
    <n v="1784.38"/>
    <m/>
  </r>
  <r>
    <x v="3"/>
    <x v="0"/>
    <n v="2017"/>
    <n v="11"/>
    <s v="Nov"/>
    <x v="25"/>
    <n v="34"/>
    <x v="0"/>
    <n v="20.59"/>
    <n v="31.73"/>
    <n v="121.94"/>
    <n v="0.15"/>
    <n v="174.26"/>
    <n v="174.41"/>
    <m/>
  </r>
  <r>
    <x v="3"/>
    <x v="0"/>
    <n v="2017"/>
    <n v="11"/>
    <s v="Nov"/>
    <x v="26"/>
    <n v="3"/>
    <x v="1"/>
    <n v="245.96"/>
    <n v="442.91"/>
    <n v="504.93"/>
    <n v="11.14"/>
    <n v="1193.8"/>
    <n v="1204.94"/>
    <m/>
  </r>
  <r>
    <x v="3"/>
    <x v="0"/>
    <n v="2017"/>
    <n v="11"/>
    <s v="Nov"/>
    <x v="27"/>
    <n v="8"/>
    <x v="1"/>
    <n v="537.63"/>
    <n v="764.66"/>
    <n v="738.85"/>
    <n v="141.36000000000001"/>
    <n v="2041.14"/>
    <n v="2182.5"/>
    <m/>
  </r>
  <r>
    <x v="3"/>
    <x v="0"/>
    <n v="2017"/>
    <n v="11"/>
    <s v="Nov"/>
    <x v="28"/>
    <n v="11"/>
    <x v="1"/>
    <n v="10.36"/>
    <n v="13.75"/>
    <n v="121.74"/>
    <n v="0.1"/>
    <n v="145.85"/>
    <n v="145.94999999999999"/>
    <m/>
  </r>
  <r>
    <x v="3"/>
    <x v="0"/>
    <n v="2017"/>
    <n v="11"/>
    <s v="Nov"/>
    <x v="29"/>
    <n v="33"/>
    <x v="1"/>
    <n v="1288.1600000000001"/>
    <n v="1912.97"/>
    <n v="1494.64"/>
    <n v="539.94000000000005"/>
    <n v="4695.7700000000004"/>
    <n v="5235.71"/>
    <m/>
  </r>
  <r>
    <x v="3"/>
    <x v="0"/>
    <n v="2017"/>
    <n v="11"/>
    <s v="Nov"/>
    <x v="30"/>
    <n v="36"/>
    <x v="1"/>
    <n v="496.81"/>
    <n v="750.62"/>
    <n v="801.86"/>
    <n v="394.1"/>
    <n v="2049.29"/>
    <n v="2443.39"/>
    <m/>
  </r>
  <r>
    <x v="3"/>
    <x v="0"/>
    <n v="2017"/>
    <n v="11"/>
    <s v="Nov"/>
    <x v="31"/>
    <n v="16"/>
    <x v="1"/>
    <n v="12.88"/>
    <n v="19.43"/>
    <n v="2.7"/>
    <n v="0.28000000000000003"/>
    <n v="35.01"/>
    <n v="35.29"/>
    <m/>
  </r>
  <r>
    <x v="3"/>
    <x v="0"/>
    <n v="2017"/>
    <n v="11"/>
    <s v="Nov"/>
    <x v="32"/>
    <n v="9"/>
    <x v="1"/>
    <n v="838.12"/>
    <n v="1358.37"/>
    <n v="1197.47"/>
    <n v="774.11"/>
    <n v="3393.96"/>
    <n v="4168.07"/>
    <m/>
  </r>
  <r>
    <x v="3"/>
    <x v="0"/>
    <n v="2017"/>
    <n v="11"/>
    <s v="Nov"/>
    <x v="33"/>
    <n v="5"/>
    <x v="1"/>
    <n v="143.53"/>
    <n v="306.87"/>
    <n v="763.45"/>
    <n v="24.27"/>
    <n v="1213.8499999999999"/>
    <n v="1238.1199999999999"/>
    <m/>
  </r>
  <r>
    <x v="3"/>
    <x v="0"/>
    <n v="2017"/>
    <n v="11"/>
    <s v="Nov"/>
    <x v="34"/>
    <n v="19"/>
    <x v="1"/>
    <n v="592.9"/>
    <n v="1000.51"/>
    <n v="654.30999999999995"/>
    <n v="210.19"/>
    <n v="2247.7199999999998"/>
    <n v="2457.91"/>
    <m/>
  </r>
  <r>
    <x v="4"/>
    <x v="0"/>
    <n v="2017"/>
    <n v="12"/>
    <s v="Dec"/>
    <x v="0"/>
    <n v="35"/>
    <x v="0"/>
    <n v="5.59"/>
    <n v="8.15"/>
    <n v="1.02"/>
    <n v="0.05"/>
    <n v="14.76"/>
    <n v="14.81"/>
    <m/>
  </r>
  <r>
    <x v="4"/>
    <x v="0"/>
    <n v="2017"/>
    <n v="12"/>
    <s v="Dec"/>
    <x v="1"/>
    <n v="28"/>
    <x v="1"/>
    <n v="390.48"/>
    <n v="572.87"/>
    <n v="608.72"/>
    <n v="12.84"/>
    <n v="1572.07"/>
    <n v="1584.91"/>
    <m/>
  </r>
  <r>
    <x v="4"/>
    <x v="0"/>
    <n v="2017"/>
    <n v="12"/>
    <s v="Dec"/>
    <x v="2"/>
    <n v="12"/>
    <x v="1"/>
    <n v="3.33"/>
    <n v="6.27"/>
    <n v="2.14"/>
    <n v="0.15"/>
    <n v="11.74"/>
    <n v="11.89"/>
    <m/>
  </r>
  <r>
    <x v="4"/>
    <x v="0"/>
    <n v="2017"/>
    <n v="12"/>
    <s v="Dec"/>
    <x v="3"/>
    <n v="18"/>
    <x v="1"/>
    <n v="135.81"/>
    <n v="196.87"/>
    <n v="207.13"/>
    <n v="49.7"/>
    <n v="539.80999999999995"/>
    <n v="589.51"/>
    <m/>
  </r>
  <r>
    <x v="4"/>
    <x v="0"/>
    <n v="2017"/>
    <n v="12"/>
    <s v="Dec"/>
    <x v="4"/>
    <n v="10"/>
    <x v="1"/>
    <n v="139.57"/>
    <n v="264.52"/>
    <n v="87.8"/>
    <n v="174.71"/>
    <n v="491.89"/>
    <n v="666.6"/>
    <m/>
  </r>
  <r>
    <x v="4"/>
    <x v="0"/>
    <n v="2017"/>
    <n v="12"/>
    <s v="Dec"/>
    <x v="5"/>
    <n v="4"/>
    <x v="0"/>
    <n v="26.78"/>
    <n v="37.6"/>
    <n v="67.459999999999994"/>
    <n v="0.62"/>
    <n v="131.84"/>
    <n v="132.46"/>
    <m/>
  </r>
  <r>
    <x v="4"/>
    <x v="0"/>
    <n v="2017"/>
    <n v="12"/>
    <s v="Dec"/>
    <x v="6"/>
    <n v="22"/>
    <x v="1"/>
    <n v="233.07"/>
    <n v="303.7"/>
    <n v="445.13"/>
    <n v="600.4"/>
    <n v="981.9"/>
    <n v="1582.3"/>
    <m/>
  </r>
  <r>
    <x v="4"/>
    <x v="0"/>
    <n v="2017"/>
    <n v="12"/>
    <s v="Dec"/>
    <x v="7"/>
    <n v="38"/>
    <x v="0"/>
    <n v="20"/>
    <n v="31.03"/>
    <n v="182.31"/>
    <n v="0.06"/>
    <n v="233.34"/>
    <n v="233.4"/>
    <m/>
  </r>
  <r>
    <x v="4"/>
    <x v="0"/>
    <n v="2017"/>
    <n v="12"/>
    <s v="Dec"/>
    <x v="8"/>
    <n v="7"/>
    <x v="0"/>
    <n v="646.27"/>
    <n v="859.81"/>
    <n v="1450.77"/>
    <n v="93.61"/>
    <n v="2956.85"/>
    <n v="3050.46"/>
    <m/>
  </r>
  <r>
    <x v="4"/>
    <x v="0"/>
    <n v="2017"/>
    <n v="12"/>
    <s v="Dec"/>
    <x v="9"/>
    <n v="30"/>
    <x v="1"/>
    <n v="73.48"/>
    <n v="111.94"/>
    <n v="128.19"/>
    <n v="1.72"/>
    <n v="313.61"/>
    <n v="315.33"/>
    <m/>
  </r>
  <r>
    <x v="4"/>
    <x v="0"/>
    <n v="2017"/>
    <n v="12"/>
    <s v="Dec"/>
    <x v="10"/>
    <n v="24"/>
    <x v="1"/>
    <n v="1386.71"/>
    <n v="1790.21"/>
    <n v="1894.13"/>
    <n v="301.14"/>
    <n v="5071.05"/>
    <n v="5372.19"/>
    <m/>
  </r>
  <r>
    <x v="4"/>
    <x v="0"/>
    <n v="2017"/>
    <n v="12"/>
    <s v="Dec"/>
    <x v="11"/>
    <n v="6"/>
    <x v="1"/>
    <n v="603.42999999999995"/>
    <n v="968.19"/>
    <n v="2168.4899999999998"/>
    <n v="340.26"/>
    <n v="3740.11"/>
    <n v="4080.37"/>
    <m/>
  </r>
  <r>
    <x v="4"/>
    <x v="0"/>
    <n v="2017"/>
    <n v="12"/>
    <s v="Dec"/>
    <x v="12"/>
    <n v="2"/>
    <x v="1"/>
    <n v="74.239999999999995"/>
    <n v="109.68"/>
    <n v="432.62"/>
    <n v="1.27"/>
    <n v="616.54"/>
    <n v="617.80999999999995"/>
    <m/>
  </r>
  <r>
    <x v="4"/>
    <x v="0"/>
    <n v="2017"/>
    <n v="12"/>
    <s v="Dec"/>
    <x v="13"/>
    <n v="1"/>
    <x v="0"/>
    <n v="86.14"/>
    <n v="143.66999999999999"/>
    <n v="83.97"/>
    <n v="0.92"/>
    <n v="313.77999999999997"/>
    <n v="314.7"/>
    <m/>
  </r>
  <r>
    <x v="4"/>
    <x v="0"/>
    <n v="2017"/>
    <n v="12"/>
    <s v="Dec"/>
    <x v="14"/>
    <n v="20"/>
    <x v="1"/>
    <n v="216.83"/>
    <n v="328.45"/>
    <n v="739.07"/>
    <n v="425.18"/>
    <n v="1284.3499999999999"/>
    <n v="1709.53"/>
    <m/>
  </r>
  <r>
    <x v="4"/>
    <x v="0"/>
    <n v="2017"/>
    <n v="12"/>
    <s v="Dec"/>
    <x v="15"/>
    <n v="29"/>
    <x v="1"/>
    <n v="1219.43"/>
    <n v="1684.99"/>
    <n v="1760.64"/>
    <n v="903.43"/>
    <n v="4665.0600000000004"/>
    <n v="5568.49"/>
    <m/>
  </r>
  <r>
    <x v="4"/>
    <x v="0"/>
    <n v="2017"/>
    <n v="12"/>
    <s v="Dec"/>
    <x v="16"/>
    <n v="32"/>
    <x v="1"/>
    <n v="395.67"/>
    <n v="608.44000000000005"/>
    <n v="238.66"/>
    <n v="6.28"/>
    <n v="1242.77"/>
    <n v="1249.05"/>
    <m/>
  </r>
  <r>
    <x v="4"/>
    <x v="0"/>
    <n v="2017"/>
    <n v="12"/>
    <s v="Dec"/>
    <x v="17"/>
    <n v="31"/>
    <x v="0"/>
    <n v="0.37"/>
    <n v="0.38"/>
    <n v="0.05"/>
    <n v="0"/>
    <n v="0.8"/>
    <n v="0.8"/>
    <m/>
  </r>
  <r>
    <x v="4"/>
    <x v="0"/>
    <n v="2017"/>
    <n v="12"/>
    <s v="Dec"/>
    <x v="18"/>
    <n v="23"/>
    <x v="1"/>
    <n v="416.88"/>
    <n v="599.09"/>
    <n v="491.69"/>
    <n v="365.85"/>
    <n v="1507.66"/>
    <n v="1873.51"/>
    <m/>
  </r>
  <r>
    <x v="4"/>
    <x v="0"/>
    <n v="2017"/>
    <n v="12"/>
    <s v="Dec"/>
    <x v="19"/>
    <n v="27"/>
    <x v="1"/>
    <n v="3359.82"/>
    <n v="4361.38"/>
    <n v="4151.0600000000004"/>
    <n v="937.74"/>
    <n v="11872.26"/>
    <n v="12810"/>
    <m/>
  </r>
  <r>
    <x v="4"/>
    <x v="0"/>
    <n v="2017"/>
    <n v="12"/>
    <s v="Dec"/>
    <x v="20"/>
    <n v="14"/>
    <x v="1"/>
    <n v="4.3899999999999997"/>
    <n v="8.52"/>
    <n v="0.73"/>
    <n v="0.08"/>
    <n v="13.64"/>
    <n v="13.72"/>
    <m/>
  </r>
  <r>
    <x v="4"/>
    <x v="0"/>
    <n v="2017"/>
    <n v="12"/>
    <s v="Dec"/>
    <x v="21"/>
    <n v="17"/>
    <x v="1"/>
    <n v="8.82"/>
    <n v="15.12"/>
    <n v="46.26"/>
    <n v="0.18"/>
    <n v="70.2"/>
    <n v="70.38"/>
    <m/>
  </r>
  <r>
    <x v="4"/>
    <x v="0"/>
    <n v="2017"/>
    <n v="12"/>
    <s v="Dec"/>
    <x v="22"/>
    <n v="15"/>
    <x v="1"/>
    <n v="2.04"/>
    <n v="3.55"/>
    <n v="0.91"/>
    <n v="0.08"/>
    <n v="6.5"/>
    <n v="6.58"/>
    <m/>
  </r>
  <r>
    <x v="4"/>
    <x v="0"/>
    <n v="2017"/>
    <n v="12"/>
    <s v="Dec"/>
    <x v="23"/>
    <n v="13"/>
    <x v="1"/>
    <n v="2.62"/>
    <n v="4.2699999999999996"/>
    <n v="3"/>
    <n v="0.44"/>
    <n v="9.89"/>
    <n v="10.33"/>
    <m/>
  </r>
  <r>
    <x v="4"/>
    <x v="0"/>
    <n v="2017"/>
    <n v="12"/>
    <s v="Dec"/>
    <x v="24"/>
    <n v="21"/>
    <x v="1"/>
    <n v="301.57"/>
    <n v="400.68"/>
    <n v="505.74"/>
    <n v="496.85"/>
    <n v="1207.99"/>
    <n v="1704.84"/>
    <m/>
  </r>
  <r>
    <x v="4"/>
    <x v="0"/>
    <n v="2017"/>
    <n v="12"/>
    <s v="Dec"/>
    <x v="25"/>
    <n v="34"/>
    <x v="0"/>
    <n v="16.899999999999999"/>
    <n v="27.79"/>
    <n v="116.37"/>
    <n v="0.09"/>
    <n v="161.06"/>
    <n v="161.15"/>
    <m/>
  </r>
  <r>
    <x v="4"/>
    <x v="0"/>
    <n v="2017"/>
    <n v="12"/>
    <s v="Dec"/>
    <x v="26"/>
    <n v="3"/>
    <x v="1"/>
    <n v="225.83"/>
    <n v="390.35"/>
    <n v="455.67"/>
    <n v="5.62"/>
    <n v="1071.8499999999999"/>
    <n v="1077.47"/>
    <m/>
  </r>
  <r>
    <x v="4"/>
    <x v="0"/>
    <n v="2017"/>
    <n v="12"/>
    <s v="Dec"/>
    <x v="27"/>
    <n v="8"/>
    <x v="1"/>
    <n v="546.29"/>
    <n v="746.48"/>
    <n v="723.17"/>
    <n v="132.05000000000001"/>
    <n v="2015.94"/>
    <n v="2147.9899999999998"/>
    <m/>
  </r>
  <r>
    <x v="4"/>
    <x v="0"/>
    <n v="2017"/>
    <n v="12"/>
    <s v="Dec"/>
    <x v="28"/>
    <n v="11"/>
    <x v="1"/>
    <n v="6.53"/>
    <n v="10.19"/>
    <n v="147"/>
    <n v="0.02"/>
    <n v="163.72"/>
    <n v="163.74"/>
    <m/>
  </r>
  <r>
    <x v="4"/>
    <x v="0"/>
    <n v="2017"/>
    <n v="12"/>
    <s v="Dec"/>
    <x v="29"/>
    <n v="33"/>
    <x v="1"/>
    <n v="1229.68"/>
    <n v="1796.28"/>
    <n v="1460.74"/>
    <n v="527.75"/>
    <n v="4486.7"/>
    <n v="5014.45"/>
    <m/>
  </r>
  <r>
    <x v="4"/>
    <x v="0"/>
    <n v="2017"/>
    <n v="12"/>
    <s v="Dec"/>
    <x v="30"/>
    <n v="36"/>
    <x v="1"/>
    <n v="520.44000000000005"/>
    <n v="741.2"/>
    <n v="714.8"/>
    <n v="513.29"/>
    <n v="1976.44"/>
    <n v="2489.73"/>
    <m/>
  </r>
  <r>
    <x v="4"/>
    <x v="0"/>
    <n v="2017"/>
    <n v="12"/>
    <s v="Dec"/>
    <x v="31"/>
    <n v="16"/>
    <x v="1"/>
    <n v="9.91"/>
    <n v="16.66"/>
    <n v="2.79"/>
    <n v="0.44"/>
    <n v="29.36"/>
    <n v="29.8"/>
    <m/>
  </r>
  <r>
    <x v="4"/>
    <x v="0"/>
    <n v="2017"/>
    <n v="12"/>
    <s v="Dec"/>
    <x v="32"/>
    <n v="9"/>
    <x v="1"/>
    <n v="842.9"/>
    <n v="1317.77"/>
    <n v="1220.74"/>
    <n v="1007.36"/>
    <n v="3381.41"/>
    <n v="4388.7700000000004"/>
    <m/>
  </r>
  <r>
    <x v="4"/>
    <x v="0"/>
    <n v="2017"/>
    <n v="12"/>
    <s v="Dec"/>
    <x v="33"/>
    <n v="5"/>
    <x v="1"/>
    <n v="132.38999999999999"/>
    <n v="263.5"/>
    <n v="778.49"/>
    <n v="11.8"/>
    <n v="1174.3800000000001"/>
    <n v="1186.18"/>
    <m/>
  </r>
  <r>
    <x v="4"/>
    <x v="0"/>
    <n v="2017"/>
    <n v="12"/>
    <s v="Dec"/>
    <x v="34"/>
    <n v="19"/>
    <x v="1"/>
    <n v="635.11"/>
    <n v="957.5"/>
    <n v="703.87"/>
    <n v="252.01"/>
    <n v="2296.48"/>
    <n v="2548.4899999999998"/>
    <m/>
  </r>
  <r>
    <x v="5"/>
    <x v="0"/>
    <n v="2018"/>
    <n v="1"/>
    <s v="Jan"/>
    <x v="0"/>
    <n v="35"/>
    <x v="0"/>
    <n v="5.66"/>
    <n v="7.95"/>
    <n v="0.87"/>
    <n v="0.03"/>
    <n v="14.48"/>
    <n v="14.51"/>
    <m/>
  </r>
  <r>
    <x v="5"/>
    <x v="0"/>
    <n v="2018"/>
    <n v="1"/>
    <s v="Jan"/>
    <x v="1"/>
    <n v="28"/>
    <x v="1"/>
    <n v="489.06"/>
    <n v="713.84"/>
    <n v="697.32"/>
    <n v="20.58"/>
    <n v="1900.22"/>
    <n v="1920.8"/>
    <m/>
  </r>
  <r>
    <x v="5"/>
    <x v="0"/>
    <n v="2018"/>
    <n v="1"/>
    <s v="Jan"/>
    <x v="2"/>
    <n v="12"/>
    <x v="1"/>
    <n v="4.72"/>
    <n v="8.57"/>
    <n v="3.03"/>
    <n v="0.14000000000000001"/>
    <n v="16.32"/>
    <n v="16.46"/>
    <m/>
  </r>
  <r>
    <x v="5"/>
    <x v="0"/>
    <n v="2018"/>
    <n v="1"/>
    <s v="Jan"/>
    <x v="3"/>
    <n v="18"/>
    <x v="1"/>
    <n v="141.38999999999999"/>
    <n v="222.14"/>
    <n v="175.96"/>
    <n v="38.46"/>
    <n v="539.49"/>
    <n v="577.95000000000005"/>
    <m/>
  </r>
  <r>
    <x v="5"/>
    <x v="0"/>
    <n v="2018"/>
    <n v="1"/>
    <s v="Jan"/>
    <x v="4"/>
    <n v="10"/>
    <x v="1"/>
    <n v="136.37"/>
    <n v="280.74"/>
    <n v="78.45"/>
    <n v="146"/>
    <n v="495.56"/>
    <n v="641.55999999999995"/>
    <m/>
  </r>
  <r>
    <x v="5"/>
    <x v="0"/>
    <n v="2018"/>
    <n v="1"/>
    <s v="Jan"/>
    <x v="5"/>
    <n v="4"/>
    <x v="0"/>
    <n v="27.01"/>
    <n v="41.53"/>
    <n v="77.64"/>
    <n v="1.35"/>
    <n v="146.18"/>
    <n v="147.53"/>
    <m/>
  </r>
  <r>
    <x v="5"/>
    <x v="0"/>
    <n v="2018"/>
    <n v="1"/>
    <s v="Jan"/>
    <x v="6"/>
    <n v="22"/>
    <x v="1"/>
    <n v="279.02999999999997"/>
    <n v="367.35"/>
    <n v="530.4"/>
    <n v="597.23"/>
    <n v="1176.78"/>
    <n v="1774.01"/>
    <m/>
  </r>
  <r>
    <x v="5"/>
    <x v="0"/>
    <n v="2018"/>
    <n v="1"/>
    <s v="Jan"/>
    <x v="7"/>
    <n v="38"/>
    <x v="0"/>
    <n v="24.41"/>
    <n v="33.9"/>
    <n v="193.01"/>
    <n v="0.28999999999999998"/>
    <n v="251.32"/>
    <n v="251.61"/>
    <m/>
  </r>
  <r>
    <x v="5"/>
    <x v="0"/>
    <n v="2018"/>
    <n v="1"/>
    <s v="Jan"/>
    <x v="8"/>
    <n v="7"/>
    <x v="0"/>
    <n v="825.37"/>
    <n v="1099.6199999999999"/>
    <n v="1596.28"/>
    <n v="81.45"/>
    <n v="3521.27"/>
    <n v="3602.72"/>
    <m/>
  </r>
  <r>
    <x v="5"/>
    <x v="0"/>
    <n v="2018"/>
    <n v="1"/>
    <s v="Jan"/>
    <x v="9"/>
    <n v="30"/>
    <x v="1"/>
    <n v="82.76"/>
    <n v="116.78"/>
    <n v="103.7"/>
    <n v="2.27"/>
    <n v="303.24"/>
    <n v="305.51"/>
    <m/>
  </r>
  <r>
    <x v="5"/>
    <x v="0"/>
    <n v="2018"/>
    <n v="1"/>
    <s v="Jan"/>
    <x v="10"/>
    <n v="24"/>
    <x v="1"/>
    <n v="1532.26"/>
    <n v="2060.8000000000002"/>
    <n v="1876.07"/>
    <n v="309.57"/>
    <n v="5469.13"/>
    <n v="5778.7"/>
    <m/>
  </r>
  <r>
    <x v="5"/>
    <x v="0"/>
    <n v="2018"/>
    <n v="1"/>
    <s v="Jan"/>
    <x v="11"/>
    <n v="6"/>
    <x v="1"/>
    <n v="609.78"/>
    <n v="965.79"/>
    <n v="2376.42"/>
    <n v="310.94"/>
    <n v="3951.99"/>
    <n v="4262.93"/>
    <m/>
  </r>
  <r>
    <x v="5"/>
    <x v="0"/>
    <n v="2018"/>
    <n v="1"/>
    <s v="Jan"/>
    <x v="12"/>
    <n v="2"/>
    <x v="1"/>
    <n v="78.44"/>
    <n v="125.25"/>
    <n v="394.38"/>
    <n v="1.59"/>
    <n v="598.07000000000005"/>
    <n v="599.66"/>
    <m/>
  </r>
  <r>
    <x v="5"/>
    <x v="0"/>
    <n v="2018"/>
    <n v="1"/>
    <s v="Jan"/>
    <x v="13"/>
    <n v="1"/>
    <x v="0"/>
    <n v="92.21"/>
    <n v="144.58000000000001"/>
    <n v="65.209999999999994"/>
    <n v="4.37"/>
    <n v="302"/>
    <n v="306.37"/>
    <m/>
  </r>
  <r>
    <x v="5"/>
    <x v="0"/>
    <n v="2018"/>
    <n v="1"/>
    <s v="Jan"/>
    <x v="14"/>
    <n v="20"/>
    <x v="1"/>
    <n v="242.19"/>
    <n v="354.26"/>
    <n v="883.4"/>
    <n v="394.44"/>
    <n v="1479.85"/>
    <n v="1874.29"/>
    <m/>
  </r>
  <r>
    <x v="5"/>
    <x v="0"/>
    <n v="2018"/>
    <n v="1"/>
    <s v="Jan"/>
    <x v="15"/>
    <n v="29"/>
    <x v="1"/>
    <n v="1257.76"/>
    <n v="1810.44"/>
    <n v="2049.0100000000002"/>
    <n v="873.84"/>
    <n v="5117.21"/>
    <n v="5991.05"/>
    <m/>
  </r>
  <r>
    <x v="5"/>
    <x v="0"/>
    <n v="2018"/>
    <n v="1"/>
    <s v="Jan"/>
    <x v="16"/>
    <n v="32"/>
    <x v="1"/>
    <n v="413.66"/>
    <n v="698.46"/>
    <n v="244.36"/>
    <n v="11.29"/>
    <n v="1356.48"/>
    <n v="1367.77"/>
    <m/>
  </r>
  <r>
    <x v="5"/>
    <x v="0"/>
    <n v="2018"/>
    <n v="1"/>
    <s v="Jan"/>
    <x v="17"/>
    <n v="31"/>
    <x v="0"/>
    <n v="0.3"/>
    <n v="0.35"/>
    <n v="0.03"/>
    <n v="0"/>
    <n v="0.68"/>
    <n v="0.68"/>
    <m/>
  </r>
  <r>
    <x v="5"/>
    <x v="0"/>
    <n v="2018"/>
    <n v="1"/>
    <s v="Jan"/>
    <x v="18"/>
    <n v="23"/>
    <x v="1"/>
    <n v="416.18"/>
    <n v="613.79999999999995"/>
    <n v="489.92"/>
    <n v="369.97"/>
    <n v="1519.9"/>
    <n v="1889.87"/>
    <m/>
  </r>
  <r>
    <x v="5"/>
    <x v="0"/>
    <n v="2018"/>
    <n v="1"/>
    <s v="Jan"/>
    <x v="19"/>
    <n v="27"/>
    <x v="1"/>
    <n v="3263.95"/>
    <n v="4450.34"/>
    <n v="4657.3900000000003"/>
    <n v="984.98"/>
    <n v="12371.68"/>
    <n v="13356.66"/>
    <m/>
  </r>
  <r>
    <x v="5"/>
    <x v="0"/>
    <n v="2018"/>
    <n v="1"/>
    <s v="Jan"/>
    <x v="20"/>
    <n v="14"/>
    <x v="1"/>
    <n v="3.71"/>
    <n v="7.59"/>
    <n v="0.84"/>
    <n v="0.16"/>
    <n v="12.14"/>
    <n v="12.3"/>
    <m/>
  </r>
  <r>
    <x v="5"/>
    <x v="0"/>
    <n v="2018"/>
    <n v="1"/>
    <s v="Jan"/>
    <x v="21"/>
    <n v="17"/>
    <x v="1"/>
    <n v="12.89"/>
    <n v="21.25"/>
    <n v="51.61"/>
    <n v="4.72"/>
    <n v="85.75"/>
    <n v="90.47"/>
    <m/>
  </r>
  <r>
    <x v="5"/>
    <x v="0"/>
    <n v="2018"/>
    <n v="1"/>
    <s v="Jan"/>
    <x v="22"/>
    <n v="15"/>
    <x v="1"/>
    <n v="2.1"/>
    <n v="3.69"/>
    <n v="2.0299999999999998"/>
    <n v="0.02"/>
    <n v="7.82"/>
    <n v="7.84"/>
    <m/>
  </r>
  <r>
    <x v="5"/>
    <x v="0"/>
    <n v="2018"/>
    <n v="1"/>
    <s v="Jan"/>
    <x v="23"/>
    <n v="13"/>
    <x v="1"/>
    <n v="4.04"/>
    <n v="6.19"/>
    <n v="4.82"/>
    <n v="0.38"/>
    <n v="15.05"/>
    <n v="15.43"/>
    <m/>
  </r>
  <r>
    <x v="5"/>
    <x v="0"/>
    <n v="2018"/>
    <n v="1"/>
    <s v="Jan"/>
    <x v="24"/>
    <n v="21"/>
    <x v="1"/>
    <n v="355.36"/>
    <n v="470.56"/>
    <n v="542.25"/>
    <n v="590.33000000000004"/>
    <n v="1368.17"/>
    <n v="1958.5"/>
    <m/>
  </r>
  <r>
    <x v="5"/>
    <x v="0"/>
    <n v="2018"/>
    <n v="1"/>
    <s v="Jan"/>
    <x v="25"/>
    <n v="34"/>
    <x v="0"/>
    <n v="20.57"/>
    <n v="30.9"/>
    <n v="109.73"/>
    <n v="1.57"/>
    <n v="161.19999999999999"/>
    <n v="162.77000000000001"/>
    <m/>
  </r>
  <r>
    <x v="5"/>
    <x v="0"/>
    <n v="2018"/>
    <n v="1"/>
    <s v="Jan"/>
    <x v="26"/>
    <n v="3"/>
    <x v="1"/>
    <n v="239.73"/>
    <n v="424.34"/>
    <n v="410.81"/>
    <n v="12.64"/>
    <n v="1074.8800000000001"/>
    <n v="1087.52"/>
    <m/>
  </r>
  <r>
    <x v="5"/>
    <x v="0"/>
    <n v="2018"/>
    <n v="1"/>
    <s v="Jan"/>
    <x v="27"/>
    <n v="8"/>
    <x v="1"/>
    <n v="599.42999999999995"/>
    <n v="858.55"/>
    <n v="781.42"/>
    <n v="154.81"/>
    <n v="2239.4"/>
    <n v="2394.21"/>
    <m/>
  </r>
  <r>
    <x v="5"/>
    <x v="0"/>
    <n v="2018"/>
    <n v="1"/>
    <s v="Jan"/>
    <x v="28"/>
    <n v="11"/>
    <x v="1"/>
    <n v="6.67"/>
    <n v="11.45"/>
    <n v="133.58000000000001"/>
    <n v="0.01"/>
    <n v="151.69999999999999"/>
    <n v="151.71"/>
    <m/>
  </r>
  <r>
    <x v="5"/>
    <x v="0"/>
    <n v="2018"/>
    <n v="1"/>
    <s v="Jan"/>
    <x v="29"/>
    <n v="33"/>
    <x v="1"/>
    <n v="1282.27"/>
    <n v="1889.36"/>
    <n v="1555.99"/>
    <n v="588.30999999999995"/>
    <n v="4727.62"/>
    <n v="5315.93"/>
    <m/>
  </r>
  <r>
    <x v="5"/>
    <x v="0"/>
    <n v="2018"/>
    <n v="1"/>
    <s v="Jan"/>
    <x v="30"/>
    <n v="36"/>
    <x v="1"/>
    <n v="586.35"/>
    <n v="856.59"/>
    <n v="768.04"/>
    <n v="525.74"/>
    <n v="2210.98"/>
    <n v="2736.72"/>
    <m/>
  </r>
  <r>
    <x v="5"/>
    <x v="0"/>
    <n v="2018"/>
    <n v="1"/>
    <s v="Jan"/>
    <x v="31"/>
    <n v="16"/>
    <x v="1"/>
    <n v="11.45"/>
    <n v="16.95"/>
    <n v="3.66"/>
    <n v="0.17"/>
    <n v="32.06"/>
    <n v="32.229999999999997"/>
    <m/>
  </r>
  <r>
    <x v="5"/>
    <x v="0"/>
    <n v="2018"/>
    <n v="1"/>
    <s v="Jan"/>
    <x v="32"/>
    <n v="9"/>
    <x v="1"/>
    <n v="926.94"/>
    <n v="1450.58"/>
    <n v="1339.6"/>
    <n v="957.3"/>
    <n v="3717.12"/>
    <n v="4674.42"/>
    <m/>
  </r>
  <r>
    <x v="5"/>
    <x v="0"/>
    <n v="2018"/>
    <n v="1"/>
    <s v="Jan"/>
    <x v="33"/>
    <n v="5"/>
    <x v="1"/>
    <n v="153.59"/>
    <n v="268.70999999999998"/>
    <n v="825.16"/>
    <n v="14.27"/>
    <n v="1247.46"/>
    <n v="1261.73"/>
    <m/>
  </r>
  <r>
    <x v="5"/>
    <x v="0"/>
    <n v="2018"/>
    <n v="1"/>
    <s v="Jan"/>
    <x v="34"/>
    <n v="19"/>
    <x v="1"/>
    <n v="669.53"/>
    <n v="990.88"/>
    <n v="714.51"/>
    <n v="282.95999999999998"/>
    <n v="2374.92"/>
    <n v="2657.88"/>
    <m/>
  </r>
  <r>
    <x v="6"/>
    <x v="0"/>
    <n v="2018"/>
    <n v="2"/>
    <s v="Feb"/>
    <x v="0"/>
    <n v="35"/>
    <x v="0"/>
    <n v="8.25"/>
    <n v="11.07"/>
    <n v="0.9"/>
    <n v="0.02"/>
    <n v="20.22"/>
    <n v="20.239999999999998"/>
    <m/>
  </r>
  <r>
    <x v="6"/>
    <x v="0"/>
    <n v="2018"/>
    <n v="2"/>
    <s v="Feb"/>
    <x v="1"/>
    <n v="28"/>
    <x v="1"/>
    <n v="415.89"/>
    <n v="581.44000000000005"/>
    <n v="742.9"/>
    <n v="18.25"/>
    <n v="1740.23"/>
    <n v="1758.48"/>
    <m/>
  </r>
  <r>
    <x v="6"/>
    <x v="0"/>
    <n v="2018"/>
    <n v="2"/>
    <s v="Feb"/>
    <x v="2"/>
    <n v="12"/>
    <x v="1"/>
    <n v="3.98"/>
    <n v="6.59"/>
    <n v="2.4900000000000002"/>
    <n v="0.4"/>
    <n v="13.06"/>
    <n v="13.46"/>
    <m/>
  </r>
  <r>
    <x v="6"/>
    <x v="0"/>
    <n v="2018"/>
    <n v="2"/>
    <s v="Feb"/>
    <x v="3"/>
    <n v="18"/>
    <x v="1"/>
    <n v="132.62"/>
    <n v="203.23"/>
    <n v="164.07"/>
    <n v="27.94"/>
    <n v="499.92"/>
    <n v="527.86"/>
    <m/>
  </r>
  <r>
    <x v="6"/>
    <x v="0"/>
    <n v="2018"/>
    <n v="2"/>
    <s v="Feb"/>
    <x v="4"/>
    <n v="10"/>
    <x v="1"/>
    <n v="145.59"/>
    <n v="270.19"/>
    <n v="127.62"/>
    <n v="223.39"/>
    <n v="543.4"/>
    <n v="766.79"/>
    <m/>
  </r>
  <r>
    <x v="6"/>
    <x v="0"/>
    <n v="2018"/>
    <n v="2"/>
    <s v="Feb"/>
    <x v="5"/>
    <n v="4"/>
    <x v="0"/>
    <n v="28.06"/>
    <n v="40.630000000000003"/>
    <n v="71.95"/>
    <n v="0.42"/>
    <n v="140.63999999999999"/>
    <n v="141.06"/>
    <m/>
  </r>
  <r>
    <x v="6"/>
    <x v="0"/>
    <n v="2018"/>
    <n v="2"/>
    <s v="Feb"/>
    <x v="6"/>
    <n v="22"/>
    <x v="1"/>
    <n v="307.61"/>
    <n v="389.14"/>
    <n v="546.64"/>
    <n v="290.24"/>
    <n v="1243.3900000000001"/>
    <n v="1533.63"/>
    <m/>
  </r>
  <r>
    <x v="6"/>
    <x v="0"/>
    <n v="2018"/>
    <n v="2"/>
    <s v="Feb"/>
    <x v="7"/>
    <n v="38"/>
    <x v="0"/>
    <n v="19.22"/>
    <n v="29.18"/>
    <n v="185.33"/>
    <n v="0.18"/>
    <n v="233.73"/>
    <n v="233.91"/>
    <m/>
  </r>
  <r>
    <x v="6"/>
    <x v="0"/>
    <n v="2018"/>
    <n v="2"/>
    <s v="Feb"/>
    <x v="8"/>
    <n v="7"/>
    <x v="0"/>
    <n v="703.34"/>
    <n v="930.12"/>
    <n v="1402.38"/>
    <n v="85.14"/>
    <n v="3035.84"/>
    <n v="3120.98"/>
    <m/>
  </r>
  <r>
    <x v="6"/>
    <x v="0"/>
    <n v="2018"/>
    <n v="2"/>
    <s v="Feb"/>
    <x v="9"/>
    <n v="30"/>
    <x v="1"/>
    <n v="93.29"/>
    <n v="127.22"/>
    <n v="134.43"/>
    <n v="2.31"/>
    <n v="354.94"/>
    <n v="357.25"/>
    <m/>
  </r>
  <r>
    <x v="6"/>
    <x v="0"/>
    <n v="2018"/>
    <n v="2"/>
    <s v="Feb"/>
    <x v="10"/>
    <n v="24"/>
    <x v="1"/>
    <n v="1590.6"/>
    <n v="2030.58"/>
    <n v="1808.78"/>
    <n v="392.78"/>
    <n v="5429.96"/>
    <n v="5822.74"/>
    <m/>
  </r>
  <r>
    <x v="6"/>
    <x v="0"/>
    <n v="2018"/>
    <n v="2"/>
    <s v="Feb"/>
    <x v="11"/>
    <n v="6"/>
    <x v="1"/>
    <n v="602.16999999999996"/>
    <n v="942.47"/>
    <n v="2471.39"/>
    <n v="340.46"/>
    <n v="4016.03"/>
    <n v="4356.49"/>
    <m/>
  </r>
  <r>
    <x v="6"/>
    <x v="0"/>
    <n v="2018"/>
    <n v="2"/>
    <s v="Feb"/>
    <x v="12"/>
    <n v="2"/>
    <x v="1"/>
    <n v="70.64"/>
    <n v="106.8"/>
    <n v="382.8"/>
    <n v="1.45"/>
    <n v="560.24"/>
    <n v="561.69000000000005"/>
    <m/>
  </r>
  <r>
    <x v="6"/>
    <x v="0"/>
    <n v="2018"/>
    <n v="2"/>
    <s v="Feb"/>
    <x v="13"/>
    <n v="1"/>
    <x v="0"/>
    <n v="71.58"/>
    <n v="124.99"/>
    <n v="71.13"/>
    <n v="1.59"/>
    <n v="267.7"/>
    <n v="269.29000000000002"/>
    <m/>
  </r>
  <r>
    <x v="6"/>
    <x v="0"/>
    <n v="2018"/>
    <n v="2"/>
    <s v="Feb"/>
    <x v="14"/>
    <n v="20"/>
    <x v="1"/>
    <n v="260.05"/>
    <n v="341.26"/>
    <n v="795.16"/>
    <n v="360.7"/>
    <n v="1396.47"/>
    <n v="1757.17"/>
    <m/>
  </r>
  <r>
    <x v="6"/>
    <x v="0"/>
    <n v="2018"/>
    <n v="2"/>
    <s v="Feb"/>
    <x v="15"/>
    <n v="29"/>
    <x v="1"/>
    <n v="1252.8599999999999"/>
    <n v="1713.99"/>
    <n v="2063.63"/>
    <n v="988.01"/>
    <n v="5030.4799999999996"/>
    <n v="6018.49"/>
    <m/>
  </r>
  <r>
    <x v="6"/>
    <x v="0"/>
    <n v="2018"/>
    <n v="2"/>
    <s v="Feb"/>
    <x v="16"/>
    <n v="32"/>
    <x v="1"/>
    <n v="388.95"/>
    <n v="621.16"/>
    <n v="191.15"/>
    <n v="5.6"/>
    <n v="1201.26"/>
    <n v="1206.8599999999999"/>
    <m/>
  </r>
  <r>
    <x v="6"/>
    <x v="0"/>
    <n v="2018"/>
    <n v="2"/>
    <s v="Feb"/>
    <x v="17"/>
    <n v="31"/>
    <x v="0"/>
    <n v="0.56999999999999995"/>
    <n v="0.59"/>
    <n v="0.13"/>
    <n v="0"/>
    <n v="1.29"/>
    <n v="1.29"/>
    <m/>
  </r>
  <r>
    <x v="6"/>
    <x v="0"/>
    <n v="2018"/>
    <n v="2"/>
    <s v="Feb"/>
    <x v="18"/>
    <n v="23"/>
    <x v="1"/>
    <n v="424.06"/>
    <n v="578"/>
    <n v="560.63"/>
    <n v="397.57"/>
    <n v="1562.69"/>
    <n v="1960.26"/>
    <m/>
  </r>
  <r>
    <x v="6"/>
    <x v="0"/>
    <n v="2018"/>
    <n v="2"/>
    <s v="Feb"/>
    <x v="19"/>
    <n v="27"/>
    <x v="1"/>
    <n v="3265.82"/>
    <n v="4296.96"/>
    <n v="3849.35"/>
    <n v="1036.79"/>
    <n v="11412.13"/>
    <n v="12448.92"/>
    <m/>
  </r>
  <r>
    <x v="6"/>
    <x v="0"/>
    <n v="2018"/>
    <n v="2"/>
    <s v="Feb"/>
    <x v="20"/>
    <n v="14"/>
    <x v="1"/>
    <n v="3.71"/>
    <n v="7.59"/>
    <n v="1.23"/>
    <n v="0.32"/>
    <n v="12.53"/>
    <n v="12.85"/>
    <m/>
  </r>
  <r>
    <x v="6"/>
    <x v="0"/>
    <n v="2018"/>
    <n v="2"/>
    <s v="Feb"/>
    <x v="21"/>
    <n v="17"/>
    <x v="1"/>
    <n v="12.66"/>
    <n v="18.41"/>
    <n v="74.72"/>
    <n v="9.4499999999999993"/>
    <n v="105.79"/>
    <n v="115.24"/>
    <m/>
  </r>
  <r>
    <x v="6"/>
    <x v="0"/>
    <n v="2018"/>
    <n v="2"/>
    <s v="Feb"/>
    <x v="22"/>
    <n v="15"/>
    <x v="1"/>
    <n v="2.1800000000000002"/>
    <n v="4.72"/>
    <n v="1.1399999999999999"/>
    <n v="0.17"/>
    <n v="8.0399999999999991"/>
    <n v="8.2100000000000009"/>
    <m/>
  </r>
  <r>
    <x v="6"/>
    <x v="0"/>
    <n v="2018"/>
    <n v="2"/>
    <s v="Feb"/>
    <x v="23"/>
    <n v="13"/>
    <x v="1"/>
    <n v="3.67"/>
    <n v="4.92"/>
    <n v="3.29"/>
    <n v="0.28000000000000003"/>
    <n v="11.88"/>
    <n v="12.16"/>
    <m/>
  </r>
  <r>
    <x v="6"/>
    <x v="0"/>
    <n v="2018"/>
    <n v="2"/>
    <s v="Feb"/>
    <x v="24"/>
    <n v="21"/>
    <x v="1"/>
    <n v="356.59"/>
    <n v="486.43"/>
    <n v="517.42999999999995"/>
    <n v="621.79"/>
    <n v="1360.45"/>
    <n v="1982.24"/>
    <m/>
  </r>
  <r>
    <x v="6"/>
    <x v="0"/>
    <n v="2018"/>
    <n v="2"/>
    <s v="Feb"/>
    <x v="25"/>
    <n v="34"/>
    <x v="0"/>
    <n v="17.93"/>
    <n v="28.22"/>
    <n v="92.17"/>
    <n v="0.6"/>
    <n v="138.32"/>
    <n v="138.91999999999999"/>
    <m/>
  </r>
  <r>
    <x v="6"/>
    <x v="0"/>
    <n v="2018"/>
    <n v="2"/>
    <s v="Feb"/>
    <x v="26"/>
    <n v="3"/>
    <x v="1"/>
    <n v="240.18"/>
    <n v="385.28"/>
    <n v="427.95"/>
    <n v="7.67"/>
    <n v="1053.4100000000001"/>
    <n v="1061.08"/>
    <m/>
  </r>
  <r>
    <x v="6"/>
    <x v="0"/>
    <n v="2018"/>
    <n v="2"/>
    <s v="Feb"/>
    <x v="27"/>
    <n v="8"/>
    <x v="1"/>
    <n v="565.23"/>
    <n v="763.72"/>
    <n v="835.5"/>
    <n v="142.93"/>
    <n v="2164.4499999999998"/>
    <n v="2307.38"/>
    <m/>
  </r>
  <r>
    <x v="6"/>
    <x v="0"/>
    <n v="2018"/>
    <n v="2"/>
    <s v="Feb"/>
    <x v="28"/>
    <n v="11"/>
    <x v="1"/>
    <n v="5.5"/>
    <n v="8.58"/>
    <n v="108.64"/>
    <n v="0.02"/>
    <n v="122.72"/>
    <n v="122.74"/>
    <m/>
  </r>
  <r>
    <x v="6"/>
    <x v="0"/>
    <n v="2018"/>
    <n v="2"/>
    <s v="Feb"/>
    <x v="29"/>
    <n v="33"/>
    <x v="1"/>
    <n v="1250.03"/>
    <n v="1900.97"/>
    <n v="1649.87"/>
    <n v="562.25"/>
    <n v="4800.87"/>
    <n v="5363.12"/>
    <m/>
  </r>
  <r>
    <x v="6"/>
    <x v="0"/>
    <n v="2018"/>
    <n v="2"/>
    <s v="Feb"/>
    <x v="30"/>
    <n v="36"/>
    <x v="1"/>
    <n v="571.45000000000005"/>
    <n v="793.72"/>
    <n v="748.07"/>
    <n v="526.47"/>
    <n v="2113.2399999999998"/>
    <n v="2639.71"/>
    <m/>
  </r>
  <r>
    <x v="6"/>
    <x v="0"/>
    <n v="2018"/>
    <n v="2"/>
    <s v="Feb"/>
    <x v="31"/>
    <n v="16"/>
    <x v="1"/>
    <n v="11.21"/>
    <n v="19.16"/>
    <n v="3.84"/>
    <n v="0.13"/>
    <n v="34.21"/>
    <n v="34.340000000000003"/>
    <m/>
  </r>
  <r>
    <x v="6"/>
    <x v="0"/>
    <n v="2018"/>
    <n v="2"/>
    <s v="Feb"/>
    <x v="32"/>
    <n v="9"/>
    <x v="1"/>
    <n v="847.76"/>
    <n v="1352.37"/>
    <n v="1267.67"/>
    <n v="1129.1300000000001"/>
    <n v="3467.8"/>
    <n v="4596.93"/>
    <m/>
  </r>
  <r>
    <x v="6"/>
    <x v="0"/>
    <n v="2018"/>
    <n v="2"/>
    <s v="Feb"/>
    <x v="33"/>
    <n v="5"/>
    <x v="1"/>
    <n v="140.69"/>
    <n v="274.45"/>
    <n v="730.54"/>
    <n v="20.67"/>
    <n v="1145.68"/>
    <n v="1166.3499999999999"/>
    <m/>
  </r>
  <r>
    <x v="6"/>
    <x v="0"/>
    <n v="2018"/>
    <n v="2"/>
    <s v="Feb"/>
    <x v="34"/>
    <n v="19"/>
    <x v="1"/>
    <n v="923.9"/>
    <n v="1183.22"/>
    <n v="711.34"/>
    <n v="355.03"/>
    <n v="2818.46"/>
    <n v="3173.49"/>
    <m/>
  </r>
  <r>
    <x v="7"/>
    <x v="0"/>
    <n v="2018"/>
    <n v="3"/>
    <s v="Mar"/>
    <x v="0"/>
    <n v="35"/>
    <x v="0"/>
    <n v="16.02"/>
    <n v="19.88"/>
    <n v="1.36"/>
    <n v="0.01"/>
    <n v="37.26"/>
    <n v="37.270000000000003"/>
    <m/>
  </r>
  <r>
    <x v="7"/>
    <x v="0"/>
    <n v="2018"/>
    <n v="3"/>
    <s v="Mar"/>
    <x v="1"/>
    <n v="28"/>
    <x v="1"/>
    <n v="445.98"/>
    <n v="618.97"/>
    <n v="783.06"/>
    <n v="17.440000000000001"/>
    <n v="1848.01"/>
    <n v="1865.45"/>
    <m/>
  </r>
  <r>
    <x v="7"/>
    <x v="0"/>
    <n v="2018"/>
    <n v="3"/>
    <s v="Mar"/>
    <x v="2"/>
    <n v="12"/>
    <x v="1"/>
    <n v="9.98"/>
    <n v="17.649999999999999"/>
    <n v="4.8"/>
    <n v="0.01"/>
    <n v="32.43"/>
    <n v="32.44"/>
    <m/>
  </r>
  <r>
    <x v="7"/>
    <x v="0"/>
    <n v="2018"/>
    <n v="3"/>
    <s v="Mar"/>
    <x v="3"/>
    <n v="18"/>
    <x v="1"/>
    <n v="156.08000000000001"/>
    <n v="227.99"/>
    <n v="179.35"/>
    <n v="55.09"/>
    <n v="563.41999999999996"/>
    <n v="618.51"/>
    <m/>
  </r>
  <r>
    <x v="7"/>
    <x v="0"/>
    <n v="2018"/>
    <n v="3"/>
    <s v="Mar"/>
    <x v="4"/>
    <n v="10"/>
    <x v="1"/>
    <n v="168.73"/>
    <n v="314.02999999999997"/>
    <n v="90.95"/>
    <n v="183.97"/>
    <n v="573.71"/>
    <n v="757.68"/>
    <m/>
  </r>
  <r>
    <x v="7"/>
    <x v="0"/>
    <n v="2018"/>
    <n v="3"/>
    <s v="Mar"/>
    <x v="5"/>
    <n v="4"/>
    <x v="0"/>
    <n v="25.67"/>
    <n v="36.01"/>
    <n v="74.28"/>
    <n v="0.18"/>
    <n v="135.96"/>
    <n v="136.13999999999999"/>
    <m/>
  </r>
  <r>
    <x v="7"/>
    <x v="0"/>
    <n v="2018"/>
    <n v="3"/>
    <s v="Mar"/>
    <x v="6"/>
    <n v="22"/>
    <x v="1"/>
    <n v="368.85"/>
    <n v="454.44"/>
    <n v="684.55"/>
    <n v="321.19"/>
    <n v="1507.84"/>
    <n v="1829.03"/>
    <m/>
  </r>
  <r>
    <x v="7"/>
    <x v="0"/>
    <n v="2018"/>
    <n v="3"/>
    <s v="Mar"/>
    <x v="7"/>
    <n v="38"/>
    <x v="0"/>
    <n v="20.85"/>
    <n v="31.48"/>
    <n v="214.44"/>
    <n v="0.35"/>
    <n v="266.77"/>
    <n v="267.12"/>
    <m/>
  </r>
  <r>
    <x v="7"/>
    <x v="0"/>
    <n v="2018"/>
    <n v="3"/>
    <s v="Mar"/>
    <x v="8"/>
    <n v="7"/>
    <x v="0"/>
    <n v="807.25"/>
    <n v="982.02"/>
    <n v="1387.39"/>
    <n v="72.63"/>
    <n v="3176.66"/>
    <n v="3249.29"/>
    <m/>
  </r>
  <r>
    <x v="7"/>
    <x v="0"/>
    <n v="2018"/>
    <n v="3"/>
    <s v="Mar"/>
    <x v="9"/>
    <n v="30"/>
    <x v="1"/>
    <n v="92.8"/>
    <n v="127.21"/>
    <n v="123.66"/>
    <n v="2.81"/>
    <n v="343.67"/>
    <n v="346.48"/>
    <m/>
  </r>
  <r>
    <x v="7"/>
    <x v="0"/>
    <n v="2018"/>
    <n v="3"/>
    <s v="Mar"/>
    <x v="10"/>
    <n v="24"/>
    <x v="1"/>
    <n v="1594.43"/>
    <n v="2015.66"/>
    <n v="2006.19"/>
    <n v="305.98"/>
    <n v="5616.28"/>
    <n v="5922.26"/>
    <m/>
  </r>
  <r>
    <x v="7"/>
    <x v="0"/>
    <n v="2018"/>
    <n v="3"/>
    <s v="Mar"/>
    <x v="11"/>
    <n v="6"/>
    <x v="1"/>
    <n v="666.29"/>
    <n v="1032.5"/>
    <n v="2219.06"/>
    <n v="354.05"/>
    <n v="3917.85"/>
    <n v="4271.8999999999996"/>
    <m/>
  </r>
  <r>
    <x v="7"/>
    <x v="0"/>
    <n v="2018"/>
    <n v="3"/>
    <s v="Mar"/>
    <x v="12"/>
    <n v="2"/>
    <x v="1"/>
    <n v="72.56"/>
    <n v="119.87"/>
    <n v="417.98"/>
    <n v="0.56000000000000005"/>
    <n v="610.41"/>
    <n v="610.97"/>
    <m/>
  </r>
  <r>
    <x v="7"/>
    <x v="0"/>
    <n v="2018"/>
    <n v="3"/>
    <s v="Mar"/>
    <x v="13"/>
    <n v="1"/>
    <x v="0"/>
    <n v="65.77"/>
    <n v="114.29"/>
    <n v="75.89"/>
    <n v="2.0299999999999998"/>
    <n v="255.95"/>
    <n v="257.98"/>
    <m/>
  </r>
  <r>
    <x v="7"/>
    <x v="0"/>
    <n v="2018"/>
    <n v="3"/>
    <s v="Mar"/>
    <x v="14"/>
    <n v="20"/>
    <x v="1"/>
    <n v="293.02999999999997"/>
    <n v="414"/>
    <n v="875.05"/>
    <n v="461.59"/>
    <n v="1582.08"/>
    <n v="2043.67"/>
    <m/>
  </r>
  <r>
    <x v="7"/>
    <x v="0"/>
    <n v="2018"/>
    <n v="3"/>
    <s v="Mar"/>
    <x v="15"/>
    <n v="29"/>
    <x v="1"/>
    <n v="1299.1199999999999"/>
    <n v="1750.6"/>
    <n v="2203.71"/>
    <n v="743.68"/>
    <n v="5253.43"/>
    <n v="5997.11"/>
    <m/>
  </r>
  <r>
    <x v="7"/>
    <x v="0"/>
    <n v="2018"/>
    <n v="3"/>
    <s v="Mar"/>
    <x v="16"/>
    <n v="32"/>
    <x v="1"/>
    <n v="403.43"/>
    <n v="613.07000000000005"/>
    <n v="228.06"/>
    <n v="4.7"/>
    <n v="1244.56"/>
    <n v="1249.26"/>
    <m/>
  </r>
  <r>
    <x v="7"/>
    <x v="0"/>
    <n v="2018"/>
    <n v="3"/>
    <s v="Mar"/>
    <x v="17"/>
    <n v="31"/>
    <x v="0"/>
    <n v="0.36"/>
    <n v="0.41"/>
    <n v="7.0000000000000007E-2"/>
    <n v="0"/>
    <n v="0.84"/>
    <n v="0.84"/>
    <m/>
  </r>
  <r>
    <x v="7"/>
    <x v="0"/>
    <n v="2018"/>
    <n v="3"/>
    <s v="Mar"/>
    <x v="18"/>
    <n v="23"/>
    <x v="1"/>
    <n v="450.41"/>
    <n v="615.62"/>
    <n v="556.98"/>
    <n v="376.81"/>
    <n v="1623.01"/>
    <n v="1999.82"/>
    <m/>
  </r>
  <r>
    <x v="7"/>
    <x v="0"/>
    <n v="2018"/>
    <n v="3"/>
    <s v="Mar"/>
    <x v="19"/>
    <n v="27"/>
    <x v="1"/>
    <n v="3660.45"/>
    <n v="4586.58"/>
    <n v="4139.91"/>
    <n v="944.32"/>
    <n v="12386.94"/>
    <n v="13331.26"/>
    <m/>
  </r>
  <r>
    <x v="7"/>
    <x v="0"/>
    <n v="2018"/>
    <n v="3"/>
    <s v="Mar"/>
    <x v="20"/>
    <n v="14"/>
    <x v="1"/>
    <n v="7.4"/>
    <n v="16.38"/>
    <n v="1.21"/>
    <n v="7.0000000000000007E-2"/>
    <n v="24.99"/>
    <n v="25.06"/>
    <m/>
  </r>
  <r>
    <x v="7"/>
    <x v="0"/>
    <n v="2018"/>
    <n v="3"/>
    <s v="Mar"/>
    <x v="21"/>
    <n v="17"/>
    <x v="1"/>
    <n v="12.32"/>
    <n v="18.95"/>
    <n v="69.45"/>
    <n v="4.7"/>
    <n v="100.72"/>
    <n v="105.42"/>
    <m/>
  </r>
  <r>
    <x v="7"/>
    <x v="0"/>
    <n v="2018"/>
    <n v="3"/>
    <s v="Mar"/>
    <x v="22"/>
    <n v="15"/>
    <x v="1"/>
    <n v="2.88"/>
    <n v="7.28"/>
    <n v="1.3"/>
    <n v="0.01"/>
    <n v="11.46"/>
    <n v="11.47"/>
    <m/>
  </r>
  <r>
    <x v="7"/>
    <x v="0"/>
    <n v="2018"/>
    <n v="3"/>
    <s v="Mar"/>
    <x v="23"/>
    <n v="13"/>
    <x v="1"/>
    <n v="2.59"/>
    <n v="5.52"/>
    <n v="3.85"/>
    <n v="0.5"/>
    <n v="11.96"/>
    <n v="12.46"/>
    <m/>
  </r>
  <r>
    <x v="7"/>
    <x v="0"/>
    <n v="2018"/>
    <n v="3"/>
    <s v="Mar"/>
    <x v="24"/>
    <n v="21"/>
    <x v="1"/>
    <n v="391.07"/>
    <n v="515.12"/>
    <n v="559.94000000000005"/>
    <n v="525.30999999999995"/>
    <n v="1466.13"/>
    <n v="1991.44"/>
    <m/>
  </r>
  <r>
    <x v="7"/>
    <x v="0"/>
    <n v="2018"/>
    <n v="3"/>
    <s v="Mar"/>
    <x v="25"/>
    <n v="34"/>
    <x v="0"/>
    <n v="19.64"/>
    <n v="28.03"/>
    <n v="94.94"/>
    <n v="0.92"/>
    <n v="142.61000000000001"/>
    <n v="143.53"/>
    <m/>
  </r>
  <r>
    <x v="7"/>
    <x v="0"/>
    <n v="2018"/>
    <n v="3"/>
    <s v="Mar"/>
    <x v="26"/>
    <n v="3"/>
    <x v="1"/>
    <n v="254.85"/>
    <n v="411.28"/>
    <n v="444.57"/>
    <n v="10.27"/>
    <n v="1110.7"/>
    <n v="1120.97"/>
    <m/>
  </r>
  <r>
    <x v="7"/>
    <x v="0"/>
    <n v="2018"/>
    <n v="3"/>
    <s v="Mar"/>
    <x v="27"/>
    <n v="8"/>
    <x v="1"/>
    <n v="579.32000000000005"/>
    <n v="789.77"/>
    <n v="845.34"/>
    <n v="131.79"/>
    <n v="2214.4299999999998"/>
    <n v="2346.2199999999998"/>
    <m/>
  </r>
  <r>
    <x v="7"/>
    <x v="0"/>
    <n v="2018"/>
    <n v="3"/>
    <s v="Mar"/>
    <x v="28"/>
    <n v="11"/>
    <x v="1"/>
    <n v="8.91"/>
    <n v="16.13"/>
    <n v="119.65"/>
    <n v="0.43"/>
    <n v="144.69"/>
    <n v="145.12"/>
    <m/>
  </r>
  <r>
    <x v="7"/>
    <x v="0"/>
    <n v="2018"/>
    <n v="3"/>
    <s v="Mar"/>
    <x v="29"/>
    <n v="33"/>
    <x v="1"/>
    <n v="1337.21"/>
    <n v="1874.31"/>
    <n v="1761"/>
    <n v="507.11"/>
    <n v="4972.5200000000004"/>
    <n v="5479.63"/>
    <m/>
  </r>
  <r>
    <x v="7"/>
    <x v="0"/>
    <n v="2018"/>
    <n v="3"/>
    <s v="Mar"/>
    <x v="30"/>
    <n v="36"/>
    <x v="1"/>
    <n v="641.98"/>
    <n v="903.54"/>
    <n v="846.66"/>
    <n v="407.19"/>
    <n v="2392.1799999999998"/>
    <n v="2799.37"/>
    <m/>
  </r>
  <r>
    <x v="7"/>
    <x v="0"/>
    <n v="2018"/>
    <n v="3"/>
    <s v="Mar"/>
    <x v="31"/>
    <n v="16"/>
    <x v="1"/>
    <n v="15.22"/>
    <n v="22.74"/>
    <n v="7.31"/>
    <n v="0.15"/>
    <n v="45.27"/>
    <n v="45.42"/>
    <m/>
  </r>
  <r>
    <x v="7"/>
    <x v="0"/>
    <n v="2018"/>
    <n v="3"/>
    <s v="Mar"/>
    <x v="32"/>
    <n v="9"/>
    <x v="1"/>
    <n v="989.8"/>
    <n v="1515.66"/>
    <n v="1338.53"/>
    <n v="939.08"/>
    <n v="3843.99"/>
    <n v="4783.07"/>
    <m/>
  </r>
  <r>
    <x v="7"/>
    <x v="0"/>
    <n v="2018"/>
    <n v="3"/>
    <s v="Mar"/>
    <x v="33"/>
    <n v="5"/>
    <x v="1"/>
    <n v="162.29"/>
    <n v="303.39999999999998"/>
    <n v="777.71"/>
    <n v="21.04"/>
    <n v="1243.4000000000001"/>
    <n v="1264.44"/>
    <m/>
  </r>
  <r>
    <x v="7"/>
    <x v="0"/>
    <n v="2018"/>
    <n v="3"/>
    <s v="Mar"/>
    <x v="34"/>
    <n v="19"/>
    <x v="1"/>
    <n v="1199.19"/>
    <n v="1494.35"/>
    <n v="765.23"/>
    <n v="297.05"/>
    <n v="3458.77"/>
    <n v="3755.82"/>
    <m/>
  </r>
  <r>
    <x v="8"/>
    <x v="1"/>
    <n v="2018"/>
    <n v="4"/>
    <s v="Apr"/>
    <x v="0"/>
    <n v="35"/>
    <x v="0"/>
    <n v="21.27"/>
    <n v="27.06"/>
    <n v="1.69"/>
    <n v="0.03"/>
    <n v="50.02"/>
    <n v="50.05"/>
    <m/>
  </r>
  <r>
    <x v="8"/>
    <x v="1"/>
    <n v="2018"/>
    <n v="4"/>
    <s v="Apr"/>
    <x v="1"/>
    <n v="28"/>
    <x v="1"/>
    <n v="529.42999999999995"/>
    <n v="812.46"/>
    <n v="883.39"/>
    <n v="25.89"/>
    <n v="2225.2800000000002"/>
    <n v="2251.17"/>
    <m/>
  </r>
  <r>
    <x v="8"/>
    <x v="1"/>
    <n v="2018"/>
    <n v="4"/>
    <s v="Apr"/>
    <x v="2"/>
    <n v="12"/>
    <x v="1"/>
    <n v="12.86"/>
    <n v="16.53"/>
    <n v="3.24"/>
    <n v="0.52"/>
    <n v="32.630000000000003"/>
    <n v="33.15"/>
    <m/>
  </r>
  <r>
    <x v="8"/>
    <x v="1"/>
    <n v="2018"/>
    <n v="4"/>
    <s v="Apr"/>
    <x v="3"/>
    <n v="18"/>
    <x v="1"/>
    <n v="172.48"/>
    <n v="276.88"/>
    <n v="176.89"/>
    <n v="52.97"/>
    <n v="626.25"/>
    <n v="679.22"/>
    <m/>
  </r>
  <r>
    <x v="8"/>
    <x v="1"/>
    <n v="2018"/>
    <n v="4"/>
    <s v="Apr"/>
    <x v="4"/>
    <n v="10"/>
    <x v="1"/>
    <n v="205.91"/>
    <n v="425.05"/>
    <n v="108.9"/>
    <n v="173.69"/>
    <n v="739.86"/>
    <n v="913.55"/>
    <m/>
  </r>
  <r>
    <x v="8"/>
    <x v="1"/>
    <n v="2018"/>
    <n v="4"/>
    <s v="Apr"/>
    <x v="5"/>
    <n v="4"/>
    <x v="0"/>
    <n v="33.67"/>
    <n v="46.39"/>
    <n v="101.44"/>
    <n v="0.23"/>
    <n v="181.5"/>
    <n v="181.73"/>
    <m/>
  </r>
  <r>
    <x v="8"/>
    <x v="1"/>
    <n v="2018"/>
    <n v="4"/>
    <s v="Apr"/>
    <x v="6"/>
    <n v="22"/>
    <x v="1"/>
    <n v="338.43"/>
    <n v="415.64"/>
    <n v="633.35"/>
    <n v="502.24"/>
    <n v="1387.42"/>
    <n v="1889.66"/>
    <m/>
  </r>
  <r>
    <x v="8"/>
    <x v="1"/>
    <n v="2018"/>
    <n v="4"/>
    <s v="Apr"/>
    <x v="7"/>
    <n v="38"/>
    <x v="0"/>
    <n v="28.75"/>
    <n v="41.26"/>
    <n v="187.56"/>
    <n v="0.14000000000000001"/>
    <n v="257.57"/>
    <n v="257.70999999999998"/>
    <m/>
  </r>
  <r>
    <x v="8"/>
    <x v="1"/>
    <n v="2018"/>
    <n v="4"/>
    <s v="Apr"/>
    <x v="8"/>
    <n v="7"/>
    <x v="0"/>
    <n v="1104.77"/>
    <n v="1331.57"/>
    <n v="1682.85"/>
    <n v="78.81"/>
    <n v="4119.1899999999996"/>
    <n v="4198"/>
    <m/>
  </r>
  <r>
    <x v="8"/>
    <x v="1"/>
    <n v="2018"/>
    <n v="4"/>
    <s v="Apr"/>
    <x v="9"/>
    <n v="30"/>
    <x v="1"/>
    <n v="89.39"/>
    <n v="122.13"/>
    <n v="137.47"/>
    <n v="3.48"/>
    <n v="348.99"/>
    <n v="352.47"/>
    <m/>
  </r>
  <r>
    <x v="8"/>
    <x v="1"/>
    <n v="2018"/>
    <n v="4"/>
    <s v="Apr"/>
    <x v="10"/>
    <n v="24"/>
    <x v="1"/>
    <n v="1701.28"/>
    <n v="2133.4"/>
    <n v="2190.0500000000002"/>
    <n v="303.89999999999998"/>
    <n v="6024.73"/>
    <n v="6328.63"/>
    <m/>
  </r>
  <r>
    <x v="8"/>
    <x v="1"/>
    <n v="2018"/>
    <n v="4"/>
    <s v="Apr"/>
    <x v="11"/>
    <n v="6"/>
    <x v="1"/>
    <n v="713.35"/>
    <n v="1100.32"/>
    <n v="2982.04"/>
    <n v="334.22"/>
    <n v="4795.71"/>
    <n v="5129.93"/>
    <m/>
  </r>
  <r>
    <x v="8"/>
    <x v="1"/>
    <n v="2018"/>
    <n v="4"/>
    <s v="Apr"/>
    <x v="12"/>
    <n v="2"/>
    <x v="1"/>
    <n v="88.97"/>
    <n v="135.99"/>
    <n v="420.82"/>
    <n v="1.48"/>
    <n v="645.78"/>
    <n v="647.26"/>
    <m/>
  </r>
  <r>
    <x v="8"/>
    <x v="1"/>
    <n v="2018"/>
    <n v="4"/>
    <s v="Apr"/>
    <x v="13"/>
    <n v="1"/>
    <x v="0"/>
    <n v="115.22"/>
    <n v="179.62"/>
    <n v="73.98"/>
    <n v="3.24"/>
    <n v="368.82"/>
    <n v="372.06"/>
    <m/>
  </r>
  <r>
    <x v="8"/>
    <x v="1"/>
    <n v="2018"/>
    <n v="4"/>
    <s v="Apr"/>
    <x v="14"/>
    <n v="20"/>
    <x v="1"/>
    <n v="348.7"/>
    <n v="489.66"/>
    <n v="1045.3499999999999"/>
    <n v="504.82"/>
    <n v="1883.71"/>
    <n v="2388.5300000000002"/>
    <m/>
  </r>
  <r>
    <x v="8"/>
    <x v="1"/>
    <n v="2018"/>
    <n v="4"/>
    <s v="Apr"/>
    <x v="15"/>
    <n v="29"/>
    <x v="1"/>
    <n v="1608.18"/>
    <n v="2192.4299999999998"/>
    <n v="2640.19"/>
    <n v="906.45"/>
    <n v="6440.8"/>
    <n v="7347.25"/>
    <m/>
  </r>
  <r>
    <x v="8"/>
    <x v="1"/>
    <n v="2018"/>
    <n v="4"/>
    <s v="Apr"/>
    <x v="16"/>
    <n v="32"/>
    <x v="1"/>
    <n v="457.51"/>
    <n v="702.07"/>
    <n v="232.56"/>
    <n v="4.0199999999999996"/>
    <n v="1392.14"/>
    <n v="1396.16"/>
    <m/>
  </r>
  <r>
    <x v="8"/>
    <x v="1"/>
    <n v="2018"/>
    <n v="4"/>
    <s v="Apr"/>
    <x v="17"/>
    <n v="31"/>
    <x v="0"/>
    <n v="1.17"/>
    <n v="1.26"/>
    <n v="0.09"/>
    <n v="0"/>
    <n v="2.52"/>
    <n v="2.52"/>
    <m/>
  </r>
  <r>
    <x v="8"/>
    <x v="1"/>
    <n v="2018"/>
    <n v="4"/>
    <s v="Apr"/>
    <x v="18"/>
    <n v="23"/>
    <x v="1"/>
    <n v="525.89"/>
    <n v="717.05"/>
    <n v="646.84"/>
    <n v="454.56"/>
    <n v="1889.78"/>
    <n v="2344.34"/>
    <m/>
  </r>
  <r>
    <x v="8"/>
    <x v="1"/>
    <n v="2018"/>
    <n v="4"/>
    <s v="Apr"/>
    <x v="19"/>
    <n v="27"/>
    <x v="1"/>
    <n v="4254.07"/>
    <n v="5382.56"/>
    <n v="5963.59"/>
    <n v="1125.6300000000001"/>
    <n v="15600.22"/>
    <n v="16725.849999999999"/>
    <m/>
  </r>
  <r>
    <x v="8"/>
    <x v="1"/>
    <n v="2018"/>
    <n v="4"/>
    <s v="Apr"/>
    <x v="20"/>
    <n v="14"/>
    <x v="1"/>
    <n v="13.9"/>
    <n v="18.420000000000002"/>
    <n v="1.49"/>
    <n v="0.03"/>
    <n v="33.81"/>
    <n v="33.840000000000003"/>
    <m/>
  </r>
  <r>
    <x v="8"/>
    <x v="1"/>
    <n v="2018"/>
    <n v="4"/>
    <s v="Apr"/>
    <x v="21"/>
    <n v="17"/>
    <x v="1"/>
    <n v="23.66"/>
    <n v="32.799999999999997"/>
    <n v="92.31"/>
    <n v="3.64"/>
    <n v="148.77000000000001"/>
    <n v="152.41"/>
    <m/>
  </r>
  <r>
    <x v="8"/>
    <x v="1"/>
    <n v="2018"/>
    <n v="4"/>
    <s v="Apr"/>
    <x v="22"/>
    <n v="15"/>
    <x v="1"/>
    <n v="5.88"/>
    <n v="9.41"/>
    <n v="1.96"/>
    <n v="0.04"/>
    <n v="17.25"/>
    <n v="17.29"/>
    <m/>
  </r>
  <r>
    <x v="8"/>
    <x v="1"/>
    <n v="2018"/>
    <n v="4"/>
    <s v="Apr"/>
    <x v="23"/>
    <n v="13"/>
    <x v="1"/>
    <n v="4.43"/>
    <n v="7.24"/>
    <n v="5.12"/>
    <n v="0.17"/>
    <n v="16.79"/>
    <n v="16.96"/>
    <m/>
  </r>
  <r>
    <x v="8"/>
    <x v="1"/>
    <n v="2018"/>
    <n v="4"/>
    <s v="Apr"/>
    <x v="24"/>
    <n v="21"/>
    <x v="1"/>
    <n v="448.98"/>
    <n v="639.24"/>
    <n v="495.94"/>
    <n v="583.64"/>
    <n v="1584.16"/>
    <n v="2167.8000000000002"/>
    <m/>
  </r>
  <r>
    <x v="8"/>
    <x v="1"/>
    <n v="2018"/>
    <n v="4"/>
    <s v="Apr"/>
    <x v="25"/>
    <n v="34"/>
    <x v="0"/>
    <n v="20.67"/>
    <n v="31.38"/>
    <n v="117.98"/>
    <n v="0.22"/>
    <n v="170.03"/>
    <n v="170.25"/>
    <m/>
  </r>
  <r>
    <x v="8"/>
    <x v="1"/>
    <n v="2018"/>
    <n v="4"/>
    <s v="Apr"/>
    <x v="26"/>
    <n v="3"/>
    <x v="1"/>
    <n v="310.48"/>
    <n v="498.58"/>
    <n v="432.34"/>
    <n v="17"/>
    <n v="1241.4000000000001"/>
    <n v="1258.4000000000001"/>
    <m/>
  </r>
  <r>
    <x v="8"/>
    <x v="1"/>
    <n v="2018"/>
    <n v="4"/>
    <s v="Apr"/>
    <x v="27"/>
    <n v="8"/>
    <x v="1"/>
    <n v="659.25"/>
    <n v="903.88"/>
    <n v="903.75"/>
    <n v="141.83000000000001"/>
    <n v="2466.88"/>
    <n v="2608.71"/>
    <m/>
  </r>
  <r>
    <x v="8"/>
    <x v="1"/>
    <n v="2018"/>
    <n v="4"/>
    <s v="Apr"/>
    <x v="28"/>
    <n v="11"/>
    <x v="1"/>
    <n v="11.58"/>
    <n v="15.74"/>
    <n v="123.22"/>
    <n v="0"/>
    <n v="150.54"/>
    <n v="150.54"/>
    <m/>
  </r>
  <r>
    <x v="8"/>
    <x v="1"/>
    <n v="2018"/>
    <n v="4"/>
    <s v="Apr"/>
    <x v="29"/>
    <n v="33"/>
    <x v="1"/>
    <n v="1499.28"/>
    <n v="2096.08"/>
    <n v="2395.6"/>
    <n v="674.98"/>
    <n v="5990.96"/>
    <n v="6665.94"/>
    <m/>
  </r>
  <r>
    <x v="8"/>
    <x v="1"/>
    <n v="2018"/>
    <n v="4"/>
    <s v="Apr"/>
    <x v="30"/>
    <n v="36"/>
    <x v="1"/>
    <n v="715.3"/>
    <n v="1021.27"/>
    <n v="1127.47"/>
    <n v="513.64"/>
    <n v="2864.04"/>
    <n v="3377.68"/>
    <m/>
  </r>
  <r>
    <x v="8"/>
    <x v="1"/>
    <n v="2018"/>
    <n v="4"/>
    <s v="Apr"/>
    <x v="31"/>
    <n v="16"/>
    <x v="1"/>
    <n v="16.95"/>
    <n v="25.48"/>
    <n v="3.22"/>
    <n v="0.06"/>
    <n v="45.65"/>
    <n v="45.71"/>
    <m/>
  </r>
  <r>
    <x v="8"/>
    <x v="1"/>
    <n v="2018"/>
    <n v="4"/>
    <s v="Apr"/>
    <x v="32"/>
    <n v="9"/>
    <x v="1"/>
    <n v="1330.07"/>
    <n v="2115.0700000000002"/>
    <n v="1545.28"/>
    <n v="1029.82"/>
    <n v="4990.42"/>
    <n v="6020.24"/>
    <m/>
  </r>
  <r>
    <x v="8"/>
    <x v="1"/>
    <n v="2018"/>
    <n v="4"/>
    <s v="Apr"/>
    <x v="33"/>
    <n v="5"/>
    <x v="1"/>
    <n v="211.48"/>
    <n v="355.83"/>
    <n v="924.75"/>
    <n v="22.56"/>
    <n v="1492.06"/>
    <n v="1514.62"/>
    <m/>
  </r>
  <r>
    <x v="8"/>
    <x v="1"/>
    <n v="2018"/>
    <n v="4"/>
    <s v="Apr"/>
    <x v="34"/>
    <n v="19"/>
    <x v="1"/>
    <n v="1017.02"/>
    <n v="1359.81"/>
    <n v="925.64"/>
    <n v="388.16"/>
    <n v="3302.47"/>
    <n v="3690.63"/>
    <m/>
  </r>
  <r>
    <x v="9"/>
    <x v="1"/>
    <n v="2018"/>
    <n v="5"/>
    <s v="May"/>
    <x v="0"/>
    <n v="35"/>
    <x v="0"/>
    <n v="5.6"/>
    <n v="8.6300000000000008"/>
    <n v="1.96"/>
    <n v="0.03"/>
    <n v="16.190000000000001"/>
    <n v="16.22"/>
    <m/>
  </r>
  <r>
    <x v="9"/>
    <x v="1"/>
    <n v="2018"/>
    <n v="5"/>
    <s v="May"/>
    <x v="1"/>
    <n v="28"/>
    <x v="1"/>
    <n v="488.45"/>
    <n v="689.92"/>
    <n v="762.84"/>
    <n v="20.87"/>
    <n v="1941.21"/>
    <n v="1962.08"/>
    <m/>
  </r>
  <r>
    <x v="9"/>
    <x v="1"/>
    <n v="2018"/>
    <n v="5"/>
    <s v="May"/>
    <x v="2"/>
    <n v="12"/>
    <x v="1"/>
    <n v="9.77"/>
    <n v="15.39"/>
    <n v="4.4800000000000004"/>
    <n v="0.01"/>
    <n v="29.64"/>
    <n v="29.65"/>
    <m/>
  </r>
  <r>
    <x v="9"/>
    <x v="1"/>
    <n v="2018"/>
    <n v="5"/>
    <s v="May"/>
    <x v="3"/>
    <n v="18"/>
    <x v="1"/>
    <n v="314.07"/>
    <n v="399.25"/>
    <n v="185.11"/>
    <n v="25.97"/>
    <n v="898.43"/>
    <n v="924.4"/>
    <m/>
  </r>
  <r>
    <x v="9"/>
    <x v="1"/>
    <n v="2018"/>
    <n v="5"/>
    <s v="May"/>
    <x v="4"/>
    <n v="10"/>
    <x v="1"/>
    <n v="167.85"/>
    <n v="335.01"/>
    <n v="119.73"/>
    <n v="116.8"/>
    <n v="622.59"/>
    <n v="739.39"/>
    <m/>
  </r>
  <r>
    <x v="9"/>
    <x v="1"/>
    <n v="2018"/>
    <n v="5"/>
    <s v="May"/>
    <x v="5"/>
    <n v="4"/>
    <x v="0"/>
    <n v="26.89"/>
    <n v="36.46"/>
    <n v="68.8"/>
    <n v="7.0000000000000007E-2"/>
    <n v="132.15"/>
    <n v="132.22"/>
    <m/>
  </r>
  <r>
    <x v="9"/>
    <x v="1"/>
    <n v="2018"/>
    <n v="5"/>
    <s v="May"/>
    <x v="6"/>
    <n v="22"/>
    <x v="1"/>
    <n v="299.94"/>
    <n v="378.1"/>
    <n v="662.44"/>
    <n v="529.11"/>
    <n v="1340.48"/>
    <n v="1869.59"/>
    <m/>
  </r>
  <r>
    <x v="9"/>
    <x v="1"/>
    <n v="2018"/>
    <n v="5"/>
    <s v="May"/>
    <x v="7"/>
    <n v="38"/>
    <x v="0"/>
    <n v="20.57"/>
    <n v="29.54"/>
    <n v="169.47"/>
    <n v="0.06"/>
    <n v="219.58"/>
    <n v="219.64"/>
    <m/>
  </r>
  <r>
    <x v="9"/>
    <x v="1"/>
    <n v="2018"/>
    <n v="5"/>
    <s v="May"/>
    <x v="8"/>
    <n v="7"/>
    <x v="0"/>
    <n v="631.29"/>
    <n v="797.35"/>
    <n v="1402.19"/>
    <n v="84.07"/>
    <n v="2830.83"/>
    <n v="2914.9"/>
    <m/>
  </r>
  <r>
    <x v="9"/>
    <x v="1"/>
    <n v="2018"/>
    <n v="5"/>
    <s v="May"/>
    <x v="9"/>
    <n v="30"/>
    <x v="1"/>
    <n v="78.8"/>
    <n v="106.46"/>
    <n v="129.47999999999999"/>
    <n v="2.79"/>
    <n v="314.74"/>
    <n v="317.52999999999997"/>
    <m/>
  </r>
  <r>
    <x v="9"/>
    <x v="1"/>
    <n v="2018"/>
    <n v="5"/>
    <s v="May"/>
    <x v="10"/>
    <n v="24"/>
    <x v="1"/>
    <n v="1726.58"/>
    <n v="2177.27"/>
    <n v="2016.55"/>
    <n v="341.56"/>
    <n v="5920.4"/>
    <n v="6261.96"/>
    <m/>
  </r>
  <r>
    <x v="9"/>
    <x v="1"/>
    <n v="2018"/>
    <n v="5"/>
    <s v="May"/>
    <x v="11"/>
    <n v="6"/>
    <x v="1"/>
    <n v="690.59"/>
    <n v="1015.29"/>
    <n v="2515.98"/>
    <n v="351.88"/>
    <n v="4221.8599999999997"/>
    <n v="4573.74"/>
    <m/>
  </r>
  <r>
    <x v="9"/>
    <x v="1"/>
    <n v="2018"/>
    <n v="5"/>
    <s v="May"/>
    <x v="12"/>
    <n v="2"/>
    <x v="1"/>
    <n v="74.38"/>
    <n v="116.83"/>
    <n v="453.85"/>
    <n v="1.05"/>
    <n v="645.05999999999995"/>
    <n v="646.11"/>
    <m/>
  </r>
  <r>
    <x v="9"/>
    <x v="1"/>
    <n v="2018"/>
    <n v="5"/>
    <s v="May"/>
    <x v="13"/>
    <n v="1"/>
    <x v="0"/>
    <n v="70.599999999999994"/>
    <n v="119.22"/>
    <n v="72.760000000000005"/>
    <n v="4.37"/>
    <n v="262.58"/>
    <n v="266.95"/>
    <m/>
  </r>
  <r>
    <x v="9"/>
    <x v="1"/>
    <n v="2018"/>
    <n v="5"/>
    <s v="May"/>
    <x v="14"/>
    <n v="20"/>
    <x v="1"/>
    <n v="251.29"/>
    <n v="358.41"/>
    <n v="893.7"/>
    <n v="454.38"/>
    <n v="1503.4"/>
    <n v="1957.78"/>
    <m/>
  </r>
  <r>
    <x v="9"/>
    <x v="1"/>
    <n v="2018"/>
    <n v="5"/>
    <s v="May"/>
    <x v="15"/>
    <n v="29"/>
    <x v="1"/>
    <n v="1260"/>
    <n v="1691.95"/>
    <n v="2102.0500000000002"/>
    <n v="698.12"/>
    <n v="5054"/>
    <n v="5752.12"/>
    <m/>
  </r>
  <r>
    <x v="9"/>
    <x v="1"/>
    <n v="2018"/>
    <n v="5"/>
    <s v="May"/>
    <x v="16"/>
    <n v="32"/>
    <x v="1"/>
    <n v="419.93"/>
    <n v="658.95"/>
    <n v="216.05"/>
    <n v="5.47"/>
    <n v="1294.93"/>
    <n v="1300.4000000000001"/>
    <m/>
  </r>
  <r>
    <x v="9"/>
    <x v="1"/>
    <n v="2018"/>
    <n v="5"/>
    <s v="May"/>
    <x v="17"/>
    <n v="31"/>
    <x v="0"/>
    <n v="0.06"/>
    <n v="0.06"/>
    <n v="0.02"/>
    <n v="0"/>
    <n v="0.14000000000000001"/>
    <n v="0.14000000000000001"/>
    <m/>
  </r>
  <r>
    <x v="9"/>
    <x v="1"/>
    <n v="2018"/>
    <n v="5"/>
    <s v="May"/>
    <x v="18"/>
    <n v="23"/>
    <x v="1"/>
    <n v="383.89"/>
    <n v="555.28"/>
    <n v="527.63"/>
    <n v="396.84"/>
    <n v="1466.8"/>
    <n v="1863.64"/>
    <m/>
  </r>
  <r>
    <x v="9"/>
    <x v="1"/>
    <n v="2018"/>
    <n v="5"/>
    <s v="May"/>
    <x v="19"/>
    <n v="27"/>
    <x v="1"/>
    <n v="3684.41"/>
    <n v="4606"/>
    <n v="3960.49"/>
    <n v="796.5"/>
    <n v="12250.9"/>
    <n v="13047.4"/>
    <m/>
  </r>
  <r>
    <x v="9"/>
    <x v="1"/>
    <n v="2018"/>
    <n v="5"/>
    <s v="May"/>
    <x v="20"/>
    <n v="14"/>
    <x v="1"/>
    <n v="5.26"/>
    <n v="9.2799999999999994"/>
    <n v="1.95"/>
    <n v="0.17"/>
    <n v="16.489999999999998"/>
    <n v="16.66"/>
    <m/>
  </r>
  <r>
    <x v="9"/>
    <x v="1"/>
    <n v="2018"/>
    <n v="5"/>
    <s v="May"/>
    <x v="21"/>
    <n v="17"/>
    <x v="1"/>
    <n v="13.72"/>
    <n v="19.920000000000002"/>
    <n v="89.94"/>
    <n v="3.02"/>
    <n v="123.58"/>
    <n v="126.6"/>
    <m/>
  </r>
  <r>
    <x v="9"/>
    <x v="1"/>
    <n v="2018"/>
    <n v="5"/>
    <s v="May"/>
    <x v="22"/>
    <n v="15"/>
    <x v="1"/>
    <n v="3.15"/>
    <n v="6.47"/>
    <n v="4.1399999999999997"/>
    <n v="0"/>
    <n v="13.76"/>
    <n v="13.76"/>
    <m/>
  </r>
  <r>
    <x v="9"/>
    <x v="1"/>
    <n v="2018"/>
    <n v="5"/>
    <s v="May"/>
    <x v="23"/>
    <n v="13"/>
    <x v="1"/>
    <n v="3.14"/>
    <n v="5.98"/>
    <n v="3.99"/>
    <n v="0.32"/>
    <n v="13.11"/>
    <n v="13.43"/>
    <m/>
  </r>
  <r>
    <x v="9"/>
    <x v="1"/>
    <n v="2018"/>
    <n v="5"/>
    <s v="May"/>
    <x v="24"/>
    <n v="21"/>
    <x v="1"/>
    <n v="360.08"/>
    <n v="499.24"/>
    <n v="637.63"/>
    <n v="395.01"/>
    <n v="1496.95"/>
    <n v="1891.96"/>
    <m/>
  </r>
  <r>
    <x v="9"/>
    <x v="1"/>
    <n v="2018"/>
    <n v="5"/>
    <s v="May"/>
    <x v="25"/>
    <n v="34"/>
    <x v="0"/>
    <n v="18.21"/>
    <n v="26.94"/>
    <n v="110.19"/>
    <n v="0.16"/>
    <n v="155.34"/>
    <n v="155.5"/>
    <m/>
  </r>
  <r>
    <x v="9"/>
    <x v="1"/>
    <n v="2018"/>
    <n v="5"/>
    <s v="May"/>
    <x v="26"/>
    <n v="3"/>
    <x v="1"/>
    <n v="237.85"/>
    <n v="397.4"/>
    <n v="487.8"/>
    <n v="16.260000000000002"/>
    <n v="1123.05"/>
    <n v="1139.31"/>
    <m/>
  </r>
  <r>
    <x v="9"/>
    <x v="1"/>
    <n v="2018"/>
    <n v="5"/>
    <s v="May"/>
    <x v="27"/>
    <n v="8"/>
    <x v="1"/>
    <n v="637.39"/>
    <n v="848.79"/>
    <n v="873.4"/>
    <n v="132.91999999999999"/>
    <n v="2359.58"/>
    <n v="2492.5"/>
    <m/>
  </r>
  <r>
    <x v="9"/>
    <x v="1"/>
    <n v="2018"/>
    <n v="5"/>
    <s v="May"/>
    <x v="28"/>
    <n v="11"/>
    <x v="1"/>
    <n v="9.94"/>
    <n v="13.55"/>
    <n v="143.15"/>
    <n v="0.66"/>
    <n v="166.64"/>
    <n v="167.3"/>
    <m/>
  </r>
  <r>
    <x v="9"/>
    <x v="1"/>
    <n v="2018"/>
    <n v="5"/>
    <s v="May"/>
    <x v="29"/>
    <n v="33"/>
    <x v="1"/>
    <n v="1388.18"/>
    <n v="1927.11"/>
    <n v="1682.28"/>
    <n v="491.02"/>
    <n v="4997.57"/>
    <n v="5488.59"/>
    <m/>
  </r>
  <r>
    <x v="9"/>
    <x v="1"/>
    <n v="2018"/>
    <n v="5"/>
    <s v="May"/>
    <x v="30"/>
    <n v="36"/>
    <x v="1"/>
    <n v="547.29999999999995"/>
    <n v="806.81"/>
    <n v="790.83"/>
    <n v="474.12"/>
    <n v="2144.94"/>
    <n v="2619.06"/>
    <m/>
  </r>
  <r>
    <x v="9"/>
    <x v="1"/>
    <n v="2018"/>
    <n v="5"/>
    <s v="May"/>
    <x v="31"/>
    <n v="16"/>
    <x v="1"/>
    <n v="16.899999999999999"/>
    <n v="25.84"/>
    <n v="2.68"/>
    <n v="0.24"/>
    <n v="45.42"/>
    <n v="45.66"/>
    <m/>
  </r>
  <r>
    <x v="9"/>
    <x v="1"/>
    <n v="2018"/>
    <n v="5"/>
    <s v="May"/>
    <x v="32"/>
    <n v="9"/>
    <x v="1"/>
    <n v="971.73"/>
    <n v="1502.79"/>
    <n v="1302.46"/>
    <n v="838.84"/>
    <n v="3776.98"/>
    <n v="4615.82"/>
    <m/>
  </r>
  <r>
    <x v="9"/>
    <x v="1"/>
    <n v="2018"/>
    <n v="5"/>
    <s v="May"/>
    <x v="33"/>
    <n v="5"/>
    <x v="1"/>
    <n v="160.37"/>
    <n v="303.98"/>
    <n v="761.5"/>
    <n v="20.84"/>
    <n v="1225.8499999999999"/>
    <n v="1246.69"/>
    <m/>
  </r>
  <r>
    <x v="9"/>
    <x v="1"/>
    <n v="2018"/>
    <n v="5"/>
    <s v="May"/>
    <x v="34"/>
    <n v="19"/>
    <x v="1"/>
    <n v="869.32"/>
    <n v="1171.3"/>
    <n v="786.37"/>
    <n v="281.39999999999998"/>
    <n v="2826.99"/>
    <n v="3108.39"/>
    <m/>
  </r>
  <r>
    <x v="10"/>
    <x v="1"/>
    <n v="2018"/>
    <n v="6"/>
    <s v="Jun"/>
    <x v="0"/>
    <n v="35"/>
    <x v="0"/>
    <n v="11.29"/>
    <n v="13.87"/>
    <n v="2.4700000000000002"/>
    <n v="0.06"/>
    <n v="27.63"/>
    <n v="27.69"/>
    <m/>
  </r>
  <r>
    <x v="10"/>
    <x v="1"/>
    <n v="2018"/>
    <n v="6"/>
    <s v="Jun"/>
    <x v="1"/>
    <n v="28"/>
    <x v="1"/>
    <n v="460.33"/>
    <n v="668.17"/>
    <n v="780.49"/>
    <n v="26.61"/>
    <n v="1908.99"/>
    <n v="1935.6"/>
    <m/>
  </r>
  <r>
    <x v="10"/>
    <x v="1"/>
    <n v="2018"/>
    <n v="6"/>
    <s v="Jun"/>
    <x v="2"/>
    <n v="12"/>
    <x v="1"/>
    <n v="9.32"/>
    <n v="13.54"/>
    <n v="3.95"/>
    <n v="0.01"/>
    <n v="26.81"/>
    <n v="26.82"/>
    <m/>
  </r>
  <r>
    <x v="10"/>
    <x v="1"/>
    <n v="2018"/>
    <n v="6"/>
    <s v="Jun"/>
    <x v="3"/>
    <n v="18"/>
    <x v="1"/>
    <n v="171.54"/>
    <n v="250.27"/>
    <n v="195.99"/>
    <n v="44.86"/>
    <n v="617.79999999999995"/>
    <n v="662.66"/>
    <m/>
  </r>
  <r>
    <x v="10"/>
    <x v="1"/>
    <n v="2018"/>
    <n v="6"/>
    <s v="Jun"/>
    <x v="4"/>
    <n v="10"/>
    <x v="1"/>
    <n v="178.75"/>
    <n v="365.74"/>
    <n v="87.86"/>
    <n v="128.78"/>
    <n v="632.35"/>
    <n v="761.13"/>
    <m/>
  </r>
  <r>
    <x v="10"/>
    <x v="1"/>
    <n v="2018"/>
    <n v="6"/>
    <s v="Jun"/>
    <x v="5"/>
    <n v="4"/>
    <x v="0"/>
    <n v="25.54"/>
    <n v="39.69"/>
    <n v="70.78"/>
    <n v="0.39"/>
    <n v="136.01"/>
    <n v="136.4"/>
    <m/>
  </r>
  <r>
    <x v="10"/>
    <x v="1"/>
    <n v="2018"/>
    <n v="6"/>
    <s v="Jun"/>
    <x v="6"/>
    <n v="22"/>
    <x v="1"/>
    <n v="303.48"/>
    <n v="383.21"/>
    <n v="693.19"/>
    <n v="521.86"/>
    <n v="1379.88"/>
    <n v="1901.74"/>
    <m/>
  </r>
  <r>
    <x v="10"/>
    <x v="1"/>
    <n v="2018"/>
    <n v="6"/>
    <s v="Jun"/>
    <x v="7"/>
    <n v="38"/>
    <x v="0"/>
    <n v="22.48"/>
    <n v="34.520000000000003"/>
    <n v="158.16"/>
    <n v="0.03"/>
    <n v="215.16"/>
    <n v="215.19"/>
    <m/>
  </r>
  <r>
    <x v="10"/>
    <x v="1"/>
    <n v="2018"/>
    <n v="6"/>
    <s v="Jun"/>
    <x v="8"/>
    <n v="7"/>
    <x v="0"/>
    <n v="619.82000000000005"/>
    <n v="795.19"/>
    <n v="1601.91"/>
    <n v="86.36"/>
    <n v="3016.92"/>
    <n v="3103.28"/>
    <m/>
  </r>
  <r>
    <x v="10"/>
    <x v="1"/>
    <n v="2018"/>
    <n v="6"/>
    <s v="Jun"/>
    <x v="9"/>
    <n v="30"/>
    <x v="1"/>
    <n v="83.28"/>
    <n v="113.49"/>
    <n v="135.33000000000001"/>
    <n v="3.15"/>
    <n v="332.1"/>
    <n v="335.25"/>
    <m/>
  </r>
  <r>
    <x v="10"/>
    <x v="1"/>
    <n v="2018"/>
    <n v="6"/>
    <s v="Jun"/>
    <x v="10"/>
    <n v="24"/>
    <x v="1"/>
    <n v="1634.99"/>
    <n v="2075.4899999999998"/>
    <n v="2251.42"/>
    <n v="400.6"/>
    <n v="5961.9"/>
    <n v="6362.5"/>
    <m/>
  </r>
  <r>
    <x v="10"/>
    <x v="1"/>
    <n v="2018"/>
    <n v="6"/>
    <s v="Jun"/>
    <x v="11"/>
    <n v="6"/>
    <x v="1"/>
    <n v="709.28"/>
    <n v="1090.6600000000001"/>
    <n v="2436.5300000000002"/>
    <n v="398.01"/>
    <n v="4236.47"/>
    <n v="4634.4799999999996"/>
    <m/>
  </r>
  <r>
    <x v="10"/>
    <x v="1"/>
    <n v="2018"/>
    <n v="6"/>
    <s v="Jun"/>
    <x v="12"/>
    <n v="2"/>
    <x v="1"/>
    <n v="81.19"/>
    <n v="128.47"/>
    <n v="430.16"/>
    <n v="1.44"/>
    <n v="639.82000000000005"/>
    <n v="641.26"/>
    <m/>
  </r>
  <r>
    <x v="10"/>
    <x v="1"/>
    <n v="2018"/>
    <n v="6"/>
    <s v="Jun"/>
    <x v="13"/>
    <n v="1"/>
    <x v="0"/>
    <n v="70.739999999999995"/>
    <n v="119.02"/>
    <n v="72.19"/>
    <n v="4.17"/>
    <n v="261.95"/>
    <n v="266.12"/>
    <m/>
  </r>
  <r>
    <x v="10"/>
    <x v="1"/>
    <n v="2018"/>
    <n v="6"/>
    <s v="Jun"/>
    <x v="14"/>
    <n v="20"/>
    <x v="1"/>
    <n v="273.36"/>
    <n v="385.05"/>
    <n v="849.82"/>
    <n v="470.87"/>
    <n v="1508.23"/>
    <n v="1979.1"/>
    <m/>
  </r>
  <r>
    <x v="10"/>
    <x v="1"/>
    <n v="2018"/>
    <n v="6"/>
    <s v="Jun"/>
    <x v="15"/>
    <n v="29"/>
    <x v="1"/>
    <n v="1317.79"/>
    <n v="1771.66"/>
    <n v="2285.64"/>
    <n v="868.72"/>
    <n v="5375.09"/>
    <n v="6243.81"/>
    <m/>
  </r>
  <r>
    <x v="10"/>
    <x v="1"/>
    <n v="2018"/>
    <n v="6"/>
    <s v="Jun"/>
    <x v="16"/>
    <n v="32"/>
    <x v="1"/>
    <n v="426.52"/>
    <n v="683.9"/>
    <n v="190"/>
    <n v="5.59"/>
    <n v="1300.42"/>
    <n v="1306.01"/>
    <m/>
  </r>
  <r>
    <x v="10"/>
    <x v="1"/>
    <n v="2018"/>
    <n v="6"/>
    <s v="Jun"/>
    <x v="17"/>
    <n v="31"/>
    <x v="0"/>
    <n v="3.09"/>
    <n v="3.13"/>
    <n v="0.13"/>
    <n v="0"/>
    <n v="6.35"/>
    <n v="6.35"/>
    <m/>
  </r>
  <r>
    <x v="10"/>
    <x v="1"/>
    <n v="2018"/>
    <n v="6"/>
    <s v="Jun"/>
    <x v="18"/>
    <n v="23"/>
    <x v="1"/>
    <n v="418.54"/>
    <n v="609.99"/>
    <n v="543.58000000000004"/>
    <n v="432.46"/>
    <n v="1572.11"/>
    <n v="2004.57"/>
    <m/>
  </r>
  <r>
    <x v="10"/>
    <x v="1"/>
    <n v="2018"/>
    <n v="6"/>
    <s v="Jun"/>
    <x v="19"/>
    <n v="27"/>
    <x v="1"/>
    <n v="3898.98"/>
    <n v="4810.38"/>
    <n v="4398.22"/>
    <n v="913.23"/>
    <n v="13107.58"/>
    <n v="14020.81"/>
    <m/>
  </r>
  <r>
    <x v="10"/>
    <x v="1"/>
    <n v="2018"/>
    <n v="6"/>
    <s v="Jun"/>
    <x v="20"/>
    <n v="14"/>
    <x v="1"/>
    <n v="8.44"/>
    <n v="12.39"/>
    <n v="1.0900000000000001"/>
    <n v="0.06"/>
    <n v="21.92"/>
    <n v="21.98"/>
    <m/>
  </r>
  <r>
    <x v="10"/>
    <x v="1"/>
    <n v="2018"/>
    <n v="6"/>
    <s v="Jun"/>
    <x v="21"/>
    <n v="17"/>
    <x v="1"/>
    <n v="14.92"/>
    <n v="20.95"/>
    <n v="76.040000000000006"/>
    <n v="4.2699999999999996"/>
    <n v="111.91"/>
    <n v="116.18"/>
    <m/>
  </r>
  <r>
    <x v="10"/>
    <x v="1"/>
    <n v="2018"/>
    <n v="6"/>
    <s v="Jun"/>
    <x v="22"/>
    <n v="15"/>
    <x v="1"/>
    <n v="3.25"/>
    <n v="6.24"/>
    <n v="0.74"/>
    <n v="0.03"/>
    <n v="10.23"/>
    <n v="10.26"/>
    <m/>
  </r>
  <r>
    <x v="10"/>
    <x v="1"/>
    <n v="2018"/>
    <n v="6"/>
    <s v="Jun"/>
    <x v="23"/>
    <n v="13"/>
    <x v="1"/>
    <n v="2.85"/>
    <n v="5.54"/>
    <n v="4.4400000000000004"/>
    <n v="0.6"/>
    <n v="12.83"/>
    <n v="13.43"/>
    <m/>
  </r>
  <r>
    <x v="10"/>
    <x v="1"/>
    <n v="2018"/>
    <n v="6"/>
    <s v="Jun"/>
    <x v="24"/>
    <n v="21"/>
    <x v="1"/>
    <n v="407.43"/>
    <n v="535.87"/>
    <n v="786.43"/>
    <n v="422.17"/>
    <n v="1729.73"/>
    <n v="2151.9"/>
    <m/>
  </r>
  <r>
    <x v="10"/>
    <x v="1"/>
    <n v="2018"/>
    <n v="6"/>
    <s v="Jun"/>
    <x v="25"/>
    <n v="34"/>
    <x v="0"/>
    <n v="19.61"/>
    <n v="27.2"/>
    <n v="98.99"/>
    <n v="0.24"/>
    <n v="145.80000000000001"/>
    <n v="146.04"/>
    <m/>
  </r>
  <r>
    <x v="10"/>
    <x v="1"/>
    <n v="2018"/>
    <n v="6"/>
    <s v="Jun"/>
    <x v="26"/>
    <n v="3"/>
    <x v="1"/>
    <n v="250.79"/>
    <n v="441.5"/>
    <n v="489.74"/>
    <n v="18.2"/>
    <n v="1182.03"/>
    <n v="1200.23"/>
    <m/>
  </r>
  <r>
    <x v="10"/>
    <x v="1"/>
    <n v="2018"/>
    <n v="6"/>
    <s v="Jun"/>
    <x v="27"/>
    <n v="8"/>
    <x v="1"/>
    <n v="606.74"/>
    <n v="833.94"/>
    <n v="850.17"/>
    <n v="133.24"/>
    <n v="2290.85"/>
    <n v="2424.09"/>
    <m/>
  </r>
  <r>
    <x v="10"/>
    <x v="1"/>
    <n v="2018"/>
    <n v="6"/>
    <s v="Jun"/>
    <x v="28"/>
    <n v="11"/>
    <x v="1"/>
    <n v="10.119999999999999"/>
    <n v="14.44"/>
    <n v="146.41"/>
    <n v="0.01"/>
    <n v="170.97"/>
    <n v="170.98"/>
    <m/>
  </r>
  <r>
    <x v="10"/>
    <x v="1"/>
    <n v="2018"/>
    <n v="6"/>
    <s v="Jun"/>
    <x v="29"/>
    <n v="33"/>
    <x v="1"/>
    <n v="1278.2"/>
    <n v="1806.52"/>
    <n v="1526.61"/>
    <n v="575.66"/>
    <n v="4611.33"/>
    <n v="5186.99"/>
    <m/>
  </r>
  <r>
    <x v="10"/>
    <x v="1"/>
    <n v="2018"/>
    <n v="6"/>
    <s v="Jun"/>
    <x v="30"/>
    <n v="36"/>
    <x v="1"/>
    <n v="563.42999999999995"/>
    <n v="797.96"/>
    <n v="792.22"/>
    <n v="547.87"/>
    <n v="2153.61"/>
    <n v="2701.48"/>
    <m/>
  </r>
  <r>
    <x v="10"/>
    <x v="1"/>
    <n v="2018"/>
    <n v="6"/>
    <s v="Jun"/>
    <x v="31"/>
    <n v="16"/>
    <x v="1"/>
    <n v="12.06"/>
    <n v="19.46"/>
    <n v="3.68"/>
    <n v="0.06"/>
    <n v="35.200000000000003"/>
    <n v="35.26"/>
    <m/>
  </r>
  <r>
    <x v="10"/>
    <x v="1"/>
    <n v="2018"/>
    <n v="6"/>
    <s v="Jun"/>
    <x v="32"/>
    <n v="9"/>
    <x v="1"/>
    <n v="1034.74"/>
    <n v="1624.02"/>
    <n v="1374.16"/>
    <n v="999.74"/>
    <n v="4032.92"/>
    <n v="5032.66"/>
    <m/>
  </r>
  <r>
    <x v="10"/>
    <x v="1"/>
    <n v="2018"/>
    <n v="6"/>
    <s v="Jun"/>
    <x v="33"/>
    <n v="5"/>
    <x v="1"/>
    <n v="164.16"/>
    <n v="309.88"/>
    <n v="770.71"/>
    <n v="21.28"/>
    <n v="1244.75"/>
    <n v="1266.03"/>
    <m/>
  </r>
  <r>
    <x v="10"/>
    <x v="1"/>
    <n v="2018"/>
    <n v="6"/>
    <s v="Jun"/>
    <x v="34"/>
    <n v="19"/>
    <x v="1"/>
    <n v="857.67"/>
    <n v="1188.32"/>
    <n v="747.79"/>
    <n v="318.08"/>
    <n v="2793.78"/>
    <n v="3111.86"/>
    <m/>
  </r>
  <r>
    <x v="11"/>
    <x v="1"/>
    <n v="2018"/>
    <n v="7"/>
    <s v="Jul"/>
    <x v="0"/>
    <n v="35"/>
    <x v="0"/>
    <n v="4.28"/>
    <n v="8.3800000000000008"/>
    <n v="1.74"/>
    <n v="0.02"/>
    <n v="14.4"/>
    <n v="14.42"/>
    <m/>
  </r>
  <r>
    <x v="11"/>
    <x v="1"/>
    <n v="2018"/>
    <n v="7"/>
    <s v="Jul"/>
    <x v="1"/>
    <n v="28"/>
    <x v="1"/>
    <n v="483.57"/>
    <n v="723.34"/>
    <n v="776.03"/>
    <n v="43.2"/>
    <n v="1982.94"/>
    <n v="2026.14"/>
    <m/>
  </r>
  <r>
    <x v="11"/>
    <x v="1"/>
    <n v="2018"/>
    <n v="7"/>
    <s v="Jul"/>
    <x v="2"/>
    <n v="12"/>
    <x v="1"/>
    <n v="10.050000000000001"/>
    <n v="14.69"/>
    <n v="3.89"/>
    <n v="0.02"/>
    <n v="28.63"/>
    <n v="28.65"/>
    <m/>
  </r>
  <r>
    <x v="11"/>
    <x v="1"/>
    <n v="2018"/>
    <n v="7"/>
    <s v="Jul"/>
    <x v="3"/>
    <n v="18"/>
    <x v="1"/>
    <n v="162.93"/>
    <n v="259.52999999999997"/>
    <n v="197.37"/>
    <n v="41.19"/>
    <n v="619.83000000000004"/>
    <n v="661.02"/>
    <m/>
  </r>
  <r>
    <x v="11"/>
    <x v="1"/>
    <n v="2018"/>
    <n v="7"/>
    <s v="Jul"/>
    <x v="4"/>
    <n v="10"/>
    <x v="1"/>
    <n v="194.84"/>
    <n v="393.18"/>
    <n v="100.65"/>
    <n v="162.54"/>
    <n v="688.67"/>
    <n v="851.21"/>
    <m/>
  </r>
  <r>
    <x v="11"/>
    <x v="1"/>
    <n v="2018"/>
    <n v="7"/>
    <s v="Jul"/>
    <x v="5"/>
    <n v="4"/>
    <x v="0"/>
    <n v="29.85"/>
    <n v="41.03"/>
    <n v="76.75"/>
    <n v="0.3"/>
    <n v="147.63"/>
    <n v="147.93"/>
    <m/>
  </r>
  <r>
    <x v="11"/>
    <x v="1"/>
    <n v="2018"/>
    <n v="7"/>
    <s v="Jul"/>
    <x v="6"/>
    <n v="22"/>
    <x v="1"/>
    <n v="337.88"/>
    <n v="420.32"/>
    <n v="550.54999999999995"/>
    <n v="601.32000000000005"/>
    <n v="1308.75"/>
    <n v="1910.07"/>
    <m/>
  </r>
  <r>
    <x v="11"/>
    <x v="1"/>
    <n v="2018"/>
    <n v="7"/>
    <s v="Jul"/>
    <x v="7"/>
    <n v="38"/>
    <x v="0"/>
    <n v="23.37"/>
    <n v="35.4"/>
    <n v="176.35"/>
    <n v="0.03"/>
    <n v="235.12"/>
    <n v="235.15"/>
    <m/>
  </r>
  <r>
    <x v="11"/>
    <x v="1"/>
    <n v="2018"/>
    <n v="7"/>
    <s v="Jul"/>
    <x v="8"/>
    <n v="7"/>
    <x v="0"/>
    <n v="662.98"/>
    <n v="834.08"/>
    <n v="1513.8"/>
    <n v="83.97"/>
    <n v="3010.86"/>
    <n v="3094.83"/>
    <m/>
  </r>
  <r>
    <x v="11"/>
    <x v="1"/>
    <n v="2018"/>
    <n v="7"/>
    <s v="Jul"/>
    <x v="9"/>
    <n v="30"/>
    <x v="1"/>
    <n v="73.709999999999994"/>
    <n v="106.01"/>
    <n v="137.69"/>
    <n v="1.28"/>
    <n v="317.41000000000003"/>
    <n v="318.69"/>
    <m/>
  </r>
  <r>
    <x v="11"/>
    <x v="1"/>
    <n v="2018"/>
    <n v="7"/>
    <s v="Jul"/>
    <x v="10"/>
    <n v="24"/>
    <x v="1"/>
    <n v="1543.92"/>
    <n v="1997.23"/>
    <n v="2189.6799999999998"/>
    <n v="348.87"/>
    <n v="5730.83"/>
    <n v="6079.7"/>
    <m/>
  </r>
  <r>
    <x v="11"/>
    <x v="1"/>
    <n v="2018"/>
    <n v="7"/>
    <s v="Jul"/>
    <x v="11"/>
    <n v="6"/>
    <x v="1"/>
    <n v="680.22"/>
    <n v="1003.56"/>
    <n v="2311.71"/>
    <n v="299.16000000000003"/>
    <n v="3995.49"/>
    <n v="4294.6499999999996"/>
    <m/>
  </r>
  <r>
    <x v="11"/>
    <x v="1"/>
    <n v="2018"/>
    <n v="7"/>
    <s v="Jul"/>
    <x v="12"/>
    <n v="2"/>
    <x v="1"/>
    <n v="85.42"/>
    <n v="131.11000000000001"/>
    <n v="399.77"/>
    <n v="1.2"/>
    <n v="616.29999999999995"/>
    <n v="617.5"/>
    <m/>
  </r>
  <r>
    <x v="11"/>
    <x v="1"/>
    <n v="2018"/>
    <n v="7"/>
    <s v="Jul"/>
    <x v="13"/>
    <n v="1"/>
    <x v="0"/>
    <n v="80.44"/>
    <n v="134.72"/>
    <n v="95.6"/>
    <n v="7.18"/>
    <n v="310.76"/>
    <n v="317.94"/>
    <m/>
  </r>
  <r>
    <x v="11"/>
    <x v="1"/>
    <n v="2018"/>
    <n v="7"/>
    <s v="Jul"/>
    <x v="14"/>
    <n v="20"/>
    <x v="1"/>
    <n v="300.68"/>
    <n v="429.5"/>
    <n v="710.62"/>
    <n v="407.15"/>
    <n v="1440.8"/>
    <n v="1847.95"/>
    <m/>
  </r>
  <r>
    <x v="11"/>
    <x v="1"/>
    <n v="2018"/>
    <n v="7"/>
    <s v="Jul"/>
    <x v="15"/>
    <n v="29"/>
    <x v="1"/>
    <n v="1389.42"/>
    <n v="1919.36"/>
    <n v="2473.9499999999998"/>
    <n v="993.51"/>
    <n v="5782.73"/>
    <n v="6776.24"/>
    <m/>
  </r>
  <r>
    <x v="11"/>
    <x v="1"/>
    <n v="2018"/>
    <n v="7"/>
    <s v="Jul"/>
    <x v="16"/>
    <n v="32"/>
    <x v="1"/>
    <n v="404.76"/>
    <n v="657.7"/>
    <n v="210.7"/>
    <n v="3.52"/>
    <n v="1273.1600000000001"/>
    <n v="1276.68"/>
    <m/>
  </r>
  <r>
    <x v="11"/>
    <x v="1"/>
    <n v="2018"/>
    <n v="7"/>
    <s v="Jul"/>
    <x v="17"/>
    <n v="31"/>
    <x v="0"/>
    <n v="0.38"/>
    <n v="0.42"/>
    <n v="0.08"/>
    <n v="0"/>
    <n v="0.88"/>
    <n v="0.88"/>
    <m/>
  </r>
  <r>
    <x v="11"/>
    <x v="1"/>
    <n v="2018"/>
    <n v="7"/>
    <s v="Jul"/>
    <x v="18"/>
    <n v="23"/>
    <x v="1"/>
    <n v="455.35"/>
    <n v="657.97"/>
    <n v="554.41"/>
    <n v="400.88"/>
    <n v="1667.73"/>
    <n v="2068.61"/>
    <m/>
  </r>
  <r>
    <x v="11"/>
    <x v="1"/>
    <n v="2018"/>
    <n v="7"/>
    <s v="Jul"/>
    <x v="19"/>
    <n v="27"/>
    <x v="1"/>
    <n v="3478.17"/>
    <n v="4529.76"/>
    <n v="4726.5"/>
    <n v="1016.69"/>
    <n v="12734.43"/>
    <n v="13751.12"/>
    <m/>
  </r>
  <r>
    <x v="11"/>
    <x v="1"/>
    <n v="2018"/>
    <n v="7"/>
    <s v="Jul"/>
    <x v="20"/>
    <n v="14"/>
    <x v="1"/>
    <n v="6.71"/>
    <n v="16.47"/>
    <n v="1.05"/>
    <n v="0.12"/>
    <n v="24.23"/>
    <n v="24.35"/>
    <m/>
  </r>
  <r>
    <x v="11"/>
    <x v="1"/>
    <n v="2018"/>
    <n v="7"/>
    <s v="Jul"/>
    <x v="21"/>
    <n v="17"/>
    <x v="1"/>
    <n v="15.42"/>
    <n v="22.28"/>
    <n v="74.739999999999995"/>
    <n v="1.41"/>
    <n v="112.44"/>
    <n v="113.85"/>
    <m/>
  </r>
  <r>
    <x v="11"/>
    <x v="1"/>
    <n v="2018"/>
    <n v="7"/>
    <s v="Jul"/>
    <x v="22"/>
    <n v="15"/>
    <x v="1"/>
    <n v="3.05"/>
    <n v="5.65"/>
    <n v="1.52"/>
    <n v="0"/>
    <n v="10.220000000000001"/>
    <n v="10.220000000000001"/>
    <m/>
  </r>
  <r>
    <x v="11"/>
    <x v="1"/>
    <n v="2018"/>
    <n v="7"/>
    <s v="Jul"/>
    <x v="23"/>
    <n v="13"/>
    <x v="1"/>
    <n v="2.91"/>
    <n v="4.7300000000000004"/>
    <n v="4.34"/>
    <n v="0.51"/>
    <n v="11.98"/>
    <n v="12.49"/>
    <m/>
  </r>
  <r>
    <x v="11"/>
    <x v="1"/>
    <n v="2018"/>
    <n v="7"/>
    <s v="Jul"/>
    <x v="24"/>
    <n v="21"/>
    <x v="1"/>
    <n v="400.58"/>
    <n v="546.84"/>
    <n v="651.11"/>
    <n v="460.35"/>
    <n v="1598.53"/>
    <n v="2058.88"/>
    <m/>
  </r>
  <r>
    <x v="11"/>
    <x v="1"/>
    <n v="2018"/>
    <n v="7"/>
    <s v="Jul"/>
    <x v="25"/>
    <n v="34"/>
    <x v="0"/>
    <n v="20.09"/>
    <n v="29.17"/>
    <n v="111.55"/>
    <n v="0.15"/>
    <n v="160.81"/>
    <n v="160.96"/>
    <m/>
  </r>
  <r>
    <x v="11"/>
    <x v="1"/>
    <n v="2018"/>
    <n v="7"/>
    <s v="Jul"/>
    <x v="26"/>
    <n v="3"/>
    <x v="1"/>
    <n v="265.76"/>
    <n v="453.4"/>
    <n v="436.09"/>
    <n v="16.18"/>
    <n v="1155.25"/>
    <n v="1171.43"/>
    <m/>
  </r>
  <r>
    <x v="11"/>
    <x v="1"/>
    <n v="2018"/>
    <n v="7"/>
    <s v="Jul"/>
    <x v="27"/>
    <n v="8"/>
    <x v="1"/>
    <n v="642.58000000000004"/>
    <n v="891.91"/>
    <n v="788.09"/>
    <n v="130.94"/>
    <n v="2322.58"/>
    <n v="2453.52"/>
    <m/>
  </r>
  <r>
    <x v="11"/>
    <x v="1"/>
    <n v="2018"/>
    <n v="7"/>
    <s v="Jul"/>
    <x v="28"/>
    <n v="11"/>
    <x v="1"/>
    <n v="16.38"/>
    <n v="23.58"/>
    <n v="141.16999999999999"/>
    <n v="0.13"/>
    <n v="181.13"/>
    <n v="181.26"/>
    <m/>
  </r>
  <r>
    <x v="11"/>
    <x v="1"/>
    <n v="2018"/>
    <n v="7"/>
    <s v="Jul"/>
    <x v="29"/>
    <n v="33"/>
    <x v="1"/>
    <n v="1367.35"/>
    <n v="1956.13"/>
    <n v="1636.15"/>
    <n v="656.16"/>
    <n v="4959.63"/>
    <n v="5615.79"/>
    <m/>
  </r>
  <r>
    <x v="11"/>
    <x v="1"/>
    <n v="2018"/>
    <n v="7"/>
    <s v="Jul"/>
    <x v="30"/>
    <n v="36"/>
    <x v="1"/>
    <n v="592.32000000000005"/>
    <n v="843.92"/>
    <n v="854.61"/>
    <n v="511.7"/>
    <n v="2290.85"/>
    <n v="2802.55"/>
    <m/>
  </r>
  <r>
    <x v="11"/>
    <x v="1"/>
    <n v="2018"/>
    <n v="7"/>
    <s v="Jul"/>
    <x v="31"/>
    <n v="16"/>
    <x v="1"/>
    <n v="17.41"/>
    <n v="24.48"/>
    <n v="3.51"/>
    <n v="0.57999999999999996"/>
    <n v="45.4"/>
    <n v="45.98"/>
    <m/>
  </r>
  <r>
    <x v="11"/>
    <x v="1"/>
    <n v="2018"/>
    <n v="7"/>
    <s v="Jul"/>
    <x v="32"/>
    <n v="9"/>
    <x v="1"/>
    <n v="1055.82"/>
    <n v="1637.23"/>
    <n v="1280.82"/>
    <n v="1009.23"/>
    <n v="3973.87"/>
    <n v="4983.1000000000004"/>
    <m/>
  </r>
  <r>
    <x v="11"/>
    <x v="1"/>
    <n v="2018"/>
    <n v="7"/>
    <s v="Jul"/>
    <x v="33"/>
    <n v="5"/>
    <x v="1"/>
    <n v="179.41"/>
    <n v="321.93"/>
    <n v="889.7"/>
    <n v="17.07"/>
    <n v="1391.04"/>
    <n v="1408.11"/>
    <m/>
  </r>
  <r>
    <x v="11"/>
    <x v="1"/>
    <n v="2018"/>
    <n v="7"/>
    <s v="Jul"/>
    <x v="34"/>
    <n v="19"/>
    <x v="1"/>
    <n v="875.78"/>
    <n v="1195.3900000000001"/>
    <n v="866.14"/>
    <n v="351.42"/>
    <n v="2937.31"/>
    <n v="3288.73"/>
    <m/>
  </r>
  <r>
    <x v="12"/>
    <x v="1"/>
    <n v="2018"/>
    <n v="8"/>
    <s v="Aug"/>
    <x v="0"/>
    <n v="35"/>
    <x v="0"/>
    <n v="4.12"/>
    <n v="8.17"/>
    <n v="1.22"/>
    <n v="0.09"/>
    <n v="13.51"/>
    <n v="13.6"/>
    <m/>
  </r>
  <r>
    <x v="12"/>
    <x v="1"/>
    <n v="2018"/>
    <n v="8"/>
    <s v="Aug"/>
    <x v="1"/>
    <n v="28"/>
    <x v="1"/>
    <n v="448.51"/>
    <n v="646.09"/>
    <n v="777.33"/>
    <n v="18.829999999999998"/>
    <n v="1871.93"/>
    <n v="1890.76"/>
    <m/>
  </r>
  <r>
    <x v="12"/>
    <x v="1"/>
    <n v="2018"/>
    <n v="8"/>
    <s v="Aug"/>
    <x v="2"/>
    <n v="12"/>
    <x v="1"/>
    <n v="7.14"/>
    <n v="11.08"/>
    <n v="4.22"/>
    <n v="0.23"/>
    <n v="22.44"/>
    <n v="22.67"/>
    <m/>
  </r>
  <r>
    <x v="12"/>
    <x v="1"/>
    <n v="2018"/>
    <n v="8"/>
    <s v="Aug"/>
    <x v="3"/>
    <n v="18"/>
    <x v="1"/>
    <n v="172.95"/>
    <n v="246.78"/>
    <n v="201.88"/>
    <n v="24.35"/>
    <n v="621.61"/>
    <n v="645.96"/>
    <m/>
  </r>
  <r>
    <x v="12"/>
    <x v="1"/>
    <n v="2018"/>
    <n v="8"/>
    <s v="Aug"/>
    <x v="4"/>
    <n v="10"/>
    <x v="1"/>
    <n v="192.94"/>
    <n v="357.08"/>
    <n v="127.57"/>
    <n v="168.23"/>
    <n v="677.59"/>
    <n v="845.82"/>
    <m/>
  </r>
  <r>
    <x v="12"/>
    <x v="1"/>
    <n v="2018"/>
    <n v="8"/>
    <s v="Aug"/>
    <x v="5"/>
    <n v="4"/>
    <x v="0"/>
    <n v="28.64"/>
    <n v="39.93"/>
    <n v="70.849999999999994"/>
    <n v="0.16"/>
    <n v="139.41999999999999"/>
    <n v="139.58000000000001"/>
    <m/>
  </r>
  <r>
    <x v="12"/>
    <x v="1"/>
    <n v="2018"/>
    <n v="8"/>
    <s v="Aug"/>
    <x v="6"/>
    <n v="22"/>
    <x v="1"/>
    <n v="309.88"/>
    <n v="398.68"/>
    <n v="576.66999999999996"/>
    <n v="535.74"/>
    <n v="1285.23"/>
    <n v="1820.97"/>
    <m/>
  </r>
  <r>
    <x v="12"/>
    <x v="1"/>
    <n v="2018"/>
    <n v="8"/>
    <s v="Aug"/>
    <x v="7"/>
    <n v="38"/>
    <x v="0"/>
    <n v="23.83"/>
    <n v="36.340000000000003"/>
    <n v="153.13999999999999"/>
    <n v="0.15"/>
    <n v="213.31"/>
    <n v="213.46"/>
    <m/>
  </r>
  <r>
    <x v="12"/>
    <x v="1"/>
    <n v="2018"/>
    <n v="8"/>
    <s v="Aug"/>
    <x v="8"/>
    <n v="7"/>
    <x v="0"/>
    <n v="655.04"/>
    <n v="825.96"/>
    <n v="1440.66"/>
    <n v="92.92"/>
    <n v="2921.66"/>
    <n v="3014.58"/>
    <m/>
  </r>
  <r>
    <x v="12"/>
    <x v="1"/>
    <n v="2018"/>
    <n v="8"/>
    <s v="Aug"/>
    <x v="9"/>
    <n v="30"/>
    <x v="1"/>
    <n v="77.069999999999993"/>
    <n v="107.74"/>
    <n v="120.58"/>
    <n v="1.41"/>
    <n v="305.39"/>
    <n v="306.8"/>
    <m/>
  </r>
  <r>
    <x v="12"/>
    <x v="1"/>
    <n v="2018"/>
    <n v="8"/>
    <s v="Aug"/>
    <x v="10"/>
    <n v="24"/>
    <x v="1"/>
    <n v="1413.49"/>
    <n v="1815.81"/>
    <n v="1701.42"/>
    <n v="321.54000000000002"/>
    <n v="4930.72"/>
    <n v="5252.26"/>
    <m/>
  </r>
  <r>
    <x v="12"/>
    <x v="1"/>
    <n v="2018"/>
    <n v="8"/>
    <s v="Aug"/>
    <x v="11"/>
    <n v="6"/>
    <x v="1"/>
    <n v="711.49"/>
    <n v="1088.28"/>
    <n v="2281.42"/>
    <n v="292.7"/>
    <n v="4081.19"/>
    <n v="4373.8900000000003"/>
    <m/>
  </r>
  <r>
    <x v="12"/>
    <x v="1"/>
    <n v="2018"/>
    <n v="8"/>
    <s v="Aug"/>
    <x v="12"/>
    <n v="2"/>
    <x v="1"/>
    <n v="77.459999999999994"/>
    <n v="121.38"/>
    <n v="362.27"/>
    <n v="1.2"/>
    <n v="561.11"/>
    <n v="562.30999999999995"/>
    <m/>
  </r>
  <r>
    <x v="12"/>
    <x v="1"/>
    <n v="2018"/>
    <n v="8"/>
    <s v="Aug"/>
    <x v="13"/>
    <n v="1"/>
    <x v="0"/>
    <n v="72.77"/>
    <n v="129.47"/>
    <n v="99.01"/>
    <n v="4.0199999999999996"/>
    <n v="301.25"/>
    <n v="305.27"/>
    <m/>
  </r>
  <r>
    <x v="12"/>
    <x v="1"/>
    <n v="2018"/>
    <n v="8"/>
    <s v="Aug"/>
    <x v="14"/>
    <n v="20"/>
    <x v="1"/>
    <n v="256.19"/>
    <n v="364.84"/>
    <n v="664.51"/>
    <n v="383.7"/>
    <n v="1285.54"/>
    <n v="1669.24"/>
    <m/>
  </r>
  <r>
    <x v="12"/>
    <x v="1"/>
    <n v="2018"/>
    <n v="8"/>
    <s v="Aug"/>
    <x v="15"/>
    <n v="29"/>
    <x v="1"/>
    <n v="1370.2"/>
    <n v="1845.95"/>
    <n v="2225.44"/>
    <n v="829.63"/>
    <n v="5441.59"/>
    <n v="6271.22"/>
    <m/>
  </r>
  <r>
    <x v="12"/>
    <x v="1"/>
    <n v="2018"/>
    <n v="8"/>
    <s v="Aug"/>
    <x v="16"/>
    <n v="32"/>
    <x v="1"/>
    <n v="351.82"/>
    <n v="529.94000000000005"/>
    <n v="243.79"/>
    <n v="3.75"/>
    <n v="1125.55"/>
    <n v="1129.3"/>
    <m/>
  </r>
  <r>
    <x v="12"/>
    <x v="1"/>
    <n v="2018"/>
    <n v="8"/>
    <s v="Aug"/>
    <x v="17"/>
    <n v="31"/>
    <x v="0"/>
    <n v="0.17"/>
    <n v="0.18"/>
    <n v="0.04"/>
    <n v="0"/>
    <n v="0.39"/>
    <n v="0.39"/>
    <m/>
  </r>
  <r>
    <x v="12"/>
    <x v="1"/>
    <n v="2018"/>
    <n v="8"/>
    <s v="Aug"/>
    <x v="18"/>
    <n v="23"/>
    <x v="1"/>
    <n v="414.22"/>
    <n v="596.15"/>
    <n v="573.91999999999996"/>
    <n v="378.26"/>
    <n v="1584.29"/>
    <n v="1962.55"/>
    <m/>
  </r>
  <r>
    <x v="12"/>
    <x v="1"/>
    <n v="2018"/>
    <n v="8"/>
    <s v="Aug"/>
    <x v="19"/>
    <n v="27"/>
    <x v="1"/>
    <n v="3468.06"/>
    <n v="4385.3"/>
    <n v="4142.54"/>
    <n v="836.03"/>
    <n v="11995.9"/>
    <n v="12831.93"/>
    <m/>
  </r>
  <r>
    <x v="12"/>
    <x v="1"/>
    <n v="2018"/>
    <n v="8"/>
    <s v="Aug"/>
    <x v="20"/>
    <n v="14"/>
    <x v="1"/>
    <n v="6.11"/>
    <n v="9.56"/>
    <n v="0.89"/>
    <n v="0.05"/>
    <n v="16.559999999999999"/>
    <n v="16.61"/>
    <m/>
  </r>
  <r>
    <x v="12"/>
    <x v="1"/>
    <n v="2018"/>
    <n v="8"/>
    <s v="Aug"/>
    <x v="21"/>
    <n v="17"/>
    <x v="1"/>
    <n v="15.66"/>
    <n v="21.27"/>
    <n v="64.73"/>
    <n v="0.68"/>
    <n v="101.66"/>
    <n v="102.34"/>
    <m/>
  </r>
  <r>
    <x v="12"/>
    <x v="1"/>
    <n v="2018"/>
    <n v="8"/>
    <s v="Aug"/>
    <x v="22"/>
    <n v="15"/>
    <x v="1"/>
    <n v="3.47"/>
    <n v="6.68"/>
    <n v="0.63"/>
    <n v="0.02"/>
    <n v="10.78"/>
    <n v="10.8"/>
    <m/>
  </r>
  <r>
    <x v="12"/>
    <x v="1"/>
    <n v="2018"/>
    <n v="8"/>
    <s v="Aug"/>
    <x v="23"/>
    <n v="13"/>
    <x v="1"/>
    <n v="4.58"/>
    <n v="6.73"/>
    <n v="3.6"/>
    <n v="0.39"/>
    <n v="14.91"/>
    <n v="15.3"/>
    <m/>
  </r>
  <r>
    <x v="12"/>
    <x v="1"/>
    <n v="2018"/>
    <n v="8"/>
    <s v="Aug"/>
    <x v="24"/>
    <n v="21"/>
    <x v="1"/>
    <n v="400.97"/>
    <n v="525.89"/>
    <n v="837.7"/>
    <n v="477.2"/>
    <n v="1764.56"/>
    <n v="2241.7600000000002"/>
    <m/>
  </r>
  <r>
    <x v="12"/>
    <x v="1"/>
    <n v="2018"/>
    <n v="8"/>
    <s v="Aug"/>
    <x v="25"/>
    <n v="34"/>
    <x v="0"/>
    <n v="16.95"/>
    <n v="30.7"/>
    <n v="101.37"/>
    <n v="0.1"/>
    <n v="149.02000000000001"/>
    <n v="149.12"/>
    <m/>
  </r>
  <r>
    <x v="12"/>
    <x v="1"/>
    <n v="2018"/>
    <n v="8"/>
    <s v="Aug"/>
    <x v="26"/>
    <n v="3"/>
    <x v="1"/>
    <n v="247.75"/>
    <n v="409.91"/>
    <n v="427.29"/>
    <n v="11.83"/>
    <n v="1084.95"/>
    <n v="1096.78"/>
    <m/>
  </r>
  <r>
    <x v="12"/>
    <x v="1"/>
    <n v="2018"/>
    <n v="8"/>
    <s v="Aug"/>
    <x v="27"/>
    <n v="8"/>
    <x v="1"/>
    <n v="570.64"/>
    <n v="796.9"/>
    <n v="748.83"/>
    <n v="124.02"/>
    <n v="2116.37"/>
    <n v="2240.39"/>
    <m/>
  </r>
  <r>
    <x v="12"/>
    <x v="1"/>
    <n v="2018"/>
    <n v="8"/>
    <s v="Aug"/>
    <x v="28"/>
    <n v="11"/>
    <x v="1"/>
    <n v="7.08"/>
    <n v="12.23"/>
    <n v="143.79"/>
    <n v="0.03"/>
    <n v="163.1"/>
    <n v="163.13"/>
    <m/>
  </r>
  <r>
    <x v="12"/>
    <x v="1"/>
    <n v="2018"/>
    <n v="8"/>
    <s v="Aug"/>
    <x v="29"/>
    <n v="33"/>
    <x v="1"/>
    <n v="1395.26"/>
    <n v="2000.38"/>
    <n v="1567.42"/>
    <n v="472.53"/>
    <n v="4963.0600000000004"/>
    <n v="5435.59"/>
    <m/>
  </r>
  <r>
    <x v="12"/>
    <x v="1"/>
    <n v="2018"/>
    <n v="8"/>
    <s v="Aug"/>
    <x v="30"/>
    <n v="36"/>
    <x v="1"/>
    <n v="566.23"/>
    <n v="792.95"/>
    <n v="833.04"/>
    <n v="467.53"/>
    <n v="2192.2199999999998"/>
    <n v="2659.75"/>
    <m/>
  </r>
  <r>
    <x v="12"/>
    <x v="1"/>
    <n v="2018"/>
    <n v="8"/>
    <s v="Aug"/>
    <x v="31"/>
    <n v="16"/>
    <x v="1"/>
    <n v="14.18"/>
    <n v="20.12"/>
    <n v="3.9"/>
    <n v="0.1"/>
    <n v="38.200000000000003"/>
    <n v="38.299999999999997"/>
    <m/>
  </r>
  <r>
    <x v="12"/>
    <x v="1"/>
    <n v="2018"/>
    <n v="8"/>
    <s v="Aug"/>
    <x v="32"/>
    <n v="9"/>
    <x v="1"/>
    <n v="935.42"/>
    <n v="1452.78"/>
    <n v="1353.17"/>
    <n v="1022.19"/>
    <n v="3741.37"/>
    <n v="4763.5600000000004"/>
    <m/>
  </r>
  <r>
    <x v="12"/>
    <x v="1"/>
    <n v="2018"/>
    <n v="8"/>
    <s v="Aug"/>
    <x v="33"/>
    <n v="5"/>
    <x v="1"/>
    <n v="158.9"/>
    <n v="297.24"/>
    <n v="549.46"/>
    <n v="14.57"/>
    <n v="1005.6"/>
    <n v="1020.17"/>
    <m/>
  </r>
  <r>
    <x v="12"/>
    <x v="1"/>
    <n v="2018"/>
    <n v="8"/>
    <s v="Aug"/>
    <x v="34"/>
    <n v="19"/>
    <x v="1"/>
    <n v="883.31"/>
    <n v="1178.5"/>
    <n v="768.88"/>
    <n v="293.85000000000002"/>
    <n v="2830.69"/>
    <n v="3124.54"/>
    <m/>
  </r>
  <r>
    <x v="13"/>
    <x v="1"/>
    <n v="2018"/>
    <n v="9"/>
    <s v="Sep"/>
    <x v="0"/>
    <n v="35"/>
    <x v="0"/>
    <n v="9.2200000000000006"/>
    <n v="12.51"/>
    <n v="1.17"/>
    <n v="0.02"/>
    <n v="22.9"/>
    <n v="22.92"/>
    <m/>
  </r>
  <r>
    <x v="13"/>
    <x v="1"/>
    <n v="2018"/>
    <n v="9"/>
    <s v="Sep"/>
    <x v="1"/>
    <n v="28"/>
    <x v="1"/>
    <n v="493.36"/>
    <n v="692.61"/>
    <n v="808.7"/>
    <n v="28.62"/>
    <n v="1994.67"/>
    <n v="2023.29"/>
    <m/>
  </r>
  <r>
    <x v="13"/>
    <x v="1"/>
    <n v="2018"/>
    <n v="9"/>
    <s v="Sep"/>
    <x v="2"/>
    <n v="12"/>
    <x v="1"/>
    <n v="10.23"/>
    <n v="13.41"/>
    <n v="2.16"/>
    <n v="0.14000000000000001"/>
    <n v="25.8"/>
    <n v="25.94"/>
    <m/>
  </r>
  <r>
    <x v="13"/>
    <x v="1"/>
    <n v="2018"/>
    <n v="9"/>
    <s v="Sep"/>
    <x v="3"/>
    <n v="18"/>
    <x v="1"/>
    <n v="184.27"/>
    <n v="256.83999999999997"/>
    <n v="223.82"/>
    <n v="31.82"/>
    <n v="664.93"/>
    <n v="696.75"/>
    <m/>
  </r>
  <r>
    <x v="13"/>
    <x v="1"/>
    <n v="2018"/>
    <n v="9"/>
    <s v="Sep"/>
    <x v="4"/>
    <n v="10"/>
    <x v="1"/>
    <n v="195.55"/>
    <n v="374.04"/>
    <n v="90.67"/>
    <n v="170.28"/>
    <n v="660.26"/>
    <n v="830.54"/>
    <m/>
  </r>
  <r>
    <x v="13"/>
    <x v="1"/>
    <n v="2018"/>
    <n v="9"/>
    <s v="Sep"/>
    <x v="5"/>
    <n v="4"/>
    <x v="0"/>
    <n v="26.98"/>
    <n v="40.93"/>
    <n v="75.28"/>
    <n v="0.18"/>
    <n v="143.19"/>
    <n v="143.37"/>
    <m/>
  </r>
  <r>
    <x v="13"/>
    <x v="1"/>
    <n v="2018"/>
    <n v="9"/>
    <s v="Sep"/>
    <x v="6"/>
    <n v="22"/>
    <x v="1"/>
    <n v="287.07"/>
    <n v="361.02"/>
    <n v="509.3"/>
    <n v="513.6"/>
    <n v="1157.3900000000001"/>
    <n v="1670.99"/>
    <m/>
  </r>
  <r>
    <x v="13"/>
    <x v="1"/>
    <n v="2018"/>
    <n v="9"/>
    <s v="Sep"/>
    <x v="7"/>
    <n v="38"/>
    <x v="0"/>
    <n v="21.83"/>
    <n v="32.950000000000003"/>
    <n v="168.82"/>
    <n v="0.2"/>
    <n v="223.6"/>
    <n v="223.8"/>
    <m/>
  </r>
  <r>
    <x v="13"/>
    <x v="1"/>
    <n v="2018"/>
    <n v="9"/>
    <s v="Sep"/>
    <x v="8"/>
    <n v="7"/>
    <x v="0"/>
    <n v="620.52"/>
    <n v="787.04"/>
    <n v="1642.9"/>
    <n v="89.04"/>
    <n v="3050.46"/>
    <n v="3139.5"/>
    <m/>
  </r>
  <r>
    <x v="13"/>
    <x v="1"/>
    <n v="2018"/>
    <n v="9"/>
    <s v="Sep"/>
    <x v="9"/>
    <n v="30"/>
    <x v="1"/>
    <n v="69.23"/>
    <n v="101.03"/>
    <n v="134.41999999999999"/>
    <n v="3.83"/>
    <n v="304.68"/>
    <n v="308.51"/>
    <m/>
  </r>
  <r>
    <x v="13"/>
    <x v="1"/>
    <n v="2018"/>
    <n v="9"/>
    <s v="Sep"/>
    <x v="10"/>
    <n v="24"/>
    <x v="1"/>
    <n v="1547.8"/>
    <n v="1999.97"/>
    <n v="2229.5700000000002"/>
    <n v="322.81"/>
    <n v="5777.34"/>
    <n v="6100.15"/>
    <m/>
  </r>
  <r>
    <x v="13"/>
    <x v="1"/>
    <n v="2018"/>
    <n v="9"/>
    <s v="Sep"/>
    <x v="11"/>
    <n v="6"/>
    <x v="1"/>
    <n v="688.69"/>
    <n v="1039.9100000000001"/>
    <n v="2156.4299999999998"/>
    <n v="307.10000000000002"/>
    <n v="3885.03"/>
    <n v="4192.13"/>
    <m/>
  </r>
  <r>
    <x v="13"/>
    <x v="1"/>
    <n v="2018"/>
    <n v="9"/>
    <s v="Sep"/>
    <x v="12"/>
    <n v="2"/>
    <x v="1"/>
    <n v="79.099999999999994"/>
    <n v="118.53"/>
    <n v="450.11"/>
    <n v="0.8"/>
    <n v="647.74"/>
    <n v="648.54"/>
    <m/>
  </r>
  <r>
    <x v="13"/>
    <x v="1"/>
    <n v="2018"/>
    <n v="9"/>
    <s v="Sep"/>
    <x v="13"/>
    <n v="1"/>
    <x v="0"/>
    <n v="78.61"/>
    <n v="129.74"/>
    <n v="123.85"/>
    <n v="4.6500000000000004"/>
    <n v="332.2"/>
    <n v="336.85"/>
    <m/>
  </r>
  <r>
    <x v="13"/>
    <x v="1"/>
    <n v="2018"/>
    <n v="9"/>
    <s v="Sep"/>
    <x v="14"/>
    <n v="20"/>
    <x v="1"/>
    <n v="264.31"/>
    <n v="367.6"/>
    <n v="755.85"/>
    <n v="347.83"/>
    <n v="1387.76"/>
    <n v="1735.59"/>
    <m/>
  </r>
  <r>
    <x v="13"/>
    <x v="1"/>
    <n v="2018"/>
    <n v="9"/>
    <s v="Sep"/>
    <x v="15"/>
    <n v="29"/>
    <x v="1"/>
    <n v="1316.81"/>
    <n v="1809.4"/>
    <n v="2287.52"/>
    <n v="898.26"/>
    <n v="5413.73"/>
    <n v="6311.99"/>
    <m/>
  </r>
  <r>
    <x v="13"/>
    <x v="1"/>
    <n v="2018"/>
    <n v="9"/>
    <s v="Sep"/>
    <x v="16"/>
    <n v="32"/>
    <x v="1"/>
    <n v="345.11"/>
    <n v="529.42999999999995"/>
    <n v="164.83"/>
    <n v="2.87"/>
    <n v="1039.3699999999999"/>
    <n v="1042.24"/>
    <m/>
  </r>
  <r>
    <x v="13"/>
    <x v="1"/>
    <n v="2018"/>
    <n v="9"/>
    <s v="Sep"/>
    <x v="17"/>
    <n v="31"/>
    <x v="0"/>
    <n v="0.06"/>
    <n v="0.47"/>
    <n v="0"/>
    <n v="0"/>
    <n v="0.53"/>
    <n v="0.53"/>
    <m/>
  </r>
  <r>
    <x v="13"/>
    <x v="1"/>
    <n v="2018"/>
    <n v="9"/>
    <s v="Sep"/>
    <x v="18"/>
    <n v="23"/>
    <x v="1"/>
    <n v="400.14"/>
    <n v="572.94000000000005"/>
    <n v="528.69000000000005"/>
    <n v="397.17"/>
    <n v="1501.77"/>
    <n v="1898.94"/>
    <m/>
  </r>
  <r>
    <x v="13"/>
    <x v="1"/>
    <n v="2018"/>
    <n v="9"/>
    <s v="Sep"/>
    <x v="19"/>
    <n v="27"/>
    <x v="1"/>
    <n v="3428.64"/>
    <n v="4292.71"/>
    <n v="4307.92"/>
    <n v="1052.22"/>
    <n v="12029.27"/>
    <n v="13081.49"/>
    <m/>
  </r>
  <r>
    <x v="13"/>
    <x v="1"/>
    <n v="2018"/>
    <n v="9"/>
    <s v="Sep"/>
    <x v="20"/>
    <n v="14"/>
    <x v="1"/>
    <n v="10.65"/>
    <n v="20.16"/>
    <n v="1.02"/>
    <n v="0"/>
    <n v="31.83"/>
    <n v="31.83"/>
    <m/>
  </r>
  <r>
    <x v="13"/>
    <x v="1"/>
    <n v="2018"/>
    <n v="9"/>
    <s v="Sep"/>
    <x v="21"/>
    <n v="17"/>
    <x v="1"/>
    <n v="13.41"/>
    <n v="19.91"/>
    <n v="57.73"/>
    <n v="1.49"/>
    <n v="91.05"/>
    <n v="92.54"/>
    <m/>
  </r>
  <r>
    <x v="13"/>
    <x v="1"/>
    <n v="2018"/>
    <n v="9"/>
    <s v="Sep"/>
    <x v="22"/>
    <n v="15"/>
    <x v="1"/>
    <n v="5.3"/>
    <n v="7.56"/>
    <n v="0.46"/>
    <n v="7.0000000000000007E-2"/>
    <n v="13.32"/>
    <n v="13.39"/>
    <m/>
  </r>
  <r>
    <x v="13"/>
    <x v="1"/>
    <n v="2018"/>
    <n v="9"/>
    <s v="Sep"/>
    <x v="23"/>
    <n v="13"/>
    <x v="1"/>
    <n v="5.45"/>
    <n v="7.74"/>
    <n v="8.6300000000000008"/>
    <n v="0.17"/>
    <n v="21.82"/>
    <n v="21.99"/>
    <m/>
  </r>
  <r>
    <x v="13"/>
    <x v="1"/>
    <n v="2018"/>
    <n v="9"/>
    <s v="Sep"/>
    <x v="24"/>
    <n v="21"/>
    <x v="1"/>
    <n v="403.92"/>
    <n v="527.58000000000004"/>
    <n v="808.73"/>
    <n v="446.53"/>
    <n v="1740.23"/>
    <n v="2186.7600000000002"/>
    <m/>
  </r>
  <r>
    <x v="13"/>
    <x v="1"/>
    <n v="2018"/>
    <n v="9"/>
    <s v="Sep"/>
    <x v="25"/>
    <n v="34"/>
    <x v="0"/>
    <n v="18.899999999999999"/>
    <n v="29.82"/>
    <n v="111.9"/>
    <n v="0.2"/>
    <n v="160.62"/>
    <n v="160.82"/>
    <m/>
  </r>
  <r>
    <x v="13"/>
    <x v="1"/>
    <n v="2018"/>
    <n v="9"/>
    <s v="Sep"/>
    <x v="26"/>
    <n v="3"/>
    <x v="1"/>
    <n v="250.89"/>
    <n v="406.1"/>
    <n v="445.78"/>
    <n v="14.31"/>
    <n v="1102.77"/>
    <n v="1117.08"/>
    <m/>
  </r>
  <r>
    <x v="13"/>
    <x v="1"/>
    <n v="2018"/>
    <n v="9"/>
    <s v="Sep"/>
    <x v="27"/>
    <n v="8"/>
    <x v="1"/>
    <n v="559.53"/>
    <n v="773.57"/>
    <n v="781.36"/>
    <n v="129.02000000000001"/>
    <n v="2114.46"/>
    <n v="2243.48"/>
    <m/>
  </r>
  <r>
    <x v="13"/>
    <x v="1"/>
    <n v="2018"/>
    <n v="9"/>
    <s v="Sep"/>
    <x v="28"/>
    <n v="11"/>
    <x v="1"/>
    <n v="7.82"/>
    <n v="11.34"/>
    <n v="145.91999999999999"/>
    <n v="0.01"/>
    <n v="165.08"/>
    <n v="165.09"/>
    <m/>
  </r>
  <r>
    <x v="13"/>
    <x v="1"/>
    <n v="2018"/>
    <n v="9"/>
    <s v="Sep"/>
    <x v="29"/>
    <n v="33"/>
    <x v="1"/>
    <n v="1384.41"/>
    <n v="1976.47"/>
    <n v="1756.48"/>
    <n v="616.03"/>
    <n v="5117.3599999999997"/>
    <n v="5733.39"/>
    <m/>
  </r>
  <r>
    <x v="13"/>
    <x v="1"/>
    <n v="2018"/>
    <n v="9"/>
    <s v="Sep"/>
    <x v="30"/>
    <n v="36"/>
    <x v="1"/>
    <n v="614.97"/>
    <n v="854.31"/>
    <n v="784.23"/>
    <n v="468.28"/>
    <n v="2253.5100000000002"/>
    <n v="2721.79"/>
    <m/>
  </r>
  <r>
    <x v="13"/>
    <x v="1"/>
    <n v="2018"/>
    <n v="9"/>
    <s v="Sep"/>
    <x v="31"/>
    <n v="16"/>
    <x v="1"/>
    <n v="18.239999999999998"/>
    <n v="25.94"/>
    <n v="4.63"/>
    <n v="0.68"/>
    <n v="48.81"/>
    <n v="49.49"/>
    <m/>
  </r>
  <r>
    <x v="13"/>
    <x v="1"/>
    <n v="2018"/>
    <n v="9"/>
    <s v="Sep"/>
    <x v="32"/>
    <n v="9"/>
    <x v="1"/>
    <n v="917.49"/>
    <n v="1408.93"/>
    <n v="1438.67"/>
    <n v="1046.8499999999999"/>
    <n v="3765.09"/>
    <n v="4811.9399999999996"/>
    <m/>
  </r>
  <r>
    <x v="13"/>
    <x v="1"/>
    <n v="2018"/>
    <n v="9"/>
    <s v="Sep"/>
    <x v="33"/>
    <n v="5"/>
    <x v="1"/>
    <n v="157.81"/>
    <n v="289.72000000000003"/>
    <n v="779.54"/>
    <n v="19.52"/>
    <n v="1227.07"/>
    <n v="1246.5899999999999"/>
    <m/>
  </r>
  <r>
    <x v="13"/>
    <x v="1"/>
    <n v="2018"/>
    <n v="9"/>
    <s v="Sep"/>
    <x v="34"/>
    <n v="19"/>
    <x v="1"/>
    <n v="870.93"/>
    <n v="1150.44"/>
    <n v="799.75"/>
    <n v="309.05"/>
    <n v="2821.12"/>
    <n v="3130.17"/>
    <m/>
  </r>
  <r>
    <x v="14"/>
    <x v="1"/>
    <n v="2018"/>
    <n v="10"/>
    <s v="Oct"/>
    <x v="0"/>
    <n v="35"/>
    <x v="0"/>
    <n v="3.89"/>
    <n v="7.43"/>
    <n v="1.58"/>
    <n v="0"/>
    <n v="12.9"/>
    <n v="12.9"/>
    <m/>
  </r>
  <r>
    <x v="14"/>
    <x v="1"/>
    <n v="2018"/>
    <n v="10"/>
    <s v="Oct"/>
    <x v="1"/>
    <n v="28"/>
    <x v="1"/>
    <n v="548.30999999999995"/>
    <n v="786.62"/>
    <n v="856.42"/>
    <n v="20.9"/>
    <n v="2191.35"/>
    <n v="2212.25"/>
    <m/>
  </r>
  <r>
    <x v="14"/>
    <x v="1"/>
    <n v="2018"/>
    <n v="10"/>
    <s v="Oct"/>
    <x v="2"/>
    <n v="12"/>
    <x v="1"/>
    <n v="9.7899999999999991"/>
    <n v="14.67"/>
    <n v="3.25"/>
    <n v="0.49"/>
    <n v="27.71"/>
    <n v="28.2"/>
    <m/>
  </r>
  <r>
    <x v="14"/>
    <x v="1"/>
    <n v="2018"/>
    <n v="10"/>
    <s v="Oct"/>
    <x v="3"/>
    <n v="18"/>
    <x v="1"/>
    <n v="203.19"/>
    <n v="288.75"/>
    <n v="227"/>
    <n v="37.85"/>
    <n v="718.94"/>
    <n v="756.79"/>
    <m/>
  </r>
  <r>
    <x v="14"/>
    <x v="1"/>
    <n v="2018"/>
    <n v="10"/>
    <s v="Oct"/>
    <x v="4"/>
    <n v="10"/>
    <x v="1"/>
    <n v="197.94"/>
    <n v="397.09"/>
    <n v="92.46"/>
    <n v="124.94"/>
    <n v="687.49"/>
    <n v="812.43"/>
    <m/>
  </r>
  <r>
    <x v="14"/>
    <x v="1"/>
    <n v="2018"/>
    <n v="10"/>
    <s v="Oct"/>
    <x v="5"/>
    <n v="4"/>
    <x v="0"/>
    <n v="26.08"/>
    <n v="34.78"/>
    <n v="80.06"/>
    <n v="0.3"/>
    <n v="140.91999999999999"/>
    <n v="141.22"/>
    <m/>
  </r>
  <r>
    <x v="14"/>
    <x v="1"/>
    <n v="2018"/>
    <n v="10"/>
    <s v="Oct"/>
    <x v="6"/>
    <n v="22"/>
    <x v="1"/>
    <n v="321.97000000000003"/>
    <n v="423.92"/>
    <n v="523.27"/>
    <n v="467.54"/>
    <n v="1269.1600000000001"/>
    <n v="1736.7"/>
    <m/>
  </r>
  <r>
    <x v="14"/>
    <x v="1"/>
    <n v="2018"/>
    <n v="10"/>
    <s v="Oct"/>
    <x v="7"/>
    <n v="38"/>
    <x v="0"/>
    <n v="25.55"/>
    <n v="37.619999999999997"/>
    <n v="178.73"/>
    <n v="0.05"/>
    <n v="241.9"/>
    <n v="241.95"/>
    <m/>
  </r>
  <r>
    <x v="14"/>
    <x v="1"/>
    <n v="2018"/>
    <n v="10"/>
    <s v="Oct"/>
    <x v="8"/>
    <n v="7"/>
    <x v="0"/>
    <n v="666.38"/>
    <n v="859.74"/>
    <n v="1671.1"/>
    <n v="89.82"/>
    <n v="3197.22"/>
    <n v="3287.04"/>
    <m/>
  </r>
  <r>
    <x v="14"/>
    <x v="1"/>
    <n v="2018"/>
    <n v="10"/>
    <s v="Oct"/>
    <x v="9"/>
    <n v="30"/>
    <x v="1"/>
    <n v="76.39"/>
    <n v="112.69"/>
    <n v="122.16"/>
    <n v="1.46"/>
    <n v="311.24"/>
    <n v="312.7"/>
    <m/>
  </r>
  <r>
    <x v="14"/>
    <x v="1"/>
    <n v="2018"/>
    <n v="10"/>
    <s v="Oct"/>
    <x v="10"/>
    <n v="24"/>
    <x v="1"/>
    <n v="1591.84"/>
    <n v="1998.91"/>
    <n v="2260.9699999999998"/>
    <n v="307.48"/>
    <n v="5851.72"/>
    <n v="6159.2"/>
    <m/>
  </r>
  <r>
    <x v="14"/>
    <x v="1"/>
    <n v="2018"/>
    <n v="10"/>
    <s v="Oct"/>
    <x v="11"/>
    <n v="6"/>
    <x v="1"/>
    <n v="707.76"/>
    <n v="1053.8399999999999"/>
    <n v="2373.9499999999998"/>
    <n v="325.75"/>
    <n v="4135.55"/>
    <n v="4461.3"/>
    <m/>
  </r>
  <r>
    <x v="14"/>
    <x v="1"/>
    <n v="2018"/>
    <n v="10"/>
    <s v="Oct"/>
    <x v="12"/>
    <n v="2"/>
    <x v="1"/>
    <n v="78.77"/>
    <n v="124.54"/>
    <n v="445.78"/>
    <n v="1.55"/>
    <n v="649.09"/>
    <n v="650.64"/>
    <m/>
  </r>
  <r>
    <x v="14"/>
    <x v="1"/>
    <n v="2018"/>
    <n v="10"/>
    <s v="Oct"/>
    <x v="13"/>
    <n v="1"/>
    <x v="0"/>
    <n v="84.91"/>
    <n v="133.22999999999999"/>
    <n v="103.03"/>
    <n v="2.89"/>
    <n v="321.17"/>
    <n v="324.06"/>
    <m/>
  </r>
  <r>
    <x v="14"/>
    <x v="1"/>
    <n v="2018"/>
    <n v="10"/>
    <s v="Oct"/>
    <x v="14"/>
    <n v="20"/>
    <x v="1"/>
    <n v="359.99"/>
    <n v="469.16"/>
    <n v="894.17"/>
    <n v="368.01"/>
    <n v="1723.32"/>
    <n v="2091.33"/>
    <m/>
  </r>
  <r>
    <x v="14"/>
    <x v="1"/>
    <n v="2018"/>
    <n v="10"/>
    <s v="Oct"/>
    <x v="15"/>
    <n v="29"/>
    <x v="1"/>
    <n v="1385.81"/>
    <n v="1880.13"/>
    <n v="2445.1799999999998"/>
    <n v="876.38"/>
    <n v="5711.12"/>
    <n v="6587.5"/>
    <m/>
  </r>
  <r>
    <x v="14"/>
    <x v="1"/>
    <n v="2018"/>
    <n v="10"/>
    <s v="Oct"/>
    <x v="16"/>
    <n v="32"/>
    <x v="1"/>
    <n v="451.48"/>
    <n v="787.77"/>
    <n v="256.72000000000003"/>
    <n v="4.66"/>
    <n v="1495.97"/>
    <n v="1500.63"/>
    <m/>
  </r>
  <r>
    <x v="14"/>
    <x v="1"/>
    <n v="2018"/>
    <n v="10"/>
    <s v="Oct"/>
    <x v="17"/>
    <n v="31"/>
    <x v="0"/>
    <n v="0.04"/>
    <n v="0.05"/>
    <n v="0.05"/>
    <n v="0"/>
    <n v="0.14000000000000001"/>
    <n v="0.14000000000000001"/>
    <m/>
  </r>
  <r>
    <x v="14"/>
    <x v="1"/>
    <n v="2018"/>
    <n v="10"/>
    <s v="Oct"/>
    <x v="18"/>
    <n v="23"/>
    <x v="1"/>
    <n v="435.69"/>
    <n v="640.66"/>
    <n v="514.66"/>
    <n v="401.5"/>
    <n v="1591.01"/>
    <n v="1992.51"/>
    <m/>
  </r>
  <r>
    <x v="14"/>
    <x v="1"/>
    <n v="2018"/>
    <n v="10"/>
    <s v="Oct"/>
    <x v="19"/>
    <n v="27"/>
    <x v="1"/>
    <n v="3671.84"/>
    <n v="4595.09"/>
    <n v="5314.06"/>
    <n v="953.39"/>
    <n v="13580.99"/>
    <n v="14534.38"/>
    <m/>
  </r>
  <r>
    <x v="14"/>
    <x v="1"/>
    <n v="2018"/>
    <n v="10"/>
    <s v="Oct"/>
    <x v="20"/>
    <n v="14"/>
    <x v="1"/>
    <n v="7.76"/>
    <n v="15.18"/>
    <n v="1.23"/>
    <n v="0.15"/>
    <n v="24.17"/>
    <n v="24.32"/>
    <m/>
  </r>
  <r>
    <x v="14"/>
    <x v="1"/>
    <n v="2018"/>
    <n v="10"/>
    <s v="Oct"/>
    <x v="21"/>
    <n v="17"/>
    <x v="1"/>
    <n v="16.260000000000002"/>
    <n v="25.76"/>
    <n v="52.4"/>
    <n v="1.18"/>
    <n v="94.42"/>
    <n v="95.6"/>
    <m/>
  </r>
  <r>
    <x v="14"/>
    <x v="1"/>
    <n v="2018"/>
    <n v="10"/>
    <s v="Oct"/>
    <x v="22"/>
    <n v="15"/>
    <x v="1"/>
    <n v="2.42"/>
    <n v="5.01"/>
    <n v="2.77"/>
    <n v="0"/>
    <n v="10.199999999999999"/>
    <n v="10.199999999999999"/>
    <m/>
  </r>
  <r>
    <x v="14"/>
    <x v="1"/>
    <n v="2018"/>
    <n v="10"/>
    <s v="Oct"/>
    <x v="23"/>
    <n v="13"/>
    <x v="1"/>
    <n v="4.8099999999999996"/>
    <n v="8"/>
    <n v="5.25"/>
    <n v="0.52"/>
    <n v="18.059999999999999"/>
    <n v="18.579999999999998"/>
    <m/>
  </r>
  <r>
    <x v="14"/>
    <x v="1"/>
    <n v="2018"/>
    <n v="10"/>
    <s v="Oct"/>
    <x v="24"/>
    <n v="21"/>
    <x v="1"/>
    <n v="423.29"/>
    <n v="555.94000000000005"/>
    <n v="755.75"/>
    <n v="454.71"/>
    <n v="1734.98"/>
    <n v="2189.69"/>
    <m/>
  </r>
  <r>
    <x v="14"/>
    <x v="1"/>
    <n v="2018"/>
    <n v="10"/>
    <s v="Oct"/>
    <x v="25"/>
    <n v="34"/>
    <x v="0"/>
    <n v="18.72"/>
    <n v="30.56"/>
    <n v="91.66"/>
    <n v="0.09"/>
    <n v="140.94"/>
    <n v="141.03"/>
    <m/>
  </r>
  <r>
    <x v="14"/>
    <x v="1"/>
    <n v="2018"/>
    <n v="10"/>
    <s v="Oct"/>
    <x v="26"/>
    <n v="3"/>
    <x v="1"/>
    <n v="268.77999999999997"/>
    <n v="431.2"/>
    <n v="417.09"/>
    <n v="12.39"/>
    <n v="1117.07"/>
    <n v="1129.46"/>
    <m/>
  </r>
  <r>
    <x v="14"/>
    <x v="1"/>
    <n v="2018"/>
    <n v="10"/>
    <s v="Oct"/>
    <x v="27"/>
    <n v="8"/>
    <x v="1"/>
    <n v="672.05"/>
    <n v="949.11"/>
    <n v="820.3"/>
    <n v="112.44"/>
    <n v="2441.46"/>
    <n v="2553.9"/>
    <m/>
  </r>
  <r>
    <x v="14"/>
    <x v="1"/>
    <n v="2018"/>
    <n v="10"/>
    <s v="Oct"/>
    <x v="28"/>
    <n v="11"/>
    <x v="1"/>
    <n v="9.89"/>
    <n v="15.23"/>
    <n v="115.51"/>
    <n v="0.32"/>
    <n v="140.63"/>
    <n v="140.94999999999999"/>
    <m/>
  </r>
  <r>
    <x v="14"/>
    <x v="1"/>
    <n v="2018"/>
    <n v="10"/>
    <s v="Oct"/>
    <x v="29"/>
    <n v="33"/>
    <x v="1"/>
    <n v="1389.87"/>
    <n v="2045.88"/>
    <n v="1902.12"/>
    <n v="752.69"/>
    <n v="5337.87"/>
    <n v="6090.56"/>
    <m/>
  </r>
  <r>
    <x v="14"/>
    <x v="1"/>
    <n v="2018"/>
    <n v="10"/>
    <s v="Oct"/>
    <x v="30"/>
    <n v="36"/>
    <x v="1"/>
    <n v="646.02"/>
    <n v="904.44"/>
    <n v="820.14"/>
    <n v="522.32000000000005"/>
    <n v="2370.6"/>
    <n v="2892.92"/>
    <m/>
  </r>
  <r>
    <x v="14"/>
    <x v="1"/>
    <n v="2018"/>
    <n v="10"/>
    <s v="Oct"/>
    <x v="31"/>
    <n v="16"/>
    <x v="1"/>
    <n v="15.31"/>
    <n v="23.78"/>
    <n v="4.95"/>
    <n v="0.27"/>
    <n v="44.04"/>
    <n v="44.31"/>
    <m/>
  </r>
  <r>
    <x v="14"/>
    <x v="1"/>
    <n v="2018"/>
    <n v="10"/>
    <s v="Oct"/>
    <x v="32"/>
    <n v="9"/>
    <x v="1"/>
    <n v="1023.37"/>
    <n v="1580.76"/>
    <n v="1327.72"/>
    <n v="903.22"/>
    <n v="3931.85"/>
    <n v="4835.07"/>
    <m/>
  </r>
  <r>
    <x v="14"/>
    <x v="1"/>
    <n v="2018"/>
    <n v="10"/>
    <s v="Oct"/>
    <x v="33"/>
    <n v="5"/>
    <x v="1"/>
    <n v="179.39"/>
    <n v="341.43"/>
    <n v="868.64"/>
    <n v="21.38"/>
    <n v="1389.46"/>
    <n v="1410.84"/>
    <m/>
  </r>
  <r>
    <x v="14"/>
    <x v="1"/>
    <n v="2018"/>
    <n v="10"/>
    <s v="Oct"/>
    <x v="34"/>
    <n v="19"/>
    <x v="1"/>
    <n v="921.37"/>
    <n v="1223.78"/>
    <n v="811.59"/>
    <n v="278.66000000000003"/>
    <n v="2956.74"/>
    <n v="3235.4"/>
    <m/>
  </r>
  <r>
    <x v="15"/>
    <x v="1"/>
    <n v="2018"/>
    <n v="11"/>
    <s v="Nov"/>
    <x v="0"/>
    <n v="35"/>
    <x v="0"/>
    <n v="12.67"/>
    <n v="16.59"/>
    <n v="1.45"/>
    <n v="7.0000000000000007E-2"/>
    <n v="30.71"/>
    <n v="30.78"/>
    <m/>
  </r>
  <r>
    <x v="15"/>
    <x v="1"/>
    <n v="2018"/>
    <n v="11"/>
    <s v="Nov"/>
    <x v="1"/>
    <n v="28"/>
    <x v="1"/>
    <n v="528.97"/>
    <n v="741.88"/>
    <n v="858.34"/>
    <n v="15.73"/>
    <n v="2129.19"/>
    <n v="2144.92"/>
    <m/>
  </r>
  <r>
    <x v="15"/>
    <x v="1"/>
    <n v="2018"/>
    <n v="11"/>
    <s v="Nov"/>
    <x v="2"/>
    <n v="12"/>
    <x v="1"/>
    <n v="6.47"/>
    <n v="11.59"/>
    <n v="3.54"/>
    <n v="0.11"/>
    <n v="21.6"/>
    <n v="21.71"/>
    <m/>
  </r>
  <r>
    <x v="15"/>
    <x v="1"/>
    <n v="2018"/>
    <n v="11"/>
    <s v="Nov"/>
    <x v="3"/>
    <n v="18"/>
    <x v="1"/>
    <n v="203.03"/>
    <n v="275.19"/>
    <n v="218.37"/>
    <n v="42.9"/>
    <n v="696.59"/>
    <n v="739.49"/>
    <m/>
  </r>
  <r>
    <x v="15"/>
    <x v="1"/>
    <n v="2018"/>
    <n v="11"/>
    <s v="Nov"/>
    <x v="4"/>
    <n v="10"/>
    <x v="1"/>
    <n v="217.43"/>
    <n v="393.99"/>
    <n v="141.33000000000001"/>
    <n v="161.93"/>
    <n v="752.75"/>
    <n v="914.68"/>
    <m/>
  </r>
  <r>
    <x v="15"/>
    <x v="1"/>
    <n v="2018"/>
    <n v="11"/>
    <s v="Nov"/>
    <x v="5"/>
    <n v="4"/>
    <x v="0"/>
    <n v="30.18"/>
    <n v="40.81"/>
    <n v="74.400000000000006"/>
    <n v="0.12"/>
    <n v="145.38999999999999"/>
    <n v="145.51"/>
    <m/>
  </r>
  <r>
    <x v="15"/>
    <x v="1"/>
    <n v="2018"/>
    <n v="11"/>
    <s v="Nov"/>
    <x v="6"/>
    <n v="22"/>
    <x v="1"/>
    <n v="322.52"/>
    <n v="410.95"/>
    <n v="721.94"/>
    <n v="549.88"/>
    <n v="1455.41"/>
    <n v="2005.29"/>
    <m/>
  </r>
  <r>
    <x v="15"/>
    <x v="1"/>
    <n v="2018"/>
    <n v="11"/>
    <s v="Nov"/>
    <x v="7"/>
    <n v="38"/>
    <x v="0"/>
    <n v="23.27"/>
    <n v="32.17"/>
    <n v="173.37"/>
    <n v="0.04"/>
    <n v="228.81"/>
    <n v="228.85"/>
    <m/>
  </r>
  <r>
    <x v="15"/>
    <x v="1"/>
    <n v="2018"/>
    <n v="11"/>
    <s v="Nov"/>
    <x v="8"/>
    <n v="7"/>
    <x v="0"/>
    <n v="670.85"/>
    <n v="878.22"/>
    <n v="1632.11"/>
    <n v="95.54"/>
    <n v="3181.18"/>
    <n v="3276.72"/>
    <m/>
  </r>
  <r>
    <x v="15"/>
    <x v="1"/>
    <n v="2018"/>
    <n v="11"/>
    <s v="Nov"/>
    <x v="9"/>
    <n v="30"/>
    <x v="1"/>
    <n v="75.97"/>
    <n v="112.42"/>
    <n v="134.87"/>
    <n v="2.1800000000000002"/>
    <n v="323.26"/>
    <n v="325.44"/>
    <m/>
  </r>
  <r>
    <x v="15"/>
    <x v="1"/>
    <n v="2018"/>
    <n v="11"/>
    <s v="Nov"/>
    <x v="10"/>
    <n v="24"/>
    <x v="1"/>
    <n v="1626.01"/>
    <n v="2124.8200000000002"/>
    <n v="1960.7"/>
    <n v="352.18"/>
    <n v="5711.53"/>
    <n v="6063.71"/>
    <m/>
  </r>
  <r>
    <x v="15"/>
    <x v="1"/>
    <n v="2018"/>
    <n v="11"/>
    <s v="Nov"/>
    <x v="11"/>
    <n v="6"/>
    <x v="1"/>
    <n v="779.12"/>
    <n v="1068.69"/>
    <n v="2522.08"/>
    <n v="307.7"/>
    <n v="4369.8900000000003"/>
    <n v="4677.59"/>
    <m/>
  </r>
  <r>
    <x v="15"/>
    <x v="1"/>
    <n v="2018"/>
    <n v="11"/>
    <s v="Nov"/>
    <x v="12"/>
    <n v="2"/>
    <x v="1"/>
    <n v="97.55"/>
    <n v="141.13"/>
    <n v="427.71"/>
    <n v="0.99"/>
    <n v="666.39"/>
    <n v="667.38"/>
    <m/>
  </r>
  <r>
    <x v="15"/>
    <x v="1"/>
    <n v="2018"/>
    <n v="11"/>
    <s v="Nov"/>
    <x v="13"/>
    <n v="1"/>
    <x v="0"/>
    <n v="75.86"/>
    <n v="126.52"/>
    <n v="82.08"/>
    <n v="1.83"/>
    <n v="284.45999999999998"/>
    <n v="286.29000000000002"/>
    <m/>
  </r>
  <r>
    <x v="15"/>
    <x v="1"/>
    <n v="2018"/>
    <n v="11"/>
    <s v="Nov"/>
    <x v="14"/>
    <n v="20"/>
    <x v="1"/>
    <n v="310.08999999999997"/>
    <n v="425.2"/>
    <n v="872.31"/>
    <n v="408.15"/>
    <n v="1607.6"/>
    <n v="2015.75"/>
    <m/>
  </r>
  <r>
    <x v="15"/>
    <x v="1"/>
    <n v="2018"/>
    <n v="11"/>
    <s v="Nov"/>
    <x v="15"/>
    <n v="29"/>
    <x v="1"/>
    <n v="1373.42"/>
    <n v="1862.27"/>
    <n v="2486.7399999999998"/>
    <n v="776.08"/>
    <n v="5722.43"/>
    <n v="6498.51"/>
    <m/>
  </r>
  <r>
    <x v="15"/>
    <x v="1"/>
    <n v="2018"/>
    <n v="11"/>
    <s v="Nov"/>
    <x v="16"/>
    <n v="32"/>
    <x v="1"/>
    <n v="440.65"/>
    <n v="676.36"/>
    <n v="218.21"/>
    <n v="4.13"/>
    <n v="1335.22"/>
    <n v="1339.35"/>
    <m/>
  </r>
  <r>
    <x v="15"/>
    <x v="1"/>
    <n v="2018"/>
    <n v="11"/>
    <s v="Nov"/>
    <x v="17"/>
    <n v="31"/>
    <x v="0"/>
    <n v="0.28000000000000003"/>
    <n v="0.57999999999999996"/>
    <n v="0.02"/>
    <n v="0"/>
    <n v="0.88"/>
    <n v="0.88"/>
    <m/>
  </r>
  <r>
    <x v="15"/>
    <x v="1"/>
    <n v="2018"/>
    <n v="11"/>
    <s v="Nov"/>
    <x v="18"/>
    <n v="23"/>
    <x v="1"/>
    <n v="477.85"/>
    <n v="651.16999999999996"/>
    <n v="580.91"/>
    <n v="414.15"/>
    <n v="1709.93"/>
    <n v="2124.08"/>
    <m/>
  </r>
  <r>
    <x v="15"/>
    <x v="1"/>
    <n v="2018"/>
    <n v="11"/>
    <s v="Nov"/>
    <x v="19"/>
    <n v="27"/>
    <x v="1"/>
    <n v="3784.05"/>
    <n v="4771.82"/>
    <n v="4452.76"/>
    <n v="924.68"/>
    <n v="13008.63"/>
    <n v="13933.31"/>
    <m/>
  </r>
  <r>
    <x v="15"/>
    <x v="1"/>
    <n v="2018"/>
    <n v="11"/>
    <s v="Nov"/>
    <x v="20"/>
    <n v="14"/>
    <x v="1"/>
    <n v="6.75"/>
    <n v="11.49"/>
    <n v="3.19"/>
    <n v="0.06"/>
    <n v="21.43"/>
    <n v="21.49"/>
    <m/>
  </r>
  <r>
    <x v="15"/>
    <x v="1"/>
    <n v="2018"/>
    <n v="11"/>
    <s v="Nov"/>
    <x v="21"/>
    <n v="17"/>
    <x v="1"/>
    <n v="13.2"/>
    <n v="20.36"/>
    <n v="66.3"/>
    <n v="1.43"/>
    <n v="99.86"/>
    <n v="101.29"/>
    <m/>
  </r>
  <r>
    <x v="15"/>
    <x v="1"/>
    <n v="2018"/>
    <n v="11"/>
    <s v="Nov"/>
    <x v="22"/>
    <n v="15"/>
    <x v="1"/>
    <n v="4.6500000000000004"/>
    <n v="7.6"/>
    <n v="3.4"/>
    <n v="0.14000000000000001"/>
    <n v="15.65"/>
    <n v="15.79"/>
    <m/>
  </r>
  <r>
    <x v="15"/>
    <x v="1"/>
    <n v="2018"/>
    <n v="11"/>
    <s v="Nov"/>
    <x v="23"/>
    <n v="13"/>
    <x v="1"/>
    <n v="4.2"/>
    <n v="6.38"/>
    <n v="3.98"/>
    <n v="0.53"/>
    <n v="14.56"/>
    <n v="15.09"/>
    <m/>
  </r>
  <r>
    <x v="15"/>
    <x v="1"/>
    <n v="2018"/>
    <n v="11"/>
    <s v="Nov"/>
    <x v="24"/>
    <n v="21"/>
    <x v="1"/>
    <n v="424.62"/>
    <n v="551.02"/>
    <n v="895.26"/>
    <n v="503.4"/>
    <n v="1870.9"/>
    <n v="2374.3000000000002"/>
    <m/>
  </r>
  <r>
    <x v="15"/>
    <x v="1"/>
    <n v="2018"/>
    <n v="11"/>
    <s v="Nov"/>
    <x v="25"/>
    <n v="34"/>
    <x v="0"/>
    <n v="18.75"/>
    <n v="30.75"/>
    <n v="117.52"/>
    <n v="3.18"/>
    <n v="167.02"/>
    <n v="170.2"/>
    <m/>
  </r>
  <r>
    <x v="15"/>
    <x v="1"/>
    <n v="2018"/>
    <n v="11"/>
    <s v="Nov"/>
    <x v="26"/>
    <n v="3"/>
    <x v="1"/>
    <n v="270.58999999999997"/>
    <n v="469.34"/>
    <n v="472.79"/>
    <n v="7.04"/>
    <n v="1212.72"/>
    <n v="1219.76"/>
    <m/>
  </r>
  <r>
    <x v="15"/>
    <x v="1"/>
    <n v="2018"/>
    <n v="11"/>
    <s v="Nov"/>
    <x v="27"/>
    <n v="8"/>
    <x v="1"/>
    <n v="691.17"/>
    <n v="970.8"/>
    <n v="877.69"/>
    <n v="124.38"/>
    <n v="2539.66"/>
    <n v="2664.04"/>
    <m/>
  </r>
  <r>
    <x v="15"/>
    <x v="1"/>
    <n v="2018"/>
    <n v="11"/>
    <s v="Nov"/>
    <x v="28"/>
    <n v="11"/>
    <x v="1"/>
    <n v="10.01"/>
    <n v="19.5"/>
    <n v="118.82"/>
    <n v="0.1"/>
    <n v="148.33000000000001"/>
    <n v="148.43"/>
    <m/>
  </r>
  <r>
    <x v="15"/>
    <x v="1"/>
    <n v="2018"/>
    <n v="11"/>
    <s v="Nov"/>
    <x v="29"/>
    <n v="33"/>
    <x v="1"/>
    <n v="1462.3"/>
    <n v="2073.2399999999998"/>
    <n v="1747.47"/>
    <n v="530.33000000000004"/>
    <n v="5283.01"/>
    <n v="5813.34"/>
    <m/>
  </r>
  <r>
    <x v="15"/>
    <x v="1"/>
    <n v="2018"/>
    <n v="11"/>
    <s v="Nov"/>
    <x v="30"/>
    <n v="36"/>
    <x v="1"/>
    <n v="717.16"/>
    <n v="1004.77"/>
    <n v="795.38"/>
    <n v="549.22"/>
    <n v="2517.31"/>
    <n v="3066.53"/>
    <m/>
  </r>
  <r>
    <x v="15"/>
    <x v="1"/>
    <n v="2018"/>
    <n v="11"/>
    <s v="Nov"/>
    <x v="31"/>
    <n v="16"/>
    <x v="1"/>
    <n v="15.39"/>
    <n v="21.59"/>
    <n v="4.28"/>
    <n v="0.1"/>
    <n v="41.26"/>
    <n v="41.36"/>
    <m/>
  </r>
  <r>
    <x v="15"/>
    <x v="1"/>
    <n v="2018"/>
    <n v="11"/>
    <s v="Nov"/>
    <x v="32"/>
    <n v="9"/>
    <x v="1"/>
    <n v="1048.55"/>
    <n v="1616.45"/>
    <n v="1386.28"/>
    <n v="1107.06"/>
    <n v="4051.28"/>
    <n v="5158.34"/>
    <m/>
  </r>
  <r>
    <x v="15"/>
    <x v="1"/>
    <n v="2018"/>
    <n v="11"/>
    <s v="Nov"/>
    <x v="33"/>
    <n v="5"/>
    <x v="1"/>
    <n v="167.82"/>
    <n v="339.53"/>
    <n v="616.85"/>
    <n v="23.36"/>
    <n v="1124.2"/>
    <n v="1147.56"/>
    <m/>
  </r>
  <r>
    <x v="15"/>
    <x v="1"/>
    <n v="2018"/>
    <n v="11"/>
    <s v="Nov"/>
    <x v="34"/>
    <n v="19"/>
    <x v="1"/>
    <n v="873.78"/>
    <n v="1125.81"/>
    <n v="755.08"/>
    <n v="280.11"/>
    <n v="2754.67"/>
    <n v="3034.78"/>
    <m/>
  </r>
  <r>
    <x v="16"/>
    <x v="1"/>
    <n v="2018"/>
    <n v="12"/>
    <s v="Dec"/>
    <x v="0"/>
    <n v="35"/>
    <x v="0"/>
    <n v="7.57"/>
    <n v="11.78"/>
    <n v="2.54"/>
    <n v="0"/>
    <n v="21.89"/>
    <n v="21.89"/>
    <m/>
  </r>
  <r>
    <x v="16"/>
    <x v="1"/>
    <n v="2018"/>
    <n v="12"/>
    <s v="Dec"/>
    <x v="1"/>
    <n v="28"/>
    <x v="1"/>
    <n v="503.75"/>
    <n v="697.53"/>
    <n v="831.58"/>
    <n v="15.9"/>
    <n v="2032.86"/>
    <n v="2048.7600000000002"/>
    <m/>
  </r>
  <r>
    <x v="16"/>
    <x v="1"/>
    <n v="2018"/>
    <n v="12"/>
    <s v="Dec"/>
    <x v="2"/>
    <n v="12"/>
    <x v="1"/>
    <n v="9.25"/>
    <n v="12.41"/>
    <n v="4.18"/>
    <n v="0.11"/>
    <n v="25.84"/>
    <n v="25.95"/>
    <m/>
  </r>
  <r>
    <x v="16"/>
    <x v="1"/>
    <n v="2018"/>
    <n v="12"/>
    <s v="Dec"/>
    <x v="3"/>
    <n v="18"/>
    <x v="1"/>
    <n v="198.43"/>
    <n v="270"/>
    <n v="231.22"/>
    <n v="43.52"/>
    <n v="699.65"/>
    <n v="743.17"/>
    <m/>
  </r>
  <r>
    <x v="16"/>
    <x v="1"/>
    <n v="2018"/>
    <n v="12"/>
    <s v="Dec"/>
    <x v="4"/>
    <n v="10"/>
    <x v="1"/>
    <n v="220.52"/>
    <n v="393.52"/>
    <n v="118.85"/>
    <n v="176.37"/>
    <n v="732.89"/>
    <n v="909.26"/>
    <m/>
  </r>
  <r>
    <x v="16"/>
    <x v="1"/>
    <n v="2018"/>
    <n v="12"/>
    <s v="Dec"/>
    <x v="5"/>
    <n v="4"/>
    <x v="0"/>
    <n v="28.68"/>
    <n v="40.64"/>
    <n v="73.33"/>
    <n v="0.22"/>
    <n v="142.65"/>
    <n v="142.87"/>
    <m/>
  </r>
  <r>
    <x v="16"/>
    <x v="1"/>
    <n v="2018"/>
    <n v="12"/>
    <s v="Dec"/>
    <x v="6"/>
    <n v="22"/>
    <x v="1"/>
    <n v="314.83999999999997"/>
    <n v="409.71"/>
    <n v="554.25"/>
    <n v="573.20000000000005"/>
    <n v="1278.8"/>
    <n v="1852"/>
    <m/>
  </r>
  <r>
    <x v="16"/>
    <x v="1"/>
    <n v="2018"/>
    <n v="12"/>
    <s v="Dec"/>
    <x v="7"/>
    <n v="38"/>
    <x v="0"/>
    <n v="24.77"/>
    <n v="34.29"/>
    <n v="146.28"/>
    <n v="0.03"/>
    <n v="205.34"/>
    <n v="205.37"/>
    <m/>
  </r>
  <r>
    <x v="16"/>
    <x v="1"/>
    <n v="2018"/>
    <n v="12"/>
    <s v="Dec"/>
    <x v="8"/>
    <n v="7"/>
    <x v="0"/>
    <n v="651.25"/>
    <n v="845.01"/>
    <n v="1560.65"/>
    <n v="89.23"/>
    <n v="3056.91"/>
    <n v="3146.14"/>
    <m/>
  </r>
  <r>
    <x v="16"/>
    <x v="1"/>
    <n v="2018"/>
    <n v="12"/>
    <s v="Dec"/>
    <x v="9"/>
    <n v="30"/>
    <x v="1"/>
    <n v="90.59"/>
    <n v="126.43"/>
    <n v="122.79"/>
    <n v="2.2200000000000002"/>
    <n v="339.81"/>
    <n v="342.03"/>
    <m/>
  </r>
  <r>
    <x v="16"/>
    <x v="1"/>
    <n v="2018"/>
    <n v="12"/>
    <s v="Dec"/>
    <x v="10"/>
    <n v="24"/>
    <x v="1"/>
    <n v="1514.08"/>
    <n v="1971.89"/>
    <n v="1850.79"/>
    <n v="282.38"/>
    <n v="5336.76"/>
    <n v="5619.14"/>
    <m/>
  </r>
  <r>
    <x v="16"/>
    <x v="1"/>
    <n v="2018"/>
    <n v="12"/>
    <s v="Dec"/>
    <x v="11"/>
    <n v="6"/>
    <x v="1"/>
    <n v="657.02"/>
    <n v="971.08"/>
    <n v="2690.77"/>
    <n v="327.43"/>
    <n v="4318.87"/>
    <n v="4646.3"/>
    <m/>
  </r>
  <r>
    <x v="16"/>
    <x v="1"/>
    <n v="2018"/>
    <n v="12"/>
    <s v="Dec"/>
    <x v="12"/>
    <n v="2"/>
    <x v="1"/>
    <n v="89.7"/>
    <n v="139.61000000000001"/>
    <n v="364.69"/>
    <n v="0.73"/>
    <n v="594"/>
    <n v="594.73"/>
    <m/>
  </r>
  <r>
    <x v="16"/>
    <x v="1"/>
    <n v="2018"/>
    <n v="12"/>
    <s v="Dec"/>
    <x v="13"/>
    <n v="1"/>
    <x v="0"/>
    <n v="77.94"/>
    <n v="135.15"/>
    <n v="78.59"/>
    <n v="0.87"/>
    <n v="291.68"/>
    <n v="292.55"/>
    <m/>
  </r>
  <r>
    <x v="16"/>
    <x v="1"/>
    <n v="2018"/>
    <n v="12"/>
    <s v="Dec"/>
    <x v="14"/>
    <n v="20"/>
    <x v="1"/>
    <n v="298.32"/>
    <n v="411.15"/>
    <n v="855.44"/>
    <n v="430.57"/>
    <n v="1564.91"/>
    <n v="1995.48"/>
    <m/>
  </r>
  <r>
    <x v="16"/>
    <x v="1"/>
    <n v="2018"/>
    <n v="12"/>
    <s v="Dec"/>
    <x v="15"/>
    <n v="29"/>
    <x v="1"/>
    <n v="1453.78"/>
    <n v="1950.98"/>
    <n v="2021.54"/>
    <n v="782.34"/>
    <n v="5426.3"/>
    <n v="6208.64"/>
    <m/>
  </r>
  <r>
    <x v="16"/>
    <x v="1"/>
    <n v="2018"/>
    <n v="12"/>
    <s v="Dec"/>
    <x v="16"/>
    <n v="32"/>
    <x v="1"/>
    <n v="461.35"/>
    <n v="722.55"/>
    <n v="227.61"/>
    <n v="4.45"/>
    <n v="1411.51"/>
    <n v="1415.96"/>
    <m/>
  </r>
  <r>
    <x v="16"/>
    <x v="1"/>
    <n v="2018"/>
    <n v="12"/>
    <s v="Dec"/>
    <x v="17"/>
    <n v="31"/>
    <x v="0"/>
    <n v="1.67"/>
    <n v="1.85"/>
    <n v="0.03"/>
    <n v="0"/>
    <n v="3.55"/>
    <n v="3.55"/>
    <m/>
  </r>
  <r>
    <x v="16"/>
    <x v="1"/>
    <n v="2018"/>
    <n v="12"/>
    <s v="Dec"/>
    <x v="18"/>
    <n v="23"/>
    <x v="1"/>
    <n v="478.27"/>
    <n v="663.38"/>
    <n v="560.78"/>
    <n v="391.92"/>
    <n v="1702.43"/>
    <n v="2094.35"/>
    <m/>
  </r>
  <r>
    <x v="16"/>
    <x v="1"/>
    <n v="2018"/>
    <n v="12"/>
    <s v="Dec"/>
    <x v="19"/>
    <n v="27"/>
    <x v="1"/>
    <n v="3689.91"/>
    <n v="4503.08"/>
    <n v="4517.03"/>
    <n v="814.08"/>
    <n v="12710.02"/>
    <n v="13524.1"/>
    <m/>
  </r>
  <r>
    <x v="16"/>
    <x v="1"/>
    <n v="2018"/>
    <n v="12"/>
    <s v="Dec"/>
    <x v="20"/>
    <n v="14"/>
    <x v="1"/>
    <n v="9.77"/>
    <n v="15.65"/>
    <n v="1.44"/>
    <n v="0.25"/>
    <n v="26.86"/>
    <n v="27.11"/>
    <m/>
  </r>
  <r>
    <x v="16"/>
    <x v="1"/>
    <n v="2018"/>
    <n v="12"/>
    <s v="Dec"/>
    <x v="21"/>
    <n v="17"/>
    <x v="1"/>
    <n v="14.05"/>
    <n v="20.98"/>
    <n v="72.87"/>
    <n v="0.14000000000000001"/>
    <n v="107.9"/>
    <n v="108.04"/>
    <m/>
  </r>
  <r>
    <x v="16"/>
    <x v="1"/>
    <n v="2018"/>
    <n v="12"/>
    <s v="Dec"/>
    <x v="22"/>
    <n v="15"/>
    <x v="1"/>
    <n v="3.58"/>
    <n v="6.07"/>
    <n v="3.31"/>
    <n v="0.11"/>
    <n v="12.96"/>
    <n v="13.07"/>
    <m/>
  </r>
  <r>
    <x v="16"/>
    <x v="1"/>
    <n v="2018"/>
    <n v="12"/>
    <s v="Dec"/>
    <x v="23"/>
    <n v="13"/>
    <x v="1"/>
    <n v="4.25"/>
    <n v="6.87"/>
    <n v="4.55"/>
    <n v="0.87"/>
    <n v="15.67"/>
    <n v="16.54"/>
    <m/>
  </r>
  <r>
    <x v="16"/>
    <x v="1"/>
    <n v="2018"/>
    <n v="12"/>
    <s v="Dec"/>
    <x v="24"/>
    <n v="21"/>
    <x v="1"/>
    <n v="443.58"/>
    <n v="572.38"/>
    <n v="823.6"/>
    <n v="507.03"/>
    <n v="1839.56"/>
    <n v="2346.59"/>
    <m/>
  </r>
  <r>
    <x v="16"/>
    <x v="1"/>
    <n v="2018"/>
    <n v="12"/>
    <s v="Dec"/>
    <x v="25"/>
    <n v="34"/>
    <x v="0"/>
    <n v="17.88"/>
    <n v="29.22"/>
    <n v="104.65"/>
    <n v="0.15"/>
    <n v="151.75"/>
    <n v="151.9"/>
    <m/>
  </r>
  <r>
    <x v="16"/>
    <x v="1"/>
    <n v="2018"/>
    <n v="12"/>
    <s v="Dec"/>
    <x v="26"/>
    <n v="3"/>
    <x v="1"/>
    <n v="273.49"/>
    <n v="459.58"/>
    <n v="422.78"/>
    <n v="6.62"/>
    <n v="1155.8499999999999"/>
    <n v="1162.47"/>
    <m/>
  </r>
  <r>
    <x v="16"/>
    <x v="1"/>
    <n v="2018"/>
    <n v="12"/>
    <s v="Dec"/>
    <x v="27"/>
    <n v="8"/>
    <x v="1"/>
    <n v="668.7"/>
    <n v="924.61"/>
    <n v="752.85"/>
    <n v="110.26"/>
    <n v="2346.16"/>
    <n v="2456.42"/>
    <m/>
  </r>
  <r>
    <x v="16"/>
    <x v="1"/>
    <n v="2018"/>
    <n v="12"/>
    <s v="Dec"/>
    <x v="28"/>
    <n v="11"/>
    <x v="1"/>
    <n v="7.3"/>
    <n v="11.49"/>
    <n v="130.66"/>
    <n v="0.28000000000000003"/>
    <n v="149.44999999999999"/>
    <n v="149.72999999999999"/>
    <m/>
  </r>
  <r>
    <x v="16"/>
    <x v="1"/>
    <n v="2018"/>
    <n v="12"/>
    <s v="Dec"/>
    <x v="29"/>
    <n v="33"/>
    <x v="1"/>
    <n v="1383.79"/>
    <n v="1987.28"/>
    <n v="1536.21"/>
    <n v="507.8"/>
    <n v="4907.28"/>
    <n v="5415.08"/>
    <m/>
  </r>
  <r>
    <x v="16"/>
    <x v="1"/>
    <n v="2018"/>
    <n v="12"/>
    <s v="Dec"/>
    <x v="30"/>
    <n v="36"/>
    <x v="1"/>
    <n v="649.70000000000005"/>
    <n v="907.83"/>
    <n v="879.44"/>
    <n v="577.33000000000004"/>
    <n v="2436.9699999999998"/>
    <n v="3014.3"/>
    <m/>
  </r>
  <r>
    <x v="16"/>
    <x v="1"/>
    <n v="2018"/>
    <n v="12"/>
    <s v="Dec"/>
    <x v="31"/>
    <n v="16"/>
    <x v="1"/>
    <n v="17.29"/>
    <n v="25.65"/>
    <n v="4.8899999999999997"/>
    <n v="0.14000000000000001"/>
    <n v="47.83"/>
    <n v="47.97"/>
    <m/>
  </r>
  <r>
    <x v="16"/>
    <x v="1"/>
    <n v="2018"/>
    <n v="12"/>
    <s v="Dec"/>
    <x v="32"/>
    <n v="9"/>
    <x v="1"/>
    <n v="1065.01"/>
    <n v="1622.84"/>
    <n v="1206.53"/>
    <n v="1062.4000000000001"/>
    <n v="3894.38"/>
    <n v="4956.78"/>
    <m/>
  </r>
  <r>
    <x v="16"/>
    <x v="1"/>
    <n v="2018"/>
    <n v="12"/>
    <s v="Dec"/>
    <x v="33"/>
    <n v="5"/>
    <x v="1"/>
    <n v="154.25"/>
    <n v="292.68"/>
    <n v="591.46"/>
    <n v="16.84"/>
    <n v="1038.3900000000001"/>
    <n v="1055.23"/>
    <m/>
  </r>
  <r>
    <x v="16"/>
    <x v="1"/>
    <n v="2018"/>
    <n v="12"/>
    <s v="Dec"/>
    <x v="34"/>
    <n v="19"/>
    <x v="1"/>
    <n v="937.4"/>
    <n v="1230.53"/>
    <n v="737.13"/>
    <n v="324.94"/>
    <n v="2905.06"/>
    <n v="3230"/>
    <m/>
  </r>
  <r>
    <x v="17"/>
    <x v="1"/>
    <n v="2019"/>
    <n v="1"/>
    <s v="Jan"/>
    <x v="0"/>
    <n v="35"/>
    <x v="0"/>
    <n v="12.48"/>
    <n v="18.079999999999998"/>
    <n v="3.95"/>
    <n v="0.02"/>
    <n v="34.51"/>
    <n v="34.53"/>
    <m/>
  </r>
  <r>
    <x v="17"/>
    <x v="1"/>
    <n v="2019"/>
    <n v="1"/>
    <s v="Jan"/>
    <x v="1"/>
    <n v="28"/>
    <x v="1"/>
    <n v="538.51"/>
    <n v="785.8"/>
    <n v="811.71"/>
    <n v="22.71"/>
    <n v="2136.02"/>
    <n v="2158.73"/>
    <m/>
  </r>
  <r>
    <x v="17"/>
    <x v="1"/>
    <n v="2019"/>
    <n v="1"/>
    <s v="Jan"/>
    <x v="2"/>
    <n v="12"/>
    <x v="1"/>
    <n v="14.39"/>
    <n v="19.440000000000001"/>
    <n v="4.37"/>
    <n v="0.04"/>
    <n v="38.200000000000003"/>
    <n v="38.24"/>
    <m/>
  </r>
  <r>
    <x v="17"/>
    <x v="1"/>
    <n v="2019"/>
    <n v="1"/>
    <s v="Jan"/>
    <x v="3"/>
    <n v="18"/>
    <x v="1"/>
    <n v="206.59"/>
    <n v="318.58999999999997"/>
    <n v="214.71"/>
    <n v="47.01"/>
    <n v="739.89"/>
    <n v="786.9"/>
    <m/>
  </r>
  <r>
    <x v="17"/>
    <x v="1"/>
    <n v="2019"/>
    <n v="1"/>
    <s v="Jan"/>
    <x v="4"/>
    <n v="10"/>
    <x v="1"/>
    <n v="253.9"/>
    <n v="453.13"/>
    <n v="137.63999999999999"/>
    <n v="194.78"/>
    <n v="844.67"/>
    <n v="1039.45"/>
    <m/>
  </r>
  <r>
    <x v="17"/>
    <x v="1"/>
    <n v="2019"/>
    <n v="1"/>
    <s v="Jan"/>
    <x v="5"/>
    <n v="4"/>
    <x v="0"/>
    <n v="31.08"/>
    <n v="50.15"/>
    <n v="76.459999999999994"/>
    <n v="1.35"/>
    <n v="157.69"/>
    <n v="159.04"/>
    <m/>
  </r>
  <r>
    <x v="17"/>
    <x v="1"/>
    <n v="2019"/>
    <n v="1"/>
    <s v="Jan"/>
    <x v="6"/>
    <n v="22"/>
    <x v="1"/>
    <n v="347.93"/>
    <n v="453.89"/>
    <n v="702.93"/>
    <n v="559.34"/>
    <n v="1504.75"/>
    <n v="2064.09"/>
    <m/>
  </r>
  <r>
    <x v="17"/>
    <x v="1"/>
    <n v="2019"/>
    <n v="1"/>
    <s v="Jan"/>
    <x v="7"/>
    <n v="38"/>
    <x v="0"/>
    <n v="27.79"/>
    <n v="44.22"/>
    <n v="201.29"/>
    <n v="0.41"/>
    <n v="273.3"/>
    <n v="273.70999999999998"/>
    <m/>
  </r>
  <r>
    <x v="17"/>
    <x v="1"/>
    <n v="2019"/>
    <n v="1"/>
    <s v="Jan"/>
    <x v="8"/>
    <n v="7"/>
    <x v="0"/>
    <n v="693.59"/>
    <n v="945.91"/>
    <n v="1782.94"/>
    <n v="102.72"/>
    <n v="3422.44"/>
    <n v="3525.16"/>
    <m/>
  </r>
  <r>
    <x v="17"/>
    <x v="1"/>
    <n v="2019"/>
    <n v="1"/>
    <s v="Jan"/>
    <x v="9"/>
    <n v="30"/>
    <x v="1"/>
    <n v="99.47"/>
    <n v="150.80000000000001"/>
    <n v="140.79"/>
    <n v="2.75"/>
    <n v="391.06"/>
    <n v="393.81"/>
    <m/>
  </r>
  <r>
    <x v="17"/>
    <x v="1"/>
    <n v="2019"/>
    <n v="1"/>
    <s v="Jan"/>
    <x v="10"/>
    <n v="24"/>
    <x v="1"/>
    <n v="1722.12"/>
    <n v="2227.25"/>
    <n v="1932.56"/>
    <n v="302.92"/>
    <n v="5881.93"/>
    <n v="6184.85"/>
    <m/>
  </r>
  <r>
    <x v="17"/>
    <x v="1"/>
    <n v="2019"/>
    <n v="1"/>
    <s v="Jan"/>
    <x v="11"/>
    <n v="6"/>
    <x v="1"/>
    <n v="728.94"/>
    <n v="1065.1500000000001"/>
    <n v="2679.34"/>
    <n v="341.3"/>
    <n v="4473.43"/>
    <n v="4814.7299999999996"/>
    <m/>
  </r>
  <r>
    <x v="17"/>
    <x v="1"/>
    <n v="2019"/>
    <n v="1"/>
    <s v="Jan"/>
    <x v="12"/>
    <n v="2"/>
    <x v="1"/>
    <n v="88.48"/>
    <n v="145.29"/>
    <n v="410.31"/>
    <n v="2.67"/>
    <n v="644.08000000000004"/>
    <n v="646.75"/>
    <m/>
  </r>
  <r>
    <x v="17"/>
    <x v="1"/>
    <n v="2019"/>
    <n v="1"/>
    <s v="Jan"/>
    <x v="13"/>
    <n v="1"/>
    <x v="0"/>
    <n v="94.44"/>
    <n v="160.06"/>
    <n v="75.290000000000006"/>
    <n v="1.41"/>
    <n v="329.79"/>
    <n v="331.2"/>
    <m/>
  </r>
  <r>
    <x v="17"/>
    <x v="1"/>
    <n v="2019"/>
    <n v="1"/>
    <s v="Jan"/>
    <x v="14"/>
    <n v="20"/>
    <x v="1"/>
    <n v="319.85000000000002"/>
    <n v="447.26"/>
    <n v="755.72"/>
    <n v="441.95"/>
    <n v="1522.83"/>
    <n v="1964.78"/>
    <m/>
  </r>
  <r>
    <x v="17"/>
    <x v="1"/>
    <n v="2019"/>
    <n v="1"/>
    <s v="Jan"/>
    <x v="15"/>
    <n v="29"/>
    <x v="1"/>
    <n v="1619.03"/>
    <n v="2193.54"/>
    <n v="2546.5700000000002"/>
    <n v="970.16"/>
    <n v="6359.14"/>
    <n v="7329.3"/>
    <m/>
  </r>
  <r>
    <x v="17"/>
    <x v="1"/>
    <n v="2019"/>
    <n v="1"/>
    <s v="Jan"/>
    <x v="16"/>
    <n v="32"/>
    <x v="1"/>
    <n v="474.91"/>
    <n v="821.39"/>
    <n v="275.22000000000003"/>
    <n v="12.83"/>
    <n v="1571.52"/>
    <n v="1584.35"/>
    <m/>
  </r>
  <r>
    <x v="17"/>
    <x v="1"/>
    <n v="2019"/>
    <n v="1"/>
    <s v="Jan"/>
    <x v="17"/>
    <n v="31"/>
    <x v="0"/>
    <n v="0.44"/>
    <n v="0.6"/>
    <n v="0.04"/>
    <n v="0"/>
    <n v="1.08"/>
    <n v="1.08"/>
    <m/>
  </r>
  <r>
    <x v="17"/>
    <x v="1"/>
    <n v="2019"/>
    <n v="1"/>
    <s v="Jan"/>
    <x v="18"/>
    <n v="23"/>
    <x v="1"/>
    <n v="548.04999999999995"/>
    <n v="756.42"/>
    <n v="656.76"/>
    <n v="452.89"/>
    <n v="1961.23"/>
    <n v="2414.12"/>
    <m/>
  </r>
  <r>
    <x v="17"/>
    <x v="1"/>
    <n v="2019"/>
    <n v="1"/>
    <s v="Jan"/>
    <x v="19"/>
    <n v="27"/>
    <x v="1"/>
    <n v="3850.33"/>
    <n v="4837.32"/>
    <n v="5491.97"/>
    <n v="971.06"/>
    <n v="14179.62"/>
    <n v="15150.68"/>
    <m/>
  </r>
  <r>
    <x v="17"/>
    <x v="1"/>
    <n v="2019"/>
    <n v="1"/>
    <s v="Jan"/>
    <x v="20"/>
    <n v="14"/>
    <x v="1"/>
    <n v="8.5299999999999994"/>
    <n v="13.54"/>
    <n v="1.51"/>
    <n v="0.13"/>
    <n v="23.58"/>
    <n v="23.71"/>
    <m/>
  </r>
  <r>
    <x v="17"/>
    <x v="1"/>
    <n v="2019"/>
    <n v="1"/>
    <s v="Jan"/>
    <x v="21"/>
    <n v="17"/>
    <x v="1"/>
    <n v="16.61"/>
    <n v="23.74"/>
    <n v="62.76"/>
    <n v="0.81"/>
    <n v="103.11"/>
    <n v="103.92"/>
    <m/>
  </r>
  <r>
    <x v="17"/>
    <x v="1"/>
    <n v="2019"/>
    <n v="1"/>
    <s v="Jan"/>
    <x v="22"/>
    <n v="15"/>
    <x v="1"/>
    <n v="7.1"/>
    <n v="11.91"/>
    <n v="7.26"/>
    <n v="0.14000000000000001"/>
    <n v="26.27"/>
    <n v="26.41"/>
    <m/>
  </r>
  <r>
    <x v="17"/>
    <x v="1"/>
    <n v="2019"/>
    <n v="1"/>
    <s v="Jan"/>
    <x v="23"/>
    <n v="13"/>
    <x v="1"/>
    <n v="4.8600000000000003"/>
    <n v="6.93"/>
    <n v="4.74"/>
    <n v="0.9"/>
    <n v="16.53"/>
    <n v="17.43"/>
    <m/>
  </r>
  <r>
    <x v="17"/>
    <x v="1"/>
    <n v="2019"/>
    <n v="1"/>
    <s v="Jan"/>
    <x v="24"/>
    <n v="21"/>
    <x v="1"/>
    <n v="448.85"/>
    <n v="596.19000000000005"/>
    <n v="821.84"/>
    <n v="471.15"/>
    <n v="1866.88"/>
    <n v="2338.0300000000002"/>
    <m/>
  </r>
  <r>
    <x v="17"/>
    <x v="1"/>
    <n v="2019"/>
    <n v="1"/>
    <s v="Jan"/>
    <x v="25"/>
    <n v="34"/>
    <x v="0"/>
    <n v="20.72"/>
    <n v="35.54"/>
    <n v="101.43"/>
    <n v="1.28"/>
    <n v="157.69"/>
    <n v="158.97"/>
    <m/>
  </r>
  <r>
    <x v="17"/>
    <x v="1"/>
    <n v="2019"/>
    <n v="1"/>
    <s v="Jan"/>
    <x v="26"/>
    <n v="3"/>
    <x v="1"/>
    <n v="296.89"/>
    <n v="529.1"/>
    <n v="374.68"/>
    <n v="15.36"/>
    <n v="1200.67"/>
    <n v="1216.03"/>
    <m/>
  </r>
  <r>
    <x v="17"/>
    <x v="1"/>
    <n v="2019"/>
    <n v="1"/>
    <s v="Jan"/>
    <x v="27"/>
    <n v="8"/>
    <x v="1"/>
    <n v="709.63"/>
    <n v="1036.73"/>
    <n v="898.3"/>
    <n v="131.28"/>
    <n v="2644.66"/>
    <n v="2775.94"/>
    <m/>
  </r>
  <r>
    <x v="17"/>
    <x v="1"/>
    <n v="2019"/>
    <n v="1"/>
    <s v="Jan"/>
    <x v="28"/>
    <n v="11"/>
    <x v="1"/>
    <n v="8.59"/>
    <n v="14.55"/>
    <n v="151.94"/>
    <n v="0.44"/>
    <n v="175.08"/>
    <n v="175.52"/>
    <m/>
  </r>
  <r>
    <x v="17"/>
    <x v="1"/>
    <n v="2019"/>
    <n v="1"/>
    <s v="Jan"/>
    <x v="29"/>
    <n v="33"/>
    <x v="1"/>
    <n v="1479.07"/>
    <n v="2178.52"/>
    <n v="1917.79"/>
    <n v="625.91999999999996"/>
    <n v="5575.38"/>
    <n v="6201.3"/>
    <m/>
  </r>
  <r>
    <x v="17"/>
    <x v="1"/>
    <n v="2019"/>
    <n v="1"/>
    <s v="Jan"/>
    <x v="30"/>
    <n v="36"/>
    <x v="1"/>
    <n v="711.7"/>
    <n v="992.46"/>
    <n v="886.05"/>
    <n v="604.74"/>
    <n v="2590.21"/>
    <n v="3194.95"/>
    <m/>
  </r>
  <r>
    <x v="17"/>
    <x v="1"/>
    <n v="2019"/>
    <n v="1"/>
    <s v="Jan"/>
    <x v="31"/>
    <n v="16"/>
    <x v="1"/>
    <n v="18.73"/>
    <n v="26.75"/>
    <n v="6.45"/>
    <n v="0.23"/>
    <n v="51.93"/>
    <n v="52.16"/>
    <m/>
  </r>
  <r>
    <x v="17"/>
    <x v="1"/>
    <n v="2019"/>
    <n v="1"/>
    <s v="Jan"/>
    <x v="32"/>
    <n v="9"/>
    <x v="1"/>
    <n v="1159.57"/>
    <n v="1864.76"/>
    <n v="1336.79"/>
    <n v="1123.98"/>
    <n v="4361.12"/>
    <n v="5485.1"/>
    <m/>
  </r>
  <r>
    <x v="17"/>
    <x v="1"/>
    <n v="2019"/>
    <n v="1"/>
    <s v="Jan"/>
    <x v="33"/>
    <n v="5"/>
    <x v="1"/>
    <n v="175.9"/>
    <n v="303.33"/>
    <n v="652.76"/>
    <n v="13.63"/>
    <n v="1131.99"/>
    <n v="1145.6199999999999"/>
    <m/>
  </r>
  <r>
    <x v="17"/>
    <x v="1"/>
    <n v="2019"/>
    <n v="1"/>
    <s v="Jan"/>
    <x v="34"/>
    <n v="19"/>
    <x v="1"/>
    <n v="996.6"/>
    <n v="1262.49"/>
    <n v="866.97"/>
    <n v="369.3"/>
    <n v="3126.06"/>
    <n v="3495.36"/>
    <m/>
  </r>
  <r>
    <x v="18"/>
    <x v="1"/>
    <n v="2019"/>
    <n v="2"/>
    <s v="Feb"/>
    <x v="0"/>
    <n v="35"/>
    <x v="0"/>
    <n v="9.2899999999999991"/>
    <n v="13.27"/>
    <n v="2.06"/>
    <n v="0.15"/>
    <n v="24.62"/>
    <n v="24.77"/>
    <m/>
  </r>
  <r>
    <x v="18"/>
    <x v="1"/>
    <n v="2019"/>
    <n v="2"/>
    <s v="Feb"/>
    <x v="1"/>
    <n v="28"/>
    <x v="1"/>
    <n v="536.88"/>
    <n v="740.28"/>
    <n v="795.66"/>
    <n v="15.56"/>
    <n v="2072.8200000000002"/>
    <n v="2088.38"/>
    <m/>
  </r>
  <r>
    <x v="18"/>
    <x v="1"/>
    <n v="2019"/>
    <n v="2"/>
    <s v="Feb"/>
    <x v="2"/>
    <n v="12"/>
    <x v="1"/>
    <n v="11.85"/>
    <n v="15.83"/>
    <n v="4.09"/>
    <n v="0.19"/>
    <n v="31.77"/>
    <n v="31.96"/>
    <m/>
  </r>
  <r>
    <x v="18"/>
    <x v="1"/>
    <n v="2019"/>
    <n v="2"/>
    <s v="Feb"/>
    <x v="3"/>
    <n v="18"/>
    <x v="1"/>
    <n v="221.52"/>
    <n v="311.02999999999997"/>
    <n v="170.13"/>
    <n v="33.630000000000003"/>
    <n v="702.68"/>
    <n v="736.31"/>
    <m/>
  </r>
  <r>
    <x v="18"/>
    <x v="1"/>
    <n v="2019"/>
    <n v="2"/>
    <s v="Feb"/>
    <x v="4"/>
    <n v="10"/>
    <x v="1"/>
    <n v="244.27"/>
    <n v="433.15"/>
    <n v="113.4"/>
    <n v="170.2"/>
    <n v="790.82"/>
    <n v="961.02"/>
    <m/>
  </r>
  <r>
    <x v="18"/>
    <x v="1"/>
    <n v="2019"/>
    <n v="2"/>
    <s v="Feb"/>
    <x v="5"/>
    <n v="4"/>
    <x v="0"/>
    <n v="27.91"/>
    <n v="41.39"/>
    <n v="76.98"/>
    <n v="0.32"/>
    <n v="146.28"/>
    <n v="146.6"/>
    <m/>
  </r>
  <r>
    <x v="18"/>
    <x v="1"/>
    <n v="2019"/>
    <n v="2"/>
    <s v="Feb"/>
    <x v="6"/>
    <n v="22"/>
    <x v="1"/>
    <n v="405.9"/>
    <n v="514.54999999999995"/>
    <n v="648.95000000000005"/>
    <n v="498.23"/>
    <n v="1569.4"/>
    <n v="2067.63"/>
    <m/>
  </r>
  <r>
    <x v="18"/>
    <x v="1"/>
    <n v="2019"/>
    <n v="2"/>
    <s v="Feb"/>
    <x v="7"/>
    <n v="38"/>
    <x v="0"/>
    <n v="27.37"/>
    <n v="37.42"/>
    <n v="166.22"/>
    <n v="7.0000000000000007E-2"/>
    <n v="231.01"/>
    <n v="231.08"/>
    <m/>
  </r>
  <r>
    <x v="18"/>
    <x v="1"/>
    <n v="2019"/>
    <n v="2"/>
    <s v="Feb"/>
    <x v="8"/>
    <n v="7"/>
    <x v="0"/>
    <n v="712.48"/>
    <n v="918.21"/>
    <n v="1704.35"/>
    <n v="87.15"/>
    <n v="3335.04"/>
    <n v="3422.19"/>
    <m/>
  </r>
  <r>
    <x v="18"/>
    <x v="1"/>
    <n v="2019"/>
    <n v="2"/>
    <s v="Feb"/>
    <x v="9"/>
    <n v="30"/>
    <x v="1"/>
    <n v="90.55"/>
    <n v="140.52000000000001"/>
    <n v="167.16"/>
    <n v="2.5099999999999998"/>
    <n v="398.23"/>
    <n v="400.74"/>
    <m/>
  </r>
  <r>
    <x v="18"/>
    <x v="1"/>
    <n v="2019"/>
    <n v="2"/>
    <s v="Feb"/>
    <x v="10"/>
    <n v="24"/>
    <x v="1"/>
    <n v="1729.6"/>
    <n v="2256.59"/>
    <n v="2108.14"/>
    <n v="412.69"/>
    <n v="6094.33"/>
    <n v="6507.02"/>
    <m/>
  </r>
  <r>
    <x v="18"/>
    <x v="1"/>
    <n v="2019"/>
    <n v="2"/>
    <s v="Feb"/>
    <x v="11"/>
    <n v="6"/>
    <x v="1"/>
    <n v="694.39"/>
    <n v="1063.1500000000001"/>
    <n v="2819.9"/>
    <n v="295.48"/>
    <n v="4577.4399999999996"/>
    <n v="4872.92"/>
    <m/>
  </r>
  <r>
    <x v="18"/>
    <x v="1"/>
    <n v="2019"/>
    <n v="2"/>
    <s v="Feb"/>
    <x v="12"/>
    <n v="2"/>
    <x v="1"/>
    <n v="89.32"/>
    <n v="131.21"/>
    <n v="388.59"/>
    <n v="0.87"/>
    <n v="609.12"/>
    <n v="609.99"/>
    <m/>
  </r>
  <r>
    <x v="18"/>
    <x v="1"/>
    <n v="2019"/>
    <n v="2"/>
    <s v="Feb"/>
    <x v="13"/>
    <n v="1"/>
    <x v="0"/>
    <n v="97.02"/>
    <n v="139.24"/>
    <n v="67.290000000000006"/>
    <n v="1.95"/>
    <n v="303.55"/>
    <n v="305.5"/>
    <m/>
  </r>
  <r>
    <x v="18"/>
    <x v="1"/>
    <n v="2019"/>
    <n v="2"/>
    <s v="Feb"/>
    <x v="14"/>
    <n v="20"/>
    <x v="1"/>
    <n v="325.70999999999998"/>
    <n v="432.22"/>
    <n v="877.14"/>
    <n v="485.84"/>
    <n v="1635.07"/>
    <n v="2120.91"/>
    <m/>
  </r>
  <r>
    <x v="18"/>
    <x v="1"/>
    <n v="2019"/>
    <n v="2"/>
    <s v="Feb"/>
    <x v="15"/>
    <n v="29"/>
    <x v="1"/>
    <n v="1513"/>
    <n v="2058.35"/>
    <n v="2133.29"/>
    <n v="748.64"/>
    <n v="5704.64"/>
    <n v="6453.28"/>
    <m/>
  </r>
  <r>
    <x v="18"/>
    <x v="1"/>
    <n v="2019"/>
    <n v="2"/>
    <s v="Feb"/>
    <x v="16"/>
    <n v="32"/>
    <x v="1"/>
    <n v="447.04"/>
    <n v="717.8"/>
    <n v="244.58"/>
    <n v="6.59"/>
    <n v="1409.42"/>
    <n v="1416.01"/>
    <m/>
  </r>
  <r>
    <x v="18"/>
    <x v="1"/>
    <n v="2019"/>
    <n v="2"/>
    <s v="Feb"/>
    <x v="17"/>
    <n v="31"/>
    <x v="0"/>
    <n v="0.92"/>
    <n v="1.72"/>
    <n v="0.05"/>
    <n v="0"/>
    <n v="2.69"/>
    <n v="2.69"/>
    <m/>
  </r>
  <r>
    <x v="18"/>
    <x v="1"/>
    <n v="2019"/>
    <n v="2"/>
    <s v="Feb"/>
    <x v="18"/>
    <n v="23"/>
    <x v="1"/>
    <n v="541.87"/>
    <n v="734.57"/>
    <n v="588.15"/>
    <n v="426.81"/>
    <n v="1864.59"/>
    <n v="2291.4"/>
    <m/>
  </r>
  <r>
    <x v="18"/>
    <x v="1"/>
    <n v="2019"/>
    <n v="2"/>
    <s v="Feb"/>
    <x v="19"/>
    <n v="27"/>
    <x v="1"/>
    <n v="3762.15"/>
    <n v="4750.96"/>
    <n v="4514.5600000000004"/>
    <n v="1064.0999999999999"/>
    <n v="13027.67"/>
    <n v="14091.77"/>
    <m/>
  </r>
  <r>
    <x v="18"/>
    <x v="1"/>
    <n v="2019"/>
    <n v="2"/>
    <s v="Feb"/>
    <x v="20"/>
    <n v="14"/>
    <x v="1"/>
    <n v="6.75"/>
    <n v="12.59"/>
    <n v="1.68"/>
    <n v="0.09"/>
    <n v="21.02"/>
    <n v="21.11"/>
    <m/>
  </r>
  <r>
    <x v="18"/>
    <x v="1"/>
    <n v="2019"/>
    <n v="2"/>
    <s v="Feb"/>
    <x v="21"/>
    <n v="17"/>
    <x v="1"/>
    <n v="18.3"/>
    <n v="23.92"/>
    <n v="85.71"/>
    <n v="0.95"/>
    <n v="127.93"/>
    <n v="128.88"/>
    <m/>
  </r>
  <r>
    <x v="18"/>
    <x v="1"/>
    <n v="2019"/>
    <n v="2"/>
    <s v="Feb"/>
    <x v="22"/>
    <n v="15"/>
    <x v="1"/>
    <n v="6.22"/>
    <n v="10.45"/>
    <n v="5.46"/>
    <n v="0"/>
    <n v="22.13"/>
    <n v="22.13"/>
    <m/>
  </r>
  <r>
    <x v="18"/>
    <x v="1"/>
    <n v="2019"/>
    <n v="2"/>
    <s v="Feb"/>
    <x v="23"/>
    <n v="13"/>
    <x v="1"/>
    <n v="5.0999999999999996"/>
    <n v="8.18"/>
    <n v="4.21"/>
    <n v="2.16"/>
    <n v="17.489999999999998"/>
    <n v="19.649999999999999"/>
    <m/>
  </r>
  <r>
    <x v="18"/>
    <x v="1"/>
    <n v="2019"/>
    <n v="2"/>
    <s v="Feb"/>
    <x v="24"/>
    <n v="21"/>
    <x v="1"/>
    <n v="526.17999999999995"/>
    <n v="672.99"/>
    <n v="725.24"/>
    <n v="449.63"/>
    <n v="1924.41"/>
    <n v="2374.04"/>
    <m/>
  </r>
  <r>
    <x v="18"/>
    <x v="1"/>
    <n v="2019"/>
    <n v="2"/>
    <s v="Feb"/>
    <x v="25"/>
    <n v="34"/>
    <x v="0"/>
    <n v="19.39"/>
    <n v="32.479999999999997"/>
    <n v="123.27"/>
    <n v="0.16"/>
    <n v="175.14"/>
    <n v="175.3"/>
    <m/>
  </r>
  <r>
    <x v="18"/>
    <x v="1"/>
    <n v="2019"/>
    <n v="2"/>
    <s v="Feb"/>
    <x v="26"/>
    <n v="3"/>
    <x v="1"/>
    <n v="267.7"/>
    <n v="453.2"/>
    <n v="370.14"/>
    <n v="9.01"/>
    <n v="1091.04"/>
    <n v="1100.05"/>
    <m/>
  </r>
  <r>
    <x v="18"/>
    <x v="1"/>
    <n v="2019"/>
    <n v="2"/>
    <s v="Feb"/>
    <x v="27"/>
    <n v="8"/>
    <x v="1"/>
    <n v="693.05"/>
    <n v="986.86"/>
    <n v="875.79"/>
    <n v="120.23"/>
    <n v="2555.6999999999998"/>
    <n v="2675.93"/>
    <m/>
  </r>
  <r>
    <x v="18"/>
    <x v="1"/>
    <n v="2019"/>
    <n v="2"/>
    <s v="Feb"/>
    <x v="28"/>
    <n v="11"/>
    <x v="1"/>
    <n v="8.9700000000000006"/>
    <n v="13.98"/>
    <n v="121.92"/>
    <n v="0.02"/>
    <n v="144.87"/>
    <n v="144.88999999999999"/>
    <m/>
  </r>
  <r>
    <x v="18"/>
    <x v="1"/>
    <n v="2019"/>
    <n v="2"/>
    <s v="Feb"/>
    <x v="29"/>
    <n v="33"/>
    <x v="1"/>
    <n v="1509.93"/>
    <n v="2115.9299999999998"/>
    <n v="1797.3"/>
    <n v="551.04999999999995"/>
    <n v="5423.16"/>
    <n v="5974.21"/>
    <m/>
  </r>
  <r>
    <x v="18"/>
    <x v="1"/>
    <n v="2019"/>
    <n v="2"/>
    <s v="Feb"/>
    <x v="30"/>
    <n v="36"/>
    <x v="1"/>
    <n v="786.13"/>
    <n v="1040.23"/>
    <n v="934.48"/>
    <n v="699.09"/>
    <n v="2760.84"/>
    <n v="3459.93"/>
    <m/>
  </r>
  <r>
    <x v="18"/>
    <x v="1"/>
    <n v="2019"/>
    <n v="2"/>
    <s v="Feb"/>
    <x v="31"/>
    <n v="16"/>
    <x v="1"/>
    <n v="16.670000000000002"/>
    <n v="23.58"/>
    <n v="5.65"/>
    <n v="0.21"/>
    <n v="45.9"/>
    <n v="46.11"/>
    <m/>
  </r>
  <r>
    <x v="18"/>
    <x v="1"/>
    <n v="2019"/>
    <n v="2"/>
    <s v="Feb"/>
    <x v="32"/>
    <n v="9"/>
    <x v="1"/>
    <n v="1064.1199999999999"/>
    <n v="1672.16"/>
    <n v="1299.44"/>
    <n v="1076.6099999999999"/>
    <n v="4035.72"/>
    <n v="5112.33"/>
    <m/>
  </r>
  <r>
    <x v="18"/>
    <x v="1"/>
    <n v="2019"/>
    <n v="2"/>
    <s v="Feb"/>
    <x v="33"/>
    <n v="5"/>
    <x v="1"/>
    <n v="187.99"/>
    <n v="333.92"/>
    <n v="691.58"/>
    <n v="23.87"/>
    <n v="1213.49"/>
    <n v="1237.3599999999999"/>
    <m/>
  </r>
  <r>
    <x v="18"/>
    <x v="1"/>
    <n v="2019"/>
    <n v="2"/>
    <s v="Feb"/>
    <x v="34"/>
    <n v="19"/>
    <x v="1"/>
    <n v="1006.3"/>
    <n v="1320.63"/>
    <n v="781.03"/>
    <n v="381.73"/>
    <n v="3107.96"/>
    <n v="3489.69"/>
    <m/>
  </r>
  <r>
    <x v="19"/>
    <x v="1"/>
    <n v="2019"/>
    <n v="3"/>
    <s v="Mar"/>
    <x v="0"/>
    <n v="35"/>
    <x v="0"/>
    <n v="9.65"/>
    <n v="15.33"/>
    <n v="2.58"/>
    <n v="0.08"/>
    <n v="27.56"/>
    <n v="27.64"/>
    <m/>
  </r>
  <r>
    <x v="19"/>
    <x v="1"/>
    <n v="2019"/>
    <n v="3"/>
    <s v="Mar"/>
    <x v="1"/>
    <n v="28"/>
    <x v="1"/>
    <n v="671.84"/>
    <n v="912.22"/>
    <n v="987.55"/>
    <n v="17.72"/>
    <n v="2571.61"/>
    <n v="2589.33"/>
    <m/>
  </r>
  <r>
    <x v="19"/>
    <x v="1"/>
    <n v="2019"/>
    <n v="3"/>
    <s v="Mar"/>
    <x v="2"/>
    <n v="12"/>
    <x v="1"/>
    <n v="33.090000000000003"/>
    <n v="42.1"/>
    <n v="9.91"/>
    <n v="0.24"/>
    <n v="85.1"/>
    <n v="85.34"/>
    <m/>
  </r>
  <r>
    <x v="19"/>
    <x v="1"/>
    <n v="2019"/>
    <n v="3"/>
    <s v="Mar"/>
    <x v="3"/>
    <n v="18"/>
    <x v="1"/>
    <n v="277.75"/>
    <n v="407.62"/>
    <n v="228.19"/>
    <n v="42.16"/>
    <n v="913.56"/>
    <n v="955.72"/>
    <m/>
  </r>
  <r>
    <x v="19"/>
    <x v="1"/>
    <n v="2019"/>
    <n v="3"/>
    <s v="Mar"/>
    <x v="4"/>
    <n v="10"/>
    <x v="1"/>
    <n v="325.70999999999998"/>
    <n v="551.15"/>
    <n v="125.81"/>
    <n v="174.32"/>
    <n v="1002.67"/>
    <n v="1176.99"/>
    <m/>
  </r>
  <r>
    <x v="19"/>
    <x v="1"/>
    <n v="2019"/>
    <n v="3"/>
    <s v="Mar"/>
    <x v="5"/>
    <n v="4"/>
    <x v="0"/>
    <n v="32.950000000000003"/>
    <n v="44.79"/>
    <n v="84.06"/>
    <n v="0.19"/>
    <n v="161.80000000000001"/>
    <n v="161.99"/>
    <m/>
  </r>
  <r>
    <x v="19"/>
    <x v="1"/>
    <n v="2019"/>
    <n v="3"/>
    <s v="Mar"/>
    <x v="6"/>
    <n v="22"/>
    <x v="1"/>
    <n v="416.76"/>
    <n v="526.23"/>
    <n v="563.09"/>
    <n v="636.91999999999996"/>
    <n v="1506.08"/>
    <n v="2143"/>
    <m/>
  </r>
  <r>
    <x v="19"/>
    <x v="1"/>
    <n v="2019"/>
    <n v="3"/>
    <s v="Mar"/>
    <x v="7"/>
    <n v="38"/>
    <x v="0"/>
    <n v="30.53"/>
    <n v="43.64"/>
    <n v="202.76"/>
    <n v="0.18"/>
    <n v="276.93"/>
    <n v="277.11"/>
    <m/>
  </r>
  <r>
    <x v="19"/>
    <x v="1"/>
    <n v="2019"/>
    <n v="3"/>
    <s v="Mar"/>
    <x v="8"/>
    <n v="7"/>
    <x v="0"/>
    <n v="796.37"/>
    <n v="1020.89"/>
    <n v="1812.43"/>
    <n v="92.73"/>
    <n v="3629.69"/>
    <n v="3722.42"/>
    <m/>
  </r>
  <r>
    <x v="19"/>
    <x v="1"/>
    <n v="2019"/>
    <n v="3"/>
    <s v="Mar"/>
    <x v="9"/>
    <n v="30"/>
    <x v="1"/>
    <n v="103.81"/>
    <n v="148.93"/>
    <n v="134.44"/>
    <n v="2"/>
    <n v="387.18"/>
    <n v="389.18"/>
    <m/>
  </r>
  <r>
    <x v="19"/>
    <x v="1"/>
    <n v="2019"/>
    <n v="3"/>
    <s v="Mar"/>
    <x v="10"/>
    <n v="24"/>
    <x v="1"/>
    <n v="1824.12"/>
    <n v="2446.0700000000002"/>
    <n v="1972.83"/>
    <n v="278.08999999999997"/>
    <n v="6243.02"/>
    <n v="6521.11"/>
    <m/>
  </r>
  <r>
    <x v="19"/>
    <x v="1"/>
    <n v="2019"/>
    <n v="3"/>
    <s v="Mar"/>
    <x v="11"/>
    <n v="6"/>
    <x v="1"/>
    <n v="758.85"/>
    <n v="1130.3900000000001"/>
    <n v="2363.1999999999998"/>
    <n v="308.61"/>
    <n v="4252.4399999999996"/>
    <n v="4561.05"/>
    <m/>
  </r>
  <r>
    <x v="19"/>
    <x v="1"/>
    <n v="2019"/>
    <n v="3"/>
    <s v="Mar"/>
    <x v="12"/>
    <n v="2"/>
    <x v="1"/>
    <n v="99.83"/>
    <n v="156.91"/>
    <n v="402.95"/>
    <n v="0.56000000000000005"/>
    <n v="659.69"/>
    <n v="660.25"/>
    <m/>
  </r>
  <r>
    <x v="19"/>
    <x v="1"/>
    <n v="2019"/>
    <n v="3"/>
    <s v="Mar"/>
    <x v="13"/>
    <n v="1"/>
    <x v="0"/>
    <n v="125.1"/>
    <n v="180.28"/>
    <n v="77.31"/>
    <n v="4.93"/>
    <n v="382.69"/>
    <n v="387.62"/>
    <m/>
  </r>
  <r>
    <x v="19"/>
    <x v="1"/>
    <n v="2019"/>
    <n v="3"/>
    <s v="Mar"/>
    <x v="14"/>
    <n v="20"/>
    <x v="1"/>
    <n v="368.3"/>
    <n v="498.7"/>
    <n v="825.82"/>
    <n v="456.63"/>
    <n v="1692.82"/>
    <n v="2149.4499999999998"/>
    <m/>
  </r>
  <r>
    <x v="19"/>
    <x v="1"/>
    <n v="2019"/>
    <n v="3"/>
    <s v="Mar"/>
    <x v="15"/>
    <n v="29"/>
    <x v="1"/>
    <n v="1709.03"/>
    <n v="2240.39"/>
    <n v="2302.19"/>
    <n v="731.03"/>
    <n v="6251.61"/>
    <n v="6982.64"/>
    <m/>
  </r>
  <r>
    <x v="19"/>
    <x v="1"/>
    <n v="2019"/>
    <n v="3"/>
    <s v="Mar"/>
    <x v="16"/>
    <n v="32"/>
    <x v="1"/>
    <n v="526.98"/>
    <n v="782.35"/>
    <n v="319.97000000000003"/>
    <n v="6.14"/>
    <n v="1629.3"/>
    <n v="1635.44"/>
    <m/>
  </r>
  <r>
    <x v="19"/>
    <x v="1"/>
    <n v="2019"/>
    <n v="3"/>
    <s v="Mar"/>
    <x v="17"/>
    <n v="31"/>
    <x v="0"/>
    <n v="0.28000000000000003"/>
    <n v="0.54"/>
    <n v="0.05"/>
    <n v="0"/>
    <n v="0.87"/>
    <n v="0.87"/>
    <m/>
  </r>
  <r>
    <x v="19"/>
    <x v="1"/>
    <n v="2019"/>
    <n v="3"/>
    <s v="Mar"/>
    <x v="18"/>
    <n v="23"/>
    <x v="1"/>
    <n v="638.84"/>
    <n v="877.63"/>
    <n v="715.82"/>
    <n v="391.47"/>
    <n v="2232.29"/>
    <n v="2623.76"/>
    <m/>
  </r>
  <r>
    <x v="19"/>
    <x v="1"/>
    <n v="2019"/>
    <n v="3"/>
    <s v="Mar"/>
    <x v="19"/>
    <n v="27"/>
    <x v="1"/>
    <n v="4380.34"/>
    <n v="5473.85"/>
    <n v="4766.99"/>
    <n v="974.59"/>
    <n v="14621.18"/>
    <n v="15595.77"/>
    <m/>
  </r>
  <r>
    <x v="19"/>
    <x v="1"/>
    <n v="2019"/>
    <n v="3"/>
    <s v="Mar"/>
    <x v="20"/>
    <n v="14"/>
    <x v="1"/>
    <n v="18.2"/>
    <n v="26"/>
    <n v="1.88"/>
    <n v="0.03"/>
    <n v="46.08"/>
    <n v="46.11"/>
    <m/>
  </r>
  <r>
    <x v="19"/>
    <x v="1"/>
    <n v="2019"/>
    <n v="3"/>
    <s v="Mar"/>
    <x v="21"/>
    <n v="17"/>
    <x v="1"/>
    <n v="22.19"/>
    <n v="32.14"/>
    <n v="70.31"/>
    <n v="2.14"/>
    <n v="124.64"/>
    <n v="126.78"/>
    <m/>
  </r>
  <r>
    <x v="19"/>
    <x v="1"/>
    <n v="2019"/>
    <n v="3"/>
    <s v="Mar"/>
    <x v="22"/>
    <n v="15"/>
    <x v="1"/>
    <n v="16.3"/>
    <n v="24.59"/>
    <n v="8.86"/>
    <n v="0.01"/>
    <n v="49.75"/>
    <n v="49.76"/>
    <m/>
  </r>
  <r>
    <x v="19"/>
    <x v="1"/>
    <n v="2019"/>
    <n v="3"/>
    <s v="Mar"/>
    <x v="23"/>
    <n v="13"/>
    <x v="1"/>
    <n v="16.62"/>
    <n v="22.12"/>
    <n v="5.37"/>
    <n v="1.79"/>
    <n v="44.11"/>
    <n v="45.9"/>
    <m/>
  </r>
  <r>
    <x v="19"/>
    <x v="1"/>
    <n v="2019"/>
    <n v="3"/>
    <s v="Mar"/>
    <x v="24"/>
    <n v="21"/>
    <x v="1"/>
    <n v="605.71"/>
    <n v="782.99"/>
    <n v="766.85"/>
    <n v="470.36"/>
    <n v="2155.5500000000002"/>
    <n v="2625.91"/>
    <m/>
  </r>
  <r>
    <x v="19"/>
    <x v="1"/>
    <n v="2019"/>
    <n v="3"/>
    <s v="Mar"/>
    <x v="25"/>
    <n v="34"/>
    <x v="0"/>
    <n v="22.81"/>
    <n v="33.6"/>
    <n v="127.18"/>
    <n v="0.4"/>
    <n v="183.59"/>
    <n v="183.99"/>
    <m/>
  </r>
  <r>
    <x v="19"/>
    <x v="1"/>
    <n v="2019"/>
    <n v="3"/>
    <s v="Mar"/>
    <x v="26"/>
    <n v="3"/>
    <x v="1"/>
    <n v="282.14999999999998"/>
    <n v="454.34"/>
    <n v="419.6"/>
    <n v="9.93"/>
    <n v="1156.0899999999999"/>
    <n v="1166.02"/>
    <m/>
  </r>
  <r>
    <x v="19"/>
    <x v="1"/>
    <n v="2019"/>
    <n v="3"/>
    <s v="Mar"/>
    <x v="27"/>
    <n v="8"/>
    <x v="1"/>
    <n v="868.36"/>
    <n v="1242.8599999999999"/>
    <n v="895.33"/>
    <n v="125.86"/>
    <n v="3006.55"/>
    <n v="3132.41"/>
    <m/>
  </r>
  <r>
    <x v="19"/>
    <x v="1"/>
    <n v="2019"/>
    <n v="3"/>
    <s v="Mar"/>
    <x v="28"/>
    <n v="11"/>
    <x v="1"/>
    <n v="11.72"/>
    <n v="16.89"/>
    <n v="130.93"/>
    <n v="0.05"/>
    <n v="159.54"/>
    <n v="159.59"/>
    <m/>
  </r>
  <r>
    <x v="19"/>
    <x v="1"/>
    <n v="2019"/>
    <n v="3"/>
    <s v="Mar"/>
    <x v="29"/>
    <n v="33"/>
    <x v="1"/>
    <n v="1739.84"/>
    <n v="2335.17"/>
    <n v="2152.2399999999998"/>
    <n v="713.84"/>
    <n v="6227.25"/>
    <n v="6941.09"/>
    <m/>
  </r>
  <r>
    <x v="19"/>
    <x v="1"/>
    <n v="2019"/>
    <n v="3"/>
    <s v="Mar"/>
    <x v="30"/>
    <n v="36"/>
    <x v="1"/>
    <n v="970.65"/>
    <n v="1276.45"/>
    <n v="1088.54"/>
    <n v="560.99"/>
    <n v="3335.64"/>
    <n v="3896.63"/>
    <m/>
  </r>
  <r>
    <x v="19"/>
    <x v="1"/>
    <n v="2019"/>
    <n v="3"/>
    <s v="Mar"/>
    <x v="31"/>
    <n v="16"/>
    <x v="1"/>
    <n v="24.31"/>
    <n v="32.97"/>
    <n v="6.3"/>
    <n v="0.32"/>
    <n v="63.58"/>
    <n v="63.9"/>
    <m/>
  </r>
  <r>
    <x v="19"/>
    <x v="1"/>
    <n v="2019"/>
    <n v="3"/>
    <s v="Mar"/>
    <x v="32"/>
    <n v="9"/>
    <x v="1"/>
    <n v="1239.8599999999999"/>
    <n v="1872.29"/>
    <n v="1391.67"/>
    <n v="1043.93"/>
    <n v="4503.82"/>
    <n v="5547.75"/>
    <m/>
  </r>
  <r>
    <x v="19"/>
    <x v="1"/>
    <n v="2019"/>
    <n v="3"/>
    <s v="Mar"/>
    <x v="33"/>
    <n v="5"/>
    <x v="1"/>
    <n v="203.32"/>
    <n v="360.47"/>
    <n v="862.33"/>
    <n v="24.97"/>
    <n v="1426.12"/>
    <n v="1451.09"/>
    <m/>
  </r>
  <r>
    <x v="19"/>
    <x v="1"/>
    <n v="2019"/>
    <n v="3"/>
    <s v="Mar"/>
    <x v="34"/>
    <n v="19"/>
    <x v="1"/>
    <n v="1160.83"/>
    <n v="1480.52"/>
    <n v="877.78"/>
    <n v="321.7"/>
    <n v="3519.13"/>
    <n v="3840.83"/>
    <m/>
  </r>
  <r>
    <x v="20"/>
    <x v="2"/>
    <n v="2019"/>
    <n v="4"/>
    <s v="Apr"/>
    <x v="0"/>
    <n v="35"/>
    <x v="0"/>
    <n v="14.46"/>
    <n v="20.11"/>
    <n v="3.06"/>
    <n v="0.09"/>
    <n v="37.630000000000003"/>
    <n v="37.72"/>
    <m/>
  </r>
  <r>
    <x v="20"/>
    <x v="2"/>
    <n v="2019"/>
    <n v="4"/>
    <s v="Apr"/>
    <x v="1"/>
    <n v="28"/>
    <x v="1"/>
    <n v="677.65"/>
    <n v="924.03"/>
    <n v="925.24"/>
    <n v="32.270000000000003"/>
    <n v="2526.92"/>
    <n v="2559.19"/>
    <m/>
  </r>
  <r>
    <x v="20"/>
    <x v="2"/>
    <n v="2019"/>
    <n v="4"/>
    <s v="Apr"/>
    <x v="2"/>
    <n v="12"/>
    <x v="1"/>
    <n v="23.28"/>
    <n v="29.15"/>
    <n v="4.22"/>
    <n v="0.05"/>
    <n v="56.65"/>
    <n v="56.7"/>
    <m/>
  </r>
  <r>
    <x v="20"/>
    <x v="2"/>
    <n v="2019"/>
    <n v="4"/>
    <s v="Apr"/>
    <x v="3"/>
    <n v="18"/>
    <x v="1"/>
    <n v="276.69"/>
    <n v="406.66"/>
    <n v="193.47"/>
    <n v="55.54"/>
    <n v="876.82"/>
    <n v="932.36"/>
    <m/>
  </r>
  <r>
    <x v="20"/>
    <x v="2"/>
    <n v="2019"/>
    <n v="4"/>
    <s v="Apr"/>
    <x v="4"/>
    <n v="10"/>
    <x v="1"/>
    <n v="318.48"/>
    <n v="566.98"/>
    <n v="120.01"/>
    <n v="161.33000000000001"/>
    <n v="1005.47"/>
    <n v="1166.8"/>
    <m/>
  </r>
  <r>
    <x v="20"/>
    <x v="2"/>
    <n v="2019"/>
    <n v="4"/>
    <s v="Apr"/>
    <x v="5"/>
    <n v="4"/>
    <x v="0"/>
    <n v="34.630000000000003"/>
    <n v="48.24"/>
    <n v="116.66"/>
    <n v="0.43"/>
    <n v="199.53"/>
    <n v="199.96"/>
    <m/>
  </r>
  <r>
    <x v="20"/>
    <x v="2"/>
    <n v="2019"/>
    <n v="4"/>
    <s v="Apr"/>
    <x v="6"/>
    <n v="22"/>
    <x v="1"/>
    <n v="415.86"/>
    <n v="516.55999999999995"/>
    <n v="731.79"/>
    <n v="634.71"/>
    <n v="1664.21"/>
    <n v="2298.92"/>
    <m/>
  </r>
  <r>
    <x v="20"/>
    <x v="2"/>
    <n v="2019"/>
    <n v="4"/>
    <s v="Apr"/>
    <x v="7"/>
    <n v="38"/>
    <x v="0"/>
    <n v="28.56"/>
    <n v="39.299999999999997"/>
    <n v="208.97"/>
    <n v="7.0000000000000007E-2"/>
    <n v="276.83"/>
    <n v="276.89999999999998"/>
    <m/>
  </r>
  <r>
    <x v="20"/>
    <x v="2"/>
    <n v="2019"/>
    <n v="4"/>
    <s v="Apr"/>
    <x v="8"/>
    <n v="7"/>
    <x v="0"/>
    <n v="912.34"/>
    <n v="1146.03"/>
    <n v="2204.46"/>
    <n v="78.430000000000007"/>
    <n v="4262.83"/>
    <n v="4341.26"/>
    <m/>
  </r>
  <r>
    <x v="20"/>
    <x v="2"/>
    <n v="2019"/>
    <n v="4"/>
    <s v="Apr"/>
    <x v="9"/>
    <n v="30"/>
    <x v="1"/>
    <n v="107.64"/>
    <n v="157.34"/>
    <n v="146.9"/>
    <n v="3.34"/>
    <n v="411.88"/>
    <n v="415.22"/>
    <m/>
  </r>
  <r>
    <x v="20"/>
    <x v="2"/>
    <n v="2019"/>
    <n v="4"/>
    <s v="Apr"/>
    <x v="10"/>
    <n v="24"/>
    <x v="1"/>
    <n v="1849.37"/>
    <n v="2393.15"/>
    <n v="2276.5500000000002"/>
    <n v="355"/>
    <n v="6519.07"/>
    <n v="6874.07"/>
    <m/>
  </r>
  <r>
    <x v="20"/>
    <x v="2"/>
    <n v="2019"/>
    <n v="4"/>
    <s v="Apr"/>
    <x v="11"/>
    <n v="6"/>
    <x v="1"/>
    <n v="743.37"/>
    <n v="1122.28"/>
    <n v="3168.69"/>
    <n v="337.54"/>
    <n v="5034.34"/>
    <n v="5371.88"/>
    <m/>
  </r>
  <r>
    <x v="20"/>
    <x v="2"/>
    <n v="2019"/>
    <n v="4"/>
    <s v="Apr"/>
    <x v="12"/>
    <n v="2"/>
    <x v="1"/>
    <n v="111.09"/>
    <n v="169.26"/>
    <n v="418.78"/>
    <n v="0.99"/>
    <n v="699.13"/>
    <n v="700.12"/>
    <m/>
  </r>
  <r>
    <x v="20"/>
    <x v="2"/>
    <n v="2019"/>
    <n v="4"/>
    <s v="Apr"/>
    <x v="13"/>
    <n v="1"/>
    <x v="0"/>
    <n v="116.35"/>
    <n v="198.78"/>
    <n v="63.97"/>
    <n v="3.04"/>
    <n v="379.1"/>
    <n v="382.14"/>
    <m/>
  </r>
  <r>
    <x v="20"/>
    <x v="2"/>
    <n v="2019"/>
    <n v="4"/>
    <s v="Apr"/>
    <x v="14"/>
    <n v="20"/>
    <x v="1"/>
    <n v="460.7"/>
    <n v="620"/>
    <n v="1212.22"/>
    <n v="473.63"/>
    <n v="2292.92"/>
    <n v="2766.55"/>
    <m/>
  </r>
  <r>
    <x v="20"/>
    <x v="2"/>
    <n v="2019"/>
    <n v="4"/>
    <s v="Apr"/>
    <x v="15"/>
    <n v="29"/>
    <x v="1"/>
    <n v="1913.58"/>
    <n v="2482.98"/>
    <n v="2651.14"/>
    <n v="957.2"/>
    <n v="7047.7"/>
    <n v="8004.9"/>
    <m/>
  </r>
  <r>
    <x v="20"/>
    <x v="2"/>
    <n v="2019"/>
    <n v="4"/>
    <s v="Apr"/>
    <x v="16"/>
    <n v="32"/>
    <x v="1"/>
    <n v="509.12"/>
    <n v="843.69"/>
    <n v="408.83"/>
    <n v="4.55"/>
    <n v="1761.64"/>
    <n v="1766.19"/>
    <m/>
  </r>
  <r>
    <x v="20"/>
    <x v="2"/>
    <n v="2019"/>
    <n v="4"/>
    <s v="Apr"/>
    <x v="17"/>
    <n v="31"/>
    <x v="0"/>
    <n v="1.26"/>
    <n v="1.43"/>
    <n v="0.09"/>
    <n v="0"/>
    <n v="2.78"/>
    <n v="2.78"/>
    <m/>
  </r>
  <r>
    <x v="20"/>
    <x v="2"/>
    <n v="2019"/>
    <n v="4"/>
    <s v="Apr"/>
    <x v="18"/>
    <n v="23"/>
    <x v="1"/>
    <n v="623.51"/>
    <n v="841.43"/>
    <n v="709.08"/>
    <n v="451.68"/>
    <n v="2174.02"/>
    <n v="2625.7"/>
    <m/>
  </r>
  <r>
    <x v="20"/>
    <x v="2"/>
    <n v="2019"/>
    <n v="4"/>
    <s v="Apr"/>
    <x v="19"/>
    <n v="27"/>
    <x v="1"/>
    <n v="4717.1400000000003"/>
    <n v="5860.1"/>
    <n v="6369.62"/>
    <n v="1176.18"/>
    <n v="16946.86"/>
    <n v="18123.04"/>
    <m/>
  </r>
  <r>
    <x v="20"/>
    <x v="2"/>
    <n v="2019"/>
    <n v="4"/>
    <s v="Apr"/>
    <x v="20"/>
    <n v="14"/>
    <x v="1"/>
    <n v="14.09"/>
    <n v="20.57"/>
    <n v="2.56"/>
    <n v="0.02"/>
    <n v="37.22"/>
    <n v="37.24"/>
    <m/>
  </r>
  <r>
    <x v="20"/>
    <x v="2"/>
    <n v="2019"/>
    <n v="4"/>
    <s v="Apr"/>
    <x v="21"/>
    <n v="17"/>
    <x v="1"/>
    <n v="30.78"/>
    <n v="41.57"/>
    <n v="95.17"/>
    <n v="0.87"/>
    <n v="167.52"/>
    <n v="168.39"/>
    <m/>
  </r>
  <r>
    <x v="20"/>
    <x v="2"/>
    <n v="2019"/>
    <n v="4"/>
    <s v="Apr"/>
    <x v="22"/>
    <n v="15"/>
    <x v="1"/>
    <n v="9.8699999999999992"/>
    <n v="13.68"/>
    <n v="11.52"/>
    <n v="0"/>
    <n v="35.07"/>
    <n v="35.07"/>
    <m/>
  </r>
  <r>
    <x v="20"/>
    <x v="2"/>
    <n v="2019"/>
    <n v="4"/>
    <s v="Apr"/>
    <x v="23"/>
    <n v="13"/>
    <x v="1"/>
    <n v="8.0299999999999994"/>
    <n v="12.78"/>
    <n v="6.22"/>
    <n v="1.89"/>
    <n v="27.03"/>
    <n v="28.92"/>
    <m/>
  </r>
  <r>
    <x v="20"/>
    <x v="2"/>
    <n v="2019"/>
    <n v="4"/>
    <s v="Apr"/>
    <x v="24"/>
    <n v="21"/>
    <x v="1"/>
    <n v="671.98"/>
    <n v="927.6"/>
    <n v="770.01"/>
    <n v="586.01"/>
    <n v="2369.59"/>
    <n v="2955.6"/>
    <m/>
  </r>
  <r>
    <x v="20"/>
    <x v="2"/>
    <n v="2019"/>
    <n v="4"/>
    <s v="Apr"/>
    <x v="25"/>
    <n v="34"/>
    <x v="0"/>
    <n v="20.58"/>
    <n v="32.03"/>
    <n v="119.67"/>
    <n v="0.99"/>
    <n v="172.28"/>
    <n v="173.27"/>
    <m/>
  </r>
  <r>
    <x v="20"/>
    <x v="2"/>
    <n v="2019"/>
    <n v="4"/>
    <s v="Apr"/>
    <x v="26"/>
    <n v="3"/>
    <x v="1"/>
    <n v="365.44"/>
    <n v="553.87"/>
    <n v="438.87"/>
    <n v="16.100000000000001"/>
    <n v="1358.18"/>
    <n v="1374.28"/>
    <m/>
  </r>
  <r>
    <x v="20"/>
    <x v="2"/>
    <n v="2019"/>
    <n v="4"/>
    <s v="Apr"/>
    <x v="27"/>
    <n v="8"/>
    <x v="1"/>
    <n v="815.99"/>
    <n v="1073.25"/>
    <n v="878.1"/>
    <n v="128.69999999999999"/>
    <n v="2767.34"/>
    <n v="2896.04"/>
    <m/>
  </r>
  <r>
    <x v="20"/>
    <x v="2"/>
    <n v="2019"/>
    <n v="4"/>
    <s v="Apr"/>
    <x v="28"/>
    <n v="11"/>
    <x v="1"/>
    <n v="16.77"/>
    <n v="27.5"/>
    <n v="121.13"/>
    <n v="0.19"/>
    <n v="165.4"/>
    <n v="165.59"/>
    <m/>
  </r>
  <r>
    <x v="20"/>
    <x v="2"/>
    <n v="2019"/>
    <n v="4"/>
    <s v="Apr"/>
    <x v="29"/>
    <n v="33"/>
    <x v="1"/>
    <n v="1678.87"/>
    <n v="2415.16"/>
    <n v="2122.1799999999998"/>
    <n v="554.92999999999995"/>
    <n v="6216.21"/>
    <n v="6771.14"/>
    <m/>
  </r>
  <r>
    <x v="20"/>
    <x v="2"/>
    <n v="2019"/>
    <n v="4"/>
    <s v="Apr"/>
    <x v="30"/>
    <n v="36"/>
    <x v="1"/>
    <n v="834.28"/>
    <n v="1144.78"/>
    <n v="997.16"/>
    <n v="533.70000000000005"/>
    <n v="2976.22"/>
    <n v="3509.92"/>
    <m/>
  </r>
  <r>
    <x v="20"/>
    <x v="2"/>
    <n v="2019"/>
    <n v="4"/>
    <s v="Apr"/>
    <x v="31"/>
    <n v="16"/>
    <x v="1"/>
    <n v="20.28"/>
    <n v="34.68"/>
    <n v="5.92"/>
    <n v="0.13"/>
    <n v="60.88"/>
    <n v="61.01"/>
    <m/>
  </r>
  <r>
    <x v="20"/>
    <x v="2"/>
    <n v="2019"/>
    <n v="4"/>
    <s v="Apr"/>
    <x v="32"/>
    <n v="9"/>
    <x v="1"/>
    <n v="1395.59"/>
    <n v="2160.23"/>
    <n v="1650.51"/>
    <n v="1103.45"/>
    <n v="5206.33"/>
    <n v="6309.78"/>
    <m/>
  </r>
  <r>
    <x v="20"/>
    <x v="2"/>
    <n v="2019"/>
    <n v="4"/>
    <s v="Apr"/>
    <x v="33"/>
    <n v="5"/>
    <x v="1"/>
    <n v="218.8"/>
    <n v="369.64"/>
    <n v="1004.96"/>
    <n v="23.89"/>
    <n v="1593.4"/>
    <n v="1617.29"/>
    <m/>
  </r>
  <r>
    <x v="20"/>
    <x v="2"/>
    <n v="2019"/>
    <n v="4"/>
    <s v="Apr"/>
    <x v="34"/>
    <n v="19"/>
    <x v="1"/>
    <n v="1190.21"/>
    <n v="1549.62"/>
    <n v="1031.28"/>
    <n v="438.22"/>
    <n v="3771.11"/>
    <n v="4209.33"/>
    <m/>
  </r>
  <r>
    <x v="21"/>
    <x v="2"/>
    <n v="2019"/>
    <n v="5"/>
    <s v="May"/>
    <x v="0"/>
    <n v="35"/>
    <x v="0"/>
    <n v="14.28"/>
    <n v="22.52"/>
    <n v="2.37"/>
    <n v="0.25"/>
    <n v="39.17"/>
    <n v="39.42"/>
    <m/>
  </r>
  <r>
    <x v="21"/>
    <x v="2"/>
    <n v="2019"/>
    <n v="5"/>
    <s v="May"/>
    <x v="1"/>
    <n v="28"/>
    <x v="1"/>
    <n v="528.4"/>
    <n v="776.9"/>
    <n v="803.85"/>
    <n v="33.229999999999997"/>
    <n v="2109.15"/>
    <n v="2142.38"/>
    <m/>
  </r>
  <r>
    <x v="21"/>
    <x v="2"/>
    <n v="2019"/>
    <n v="5"/>
    <s v="May"/>
    <x v="2"/>
    <n v="12"/>
    <x v="1"/>
    <n v="12.87"/>
    <n v="17"/>
    <n v="6.18"/>
    <n v="0.49"/>
    <n v="36.049999999999997"/>
    <n v="36.54"/>
    <m/>
  </r>
  <r>
    <x v="21"/>
    <x v="2"/>
    <n v="2019"/>
    <n v="5"/>
    <s v="May"/>
    <x v="3"/>
    <n v="18"/>
    <x v="1"/>
    <n v="225.32"/>
    <n v="326.58999999999997"/>
    <n v="192.1"/>
    <n v="25.6"/>
    <n v="744.01"/>
    <n v="769.61"/>
    <m/>
  </r>
  <r>
    <x v="21"/>
    <x v="2"/>
    <n v="2019"/>
    <n v="5"/>
    <s v="May"/>
    <x v="4"/>
    <n v="10"/>
    <x v="1"/>
    <n v="232.45"/>
    <n v="466.71"/>
    <n v="119.37"/>
    <n v="163.06"/>
    <n v="818.53"/>
    <n v="981.59"/>
    <m/>
  </r>
  <r>
    <x v="21"/>
    <x v="2"/>
    <n v="2019"/>
    <n v="5"/>
    <s v="May"/>
    <x v="5"/>
    <n v="4"/>
    <x v="0"/>
    <n v="28.63"/>
    <n v="41.79"/>
    <n v="75.650000000000006"/>
    <n v="0.6"/>
    <n v="146.07"/>
    <n v="146.66999999999999"/>
    <m/>
  </r>
  <r>
    <x v="21"/>
    <x v="2"/>
    <n v="2019"/>
    <n v="5"/>
    <s v="May"/>
    <x v="6"/>
    <n v="22"/>
    <x v="1"/>
    <n v="341.05"/>
    <n v="434.66"/>
    <n v="695.13"/>
    <n v="528.1"/>
    <n v="1470.84"/>
    <n v="1998.94"/>
    <m/>
  </r>
  <r>
    <x v="21"/>
    <x v="2"/>
    <n v="2019"/>
    <n v="5"/>
    <s v="May"/>
    <x v="7"/>
    <n v="38"/>
    <x v="0"/>
    <n v="22.09"/>
    <n v="36.590000000000003"/>
    <n v="169.85"/>
    <n v="0.19"/>
    <n v="228.53"/>
    <n v="228.72"/>
    <m/>
  </r>
  <r>
    <x v="21"/>
    <x v="2"/>
    <n v="2019"/>
    <n v="5"/>
    <s v="May"/>
    <x v="8"/>
    <n v="7"/>
    <x v="0"/>
    <n v="765.43"/>
    <n v="966.69"/>
    <n v="1840.76"/>
    <n v="90.85"/>
    <n v="3572.88"/>
    <n v="3663.73"/>
    <m/>
  </r>
  <r>
    <x v="21"/>
    <x v="2"/>
    <n v="2019"/>
    <n v="5"/>
    <s v="May"/>
    <x v="9"/>
    <n v="30"/>
    <x v="1"/>
    <n v="87.54"/>
    <n v="128.43"/>
    <n v="128.6"/>
    <n v="4.17"/>
    <n v="344.57"/>
    <n v="348.74"/>
    <m/>
  </r>
  <r>
    <x v="21"/>
    <x v="2"/>
    <n v="2019"/>
    <n v="5"/>
    <s v="May"/>
    <x v="10"/>
    <n v="24"/>
    <x v="1"/>
    <n v="1815.07"/>
    <n v="2316.94"/>
    <n v="2145.9699999999998"/>
    <n v="330.84"/>
    <n v="6277.98"/>
    <n v="6608.82"/>
    <m/>
  </r>
  <r>
    <x v="21"/>
    <x v="2"/>
    <n v="2019"/>
    <n v="5"/>
    <s v="May"/>
    <x v="11"/>
    <n v="6"/>
    <x v="1"/>
    <n v="781.03"/>
    <n v="1125.4000000000001"/>
    <n v="2418.14"/>
    <n v="299.44"/>
    <n v="4324.57"/>
    <n v="4624.01"/>
    <m/>
  </r>
  <r>
    <x v="21"/>
    <x v="2"/>
    <n v="2019"/>
    <n v="5"/>
    <s v="May"/>
    <x v="12"/>
    <n v="2"/>
    <x v="1"/>
    <n v="85.45"/>
    <n v="129.97999999999999"/>
    <n v="423.2"/>
    <n v="1.28"/>
    <n v="638.63"/>
    <n v="639.91"/>
    <m/>
  </r>
  <r>
    <x v="21"/>
    <x v="2"/>
    <n v="2019"/>
    <n v="5"/>
    <s v="May"/>
    <x v="13"/>
    <n v="1"/>
    <x v="0"/>
    <n v="80.040000000000006"/>
    <n v="147.32"/>
    <n v="78.16"/>
    <n v="5.77"/>
    <n v="305.52"/>
    <n v="311.29000000000002"/>
    <m/>
  </r>
  <r>
    <x v="21"/>
    <x v="2"/>
    <n v="2019"/>
    <n v="5"/>
    <s v="May"/>
    <x v="14"/>
    <n v="20"/>
    <x v="1"/>
    <n v="298.97000000000003"/>
    <n v="433.29"/>
    <n v="668.49"/>
    <n v="487.16"/>
    <n v="1400.75"/>
    <n v="1887.91"/>
    <m/>
  </r>
  <r>
    <x v="21"/>
    <x v="2"/>
    <n v="2019"/>
    <n v="5"/>
    <s v="May"/>
    <x v="15"/>
    <n v="29"/>
    <x v="1"/>
    <n v="1490.5"/>
    <n v="2002.47"/>
    <n v="2223.46"/>
    <n v="692.27"/>
    <n v="5716.43"/>
    <n v="6408.7"/>
    <m/>
  </r>
  <r>
    <x v="21"/>
    <x v="2"/>
    <n v="2019"/>
    <n v="5"/>
    <s v="May"/>
    <x v="16"/>
    <n v="32"/>
    <x v="1"/>
    <n v="451.85"/>
    <n v="720.85"/>
    <n v="257.42"/>
    <n v="3.24"/>
    <n v="1430.12"/>
    <n v="1433.36"/>
    <m/>
  </r>
  <r>
    <x v="21"/>
    <x v="2"/>
    <n v="2019"/>
    <n v="5"/>
    <s v="May"/>
    <x v="17"/>
    <n v="31"/>
    <x v="0"/>
    <n v="0.16"/>
    <n v="0.16"/>
    <n v="0.01"/>
    <n v="0"/>
    <n v="0.33"/>
    <n v="0.33"/>
    <m/>
  </r>
  <r>
    <x v="21"/>
    <x v="2"/>
    <n v="2019"/>
    <n v="5"/>
    <s v="May"/>
    <x v="18"/>
    <n v="23"/>
    <x v="1"/>
    <n v="485.89"/>
    <n v="699.13"/>
    <n v="643.84"/>
    <n v="422.43"/>
    <n v="1828.86"/>
    <n v="2251.29"/>
    <m/>
  </r>
  <r>
    <x v="21"/>
    <x v="2"/>
    <n v="2019"/>
    <n v="5"/>
    <s v="May"/>
    <x v="19"/>
    <n v="27"/>
    <x v="1"/>
    <n v="3946.98"/>
    <n v="4885.8900000000003"/>
    <n v="4341.5600000000004"/>
    <n v="959.94"/>
    <n v="13174.43"/>
    <n v="14134.37"/>
    <m/>
  </r>
  <r>
    <x v="21"/>
    <x v="2"/>
    <n v="2019"/>
    <n v="5"/>
    <s v="May"/>
    <x v="20"/>
    <n v="14"/>
    <x v="1"/>
    <n v="10.68"/>
    <n v="16.95"/>
    <n v="1.69"/>
    <n v="0.06"/>
    <n v="29.32"/>
    <n v="29.38"/>
    <m/>
  </r>
  <r>
    <x v="21"/>
    <x v="2"/>
    <n v="2019"/>
    <n v="5"/>
    <s v="May"/>
    <x v="21"/>
    <n v="17"/>
    <x v="1"/>
    <n v="18.579999999999998"/>
    <n v="27.39"/>
    <n v="84.55"/>
    <n v="0.43"/>
    <n v="130.52000000000001"/>
    <n v="130.94999999999999"/>
    <m/>
  </r>
  <r>
    <x v="21"/>
    <x v="2"/>
    <n v="2019"/>
    <n v="5"/>
    <s v="May"/>
    <x v="22"/>
    <n v="15"/>
    <x v="1"/>
    <n v="6.81"/>
    <n v="11.99"/>
    <n v="3.33"/>
    <n v="0"/>
    <n v="22.13"/>
    <n v="22.13"/>
    <m/>
  </r>
  <r>
    <x v="21"/>
    <x v="2"/>
    <n v="2019"/>
    <n v="5"/>
    <s v="May"/>
    <x v="23"/>
    <n v="13"/>
    <x v="1"/>
    <n v="6.85"/>
    <n v="10.34"/>
    <n v="5.17"/>
    <n v="1.27"/>
    <n v="22.36"/>
    <n v="23.63"/>
    <m/>
  </r>
  <r>
    <x v="21"/>
    <x v="2"/>
    <n v="2019"/>
    <n v="5"/>
    <s v="May"/>
    <x v="24"/>
    <n v="21"/>
    <x v="1"/>
    <n v="434.77"/>
    <n v="589.29999999999995"/>
    <n v="591.62"/>
    <n v="524.67999999999995"/>
    <n v="1615.69"/>
    <n v="2140.37"/>
    <m/>
  </r>
  <r>
    <x v="21"/>
    <x v="2"/>
    <n v="2019"/>
    <n v="5"/>
    <s v="May"/>
    <x v="25"/>
    <n v="34"/>
    <x v="0"/>
    <n v="17.760000000000002"/>
    <n v="27.81"/>
    <n v="98.45"/>
    <n v="0.18"/>
    <n v="144.02000000000001"/>
    <n v="144.19999999999999"/>
    <m/>
  </r>
  <r>
    <x v="21"/>
    <x v="2"/>
    <n v="2019"/>
    <n v="5"/>
    <s v="May"/>
    <x v="26"/>
    <n v="3"/>
    <x v="1"/>
    <n v="308.26"/>
    <n v="499.79"/>
    <n v="516.20000000000005"/>
    <n v="23.6"/>
    <n v="1324.25"/>
    <n v="1347.85"/>
    <m/>
  </r>
  <r>
    <x v="21"/>
    <x v="2"/>
    <n v="2019"/>
    <n v="5"/>
    <s v="May"/>
    <x v="27"/>
    <n v="8"/>
    <x v="1"/>
    <n v="712.74"/>
    <n v="988.26"/>
    <n v="913.26"/>
    <n v="133.71"/>
    <n v="2614.2600000000002"/>
    <n v="2747.97"/>
    <m/>
  </r>
  <r>
    <x v="21"/>
    <x v="2"/>
    <n v="2019"/>
    <n v="5"/>
    <s v="May"/>
    <x v="28"/>
    <n v="11"/>
    <x v="1"/>
    <n v="13.74"/>
    <n v="20.350000000000001"/>
    <n v="158.94"/>
    <n v="0.05"/>
    <n v="193.03"/>
    <n v="193.08"/>
    <m/>
  </r>
  <r>
    <x v="21"/>
    <x v="2"/>
    <n v="2019"/>
    <n v="5"/>
    <s v="May"/>
    <x v="29"/>
    <n v="33"/>
    <x v="1"/>
    <n v="1515.14"/>
    <n v="2149.5100000000002"/>
    <n v="1664.18"/>
    <n v="489.12"/>
    <n v="5328.83"/>
    <n v="5817.95"/>
    <m/>
  </r>
  <r>
    <x v="21"/>
    <x v="2"/>
    <n v="2019"/>
    <n v="5"/>
    <s v="May"/>
    <x v="30"/>
    <n v="36"/>
    <x v="1"/>
    <n v="680.19"/>
    <n v="953.56"/>
    <n v="874.75"/>
    <n v="542.80999999999995"/>
    <n v="2508.5"/>
    <n v="3051.31"/>
    <m/>
  </r>
  <r>
    <x v="21"/>
    <x v="2"/>
    <n v="2019"/>
    <n v="5"/>
    <s v="May"/>
    <x v="31"/>
    <n v="16"/>
    <x v="1"/>
    <n v="17.13"/>
    <n v="26.09"/>
    <n v="6.89"/>
    <n v="0.17"/>
    <n v="50.11"/>
    <n v="50.28"/>
    <m/>
  </r>
  <r>
    <x v="21"/>
    <x v="2"/>
    <n v="2019"/>
    <n v="5"/>
    <s v="May"/>
    <x v="32"/>
    <n v="9"/>
    <x v="1"/>
    <n v="1103.3"/>
    <n v="1709.38"/>
    <n v="1246.24"/>
    <n v="1037.27"/>
    <n v="4058.92"/>
    <n v="5096.1899999999996"/>
    <m/>
  </r>
  <r>
    <x v="21"/>
    <x v="2"/>
    <n v="2019"/>
    <n v="5"/>
    <s v="May"/>
    <x v="33"/>
    <n v="5"/>
    <x v="1"/>
    <n v="192.42"/>
    <n v="345.22"/>
    <n v="694.98"/>
    <n v="15.09"/>
    <n v="1232.6199999999999"/>
    <n v="1247.71"/>
    <m/>
  </r>
  <r>
    <x v="21"/>
    <x v="2"/>
    <n v="2019"/>
    <n v="5"/>
    <s v="May"/>
    <x v="34"/>
    <n v="19"/>
    <x v="1"/>
    <n v="1065.6199999999999"/>
    <n v="1389.58"/>
    <n v="767.23"/>
    <n v="354.48"/>
    <n v="3222.43"/>
    <n v="3576.91"/>
    <m/>
  </r>
  <r>
    <x v="22"/>
    <x v="2"/>
    <n v="2019"/>
    <n v="6"/>
    <s v="Jun"/>
    <x v="0"/>
    <n v="35"/>
    <x v="0"/>
    <n v="6.74"/>
    <n v="10.15"/>
    <n v="3.8"/>
    <n v="0.14000000000000001"/>
    <n v="20.69"/>
    <n v="20.83"/>
    <m/>
  </r>
  <r>
    <x v="22"/>
    <x v="2"/>
    <n v="2019"/>
    <n v="6"/>
    <s v="Jun"/>
    <x v="1"/>
    <n v="28"/>
    <x v="1"/>
    <n v="538.82000000000005"/>
    <n v="760.43"/>
    <n v="898.66"/>
    <n v="33.64"/>
    <n v="2197.91"/>
    <n v="2231.5500000000002"/>
    <m/>
  </r>
  <r>
    <x v="22"/>
    <x v="2"/>
    <n v="2019"/>
    <n v="6"/>
    <s v="Jun"/>
    <x v="2"/>
    <n v="12"/>
    <x v="1"/>
    <n v="19.03"/>
    <n v="24.4"/>
    <n v="4.6399999999999997"/>
    <n v="0.01"/>
    <n v="48.07"/>
    <n v="48.08"/>
    <m/>
  </r>
  <r>
    <x v="22"/>
    <x v="2"/>
    <n v="2019"/>
    <n v="6"/>
    <s v="Jun"/>
    <x v="3"/>
    <n v="18"/>
    <x v="1"/>
    <n v="212.47"/>
    <n v="309.8"/>
    <n v="228.69"/>
    <n v="46.62"/>
    <n v="750.96"/>
    <n v="797.58"/>
    <m/>
  </r>
  <r>
    <x v="22"/>
    <x v="2"/>
    <n v="2019"/>
    <n v="6"/>
    <s v="Jun"/>
    <x v="4"/>
    <n v="10"/>
    <x v="1"/>
    <n v="227.22"/>
    <n v="487.81"/>
    <n v="114.06"/>
    <n v="174.24"/>
    <n v="829.09"/>
    <n v="1003.33"/>
    <m/>
  </r>
  <r>
    <x v="22"/>
    <x v="2"/>
    <n v="2019"/>
    <n v="6"/>
    <s v="Jun"/>
    <x v="5"/>
    <n v="4"/>
    <x v="0"/>
    <n v="30.05"/>
    <n v="43.29"/>
    <n v="84.18"/>
    <n v="0.45"/>
    <n v="157.52000000000001"/>
    <n v="157.97"/>
    <m/>
  </r>
  <r>
    <x v="22"/>
    <x v="2"/>
    <n v="2019"/>
    <n v="6"/>
    <s v="Jun"/>
    <x v="6"/>
    <n v="22"/>
    <x v="1"/>
    <n v="394.74"/>
    <n v="497.44"/>
    <n v="654.16999999999996"/>
    <n v="546.30999999999995"/>
    <n v="1546.35"/>
    <n v="2092.66"/>
    <m/>
  </r>
  <r>
    <x v="22"/>
    <x v="2"/>
    <n v="2019"/>
    <n v="6"/>
    <s v="Jun"/>
    <x v="7"/>
    <n v="38"/>
    <x v="0"/>
    <n v="24.68"/>
    <n v="38.76"/>
    <n v="188.07"/>
    <n v="0.13"/>
    <n v="251.51"/>
    <n v="251.64"/>
    <m/>
  </r>
  <r>
    <x v="22"/>
    <x v="2"/>
    <n v="2019"/>
    <n v="6"/>
    <s v="Jun"/>
    <x v="8"/>
    <n v="7"/>
    <x v="0"/>
    <n v="728.97"/>
    <n v="938.35"/>
    <n v="1838.09"/>
    <n v="89.97"/>
    <n v="3505.41"/>
    <n v="3595.38"/>
    <m/>
  </r>
  <r>
    <x v="22"/>
    <x v="2"/>
    <n v="2019"/>
    <n v="6"/>
    <s v="Jun"/>
    <x v="9"/>
    <n v="30"/>
    <x v="1"/>
    <n v="80.64"/>
    <n v="120.45"/>
    <n v="133.55000000000001"/>
    <n v="3.57"/>
    <n v="334.64"/>
    <n v="338.21"/>
    <m/>
  </r>
  <r>
    <x v="22"/>
    <x v="2"/>
    <n v="2019"/>
    <n v="6"/>
    <s v="Jun"/>
    <x v="10"/>
    <n v="24"/>
    <x v="1"/>
    <n v="1783.61"/>
    <n v="2273.63"/>
    <n v="2020.84"/>
    <n v="346.26"/>
    <n v="6078.08"/>
    <n v="6424.34"/>
    <m/>
  </r>
  <r>
    <x v="22"/>
    <x v="2"/>
    <n v="2019"/>
    <n v="6"/>
    <s v="Jun"/>
    <x v="11"/>
    <n v="6"/>
    <x v="1"/>
    <n v="855.06"/>
    <n v="1182.2"/>
    <n v="2525.8200000000002"/>
    <n v="325.75"/>
    <n v="4563.08"/>
    <n v="4888.83"/>
    <m/>
  </r>
  <r>
    <x v="22"/>
    <x v="2"/>
    <n v="2019"/>
    <n v="6"/>
    <s v="Jun"/>
    <x v="12"/>
    <n v="2"/>
    <x v="1"/>
    <n v="97.18"/>
    <n v="152.91999999999999"/>
    <n v="445.98"/>
    <n v="1.22"/>
    <n v="696.08"/>
    <n v="697.3"/>
    <m/>
  </r>
  <r>
    <x v="22"/>
    <x v="2"/>
    <n v="2019"/>
    <n v="6"/>
    <s v="Jun"/>
    <x v="13"/>
    <n v="1"/>
    <x v="0"/>
    <n v="85.25"/>
    <n v="148.83000000000001"/>
    <n v="82.84"/>
    <n v="5.47"/>
    <n v="316.92"/>
    <n v="322.39"/>
    <m/>
  </r>
  <r>
    <x v="22"/>
    <x v="2"/>
    <n v="2019"/>
    <n v="6"/>
    <s v="Jun"/>
    <x v="14"/>
    <n v="20"/>
    <x v="1"/>
    <n v="279.47000000000003"/>
    <n v="407.09"/>
    <n v="684.69"/>
    <n v="439.49"/>
    <n v="1371.25"/>
    <n v="1810.74"/>
    <m/>
  </r>
  <r>
    <x v="22"/>
    <x v="2"/>
    <n v="2019"/>
    <n v="6"/>
    <s v="Jun"/>
    <x v="15"/>
    <n v="29"/>
    <x v="1"/>
    <n v="1514.8"/>
    <n v="2050.0700000000002"/>
    <n v="2236.4699999999998"/>
    <n v="857.89"/>
    <n v="5801.34"/>
    <n v="6659.23"/>
    <m/>
  </r>
  <r>
    <x v="22"/>
    <x v="2"/>
    <n v="2019"/>
    <n v="6"/>
    <s v="Jun"/>
    <x v="16"/>
    <n v="32"/>
    <x v="1"/>
    <n v="495.48"/>
    <n v="806.73"/>
    <n v="260.06"/>
    <n v="5.3"/>
    <n v="1562.27"/>
    <n v="1567.57"/>
    <m/>
  </r>
  <r>
    <x v="22"/>
    <x v="2"/>
    <n v="2019"/>
    <n v="6"/>
    <s v="Jun"/>
    <x v="17"/>
    <n v="31"/>
    <x v="0"/>
    <n v="0.32"/>
    <n v="0.33"/>
    <n v="0.04"/>
    <n v="0"/>
    <n v="0.69"/>
    <n v="0.69"/>
    <m/>
  </r>
  <r>
    <x v="22"/>
    <x v="2"/>
    <n v="2019"/>
    <n v="6"/>
    <s v="Jun"/>
    <x v="18"/>
    <n v="23"/>
    <x v="1"/>
    <n v="473.94"/>
    <n v="700.56"/>
    <n v="603.48"/>
    <n v="434.47"/>
    <n v="1777.98"/>
    <n v="2212.4499999999998"/>
    <m/>
  </r>
  <r>
    <x v="22"/>
    <x v="2"/>
    <n v="2019"/>
    <n v="6"/>
    <s v="Jun"/>
    <x v="19"/>
    <n v="27"/>
    <x v="1"/>
    <n v="4246.18"/>
    <n v="5208.05"/>
    <n v="4702.24"/>
    <n v="986.64"/>
    <n v="14156.47"/>
    <n v="15143.11"/>
    <m/>
  </r>
  <r>
    <x v="22"/>
    <x v="2"/>
    <n v="2019"/>
    <n v="6"/>
    <s v="Jun"/>
    <x v="20"/>
    <n v="14"/>
    <x v="1"/>
    <n v="8.34"/>
    <n v="15.36"/>
    <n v="1.64"/>
    <n v="0.11"/>
    <n v="25.34"/>
    <n v="25.45"/>
    <m/>
  </r>
  <r>
    <x v="22"/>
    <x v="2"/>
    <n v="2019"/>
    <n v="6"/>
    <s v="Jun"/>
    <x v="21"/>
    <n v="17"/>
    <x v="1"/>
    <n v="18.38"/>
    <n v="29.68"/>
    <n v="75.48"/>
    <n v="0.69"/>
    <n v="123.54"/>
    <n v="124.23"/>
    <m/>
  </r>
  <r>
    <x v="22"/>
    <x v="2"/>
    <n v="2019"/>
    <n v="6"/>
    <s v="Jun"/>
    <x v="22"/>
    <n v="15"/>
    <x v="1"/>
    <n v="5.22"/>
    <n v="8.8800000000000008"/>
    <n v="9.84"/>
    <n v="0.03"/>
    <n v="23.94"/>
    <n v="23.97"/>
    <m/>
  </r>
  <r>
    <x v="22"/>
    <x v="2"/>
    <n v="2019"/>
    <n v="6"/>
    <s v="Jun"/>
    <x v="23"/>
    <n v="13"/>
    <x v="1"/>
    <n v="4.9000000000000004"/>
    <n v="8.7100000000000009"/>
    <n v="4.99"/>
    <n v="1.26"/>
    <n v="18.600000000000001"/>
    <n v="19.86"/>
    <m/>
  </r>
  <r>
    <x v="22"/>
    <x v="2"/>
    <n v="2019"/>
    <n v="6"/>
    <s v="Jun"/>
    <x v="24"/>
    <n v="21"/>
    <x v="1"/>
    <n v="603.39"/>
    <n v="804.49"/>
    <n v="970.69"/>
    <n v="544.9"/>
    <n v="2378.5700000000002"/>
    <n v="2923.47"/>
    <m/>
  </r>
  <r>
    <x v="22"/>
    <x v="2"/>
    <n v="2019"/>
    <n v="6"/>
    <s v="Jun"/>
    <x v="25"/>
    <n v="34"/>
    <x v="0"/>
    <n v="17.55"/>
    <n v="29.16"/>
    <n v="88.45"/>
    <n v="0.1"/>
    <n v="135.16"/>
    <n v="135.26"/>
    <m/>
  </r>
  <r>
    <x v="22"/>
    <x v="2"/>
    <n v="2019"/>
    <n v="6"/>
    <s v="Jun"/>
    <x v="26"/>
    <n v="3"/>
    <x v="1"/>
    <n v="262.43"/>
    <n v="481.57"/>
    <n v="480.14"/>
    <n v="23.89"/>
    <n v="1224.1400000000001"/>
    <n v="1248.03"/>
    <m/>
  </r>
  <r>
    <x v="22"/>
    <x v="2"/>
    <n v="2019"/>
    <n v="6"/>
    <s v="Jun"/>
    <x v="27"/>
    <n v="8"/>
    <x v="1"/>
    <n v="698.94"/>
    <n v="984.4"/>
    <n v="859.72"/>
    <n v="139.94"/>
    <n v="2543.06"/>
    <n v="2683"/>
    <m/>
  </r>
  <r>
    <x v="22"/>
    <x v="2"/>
    <n v="2019"/>
    <n v="6"/>
    <s v="Jun"/>
    <x v="28"/>
    <n v="11"/>
    <x v="1"/>
    <n v="11.02"/>
    <n v="15.85"/>
    <n v="166.32"/>
    <n v="0.11"/>
    <n v="193.19"/>
    <n v="193.3"/>
    <m/>
  </r>
  <r>
    <x v="22"/>
    <x v="2"/>
    <n v="2019"/>
    <n v="6"/>
    <s v="Jun"/>
    <x v="29"/>
    <n v="33"/>
    <x v="1"/>
    <n v="1522.35"/>
    <n v="2180.29"/>
    <n v="1648.53"/>
    <n v="529.78"/>
    <n v="5351.17"/>
    <n v="5880.95"/>
    <m/>
  </r>
  <r>
    <x v="22"/>
    <x v="2"/>
    <n v="2019"/>
    <n v="6"/>
    <s v="Jun"/>
    <x v="30"/>
    <n v="36"/>
    <x v="1"/>
    <n v="710.83"/>
    <n v="980.45"/>
    <n v="875.75"/>
    <n v="598.58000000000004"/>
    <n v="2567.0300000000002"/>
    <n v="3165.61"/>
    <m/>
  </r>
  <r>
    <x v="22"/>
    <x v="2"/>
    <n v="2019"/>
    <n v="6"/>
    <s v="Jun"/>
    <x v="31"/>
    <n v="16"/>
    <x v="1"/>
    <n v="17.52"/>
    <n v="33.64"/>
    <n v="6.64"/>
    <n v="0.13"/>
    <n v="57.8"/>
    <n v="57.93"/>
    <m/>
  </r>
  <r>
    <x v="22"/>
    <x v="2"/>
    <n v="2019"/>
    <n v="6"/>
    <s v="Jun"/>
    <x v="32"/>
    <n v="9"/>
    <x v="1"/>
    <n v="1163.48"/>
    <n v="1861.6"/>
    <n v="1270.01"/>
    <n v="1071.33"/>
    <n v="4295.09"/>
    <n v="5366.42"/>
    <m/>
  </r>
  <r>
    <x v="22"/>
    <x v="2"/>
    <n v="2019"/>
    <n v="6"/>
    <s v="Jun"/>
    <x v="33"/>
    <n v="5"/>
    <x v="1"/>
    <n v="191.21"/>
    <n v="350.15"/>
    <n v="669.5"/>
    <n v="20.75"/>
    <n v="1210.8599999999999"/>
    <n v="1231.6099999999999"/>
    <m/>
  </r>
  <r>
    <x v="22"/>
    <x v="2"/>
    <n v="2019"/>
    <n v="6"/>
    <s v="Jun"/>
    <x v="34"/>
    <n v="19"/>
    <x v="1"/>
    <n v="1021.66"/>
    <n v="1371.96"/>
    <n v="767.27"/>
    <n v="352.65"/>
    <n v="3160.89"/>
    <n v="3513.54"/>
    <m/>
  </r>
  <r>
    <x v="23"/>
    <x v="2"/>
    <n v="2019"/>
    <n v="7"/>
    <s v="Jul"/>
    <x v="0"/>
    <n v="35"/>
    <x v="0"/>
    <n v="7.94"/>
    <n v="11.91"/>
    <n v="2.42"/>
    <n v="0.13"/>
    <n v="22.27"/>
    <n v="22.4"/>
    <m/>
  </r>
  <r>
    <x v="23"/>
    <x v="2"/>
    <n v="2019"/>
    <n v="7"/>
    <s v="Jul"/>
    <x v="1"/>
    <n v="28"/>
    <x v="1"/>
    <n v="514.29"/>
    <n v="746.63"/>
    <n v="847.83"/>
    <n v="29.65"/>
    <n v="2108.75"/>
    <n v="2138.4"/>
    <m/>
  </r>
  <r>
    <x v="23"/>
    <x v="2"/>
    <n v="2019"/>
    <n v="7"/>
    <s v="Jul"/>
    <x v="2"/>
    <n v="12"/>
    <x v="1"/>
    <n v="18.34"/>
    <n v="25.68"/>
    <n v="4.43"/>
    <n v="0.26"/>
    <n v="48.45"/>
    <n v="48.71"/>
    <m/>
  </r>
  <r>
    <x v="23"/>
    <x v="2"/>
    <n v="2019"/>
    <n v="7"/>
    <s v="Jul"/>
    <x v="3"/>
    <n v="18"/>
    <x v="1"/>
    <n v="227.27"/>
    <n v="321.70999999999998"/>
    <n v="207.08"/>
    <n v="38.590000000000003"/>
    <n v="756.06"/>
    <n v="794.65"/>
    <m/>
  </r>
  <r>
    <x v="23"/>
    <x v="2"/>
    <n v="2019"/>
    <n v="7"/>
    <s v="Jul"/>
    <x v="4"/>
    <n v="10"/>
    <x v="1"/>
    <n v="260.33"/>
    <n v="529.73"/>
    <n v="146.36000000000001"/>
    <n v="224.02"/>
    <n v="936.42"/>
    <n v="1160.44"/>
    <m/>
  </r>
  <r>
    <x v="23"/>
    <x v="2"/>
    <n v="2019"/>
    <n v="7"/>
    <s v="Jul"/>
    <x v="5"/>
    <n v="4"/>
    <x v="0"/>
    <n v="31.09"/>
    <n v="49.17"/>
    <n v="74.53"/>
    <n v="1.17"/>
    <n v="154.79"/>
    <n v="155.96"/>
    <m/>
  </r>
  <r>
    <x v="23"/>
    <x v="2"/>
    <n v="2019"/>
    <n v="7"/>
    <s v="Jul"/>
    <x v="6"/>
    <n v="22"/>
    <x v="1"/>
    <n v="379.32"/>
    <n v="482.19"/>
    <n v="641.28"/>
    <n v="499.58"/>
    <n v="1502.79"/>
    <n v="2002.37"/>
    <m/>
  </r>
  <r>
    <x v="23"/>
    <x v="2"/>
    <n v="2019"/>
    <n v="7"/>
    <s v="Jul"/>
    <x v="7"/>
    <n v="38"/>
    <x v="0"/>
    <n v="25.11"/>
    <n v="35.840000000000003"/>
    <n v="178.6"/>
    <n v="0.11"/>
    <n v="239.55"/>
    <n v="239.66"/>
    <m/>
  </r>
  <r>
    <x v="23"/>
    <x v="2"/>
    <n v="2019"/>
    <n v="7"/>
    <s v="Jul"/>
    <x v="8"/>
    <n v="7"/>
    <x v="0"/>
    <n v="717.24"/>
    <n v="948.19"/>
    <n v="1651.55"/>
    <n v="89.25"/>
    <n v="3316.98"/>
    <n v="3406.23"/>
    <m/>
  </r>
  <r>
    <x v="23"/>
    <x v="2"/>
    <n v="2019"/>
    <n v="7"/>
    <s v="Jul"/>
    <x v="9"/>
    <n v="30"/>
    <x v="1"/>
    <n v="76.87"/>
    <n v="119.44"/>
    <n v="162.32"/>
    <n v="2.63"/>
    <n v="358.63"/>
    <n v="361.26"/>
    <m/>
  </r>
  <r>
    <x v="23"/>
    <x v="2"/>
    <n v="2019"/>
    <n v="7"/>
    <s v="Jul"/>
    <x v="10"/>
    <n v="24"/>
    <x v="1"/>
    <n v="1691.37"/>
    <n v="2214.21"/>
    <n v="2143.84"/>
    <n v="361.95"/>
    <n v="6049.42"/>
    <n v="6411.37"/>
    <m/>
  </r>
  <r>
    <x v="23"/>
    <x v="2"/>
    <n v="2019"/>
    <n v="7"/>
    <s v="Jul"/>
    <x v="11"/>
    <n v="6"/>
    <x v="1"/>
    <n v="719.55"/>
    <n v="1070.46"/>
    <n v="2535.34"/>
    <n v="291.39"/>
    <n v="4325.3500000000004"/>
    <n v="4616.74"/>
    <m/>
  </r>
  <r>
    <x v="23"/>
    <x v="2"/>
    <n v="2019"/>
    <n v="7"/>
    <s v="Jul"/>
    <x v="12"/>
    <n v="2"/>
    <x v="1"/>
    <n v="103.16"/>
    <n v="154.75"/>
    <n v="414.01"/>
    <n v="5.29"/>
    <n v="671.92"/>
    <n v="677.21"/>
    <m/>
  </r>
  <r>
    <x v="23"/>
    <x v="2"/>
    <n v="2019"/>
    <n v="7"/>
    <s v="Jul"/>
    <x v="13"/>
    <n v="1"/>
    <x v="0"/>
    <n v="90.81"/>
    <n v="164.29"/>
    <n v="102.02"/>
    <n v="5.52"/>
    <n v="357.12"/>
    <n v="362.64"/>
    <m/>
  </r>
  <r>
    <x v="23"/>
    <x v="2"/>
    <n v="2019"/>
    <n v="7"/>
    <s v="Jul"/>
    <x v="14"/>
    <n v="20"/>
    <x v="1"/>
    <n v="306.29000000000002"/>
    <n v="431.11"/>
    <n v="693.92"/>
    <n v="424.17"/>
    <n v="1431.32"/>
    <n v="1855.49"/>
    <m/>
  </r>
  <r>
    <x v="23"/>
    <x v="2"/>
    <n v="2019"/>
    <n v="7"/>
    <s v="Jul"/>
    <x v="15"/>
    <n v="29"/>
    <x v="1"/>
    <n v="1609.44"/>
    <n v="2152"/>
    <n v="2354.19"/>
    <n v="972.87"/>
    <n v="6115.63"/>
    <n v="7088.5"/>
    <m/>
  </r>
  <r>
    <x v="23"/>
    <x v="2"/>
    <n v="2019"/>
    <n v="7"/>
    <s v="Jul"/>
    <x v="16"/>
    <n v="32"/>
    <x v="1"/>
    <n v="474.14"/>
    <n v="757.52"/>
    <n v="265.63"/>
    <n v="15.08"/>
    <n v="1497.29"/>
    <n v="1512.37"/>
    <m/>
  </r>
  <r>
    <x v="23"/>
    <x v="2"/>
    <n v="2019"/>
    <n v="7"/>
    <s v="Jul"/>
    <x v="17"/>
    <n v="31"/>
    <x v="0"/>
    <n v="0.91"/>
    <n v="1.19"/>
    <n v="0.02"/>
    <n v="0"/>
    <n v="2.12"/>
    <n v="2.12"/>
    <m/>
  </r>
  <r>
    <x v="23"/>
    <x v="2"/>
    <n v="2019"/>
    <n v="7"/>
    <s v="Jul"/>
    <x v="18"/>
    <n v="23"/>
    <x v="1"/>
    <n v="517.41"/>
    <n v="741.58"/>
    <n v="573.41"/>
    <n v="449.28"/>
    <n v="1832.4"/>
    <n v="2281.6799999999998"/>
    <m/>
  </r>
  <r>
    <x v="23"/>
    <x v="2"/>
    <n v="2019"/>
    <n v="7"/>
    <s v="Jul"/>
    <x v="19"/>
    <n v="27"/>
    <x v="1"/>
    <n v="3816.41"/>
    <n v="4802.5"/>
    <n v="5458.42"/>
    <n v="1024.49"/>
    <n v="14077.33"/>
    <n v="15101.82"/>
    <m/>
  </r>
  <r>
    <x v="23"/>
    <x v="2"/>
    <n v="2019"/>
    <n v="7"/>
    <s v="Jul"/>
    <x v="20"/>
    <n v="14"/>
    <x v="1"/>
    <n v="12.24"/>
    <n v="19.61"/>
    <n v="1.55"/>
    <n v="0.18"/>
    <n v="33.4"/>
    <n v="33.58"/>
    <m/>
  </r>
  <r>
    <x v="23"/>
    <x v="2"/>
    <n v="2019"/>
    <n v="7"/>
    <s v="Jul"/>
    <x v="21"/>
    <n v="17"/>
    <x v="1"/>
    <n v="17.21"/>
    <n v="26.5"/>
    <n v="60.3"/>
    <n v="0.37"/>
    <n v="104.01"/>
    <n v="104.38"/>
    <m/>
  </r>
  <r>
    <x v="23"/>
    <x v="2"/>
    <n v="2019"/>
    <n v="7"/>
    <s v="Jul"/>
    <x v="22"/>
    <n v="15"/>
    <x v="1"/>
    <n v="3.73"/>
    <n v="7.2"/>
    <n v="8.0500000000000007"/>
    <n v="0.05"/>
    <n v="18.98"/>
    <n v="19.03"/>
    <m/>
  </r>
  <r>
    <x v="23"/>
    <x v="2"/>
    <n v="2019"/>
    <n v="7"/>
    <s v="Jul"/>
    <x v="23"/>
    <n v="13"/>
    <x v="1"/>
    <n v="7.01"/>
    <n v="9.48"/>
    <n v="5.66"/>
    <n v="0.72"/>
    <n v="22.15"/>
    <n v="22.87"/>
    <m/>
  </r>
  <r>
    <x v="23"/>
    <x v="2"/>
    <n v="2019"/>
    <n v="7"/>
    <s v="Jul"/>
    <x v="24"/>
    <n v="21"/>
    <x v="1"/>
    <n v="518.11"/>
    <n v="702.44"/>
    <n v="742.21"/>
    <n v="531.61"/>
    <n v="1962.76"/>
    <n v="2494.37"/>
    <m/>
  </r>
  <r>
    <x v="23"/>
    <x v="2"/>
    <n v="2019"/>
    <n v="7"/>
    <s v="Jul"/>
    <x v="25"/>
    <n v="34"/>
    <x v="0"/>
    <n v="19.36"/>
    <n v="30.18"/>
    <n v="94.75"/>
    <n v="0.24"/>
    <n v="144.29"/>
    <n v="144.53"/>
    <m/>
  </r>
  <r>
    <x v="23"/>
    <x v="2"/>
    <n v="2019"/>
    <n v="7"/>
    <s v="Jul"/>
    <x v="26"/>
    <n v="3"/>
    <x v="1"/>
    <n v="293.58999999999997"/>
    <n v="498.6"/>
    <n v="456.23"/>
    <n v="22.97"/>
    <n v="1248.42"/>
    <n v="1271.3900000000001"/>
    <m/>
  </r>
  <r>
    <x v="23"/>
    <x v="2"/>
    <n v="2019"/>
    <n v="7"/>
    <s v="Jul"/>
    <x v="27"/>
    <n v="8"/>
    <x v="1"/>
    <n v="733.64"/>
    <n v="997.01"/>
    <n v="842.17"/>
    <n v="125.75"/>
    <n v="2572.8200000000002"/>
    <n v="2698.57"/>
    <m/>
  </r>
  <r>
    <x v="23"/>
    <x v="2"/>
    <n v="2019"/>
    <n v="7"/>
    <s v="Jul"/>
    <x v="28"/>
    <n v="11"/>
    <x v="1"/>
    <n v="14.57"/>
    <n v="21.08"/>
    <n v="164.86"/>
    <n v="0.18"/>
    <n v="200.51"/>
    <n v="200.69"/>
    <m/>
  </r>
  <r>
    <x v="23"/>
    <x v="2"/>
    <n v="2019"/>
    <n v="7"/>
    <s v="Jul"/>
    <x v="29"/>
    <n v="33"/>
    <x v="1"/>
    <n v="1552.98"/>
    <n v="2270.62"/>
    <n v="1746.29"/>
    <n v="514.27"/>
    <n v="5569.89"/>
    <n v="6084.16"/>
    <m/>
  </r>
  <r>
    <x v="23"/>
    <x v="2"/>
    <n v="2019"/>
    <n v="7"/>
    <s v="Jul"/>
    <x v="30"/>
    <n v="36"/>
    <x v="1"/>
    <n v="696.92"/>
    <n v="1003.27"/>
    <n v="884.5"/>
    <n v="578.4"/>
    <n v="2584.69"/>
    <n v="3163.09"/>
    <m/>
  </r>
  <r>
    <x v="23"/>
    <x v="2"/>
    <n v="2019"/>
    <n v="7"/>
    <s v="Jul"/>
    <x v="31"/>
    <n v="16"/>
    <x v="1"/>
    <n v="17.07"/>
    <n v="25.66"/>
    <n v="5.82"/>
    <n v="0.11"/>
    <n v="48.55"/>
    <n v="48.66"/>
    <m/>
  </r>
  <r>
    <x v="23"/>
    <x v="2"/>
    <n v="2019"/>
    <n v="7"/>
    <s v="Jul"/>
    <x v="32"/>
    <n v="9"/>
    <x v="1"/>
    <n v="1208.79"/>
    <n v="1899.73"/>
    <n v="1184.68"/>
    <n v="1128.75"/>
    <n v="4293.2"/>
    <n v="5421.95"/>
    <m/>
  </r>
  <r>
    <x v="23"/>
    <x v="2"/>
    <n v="2019"/>
    <n v="7"/>
    <s v="Jul"/>
    <x v="33"/>
    <n v="5"/>
    <x v="1"/>
    <n v="194.08"/>
    <n v="339.75"/>
    <n v="736.23"/>
    <n v="18.84"/>
    <n v="1270.06"/>
    <n v="1288.9000000000001"/>
    <m/>
  </r>
  <r>
    <x v="23"/>
    <x v="2"/>
    <n v="2019"/>
    <n v="7"/>
    <s v="Jul"/>
    <x v="34"/>
    <n v="19"/>
    <x v="1"/>
    <n v="1021.81"/>
    <n v="1371.31"/>
    <n v="796.16"/>
    <n v="396.41"/>
    <n v="3189.28"/>
    <n v="3585.69"/>
    <m/>
  </r>
  <r>
    <x v="24"/>
    <x v="2"/>
    <n v="2019"/>
    <n v="8"/>
    <s v="Aug"/>
    <x v="0"/>
    <n v="35"/>
    <x v="0"/>
    <n v="9.9700000000000006"/>
    <n v="17.11"/>
    <n v="3.26"/>
    <n v="0.14000000000000001"/>
    <n v="30.34"/>
    <n v="30.48"/>
    <m/>
  </r>
  <r>
    <x v="24"/>
    <x v="2"/>
    <n v="2019"/>
    <n v="8"/>
    <s v="Aug"/>
    <x v="1"/>
    <n v="28"/>
    <x v="1"/>
    <n v="499.97"/>
    <n v="700.28"/>
    <n v="892.84"/>
    <n v="22.04"/>
    <n v="2093.09"/>
    <n v="2115.13"/>
    <m/>
  </r>
  <r>
    <x v="24"/>
    <x v="2"/>
    <n v="2019"/>
    <n v="8"/>
    <s v="Aug"/>
    <x v="2"/>
    <n v="12"/>
    <x v="1"/>
    <n v="16.45"/>
    <n v="20.53"/>
    <n v="7.76"/>
    <n v="0.02"/>
    <n v="44.74"/>
    <n v="44.76"/>
    <m/>
  </r>
  <r>
    <x v="24"/>
    <x v="2"/>
    <n v="2019"/>
    <n v="8"/>
    <s v="Aug"/>
    <x v="3"/>
    <n v="18"/>
    <x v="1"/>
    <n v="216.08"/>
    <n v="290.45"/>
    <n v="229.63"/>
    <n v="32.049999999999997"/>
    <n v="736.16"/>
    <n v="768.21"/>
    <m/>
  </r>
  <r>
    <x v="24"/>
    <x v="2"/>
    <n v="2019"/>
    <n v="8"/>
    <s v="Aug"/>
    <x v="4"/>
    <n v="10"/>
    <x v="1"/>
    <n v="255.93"/>
    <n v="453.33"/>
    <n v="115.14"/>
    <n v="156.94999999999999"/>
    <n v="824.4"/>
    <n v="981.35"/>
    <m/>
  </r>
  <r>
    <x v="24"/>
    <x v="2"/>
    <n v="2019"/>
    <n v="8"/>
    <s v="Aug"/>
    <x v="5"/>
    <n v="4"/>
    <x v="0"/>
    <n v="32.9"/>
    <n v="44.49"/>
    <n v="82.29"/>
    <n v="0.4"/>
    <n v="159.68"/>
    <n v="160.08000000000001"/>
    <m/>
  </r>
  <r>
    <x v="24"/>
    <x v="2"/>
    <n v="2019"/>
    <n v="8"/>
    <s v="Aug"/>
    <x v="6"/>
    <n v="22"/>
    <x v="1"/>
    <n v="344.14"/>
    <n v="430.56"/>
    <n v="604.33000000000004"/>
    <n v="493.71"/>
    <n v="1379.03"/>
    <n v="1872.74"/>
    <m/>
  </r>
  <r>
    <x v="24"/>
    <x v="2"/>
    <n v="2019"/>
    <n v="8"/>
    <s v="Aug"/>
    <x v="7"/>
    <n v="38"/>
    <x v="0"/>
    <n v="26.51"/>
    <n v="38.25"/>
    <n v="197.25"/>
    <n v="0.13"/>
    <n v="262.01"/>
    <n v="262.14"/>
    <m/>
  </r>
  <r>
    <x v="24"/>
    <x v="2"/>
    <n v="2019"/>
    <n v="8"/>
    <s v="Aug"/>
    <x v="8"/>
    <n v="7"/>
    <x v="0"/>
    <n v="731.94"/>
    <n v="943.45"/>
    <n v="1736.99"/>
    <n v="104.81"/>
    <n v="3412.38"/>
    <n v="3517.19"/>
    <m/>
  </r>
  <r>
    <x v="24"/>
    <x v="2"/>
    <n v="2019"/>
    <n v="8"/>
    <s v="Aug"/>
    <x v="9"/>
    <n v="30"/>
    <x v="1"/>
    <n v="74.47"/>
    <n v="106.23"/>
    <n v="142.58000000000001"/>
    <n v="1.25"/>
    <n v="323.27999999999997"/>
    <n v="324.52999999999997"/>
    <m/>
  </r>
  <r>
    <x v="24"/>
    <x v="2"/>
    <n v="2019"/>
    <n v="8"/>
    <s v="Aug"/>
    <x v="10"/>
    <n v="24"/>
    <x v="1"/>
    <n v="1668.29"/>
    <n v="2100.58"/>
    <n v="2072.5500000000002"/>
    <n v="343.14"/>
    <n v="5841.42"/>
    <n v="6184.56"/>
    <m/>
  </r>
  <r>
    <x v="24"/>
    <x v="2"/>
    <n v="2019"/>
    <n v="8"/>
    <s v="Aug"/>
    <x v="11"/>
    <n v="6"/>
    <x v="1"/>
    <n v="785.37"/>
    <n v="1138.24"/>
    <n v="2269.8200000000002"/>
    <n v="280.51"/>
    <n v="4193.43"/>
    <n v="4473.9399999999996"/>
    <m/>
  </r>
  <r>
    <x v="24"/>
    <x v="2"/>
    <n v="2019"/>
    <n v="8"/>
    <s v="Aug"/>
    <x v="12"/>
    <n v="2"/>
    <x v="1"/>
    <n v="97.09"/>
    <n v="145.62"/>
    <n v="431.75"/>
    <n v="1.47"/>
    <n v="674.46"/>
    <n v="675.93"/>
    <m/>
  </r>
  <r>
    <x v="24"/>
    <x v="2"/>
    <n v="2019"/>
    <n v="8"/>
    <s v="Aug"/>
    <x v="13"/>
    <n v="1"/>
    <x v="0"/>
    <n v="65.89"/>
    <n v="111.46"/>
    <n v="119.84"/>
    <n v="4.83"/>
    <n v="297.19"/>
    <n v="302.02"/>
    <m/>
  </r>
  <r>
    <x v="24"/>
    <x v="2"/>
    <n v="2019"/>
    <n v="8"/>
    <s v="Aug"/>
    <x v="14"/>
    <n v="20"/>
    <x v="1"/>
    <n v="320.7"/>
    <n v="435.54"/>
    <n v="608.37"/>
    <n v="405.67"/>
    <n v="1364.61"/>
    <n v="1770.28"/>
    <m/>
  </r>
  <r>
    <x v="24"/>
    <x v="2"/>
    <n v="2019"/>
    <n v="8"/>
    <s v="Aug"/>
    <x v="15"/>
    <n v="29"/>
    <x v="1"/>
    <n v="1526.77"/>
    <n v="2096.5300000000002"/>
    <n v="1921.32"/>
    <n v="656.19"/>
    <n v="5544.62"/>
    <n v="6200.81"/>
    <m/>
  </r>
  <r>
    <x v="24"/>
    <x v="2"/>
    <n v="2019"/>
    <n v="8"/>
    <s v="Aug"/>
    <x v="16"/>
    <n v="32"/>
    <x v="1"/>
    <n v="496.8"/>
    <n v="764.03"/>
    <n v="308.10000000000002"/>
    <n v="12.96"/>
    <n v="1568.93"/>
    <n v="1581.89"/>
    <m/>
  </r>
  <r>
    <x v="24"/>
    <x v="2"/>
    <n v="2019"/>
    <n v="8"/>
    <s v="Aug"/>
    <x v="17"/>
    <n v="31"/>
    <x v="0"/>
    <n v="0.37"/>
    <n v="1.04"/>
    <n v="0.03"/>
    <n v="0"/>
    <n v="1.44"/>
    <n v="1.44"/>
    <m/>
  </r>
  <r>
    <x v="24"/>
    <x v="2"/>
    <n v="2019"/>
    <n v="8"/>
    <s v="Aug"/>
    <x v="18"/>
    <n v="23"/>
    <x v="1"/>
    <n v="507.87"/>
    <n v="690.58"/>
    <n v="609.21"/>
    <n v="447.2"/>
    <n v="1807.66"/>
    <n v="2254.86"/>
    <m/>
  </r>
  <r>
    <x v="24"/>
    <x v="2"/>
    <n v="2019"/>
    <n v="8"/>
    <s v="Aug"/>
    <x v="19"/>
    <n v="27"/>
    <x v="1"/>
    <n v="3716.21"/>
    <n v="4690.58"/>
    <n v="4181.4399999999996"/>
    <n v="819.09"/>
    <n v="12588.23"/>
    <n v="13407.32"/>
    <m/>
  </r>
  <r>
    <x v="24"/>
    <x v="2"/>
    <n v="2019"/>
    <n v="8"/>
    <s v="Aug"/>
    <x v="20"/>
    <n v="14"/>
    <x v="1"/>
    <n v="13.15"/>
    <n v="20.92"/>
    <n v="2.36"/>
    <n v="0.12"/>
    <n v="36.43"/>
    <n v="36.549999999999997"/>
    <m/>
  </r>
  <r>
    <x v="24"/>
    <x v="2"/>
    <n v="2019"/>
    <n v="8"/>
    <s v="Aug"/>
    <x v="21"/>
    <n v="17"/>
    <x v="1"/>
    <n v="19.71"/>
    <n v="26.67"/>
    <n v="70.2"/>
    <n v="0.32"/>
    <n v="116.58"/>
    <n v="116.9"/>
    <m/>
  </r>
  <r>
    <x v="24"/>
    <x v="2"/>
    <n v="2019"/>
    <n v="8"/>
    <s v="Aug"/>
    <x v="22"/>
    <n v="15"/>
    <x v="1"/>
    <n v="6.18"/>
    <n v="12.96"/>
    <n v="8.61"/>
    <n v="0.06"/>
    <n v="27.75"/>
    <n v="27.81"/>
    <m/>
  </r>
  <r>
    <x v="24"/>
    <x v="2"/>
    <n v="2019"/>
    <n v="8"/>
    <s v="Aug"/>
    <x v="23"/>
    <n v="13"/>
    <x v="1"/>
    <n v="9.3699999999999992"/>
    <n v="11.84"/>
    <n v="4.63"/>
    <n v="1.01"/>
    <n v="25.84"/>
    <n v="26.85"/>
    <m/>
  </r>
  <r>
    <x v="24"/>
    <x v="2"/>
    <n v="2019"/>
    <n v="8"/>
    <s v="Aug"/>
    <x v="24"/>
    <n v="21"/>
    <x v="1"/>
    <n v="534.67999999999995"/>
    <n v="698.47"/>
    <n v="815.17"/>
    <n v="448.91"/>
    <n v="2048.3200000000002"/>
    <n v="2497.23"/>
    <m/>
  </r>
  <r>
    <x v="24"/>
    <x v="2"/>
    <n v="2019"/>
    <n v="8"/>
    <s v="Aug"/>
    <x v="25"/>
    <n v="34"/>
    <x v="0"/>
    <n v="19.66"/>
    <n v="31.7"/>
    <n v="108.05"/>
    <n v="1.1100000000000001"/>
    <n v="159.41"/>
    <n v="160.52000000000001"/>
    <m/>
  </r>
  <r>
    <x v="24"/>
    <x v="2"/>
    <n v="2019"/>
    <n v="8"/>
    <s v="Aug"/>
    <x v="26"/>
    <n v="3"/>
    <x v="1"/>
    <n v="294.92"/>
    <n v="494.53"/>
    <n v="450.65"/>
    <n v="15.26"/>
    <n v="1240.0999999999999"/>
    <n v="1255.3599999999999"/>
    <m/>
  </r>
  <r>
    <x v="24"/>
    <x v="2"/>
    <n v="2019"/>
    <n v="8"/>
    <s v="Aug"/>
    <x v="27"/>
    <n v="8"/>
    <x v="1"/>
    <n v="717.18"/>
    <n v="954.28"/>
    <n v="756.57"/>
    <n v="122.08"/>
    <n v="2428.0300000000002"/>
    <n v="2550.11"/>
    <m/>
  </r>
  <r>
    <x v="24"/>
    <x v="2"/>
    <n v="2019"/>
    <n v="8"/>
    <s v="Aug"/>
    <x v="28"/>
    <n v="11"/>
    <x v="1"/>
    <n v="11.11"/>
    <n v="14.41"/>
    <n v="137.88"/>
    <n v="0.01"/>
    <n v="163.4"/>
    <n v="163.41"/>
    <m/>
  </r>
  <r>
    <x v="24"/>
    <x v="2"/>
    <n v="2019"/>
    <n v="8"/>
    <s v="Aug"/>
    <x v="29"/>
    <n v="33"/>
    <x v="1"/>
    <n v="1600.37"/>
    <n v="2318.38"/>
    <n v="1688.08"/>
    <n v="366.51"/>
    <n v="5606.83"/>
    <n v="5973.34"/>
    <m/>
  </r>
  <r>
    <x v="24"/>
    <x v="2"/>
    <n v="2019"/>
    <n v="8"/>
    <s v="Aug"/>
    <x v="30"/>
    <n v="36"/>
    <x v="1"/>
    <n v="734.68"/>
    <n v="993.63"/>
    <n v="853.87"/>
    <n v="476.47"/>
    <n v="2582.1799999999998"/>
    <n v="3058.65"/>
    <m/>
  </r>
  <r>
    <x v="24"/>
    <x v="2"/>
    <n v="2019"/>
    <n v="8"/>
    <s v="Aug"/>
    <x v="31"/>
    <n v="16"/>
    <x v="1"/>
    <n v="21.57"/>
    <n v="30.57"/>
    <n v="5.77"/>
    <n v="0.24"/>
    <n v="57.91"/>
    <n v="58.15"/>
    <m/>
  </r>
  <r>
    <x v="24"/>
    <x v="2"/>
    <n v="2019"/>
    <n v="8"/>
    <s v="Aug"/>
    <x v="32"/>
    <n v="9"/>
    <x v="1"/>
    <n v="1131.8399999999999"/>
    <n v="1724.6"/>
    <n v="1206.3399999999999"/>
    <n v="912.67"/>
    <n v="4062.78"/>
    <n v="4975.45"/>
    <m/>
  </r>
  <r>
    <x v="24"/>
    <x v="2"/>
    <n v="2019"/>
    <n v="8"/>
    <s v="Aug"/>
    <x v="33"/>
    <n v="5"/>
    <x v="1"/>
    <n v="187.71"/>
    <n v="316.23"/>
    <n v="423.05"/>
    <n v="14.1"/>
    <n v="926.99"/>
    <n v="941.09"/>
    <m/>
  </r>
  <r>
    <x v="24"/>
    <x v="2"/>
    <n v="2019"/>
    <n v="8"/>
    <s v="Aug"/>
    <x v="34"/>
    <n v="19"/>
    <x v="1"/>
    <n v="1025.01"/>
    <n v="1356.46"/>
    <n v="831.64"/>
    <n v="290.12"/>
    <n v="3213.11"/>
    <n v="3503.23"/>
    <m/>
  </r>
  <r>
    <x v="25"/>
    <x v="2"/>
    <n v="2019"/>
    <n v="9"/>
    <s v="Sep"/>
    <x v="0"/>
    <n v="35"/>
    <x v="0"/>
    <n v="6.58"/>
    <n v="10.02"/>
    <n v="2.15"/>
    <n v="0"/>
    <n v="18.75"/>
    <n v="18.75"/>
    <m/>
  </r>
  <r>
    <x v="25"/>
    <x v="2"/>
    <n v="2019"/>
    <n v="9"/>
    <s v="Sep"/>
    <x v="1"/>
    <n v="28"/>
    <x v="1"/>
    <n v="473.74"/>
    <n v="660.46"/>
    <n v="746.16"/>
    <n v="104.61"/>
    <n v="1880.36"/>
    <n v="1984.97"/>
    <m/>
  </r>
  <r>
    <x v="25"/>
    <x v="2"/>
    <n v="2019"/>
    <n v="9"/>
    <s v="Sep"/>
    <x v="2"/>
    <n v="12"/>
    <x v="1"/>
    <n v="17.57"/>
    <n v="23.08"/>
    <n v="3.44"/>
    <n v="0.22"/>
    <n v="44.09"/>
    <n v="44.31"/>
    <m/>
  </r>
  <r>
    <x v="25"/>
    <x v="2"/>
    <n v="2019"/>
    <n v="9"/>
    <s v="Sep"/>
    <x v="3"/>
    <n v="18"/>
    <x v="1"/>
    <n v="242.51"/>
    <n v="324.17"/>
    <n v="245.09"/>
    <n v="36.68"/>
    <n v="811.77"/>
    <n v="848.45"/>
    <m/>
  </r>
  <r>
    <x v="25"/>
    <x v="2"/>
    <n v="2019"/>
    <n v="9"/>
    <s v="Sep"/>
    <x v="4"/>
    <n v="10"/>
    <x v="1"/>
    <n v="246.12"/>
    <n v="447.66"/>
    <n v="107.12"/>
    <n v="184.8"/>
    <n v="800.9"/>
    <n v="985.7"/>
    <m/>
  </r>
  <r>
    <x v="25"/>
    <x v="2"/>
    <n v="2019"/>
    <n v="9"/>
    <s v="Sep"/>
    <x v="5"/>
    <n v="4"/>
    <x v="0"/>
    <n v="28.68"/>
    <n v="41.26"/>
    <n v="86.47"/>
    <n v="0.1"/>
    <n v="156.41"/>
    <n v="156.51"/>
    <m/>
  </r>
  <r>
    <x v="25"/>
    <x v="2"/>
    <n v="2019"/>
    <n v="9"/>
    <s v="Sep"/>
    <x v="6"/>
    <n v="22"/>
    <x v="1"/>
    <n v="295.31"/>
    <n v="375.2"/>
    <n v="438.94"/>
    <n v="380.14"/>
    <n v="1109.45"/>
    <n v="1489.59"/>
    <m/>
  </r>
  <r>
    <x v="25"/>
    <x v="2"/>
    <n v="2019"/>
    <n v="9"/>
    <s v="Sep"/>
    <x v="7"/>
    <n v="38"/>
    <x v="0"/>
    <n v="24.95"/>
    <n v="33.83"/>
    <n v="155.26"/>
    <n v="0.04"/>
    <n v="214.04"/>
    <n v="214.08"/>
    <m/>
  </r>
  <r>
    <x v="25"/>
    <x v="2"/>
    <n v="2019"/>
    <n v="9"/>
    <s v="Sep"/>
    <x v="8"/>
    <n v="7"/>
    <x v="0"/>
    <n v="707.03"/>
    <n v="924.2"/>
    <n v="1667.67"/>
    <n v="86.97"/>
    <n v="3298.9"/>
    <n v="3385.87"/>
    <m/>
  </r>
  <r>
    <x v="25"/>
    <x v="2"/>
    <n v="2019"/>
    <n v="9"/>
    <s v="Sep"/>
    <x v="9"/>
    <n v="30"/>
    <x v="1"/>
    <n v="71.63"/>
    <n v="109.5"/>
    <n v="127.58"/>
    <n v="2.76"/>
    <n v="308.70999999999998"/>
    <n v="311.47000000000003"/>
    <m/>
  </r>
  <r>
    <x v="25"/>
    <x v="2"/>
    <n v="2019"/>
    <n v="9"/>
    <s v="Sep"/>
    <x v="10"/>
    <n v="24"/>
    <x v="1"/>
    <n v="1543.19"/>
    <n v="1932.12"/>
    <n v="1901.53"/>
    <n v="363.69"/>
    <n v="5376.84"/>
    <n v="5740.53"/>
    <m/>
  </r>
  <r>
    <x v="25"/>
    <x v="2"/>
    <n v="2019"/>
    <n v="9"/>
    <s v="Sep"/>
    <x v="11"/>
    <n v="6"/>
    <x v="1"/>
    <n v="720.31"/>
    <n v="1053.43"/>
    <n v="2053.9299999999998"/>
    <n v="281.99"/>
    <n v="3827.67"/>
    <n v="4109.66"/>
    <m/>
  </r>
  <r>
    <x v="25"/>
    <x v="2"/>
    <n v="2019"/>
    <n v="9"/>
    <s v="Sep"/>
    <x v="12"/>
    <n v="2"/>
    <x v="1"/>
    <n v="89.32"/>
    <n v="135.04"/>
    <n v="383.62"/>
    <n v="0.91"/>
    <n v="607.98"/>
    <n v="608.89"/>
    <m/>
  </r>
  <r>
    <x v="25"/>
    <x v="2"/>
    <n v="2019"/>
    <n v="9"/>
    <s v="Sep"/>
    <x v="13"/>
    <n v="1"/>
    <x v="0"/>
    <n v="62.12"/>
    <n v="99.43"/>
    <n v="117.47"/>
    <n v="2.7"/>
    <n v="279.02"/>
    <n v="281.72000000000003"/>
    <m/>
  </r>
  <r>
    <x v="25"/>
    <x v="2"/>
    <n v="2019"/>
    <n v="9"/>
    <s v="Sep"/>
    <x v="14"/>
    <n v="20"/>
    <x v="1"/>
    <n v="279.61"/>
    <n v="374.93"/>
    <n v="462.73"/>
    <n v="391.67"/>
    <n v="1117.27"/>
    <n v="1508.94"/>
    <m/>
  </r>
  <r>
    <x v="25"/>
    <x v="2"/>
    <n v="2019"/>
    <n v="9"/>
    <s v="Sep"/>
    <x v="15"/>
    <n v="29"/>
    <x v="1"/>
    <n v="1522.24"/>
    <n v="2061.7600000000002"/>
    <n v="1985.98"/>
    <n v="779.88"/>
    <n v="5569.98"/>
    <n v="6349.86"/>
    <m/>
  </r>
  <r>
    <x v="25"/>
    <x v="2"/>
    <n v="2019"/>
    <n v="9"/>
    <s v="Sep"/>
    <x v="16"/>
    <n v="32"/>
    <x v="1"/>
    <n v="441.28"/>
    <n v="687.19"/>
    <n v="258.97000000000003"/>
    <n v="5.72"/>
    <n v="1387.44"/>
    <n v="1393.16"/>
    <m/>
  </r>
  <r>
    <x v="25"/>
    <x v="2"/>
    <n v="2019"/>
    <n v="9"/>
    <s v="Sep"/>
    <x v="17"/>
    <n v="31"/>
    <x v="0"/>
    <n v="0.74"/>
    <n v="0.84"/>
    <n v="0.09"/>
    <n v="0"/>
    <n v="1.67"/>
    <n v="1.67"/>
    <m/>
  </r>
  <r>
    <x v="25"/>
    <x v="2"/>
    <n v="2019"/>
    <n v="9"/>
    <s v="Sep"/>
    <x v="18"/>
    <n v="23"/>
    <x v="1"/>
    <n v="445.86"/>
    <n v="613.71"/>
    <n v="585.57000000000005"/>
    <n v="441.96"/>
    <n v="1645.14"/>
    <n v="2087.1"/>
    <m/>
  </r>
  <r>
    <x v="25"/>
    <x v="2"/>
    <n v="2019"/>
    <n v="9"/>
    <s v="Sep"/>
    <x v="19"/>
    <n v="27"/>
    <x v="1"/>
    <n v="3609.68"/>
    <n v="4405.43"/>
    <n v="4647.0600000000004"/>
    <n v="916.78"/>
    <n v="12662.17"/>
    <n v="13578.95"/>
    <m/>
  </r>
  <r>
    <x v="25"/>
    <x v="2"/>
    <n v="2019"/>
    <n v="9"/>
    <s v="Sep"/>
    <x v="20"/>
    <n v="14"/>
    <x v="1"/>
    <n v="15.11"/>
    <n v="23.34"/>
    <n v="2.9"/>
    <n v="0.15"/>
    <n v="41.35"/>
    <n v="41.5"/>
    <m/>
  </r>
  <r>
    <x v="25"/>
    <x v="2"/>
    <n v="2019"/>
    <n v="9"/>
    <s v="Sep"/>
    <x v="21"/>
    <n v="17"/>
    <x v="1"/>
    <n v="15.07"/>
    <n v="20.82"/>
    <n v="68.23"/>
    <n v="1.77"/>
    <n v="104.12"/>
    <n v="105.89"/>
    <m/>
  </r>
  <r>
    <x v="25"/>
    <x v="2"/>
    <n v="2019"/>
    <n v="9"/>
    <s v="Sep"/>
    <x v="22"/>
    <n v="15"/>
    <x v="1"/>
    <n v="6.32"/>
    <n v="10.039999999999999"/>
    <n v="12.8"/>
    <n v="0.1"/>
    <n v="29.16"/>
    <n v="29.26"/>
    <m/>
  </r>
  <r>
    <x v="25"/>
    <x v="2"/>
    <n v="2019"/>
    <n v="9"/>
    <s v="Sep"/>
    <x v="23"/>
    <n v="13"/>
    <x v="1"/>
    <n v="6.42"/>
    <n v="9.2799999999999994"/>
    <n v="4.51"/>
    <n v="0.42"/>
    <n v="20.21"/>
    <n v="20.63"/>
    <m/>
  </r>
  <r>
    <x v="25"/>
    <x v="2"/>
    <n v="2019"/>
    <n v="9"/>
    <s v="Sep"/>
    <x v="24"/>
    <n v="21"/>
    <x v="1"/>
    <n v="473.85"/>
    <n v="610.19000000000005"/>
    <n v="577.1"/>
    <n v="353.9"/>
    <n v="1661.14"/>
    <n v="2015.04"/>
    <m/>
  </r>
  <r>
    <x v="25"/>
    <x v="2"/>
    <n v="2019"/>
    <n v="9"/>
    <s v="Sep"/>
    <x v="25"/>
    <n v="34"/>
    <x v="0"/>
    <n v="18.510000000000002"/>
    <n v="30.95"/>
    <n v="99.6"/>
    <n v="0.36"/>
    <n v="149.06"/>
    <n v="149.41999999999999"/>
    <m/>
  </r>
  <r>
    <x v="25"/>
    <x v="2"/>
    <n v="2019"/>
    <n v="9"/>
    <s v="Sep"/>
    <x v="26"/>
    <n v="3"/>
    <x v="1"/>
    <n v="275.27999999999997"/>
    <n v="473.05"/>
    <n v="370.67"/>
    <n v="14.36"/>
    <n v="1119"/>
    <n v="1133.3599999999999"/>
    <m/>
  </r>
  <r>
    <x v="25"/>
    <x v="2"/>
    <n v="2019"/>
    <n v="9"/>
    <s v="Sep"/>
    <x v="27"/>
    <n v="8"/>
    <x v="1"/>
    <n v="621.79999999999995"/>
    <n v="839.73"/>
    <n v="660.62"/>
    <n v="131.16"/>
    <n v="2122.15"/>
    <n v="2253.31"/>
    <m/>
  </r>
  <r>
    <x v="25"/>
    <x v="2"/>
    <n v="2019"/>
    <n v="9"/>
    <s v="Sep"/>
    <x v="28"/>
    <n v="11"/>
    <x v="1"/>
    <n v="11.26"/>
    <n v="16.23"/>
    <n v="181.41"/>
    <n v="0.1"/>
    <n v="208.9"/>
    <n v="209"/>
    <m/>
  </r>
  <r>
    <x v="25"/>
    <x v="2"/>
    <n v="2019"/>
    <n v="9"/>
    <s v="Sep"/>
    <x v="29"/>
    <n v="33"/>
    <x v="1"/>
    <n v="1475.53"/>
    <n v="2135.15"/>
    <n v="1541.56"/>
    <n v="463.37"/>
    <n v="5152.24"/>
    <n v="5615.61"/>
    <m/>
  </r>
  <r>
    <x v="25"/>
    <x v="2"/>
    <n v="2019"/>
    <n v="9"/>
    <s v="Sep"/>
    <x v="30"/>
    <n v="36"/>
    <x v="1"/>
    <n v="655.52"/>
    <n v="916.21"/>
    <n v="781.15"/>
    <n v="501.2"/>
    <n v="2352.88"/>
    <n v="2854.08"/>
    <m/>
  </r>
  <r>
    <x v="25"/>
    <x v="2"/>
    <n v="2019"/>
    <n v="9"/>
    <s v="Sep"/>
    <x v="31"/>
    <n v="16"/>
    <x v="1"/>
    <n v="18.37"/>
    <n v="26.58"/>
    <n v="6.52"/>
    <n v="0.23"/>
    <n v="51.47"/>
    <n v="51.7"/>
    <m/>
  </r>
  <r>
    <x v="25"/>
    <x v="2"/>
    <n v="2019"/>
    <n v="9"/>
    <s v="Sep"/>
    <x v="32"/>
    <n v="9"/>
    <x v="1"/>
    <n v="1056.04"/>
    <n v="1616.07"/>
    <n v="1253.9100000000001"/>
    <n v="1147.4100000000001"/>
    <n v="3926.02"/>
    <n v="5073.43"/>
    <m/>
  </r>
  <r>
    <x v="25"/>
    <x v="2"/>
    <n v="2019"/>
    <n v="9"/>
    <s v="Sep"/>
    <x v="33"/>
    <n v="5"/>
    <x v="1"/>
    <n v="185.89"/>
    <n v="286.29000000000002"/>
    <n v="533.98"/>
    <n v="10.48"/>
    <n v="1006.16"/>
    <n v="1016.64"/>
    <m/>
  </r>
  <r>
    <x v="25"/>
    <x v="2"/>
    <n v="2019"/>
    <n v="9"/>
    <s v="Sep"/>
    <x v="34"/>
    <n v="19"/>
    <x v="1"/>
    <n v="961.51"/>
    <n v="1263.3699999999999"/>
    <n v="745.38"/>
    <n v="285.23"/>
    <n v="2970.26"/>
    <n v="3255.49"/>
    <m/>
  </r>
  <r>
    <x v="26"/>
    <x v="2"/>
    <n v="2019"/>
    <n v="10"/>
    <s v="Oct"/>
    <x v="0"/>
    <n v="35"/>
    <x v="0"/>
    <n v="12.73"/>
    <n v="16.09"/>
    <n v="2.91"/>
    <n v="0.01"/>
    <n v="31.73"/>
    <n v="31.74"/>
    <m/>
  </r>
  <r>
    <x v="26"/>
    <x v="2"/>
    <n v="2019"/>
    <n v="10"/>
    <s v="Oct"/>
    <x v="1"/>
    <n v="28"/>
    <x v="1"/>
    <n v="470.07"/>
    <n v="656.57"/>
    <n v="716.4"/>
    <n v="131.85"/>
    <n v="1843.04"/>
    <n v="1974.89"/>
    <m/>
  </r>
  <r>
    <x v="26"/>
    <x v="2"/>
    <n v="2019"/>
    <n v="10"/>
    <s v="Oct"/>
    <x v="2"/>
    <n v="12"/>
    <x v="1"/>
    <n v="15.7"/>
    <n v="20.74"/>
    <n v="4.2"/>
    <n v="0.34"/>
    <n v="40.64"/>
    <n v="40.98"/>
    <m/>
  </r>
  <r>
    <x v="26"/>
    <x v="2"/>
    <n v="2019"/>
    <n v="10"/>
    <s v="Oct"/>
    <x v="3"/>
    <n v="18"/>
    <x v="1"/>
    <n v="262.51"/>
    <n v="357.34"/>
    <n v="221.86"/>
    <n v="46.42"/>
    <n v="841.71"/>
    <n v="888.13"/>
    <m/>
  </r>
  <r>
    <x v="26"/>
    <x v="2"/>
    <n v="2019"/>
    <n v="10"/>
    <s v="Oct"/>
    <x v="4"/>
    <n v="10"/>
    <x v="1"/>
    <n v="248.99"/>
    <n v="402.7"/>
    <n v="107.15"/>
    <n v="181.22"/>
    <n v="758.84"/>
    <n v="940.06"/>
    <m/>
  </r>
  <r>
    <x v="26"/>
    <x v="2"/>
    <n v="2019"/>
    <n v="10"/>
    <s v="Oct"/>
    <x v="5"/>
    <n v="4"/>
    <x v="0"/>
    <n v="27.89"/>
    <n v="40.42"/>
    <n v="88.35"/>
    <n v="0.36"/>
    <n v="156.66"/>
    <n v="157.02000000000001"/>
    <m/>
  </r>
  <r>
    <x v="26"/>
    <x v="2"/>
    <n v="2019"/>
    <n v="10"/>
    <s v="Oct"/>
    <x v="6"/>
    <n v="22"/>
    <x v="1"/>
    <n v="312.64"/>
    <n v="395.21"/>
    <n v="496.85"/>
    <n v="364.94"/>
    <n v="1204.7"/>
    <n v="1569.64"/>
    <m/>
  </r>
  <r>
    <x v="26"/>
    <x v="2"/>
    <n v="2019"/>
    <n v="10"/>
    <s v="Oct"/>
    <x v="7"/>
    <n v="38"/>
    <x v="0"/>
    <n v="23.88"/>
    <n v="32.1"/>
    <n v="156.88"/>
    <n v="0.1"/>
    <n v="212.86"/>
    <n v="212.96"/>
    <m/>
  </r>
  <r>
    <x v="26"/>
    <x v="2"/>
    <n v="2019"/>
    <n v="10"/>
    <s v="Oct"/>
    <x v="8"/>
    <n v="7"/>
    <x v="0"/>
    <n v="717.56"/>
    <n v="959.76"/>
    <n v="1720.77"/>
    <n v="86.07"/>
    <n v="3398.09"/>
    <n v="3484.16"/>
    <m/>
  </r>
  <r>
    <x v="26"/>
    <x v="2"/>
    <n v="2019"/>
    <n v="10"/>
    <s v="Oct"/>
    <x v="9"/>
    <n v="30"/>
    <x v="1"/>
    <n v="76.16"/>
    <n v="107.51"/>
    <n v="126.48"/>
    <n v="1"/>
    <n v="310.14999999999998"/>
    <n v="311.14999999999998"/>
    <m/>
  </r>
  <r>
    <x v="26"/>
    <x v="2"/>
    <n v="2019"/>
    <n v="10"/>
    <s v="Oct"/>
    <x v="10"/>
    <n v="24"/>
    <x v="1"/>
    <n v="1634.86"/>
    <n v="2016.4"/>
    <n v="1850.61"/>
    <n v="385.66"/>
    <n v="5501.87"/>
    <n v="5887.53"/>
    <m/>
  </r>
  <r>
    <x v="26"/>
    <x v="2"/>
    <n v="2019"/>
    <n v="10"/>
    <s v="Oct"/>
    <x v="11"/>
    <n v="6"/>
    <x v="1"/>
    <n v="752.47"/>
    <n v="1088.3800000000001"/>
    <n v="2437.39"/>
    <n v="299.81"/>
    <n v="4278.24"/>
    <n v="4578.05"/>
    <m/>
  </r>
  <r>
    <x v="26"/>
    <x v="2"/>
    <n v="2019"/>
    <n v="10"/>
    <s v="Oct"/>
    <x v="12"/>
    <n v="2"/>
    <x v="1"/>
    <n v="96.95"/>
    <n v="143.43"/>
    <n v="427.68"/>
    <n v="1.04"/>
    <n v="668.06"/>
    <n v="669.1"/>
    <m/>
  </r>
  <r>
    <x v="26"/>
    <x v="2"/>
    <n v="2019"/>
    <n v="10"/>
    <s v="Oct"/>
    <x v="13"/>
    <n v="1"/>
    <x v="0"/>
    <n v="77.09"/>
    <n v="122.63"/>
    <n v="109.58"/>
    <n v="3.22"/>
    <n v="309.3"/>
    <n v="312.52"/>
    <m/>
  </r>
  <r>
    <x v="26"/>
    <x v="2"/>
    <n v="2019"/>
    <n v="10"/>
    <s v="Oct"/>
    <x v="14"/>
    <n v="20"/>
    <x v="1"/>
    <n v="289.19"/>
    <n v="400.17"/>
    <n v="412.68"/>
    <n v="334.69"/>
    <n v="1102.04"/>
    <n v="1436.73"/>
    <m/>
  </r>
  <r>
    <x v="26"/>
    <x v="2"/>
    <n v="2019"/>
    <n v="10"/>
    <s v="Oct"/>
    <x v="15"/>
    <n v="29"/>
    <x v="1"/>
    <n v="1613.99"/>
    <n v="2142.73"/>
    <n v="2089.67"/>
    <n v="828.63"/>
    <n v="5846.39"/>
    <n v="6675.02"/>
    <m/>
  </r>
  <r>
    <x v="26"/>
    <x v="2"/>
    <n v="2019"/>
    <n v="10"/>
    <s v="Oct"/>
    <x v="16"/>
    <n v="32"/>
    <x v="1"/>
    <n v="490.3"/>
    <n v="765.85"/>
    <n v="281.07"/>
    <n v="11.97"/>
    <n v="1537.22"/>
    <n v="1549.19"/>
    <m/>
  </r>
  <r>
    <x v="26"/>
    <x v="2"/>
    <n v="2019"/>
    <n v="10"/>
    <s v="Oct"/>
    <x v="17"/>
    <n v="31"/>
    <x v="0"/>
    <n v="1.05"/>
    <n v="1.38"/>
    <n v="0.04"/>
    <n v="0"/>
    <n v="2.4700000000000002"/>
    <n v="2.4700000000000002"/>
    <m/>
  </r>
  <r>
    <x v="26"/>
    <x v="2"/>
    <n v="2019"/>
    <n v="10"/>
    <s v="Oct"/>
    <x v="18"/>
    <n v="23"/>
    <x v="1"/>
    <n v="464.13"/>
    <n v="639.02"/>
    <n v="559.53"/>
    <n v="389.93"/>
    <n v="1662.68"/>
    <n v="2052.61"/>
    <m/>
  </r>
  <r>
    <x v="26"/>
    <x v="2"/>
    <n v="2019"/>
    <n v="10"/>
    <s v="Oct"/>
    <x v="19"/>
    <n v="27"/>
    <x v="1"/>
    <n v="3947.74"/>
    <n v="4818.42"/>
    <n v="5484.49"/>
    <n v="858.82"/>
    <n v="14250.65"/>
    <n v="15109.47"/>
    <m/>
  </r>
  <r>
    <x v="26"/>
    <x v="2"/>
    <n v="2019"/>
    <n v="10"/>
    <s v="Oct"/>
    <x v="20"/>
    <n v="14"/>
    <x v="1"/>
    <n v="16.25"/>
    <n v="24.59"/>
    <n v="2.13"/>
    <n v="0.1"/>
    <n v="42.97"/>
    <n v="43.07"/>
    <m/>
  </r>
  <r>
    <x v="26"/>
    <x v="2"/>
    <n v="2019"/>
    <n v="10"/>
    <s v="Oct"/>
    <x v="21"/>
    <n v="17"/>
    <x v="1"/>
    <n v="18.38"/>
    <n v="27.13"/>
    <n v="67.37"/>
    <n v="0.01"/>
    <n v="112.88"/>
    <n v="112.89"/>
    <m/>
  </r>
  <r>
    <x v="26"/>
    <x v="2"/>
    <n v="2019"/>
    <n v="10"/>
    <s v="Oct"/>
    <x v="22"/>
    <n v="15"/>
    <x v="1"/>
    <n v="5.24"/>
    <n v="9.93"/>
    <n v="3.04"/>
    <n v="0.17"/>
    <n v="18.21"/>
    <n v="18.38"/>
    <m/>
  </r>
  <r>
    <x v="26"/>
    <x v="2"/>
    <n v="2019"/>
    <n v="10"/>
    <s v="Oct"/>
    <x v="23"/>
    <n v="13"/>
    <x v="1"/>
    <n v="7.9"/>
    <n v="10.4"/>
    <n v="6.11"/>
    <n v="0.09"/>
    <n v="24.41"/>
    <n v="24.5"/>
    <m/>
  </r>
  <r>
    <x v="26"/>
    <x v="2"/>
    <n v="2019"/>
    <n v="10"/>
    <s v="Oct"/>
    <x v="24"/>
    <n v="21"/>
    <x v="1"/>
    <n v="486.86"/>
    <n v="627.73"/>
    <n v="559.47"/>
    <n v="319.77999999999997"/>
    <n v="1674.06"/>
    <n v="1993.84"/>
    <m/>
  </r>
  <r>
    <x v="26"/>
    <x v="2"/>
    <n v="2019"/>
    <n v="10"/>
    <s v="Oct"/>
    <x v="25"/>
    <n v="34"/>
    <x v="0"/>
    <n v="19.57"/>
    <n v="30.73"/>
    <n v="94.56"/>
    <n v="0.87"/>
    <n v="144.86000000000001"/>
    <n v="145.72999999999999"/>
    <m/>
  </r>
  <r>
    <x v="26"/>
    <x v="2"/>
    <n v="2019"/>
    <n v="10"/>
    <s v="Oct"/>
    <x v="26"/>
    <n v="3"/>
    <x v="1"/>
    <n v="281.52"/>
    <n v="480.1"/>
    <n v="412.49"/>
    <n v="15.24"/>
    <n v="1174.1099999999999"/>
    <n v="1189.3499999999999"/>
    <m/>
  </r>
  <r>
    <x v="26"/>
    <x v="2"/>
    <n v="2019"/>
    <n v="10"/>
    <s v="Oct"/>
    <x v="27"/>
    <n v="8"/>
    <x v="1"/>
    <n v="654.87"/>
    <n v="909.57"/>
    <n v="750.12"/>
    <n v="110.47"/>
    <n v="2314.56"/>
    <n v="2425.0300000000002"/>
    <m/>
  </r>
  <r>
    <x v="26"/>
    <x v="2"/>
    <n v="2019"/>
    <n v="10"/>
    <s v="Oct"/>
    <x v="28"/>
    <n v="11"/>
    <x v="1"/>
    <n v="9.74"/>
    <n v="13.14"/>
    <n v="163.18"/>
    <n v="0.06"/>
    <n v="186.06"/>
    <n v="186.12"/>
    <m/>
  </r>
  <r>
    <x v="26"/>
    <x v="2"/>
    <n v="2019"/>
    <n v="10"/>
    <s v="Oct"/>
    <x v="29"/>
    <n v="33"/>
    <x v="1"/>
    <n v="1526.61"/>
    <n v="2128.5500000000002"/>
    <n v="1876.37"/>
    <n v="577.1"/>
    <n v="5531.53"/>
    <n v="6108.63"/>
    <m/>
  </r>
  <r>
    <x v="26"/>
    <x v="2"/>
    <n v="2019"/>
    <n v="10"/>
    <s v="Oct"/>
    <x v="30"/>
    <n v="36"/>
    <x v="1"/>
    <n v="765.32"/>
    <n v="1010.33"/>
    <n v="980.65"/>
    <n v="474.13"/>
    <n v="2756.3"/>
    <n v="3230.43"/>
    <m/>
  </r>
  <r>
    <x v="26"/>
    <x v="2"/>
    <n v="2019"/>
    <n v="10"/>
    <s v="Oct"/>
    <x v="31"/>
    <n v="16"/>
    <x v="1"/>
    <n v="20.41"/>
    <n v="29.09"/>
    <n v="4.87"/>
    <n v="0.05"/>
    <n v="54.37"/>
    <n v="54.42"/>
    <m/>
  </r>
  <r>
    <x v="26"/>
    <x v="2"/>
    <n v="2019"/>
    <n v="10"/>
    <s v="Oct"/>
    <x v="32"/>
    <n v="9"/>
    <x v="1"/>
    <n v="1080.6099999999999"/>
    <n v="1655.63"/>
    <n v="1309.48"/>
    <n v="1056.8599999999999"/>
    <n v="4045.72"/>
    <n v="5102.58"/>
    <m/>
  </r>
  <r>
    <x v="26"/>
    <x v="2"/>
    <n v="2019"/>
    <n v="10"/>
    <s v="Oct"/>
    <x v="33"/>
    <n v="5"/>
    <x v="1"/>
    <n v="204.31"/>
    <n v="316.07"/>
    <n v="620.91999999999996"/>
    <n v="12.03"/>
    <n v="1141.3"/>
    <n v="1153.33"/>
    <m/>
  </r>
  <r>
    <x v="26"/>
    <x v="2"/>
    <n v="2019"/>
    <n v="10"/>
    <s v="Oct"/>
    <x v="34"/>
    <n v="19"/>
    <x v="1"/>
    <n v="940.17"/>
    <n v="1264.25"/>
    <n v="718.87"/>
    <n v="339.75"/>
    <n v="2923.29"/>
    <n v="3263.04"/>
    <m/>
  </r>
  <r>
    <x v="27"/>
    <x v="2"/>
    <n v="2019"/>
    <n v="11"/>
    <s v="Nov"/>
    <x v="0"/>
    <n v="35"/>
    <x v="0"/>
    <n v="8.36"/>
    <n v="13.52"/>
    <n v="2.99"/>
    <n v="0.04"/>
    <n v="24.87"/>
    <n v="24.91"/>
    <m/>
  </r>
  <r>
    <x v="27"/>
    <x v="2"/>
    <n v="2019"/>
    <n v="11"/>
    <s v="Nov"/>
    <x v="1"/>
    <n v="28"/>
    <x v="1"/>
    <n v="496.73"/>
    <n v="767.3"/>
    <n v="746.75"/>
    <n v="218.82"/>
    <n v="2010.78"/>
    <n v="2229.6"/>
    <m/>
  </r>
  <r>
    <x v="27"/>
    <x v="2"/>
    <n v="2019"/>
    <n v="11"/>
    <s v="Nov"/>
    <x v="2"/>
    <n v="12"/>
    <x v="1"/>
    <n v="13.09"/>
    <n v="17.07"/>
    <n v="5.28"/>
    <n v="0.17"/>
    <n v="35.44"/>
    <n v="35.61"/>
    <m/>
  </r>
  <r>
    <x v="27"/>
    <x v="2"/>
    <n v="2019"/>
    <n v="11"/>
    <s v="Nov"/>
    <x v="3"/>
    <n v="18"/>
    <x v="1"/>
    <n v="268.95999999999998"/>
    <n v="375.17"/>
    <n v="272.68"/>
    <n v="40.76"/>
    <n v="916.81"/>
    <n v="957.57"/>
    <m/>
  </r>
  <r>
    <x v="27"/>
    <x v="2"/>
    <n v="2019"/>
    <n v="11"/>
    <s v="Nov"/>
    <x v="4"/>
    <n v="10"/>
    <x v="1"/>
    <n v="278.04000000000002"/>
    <n v="509.6"/>
    <n v="136.63999999999999"/>
    <n v="182.29"/>
    <n v="924.28"/>
    <n v="1106.57"/>
    <m/>
  </r>
  <r>
    <x v="27"/>
    <x v="2"/>
    <n v="2019"/>
    <n v="11"/>
    <s v="Nov"/>
    <x v="5"/>
    <n v="4"/>
    <x v="0"/>
    <n v="32.92"/>
    <n v="50.6"/>
    <n v="80.44"/>
    <n v="1.21"/>
    <n v="163.96"/>
    <n v="165.17"/>
    <m/>
  </r>
  <r>
    <x v="27"/>
    <x v="2"/>
    <n v="2019"/>
    <n v="11"/>
    <s v="Nov"/>
    <x v="6"/>
    <n v="22"/>
    <x v="1"/>
    <n v="356.7"/>
    <n v="484.53"/>
    <n v="871.38"/>
    <n v="463.5"/>
    <n v="1712.61"/>
    <n v="2176.11"/>
    <m/>
  </r>
  <r>
    <x v="27"/>
    <x v="2"/>
    <n v="2019"/>
    <n v="11"/>
    <s v="Nov"/>
    <x v="7"/>
    <n v="38"/>
    <x v="0"/>
    <n v="28.11"/>
    <n v="39.909999999999997"/>
    <n v="177.32"/>
    <n v="7.0000000000000007E-2"/>
    <n v="245.34"/>
    <n v="245.41"/>
    <m/>
  </r>
  <r>
    <x v="27"/>
    <x v="2"/>
    <n v="2019"/>
    <n v="11"/>
    <s v="Nov"/>
    <x v="8"/>
    <n v="7"/>
    <x v="0"/>
    <n v="872.56"/>
    <n v="1145.27"/>
    <n v="1888.71"/>
    <n v="88.72"/>
    <n v="3906.54"/>
    <n v="3995.26"/>
    <m/>
  </r>
  <r>
    <x v="27"/>
    <x v="2"/>
    <n v="2019"/>
    <n v="11"/>
    <s v="Nov"/>
    <x v="9"/>
    <n v="30"/>
    <x v="1"/>
    <n v="85.37"/>
    <n v="122.41"/>
    <n v="132.1"/>
    <n v="1.64"/>
    <n v="339.88"/>
    <n v="341.52"/>
    <m/>
  </r>
  <r>
    <x v="27"/>
    <x v="2"/>
    <n v="2019"/>
    <n v="11"/>
    <s v="Nov"/>
    <x v="10"/>
    <n v="24"/>
    <x v="1"/>
    <n v="1800.38"/>
    <n v="2318.23"/>
    <n v="2271.0300000000002"/>
    <n v="415.29"/>
    <n v="6389.64"/>
    <n v="6804.93"/>
    <m/>
  </r>
  <r>
    <x v="27"/>
    <x v="2"/>
    <n v="2019"/>
    <n v="11"/>
    <s v="Nov"/>
    <x v="11"/>
    <n v="6"/>
    <x v="1"/>
    <n v="876.98"/>
    <n v="1262.3800000000001"/>
    <n v="3442.08"/>
    <n v="323.02"/>
    <n v="5581.44"/>
    <n v="5904.46"/>
    <m/>
  </r>
  <r>
    <x v="27"/>
    <x v="2"/>
    <n v="2019"/>
    <n v="11"/>
    <s v="Nov"/>
    <x v="12"/>
    <n v="2"/>
    <x v="1"/>
    <n v="109.88"/>
    <n v="173.09"/>
    <n v="416.58"/>
    <n v="1.52"/>
    <n v="699.55"/>
    <n v="701.07"/>
    <m/>
  </r>
  <r>
    <x v="27"/>
    <x v="2"/>
    <n v="2019"/>
    <n v="11"/>
    <s v="Nov"/>
    <x v="13"/>
    <n v="1"/>
    <x v="0"/>
    <n v="105.86"/>
    <n v="166.03"/>
    <n v="89.01"/>
    <n v="2.54"/>
    <n v="360.9"/>
    <n v="363.44"/>
    <m/>
  </r>
  <r>
    <x v="27"/>
    <x v="2"/>
    <n v="2019"/>
    <n v="11"/>
    <s v="Nov"/>
    <x v="14"/>
    <n v="20"/>
    <x v="1"/>
    <n v="327.69"/>
    <n v="468.65"/>
    <n v="560.12"/>
    <n v="363.33"/>
    <n v="1356.46"/>
    <n v="1719.79"/>
    <m/>
  </r>
  <r>
    <x v="27"/>
    <x v="2"/>
    <n v="2019"/>
    <n v="11"/>
    <s v="Nov"/>
    <x v="15"/>
    <n v="29"/>
    <x v="1"/>
    <n v="1612.74"/>
    <n v="2262.25"/>
    <n v="2387.6"/>
    <n v="709.75"/>
    <n v="6262.59"/>
    <n v="6972.34"/>
    <m/>
  </r>
  <r>
    <x v="27"/>
    <x v="2"/>
    <n v="2019"/>
    <n v="11"/>
    <s v="Nov"/>
    <x v="16"/>
    <n v="32"/>
    <x v="1"/>
    <n v="567.32000000000005"/>
    <n v="817.62"/>
    <n v="299.20999999999998"/>
    <n v="7.26"/>
    <n v="1684.15"/>
    <n v="1691.41"/>
    <m/>
  </r>
  <r>
    <x v="27"/>
    <x v="2"/>
    <n v="2019"/>
    <n v="11"/>
    <s v="Nov"/>
    <x v="17"/>
    <n v="31"/>
    <x v="0"/>
    <n v="0.81"/>
    <n v="1.05"/>
    <n v="0.08"/>
    <n v="0"/>
    <n v="1.94"/>
    <n v="1.94"/>
    <m/>
  </r>
  <r>
    <x v="27"/>
    <x v="2"/>
    <n v="2019"/>
    <n v="11"/>
    <s v="Nov"/>
    <x v="18"/>
    <n v="23"/>
    <x v="1"/>
    <n v="568.91999999999996"/>
    <n v="777.07"/>
    <n v="640.91999999999996"/>
    <n v="465.63"/>
    <n v="1986.91"/>
    <n v="2452.54"/>
    <m/>
  </r>
  <r>
    <x v="27"/>
    <x v="2"/>
    <n v="2019"/>
    <n v="11"/>
    <s v="Nov"/>
    <x v="19"/>
    <n v="27"/>
    <x v="1"/>
    <n v="4446.55"/>
    <n v="5507.82"/>
    <n v="5122.9399999999996"/>
    <n v="890.54"/>
    <n v="15077.31"/>
    <n v="15967.85"/>
    <m/>
  </r>
  <r>
    <x v="27"/>
    <x v="2"/>
    <n v="2019"/>
    <n v="11"/>
    <s v="Nov"/>
    <x v="20"/>
    <n v="14"/>
    <x v="1"/>
    <n v="11.92"/>
    <n v="20.309999999999999"/>
    <n v="2.85"/>
    <n v="0.2"/>
    <n v="35.08"/>
    <n v="35.28"/>
    <m/>
  </r>
  <r>
    <x v="27"/>
    <x v="2"/>
    <n v="2019"/>
    <n v="11"/>
    <s v="Nov"/>
    <x v="21"/>
    <n v="17"/>
    <x v="1"/>
    <n v="17.93"/>
    <n v="25.5"/>
    <n v="73.7"/>
    <n v="0.27"/>
    <n v="117.13"/>
    <n v="117.4"/>
    <m/>
  </r>
  <r>
    <x v="27"/>
    <x v="2"/>
    <n v="2019"/>
    <n v="11"/>
    <s v="Nov"/>
    <x v="22"/>
    <n v="15"/>
    <x v="1"/>
    <n v="5.44"/>
    <n v="8.7100000000000009"/>
    <n v="2.5499999999999998"/>
    <n v="0.14000000000000001"/>
    <n v="16.7"/>
    <n v="16.84"/>
    <m/>
  </r>
  <r>
    <x v="27"/>
    <x v="2"/>
    <n v="2019"/>
    <n v="11"/>
    <s v="Nov"/>
    <x v="23"/>
    <n v="13"/>
    <x v="1"/>
    <n v="7.46"/>
    <n v="10.76"/>
    <n v="3.86"/>
    <n v="0.48"/>
    <n v="22.08"/>
    <n v="22.56"/>
    <m/>
  </r>
  <r>
    <x v="27"/>
    <x v="2"/>
    <n v="2019"/>
    <n v="11"/>
    <s v="Nov"/>
    <x v="24"/>
    <n v="21"/>
    <x v="1"/>
    <n v="514.52"/>
    <n v="700.96"/>
    <n v="786.53"/>
    <n v="345.02"/>
    <n v="2002.01"/>
    <n v="2347.0300000000002"/>
    <m/>
  </r>
  <r>
    <x v="27"/>
    <x v="2"/>
    <n v="2019"/>
    <n v="11"/>
    <s v="Nov"/>
    <x v="25"/>
    <n v="34"/>
    <x v="0"/>
    <n v="21.54"/>
    <n v="35.5"/>
    <n v="99.98"/>
    <n v="0.15"/>
    <n v="157.02000000000001"/>
    <n v="157.16999999999999"/>
    <m/>
  </r>
  <r>
    <x v="27"/>
    <x v="2"/>
    <n v="2019"/>
    <n v="11"/>
    <s v="Nov"/>
    <x v="26"/>
    <n v="3"/>
    <x v="1"/>
    <n v="329.79"/>
    <n v="581.36"/>
    <n v="448.84"/>
    <n v="15.1"/>
    <n v="1359.99"/>
    <n v="1375.09"/>
    <m/>
  </r>
  <r>
    <x v="27"/>
    <x v="2"/>
    <n v="2019"/>
    <n v="11"/>
    <s v="Nov"/>
    <x v="27"/>
    <n v="8"/>
    <x v="1"/>
    <n v="848.59"/>
    <n v="1196.75"/>
    <n v="895.24"/>
    <n v="130.88"/>
    <n v="2940.58"/>
    <n v="3071.46"/>
    <m/>
  </r>
  <r>
    <x v="27"/>
    <x v="2"/>
    <n v="2019"/>
    <n v="11"/>
    <s v="Nov"/>
    <x v="28"/>
    <n v="11"/>
    <x v="1"/>
    <n v="10.44"/>
    <n v="16.739999999999998"/>
    <n v="129.76"/>
    <n v="0.23"/>
    <n v="156.94"/>
    <n v="157.16999999999999"/>
    <m/>
  </r>
  <r>
    <x v="27"/>
    <x v="2"/>
    <n v="2019"/>
    <n v="11"/>
    <s v="Nov"/>
    <x v="29"/>
    <n v="33"/>
    <x v="1"/>
    <n v="1703.86"/>
    <n v="2368.0500000000002"/>
    <n v="1961.07"/>
    <n v="416.29"/>
    <n v="6032.98"/>
    <n v="6449.27"/>
    <m/>
  </r>
  <r>
    <x v="27"/>
    <x v="2"/>
    <n v="2019"/>
    <n v="11"/>
    <s v="Nov"/>
    <x v="30"/>
    <n v="36"/>
    <x v="1"/>
    <n v="774.95"/>
    <n v="1173.02"/>
    <n v="905.84"/>
    <n v="495.59"/>
    <n v="2853.81"/>
    <n v="3349.4"/>
    <m/>
  </r>
  <r>
    <x v="27"/>
    <x v="2"/>
    <n v="2019"/>
    <n v="11"/>
    <s v="Nov"/>
    <x v="31"/>
    <n v="16"/>
    <x v="1"/>
    <n v="17.64"/>
    <n v="26.58"/>
    <n v="6.87"/>
    <n v="0.27"/>
    <n v="51.09"/>
    <n v="51.36"/>
    <m/>
  </r>
  <r>
    <x v="27"/>
    <x v="2"/>
    <n v="2019"/>
    <n v="11"/>
    <s v="Nov"/>
    <x v="32"/>
    <n v="9"/>
    <x v="1"/>
    <n v="1228.6400000000001"/>
    <n v="2003.13"/>
    <n v="1421.59"/>
    <n v="1024.31"/>
    <n v="4653.3599999999997"/>
    <n v="5677.67"/>
    <m/>
  </r>
  <r>
    <x v="27"/>
    <x v="2"/>
    <n v="2019"/>
    <n v="11"/>
    <s v="Nov"/>
    <x v="33"/>
    <n v="5"/>
    <x v="1"/>
    <n v="228.97"/>
    <n v="356.18"/>
    <n v="680.44"/>
    <n v="14.61"/>
    <n v="1265.5899999999999"/>
    <n v="1280.2"/>
    <m/>
  </r>
  <r>
    <x v="27"/>
    <x v="2"/>
    <n v="2019"/>
    <n v="11"/>
    <s v="Nov"/>
    <x v="34"/>
    <n v="19"/>
    <x v="1"/>
    <n v="1005.41"/>
    <n v="1332.06"/>
    <n v="883.73"/>
    <n v="238.74"/>
    <n v="3221.2"/>
    <n v="3459.94"/>
    <m/>
  </r>
  <r>
    <x v="28"/>
    <x v="2"/>
    <n v="2019"/>
    <n v="12"/>
    <s v="Dec"/>
    <x v="0"/>
    <n v="35"/>
    <x v="0"/>
    <n v="10.26"/>
    <n v="17.05"/>
    <n v="2.2799999999999998"/>
    <n v="0.19"/>
    <n v="29.59"/>
    <n v="29.78"/>
    <m/>
  </r>
  <r>
    <x v="28"/>
    <x v="2"/>
    <n v="2019"/>
    <n v="12"/>
    <s v="Dec"/>
    <x v="1"/>
    <n v="28"/>
    <x v="1"/>
    <n v="540.13"/>
    <n v="768.81"/>
    <n v="719.76"/>
    <n v="236.23"/>
    <n v="2028.7"/>
    <n v="2264.9299999999998"/>
    <m/>
  </r>
  <r>
    <x v="28"/>
    <x v="2"/>
    <n v="2019"/>
    <n v="12"/>
    <s v="Dec"/>
    <x v="2"/>
    <n v="12"/>
    <x v="1"/>
    <n v="22.71"/>
    <n v="29.53"/>
    <n v="5.78"/>
    <n v="0.2"/>
    <n v="58.02"/>
    <n v="58.22"/>
    <m/>
  </r>
  <r>
    <x v="28"/>
    <x v="2"/>
    <n v="2019"/>
    <n v="12"/>
    <s v="Dec"/>
    <x v="3"/>
    <n v="18"/>
    <x v="1"/>
    <n v="296.42"/>
    <n v="386.54"/>
    <n v="267.32"/>
    <n v="40.4"/>
    <n v="950.28"/>
    <n v="990.68"/>
    <m/>
  </r>
  <r>
    <x v="28"/>
    <x v="2"/>
    <n v="2019"/>
    <n v="12"/>
    <s v="Dec"/>
    <x v="4"/>
    <n v="10"/>
    <x v="1"/>
    <n v="266.06"/>
    <n v="476.79"/>
    <n v="121.28"/>
    <n v="151.5"/>
    <n v="864.13"/>
    <n v="1015.63"/>
    <m/>
  </r>
  <r>
    <x v="28"/>
    <x v="2"/>
    <n v="2019"/>
    <n v="12"/>
    <s v="Dec"/>
    <x v="5"/>
    <n v="4"/>
    <x v="0"/>
    <n v="33.74"/>
    <n v="47.19"/>
    <n v="86.51"/>
    <n v="0.52"/>
    <n v="167.44"/>
    <n v="167.96"/>
    <m/>
  </r>
  <r>
    <x v="28"/>
    <x v="2"/>
    <n v="2019"/>
    <n v="12"/>
    <s v="Dec"/>
    <x v="6"/>
    <n v="22"/>
    <x v="1"/>
    <n v="385.57"/>
    <n v="472"/>
    <n v="784.3"/>
    <n v="494.25"/>
    <n v="1641.87"/>
    <n v="2136.12"/>
    <m/>
  </r>
  <r>
    <x v="28"/>
    <x v="2"/>
    <n v="2019"/>
    <n v="12"/>
    <s v="Dec"/>
    <x v="7"/>
    <n v="38"/>
    <x v="0"/>
    <n v="26.98"/>
    <n v="36.78"/>
    <n v="184.32"/>
    <n v="0.06"/>
    <n v="248.08"/>
    <n v="248.14"/>
    <m/>
  </r>
  <r>
    <x v="28"/>
    <x v="2"/>
    <n v="2019"/>
    <n v="12"/>
    <s v="Dec"/>
    <x v="8"/>
    <n v="7"/>
    <x v="0"/>
    <n v="800.07"/>
    <n v="1030.19"/>
    <n v="1780.31"/>
    <n v="86.95"/>
    <n v="3610.57"/>
    <n v="3697.52"/>
    <m/>
  </r>
  <r>
    <x v="28"/>
    <x v="2"/>
    <n v="2019"/>
    <n v="12"/>
    <s v="Dec"/>
    <x v="9"/>
    <n v="30"/>
    <x v="1"/>
    <n v="93.77"/>
    <n v="134.74"/>
    <n v="132.66"/>
    <n v="2.2000000000000002"/>
    <n v="361.17"/>
    <n v="363.37"/>
    <m/>
  </r>
  <r>
    <x v="28"/>
    <x v="2"/>
    <n v="2019"/>
    <n v="12"/>
    <s v="Dec"/>
    <x v="10"/>
    <n v="24"/>
    <x v="1"/>
    <n v="1831.51"/>
    <n v="2335.85"/>
    <n v="2047.13"/>
    <n v="406.96"/>
    <n v="6214.49"/>
    <n v="6621.45"/>
    <m/>
  </r>
  <r>
    <x v="28"/>
    <x v="2"/>
    <n v="2019"/>
    <n v="12"/>
    <s v="Dec"/>
    <x v="11"/>
    <n v="6"/>
    <x v="1"/>
    <n v="814.05"/>
    <n v="1205.8699999999999"/>
    <n v="3045.72"/>
    <n v="299.26"/>
    <n v="5065.6400000000003"/>
    <n v="5364.9"/>
    <m/>
  </r>
  <r>
    <x v="28"/>
    <x v="2"/>
    <n v="2019"/>
    <n v="12"/>
    <s v="Dec"/>
    <x v="12"/>
    <n v="2"/>
    <x v="1"/>
    <n v="109.53"/>
    <n v="168.12"/>
    <n v="420.5"/>
    <n v="0.81"/>
    <n v="698.15"/>
    <n v="698.96"/>
    <m/>
  </r>
  <r>
    <x v="28"/>
    <x v="2"/>
    <n v="2019"/>
    <n v="12"/>
    <s v="Dec"/>
    <x v="13"/>
    <n v="1"/>
    <x v="0"/>
    <n v="109.24"/>
    <n v="198.77"/>
    <n v="99.5"/>
    <n v="1.64"/>
    <n v="407.51"/>
    <n v="409.15"/>
    <m/>
  </r>
  <r>
    <x v="28"/>
    <x v="2"/>
    <n v="2019"/>
    <n v="12"/>
    <s v="Dec"/>
    <x v="14"/>
    <n v="20"/>
    <x v="1"/>
    <n v="342.41"/>
    <n v="470.34"/>
    <n v="684.36"/>
    <n v="445.74"/>
    <n v="1497.11"/>
    <n v="1942.85"/>
    <m/>
  </r>
  <r>
    <x v="28"/>
    <x v="2"/>
    <n v="2019"/>
    <n v="12"/>
    <s v="Dec"/>
    <x v="15"/>
    <n v="29"/>
    <x v="1"/>
    <n v="1688.89"/>
    <n v="2220.84"/>
    <n v="2239.29"/>
    <n v="736.77"/>
    <n v="6149.02"/>
    <n v="6885.79"/>
    <m/>
  </r>
  <r>
    <x v="28"/>
    <x v="2"/>
    <n v="2019"/>
    <n v="12"/>
    <s v="Dec"/>
    <x v="16"/>
    <n v="32"/>
    <x v="1"/>
    <n v="527.04999999999995"/>
    <n v="801.83"/>
    <n v="311.54000000000002"/>
    <n v="10.27"/>
    <n v="1640.42"/>
    <n v="1650.69"/>
    <m/>
  </r>
  <r>
    <x v="28"/>
    <x v="2"/>
    <n v="2019"/>
    <n v="12"/>
    <s v="Dec"/>
    <x v="17"/>
    <n v="31"/>
    <x v="0"/>
    <n v="0.35"/>
    <n v="0.4"/>
    <n v="0.03"/>
    <n v="0"/>
    <n v="0.78"/>
    <n v="0.78"/>
    <m/>
  </r>
  <r>
    <x v="28"/>
    <x v="2"/>
    <n v="2019"/>
    <n v="12"/>
    <s v="Dec"/>
    <x v="18"/>
    <n v="23"/>
    <x v="1"/>
    <n v="552.41"/>
    <n v="742.4"/>
    <n v="629.95000000000005"/>
    <n v="509.44"/>
    <n v="1924.76"/>
    <n v="2434.1999999999998"/>
    <m/>
  </r>
  <r>
    <x v="28"/>
    <x v="2"/>
    <n v="2019"/>
    <n v="12"/>
    <s v="Dec"/>
    <x v="19"/>
    <n v="27"/>
    <x v="1"/>
    <n v="4768.78"/>
    <n v="5738.44"/>
    <n v="5106.8500000000004"/>
    <n v="915.44"/>
    <n v="15614.07"/>
    <n v="16529.509999999998"/>
    <m/>
  </r>
  <r>
    <x v="28"/>
    <x v="2"/>
    <n v="2019"/>
    <n v="12"/>
    <s v="Dec"/>
    <x v="20"/>
    <n v="14"/>
    <x v="1"/>
    <n v="16.27"/>
    <n v="25.85"/>
    <n v="2.2799999999999998"/>
    <n v="0.01"/>
    <n v="44.4"/>
    <n v="44.41"/>
    <m/>
  </r>
  <r>
    <x v="28"/>
    <x v="2"/>
    <n v="2019"/>
    <n v="12"/>
    <s v="Dec"/>
    <x v="21"/>
    <n v="17"/>
    <x v="1"/>
    <n v="18.190000000000001"/>
    <n v="27.04"/>
    <n v="77.67"/>
    <n v="0.08"/>
    <n v="122.9"/>
    <n v="122.98"/>
    <m/>
  </r>
  <r>
    <x v="28"/>
    <x v="2"/>
    <n v="2019"/>
    <n v="12"/>
    <s v="Dec"/>
    <x v="22"/>
    <n v="15"/>
    <x v="1"/>
    <n v="6.53"/>
    <n v="11.22"/>
    <n v="3.12"/>
    <n v="0.05"/>
    <n v="20.87"/>
    <n v="20.92"/>
    <m/>
  </r>
  <r>
    <x v="28"/>
    <x v="2"/>
    <n v="2019"/>
    <n v="12"/>
    <s v="Dec"/>
    <x v="23"/>
    <n v="13"/>
    <x v="1"/>
    <n v="9.92"/>
    <n v="15.49"/>
    <n v="4.33"/>
    <n v="1.41"/>
    <n v="29.74"/>
    <n v="31.15"/>
    <m/>
  </r>
  <r>
    <x v="28"/>
    <x v="2"/>
    <n v="2019"/>
    <n v="12"/>
    <s v="Dec"/>
    <x v="24"/>
    <n v="21"/>
    <x v="1"/>
    <n v="529.78"/>
    <n v="726.29"/>
    <n v="696.04"/>
    <n v="431.18"/>
    <n v="1952.11"/>
    <n v="2383.29"/>
    <m/>
  </r>
  <r>
    <x v="28"/>
    <x v="2"/>
    <n v="2019"/>
    <n v="12"/>
    <s v="Dec"/>
    <x v="25"/>
    <n v="34"/>
    <x v="0"/>
    <n v="22.56"/>
    <n v="34.19"/>
    <n v="108.58"/>
    <n v="0.12"/>
    <n v="165.33"/>
    <n v="165.45"/>
    <m/>
  </r>
  <r>
    <x v="28"/>
    <x v="2"/>
    <n v="2019"/>
    <n v="12"/>
    <s v="Dec"/>
    <x v="26"/>
    <n v="3"/>
    <x v="1"/>
    <n v="309.73"/>
    <n v="512.24"/>
    <n v="455.18"/>
    <n v="13.08"/>
    <n v="1277.1500000000001"/>
    <n v="1290.23"/>
    <m/>
  </r>
  <r>
    <x v="28"/>
    <x v="2"/>
    <n v="2019"/>
    <n v="12"/>
    <s v="Dec"/>
    <x v="27"/>
    <n v="8"/>
    <x v="1"/>
    <n v="768"/>
    <n v="1049.6400000000001"/>
    <n v="781.85"/>
    <n v="113.8"/>
    <n v="2599.4899999999998"/>
    <n v="2713.29"/>
    <m/>
  </r>
  <r>
    <x v="28"/>
    <x v="2"/>
    <n v="2019"/>
    <n v="12"/>
    <s v="Dec"/>
    <x v="28"/>
    <n v="11"/>
    <x v="1"/>
    <n v="10.7"/>
    <n v="15.37"/>
    <n v="187.72"/>
    <n v="0.12"/>
    <n v="213.79"/>
    <n v="213.91"/>
    <m/>
  </r>
  <r>
    <x v="28"/>
    <x v="2"/>
    <n v="2019"/>
    <n v="12"/>
    <s v="Dec"/>
    <x v="29"/>
    <n v="33"/>
    <x v="1"/>
    <n v="1632.19"/>
    <n v="2302.4"/>
    <n v="1928.96"/>
    <n v="558.27"/>
    <n v="5863.55"/>
    <n v="6421.82"/>
    <m/>
  </r>
  <r>
    <x v="28"/>
    <x v="2"/>
    <n v="2019"/>
    <n v="12"/>
    <s v="Dec"/>
    <x v="30"/>
    <n v="36"/>
    <x v="1"/>
    <n v="844.09"/>
    <n v="1135.82"/>
    <n v="877.37"/>
    <n v="563.19000000000005"/>
    <n v="2857.28"/>
    <n v="3420.47"/>
    <m/>
  </r>
  <r>
    <x v="28"/>
    <x v="2"/>
    <n v="2019"/>
    <n v="12"/>
    <s v="Dec"/>
    <x v="31"/>
    <n v="16"/>
    <x v="1"/>
    <n v="21.56"/>
    <n v="31.55"/>
    <n v="5.98"/>
    <n v="0.15"/>
    <n v="59.09"/>
    <n v="59.24"/>
    <m/>
  </r>
  <r>
    <x v="28"/>
    <x v="2"/>
    <n v="2019"/>
    <n v="12"/>
    <s v="Dec"/>
    <x v="32"/>
    <n v="9"/>
    <x v="1"/>
    <n v="1223.6400000000001"/>
    <n v="1809.33"/>
    <n v="1319.96"/>
    <n v="1136.55"/>
    <n v="4352.93"/>
    <n v="5489.48"/>
    <m/>
  </r>
  <r>
    <x v="28"/>
    <x v="2"/>
    <n v="2019"/>
    <n v="12"/>
    <s v="Dec"/>
    <x v="33"/>
    <n v="5"/>
    <x v="1"/>
    <n v="230.01"/>
    <n v="330.15"/>
    <n v="638.86"/>
    <n v="14.09"/>
    <n v="1199.02"/>
    <n v="1213.1099999999999"/>
    <m/>
  </r>
  <r>
    <x v="28"/>
    <x v="2"/>
    <n v="2019"/>
    <n v="12"/>
    <s v="Dec"/>
    <x v="34"/>
    <n v="19"/>
    <x v="1"/>
    <n v="1091.77"/>
    <n v="1473.38"/>
    <n v="869.74"/>
    <n v="313.35000000000002"/>
    <n v="3434.89"/>
    <n v="3748.24"/>
    <m/>
  </r>
  <r>
    <x v="29"/>
    <x v="2"/>
    <n v="2020"/>
    <n v="1"/>
    <s v="Jan"/>
    <x v="0"/>
    <n v="35"/>
    <x v="0"/>
    <n v="10.5"/>
    <n v="16.05"/>
    <n v="3.34"/>
    <n v="0.11"/>
    <n v="29.89"/>
    <n v="30"/>
    <m/>
  </r>
  <r>
    <x v="29"/>
    <x v="2"/>
    <n v="2020"/>
    <n v="1"/>
    <s v="Jan"/>
    <x v="1"/>
    <n v="28"/>
    <x v="1"/>
    <n v="609.78"/>
    <n v="860.74"/>
    <n v="776.19"/>
    <n v="108.83"/>
    <n v="2246.71"/>
    <n v="2355.54"/>
    <m/>
  </r>
  <r>
    <x v="29"/>
    <x v="2"/>
    <n v="2020"/>
    <n v="1"/>
    <s v="Jan"/>
    <x v="2"/>
    <n v="12"/>
    <x v="1"/>
    <n v="18.350000000000001"/>
    <n v="24.5"/>
    <n v="9.1"/>
    <n v="0.2"/>
    <n v="51.95"/>
    <n v="52.15"/>
    <m/>
  </r>
  <r>
    <x v="29"/>
    <x v="2"/>
    <n v="2020"/>
    <n v="1"/>
    <s v="Jan"/>
    <x v="3"/>
    <n v="18"/>
    <x v="1"/>
    <n v="252.49"/>
    <n v="343.31"/>
    <n v="197.58"/>
    <n v="27.09"/>
    <n v="793.38"/>
    <n v="820.47"/>
    <m/>
  </r>
  <r>
    <x v="29"/>
    <x v="2"/>
    <n v="2020"/>
    <n v="1"/>
    <s v="Jan"/>
    <x v="4"/>
    <n v="10"/>
    <x v="1"/>
    <n v="306.43"/>
    <n v="505.55"/>
    <n v="140.41999999999999"/>
    <n v="169.73"/>
    <n v="952.4"/>
    <n v="1122.1300000000001"/>
    <m/>
  </r>
  <r>
    <x v="29"/>
    <x v="2"/>
    <n v="2020"/>
    <n v="1"/>
    <s v="Jan"/>
    <x v="5"/>
    <n v="4"/>
    <x v="0"/>
    <n v="40"/>
    <n v="59.25"/>
    <n v="91.82"/>
    <n v="3.56"/>
    <n v="191.07"/>
    <n v="194.63"/>
    <m/>
  </r>
  <r>
    <x v="29"/>
    <x v="2"/>
    <n v="2020"/>
    <n v="1"/>
    <s v="Jan"/>
    <x v="6"/>
    <n v="22"/>
    <x v="1"/>
    <n v="400.26"/>
    <n v="495.05"/>
    <n v="672.36"/>
    <n v="587.58000000000004"/>
    <n v="1567.67"/>
    <n v="2155.25"/>
    <m/>
  </r>
  <r>
    <x v="29"/>
    <x v="2"/>
    <n v="2020"/>
    <n v="1"/>
    <s v="Jan"/>
    <x v="7"/>
    <n v="38"/>
    <x v="0"/>
    <n v="29.4"/>
    <n v="43.19"/>
    <n v="208.7"/>
    <n v="0.15"/>
    <n v="281.29000000000002"/>
    <n v="281.44"/>
    <m/>
  </r>
  <r>
    <x v="29"/>
    <x v="2"/>
    <n v="2020"/>
    <n v="1"/>
    <s v="Jan"/>
    <x v="8"/>
    <n v="7"/>
    <x v="0"/>
    <n v="832.83"/>
    <n v="1110.76"/>
    <n v="1919.53"/>
    <n v="103.55"/>
    <n v="3863.12"/>
    <n v="3966.67"/>
    <m/>
  </r>
  <r>
    <x v="29"/>
    <x v="2"/>
    <n v="2020"/>
    <n v="1"/>
    <s v="Jan"/>
    <x v="9"/>
    <n v="30"/>
    <x v="1"/>
    <n v="111.53"/>
    <n v="163.16999999999999"/>
    <n v="157.51"/>
    <n v="4.84"/>
    <n v="432.21"/>
    <n v="437.05"/>
    <m/>
  </r>
  <r>
    <x v="29"/>
    <x v="2"/>
    <n v="2020"/>
    <n v="1"/>
    <s v="Jan"/>
    <x v="10"/>
    <n v="24"/>
    <x v="1"/>
    <n v="2012.05"/>
    <n v="2476.08"/>
    <n v="2408.58"/>
    <n v="433.02"/>
    <n v="6896.71"/>
    <n v="7329.73"/>
    <m/>
  </r>
  <r>
    <x v="29"/>
    <x v="2"/>
    <n v="2020"/>
    <n v="1"/>
    <s v="Jan"/>
    <x v="11"/>
    <n v="6"/>
    <x v="1"/>
    <n v="892.27"/>
    <n v="1329.74"/>
    <n v="2963.13"/>
    <n v="301.67"/>
    <n v="5185.1400000000003"/>
    <n v="5486.81"/>
    <m/>
  </r>
  <r>
    <x v="29"/>
    <x v="2"/>
    <n v="2020"/>
    <n v="1"/>
    <s v="Jan"/>
    <x v="12"/>
    <n v="2"/>
    <x v="1"/>
    <n v="114.36"/>
    <n v="165.74"/>
    <n v="392.26"/>
    <n v="2.41"/>
    <n v="672.36"/>
    <n v="674.77"/>
    <m/>
  </r>
  <r>
    <x v="29"/>
    <x v="2"/>
    <n v="2020"/>
    <n v="1"/>
    <s v="Jan"/>
    <x v="13"/>
    <n v="1"/>
    <x v="0"/>
    <n v="103.92"/>
    <n v="176.53"/>
    <n v="87.96"/>
    <n v="2.3199999999999998"/>
    <n v="368.41"/>
    <n v="370.73"/>
    <m/>
  </r>
  <r>
    <x v="29"/>
    <x v="2"/>
    <n v="2020"/>
    <n v="1"/>
    <s v="Jan"/>
    <x v="14"/>
    <n v="20"/>
    <x v="1"/>
    <n v="344.13"/>
    <n v="472.23"/>
    <n v="730.18"/>
    <n v="480.78"/>
    <n v="1546.54"/>
    <n v="2027.32"/>
    <m/>
  </r>
  <r>
    <x v="29"/>
    <x v="2"/>
    <n v="2020"/>
    <n v="1"/>
    <s v="Jan"/>
    <x v="15"/>
    <n v="29"/>
    <x v="1"/>
    <n v="1787.49"/>
    <n v="2388.7600000000002"/>
    <n v="2673.76"/>
    <n v="755.18"/>
    <n v="6850.01"/>
    <n v="7605.19"/>
    <m/>
  </r>
  <r>
    <x v="29"/>
    <x v="2"/>
    <n v="2020"/>
    <n v="1"/>
    <s v="Jan"/>
    <x v="16"/>
    <n v="32"/>
    <x v="1"/>
    <n v="576.61"/>
    <n v="931.32"/>
    <n v="327.44"/>
    <n v="23.51"/>
    <n v="1835.37"/>
    <n v="1858.88"/>
    <m/>
  </r>
  <r>
    <x v="29"/>
    <x v="2"/>
    <n v="2020"/>
    <n v="1"/>
    <s v="Jan"/>
    <x v="17"/>
    <n v="31"/>
    <x v="0"/>
    <n v="1.1000000000000001"/>
    <n v="1.54"/>
    <n v="0.06"/>
    <n v="0"/>
    <n v="2.7"/>
    <n v="2.7"/>
    <m/>
  </r>
  <r>
    <x v="29"/>
    <x v="2"/>
    <n v="2020"/>
    <n v="1"/>
    <s v="Jan"/>
    <x v="18"/>
    <n v="23"/>
    <x v="1"/>
    <n v="611.55999999999995"/>
    <n v="828.18"/>
    <n v="707.23"/>
    <n v="526.64"/>
    <n v="2146.9699999999998"/>
    <n v="2673.61"/>
    <m/>
  </r>
  <r>
    <x v="29"/>
    <x v="2"/>
    <n v="2020"/>
    <n v="1"/>
    <s v="Jan"/>
    <x v="19"/>
    <n v="27"/>
    <x v="1"/>
    <n v="4797.0200000000004"/>
    <n v="5787.61"/>
    <n v="6423.32"/>
    <n v="1077.1500000000001"/>
    <n v="17007.95"/>
    <n v="18085.099999999999"/>
    <m/>
  </r>
  <r>
    <x v="29"/>
    <x v="2"/>
    <n v="2020"/>
    <n v="1"/>
    <s v="Jan"/>
    <x v="20"/>
    <n v="14"/>
    <x v="1"/>
    <n v="11.74"/>
    <n v="20.79"/>
    <n v="2.17"/>
    <n v="0.34"/>
    <n v="34.700000000000003"/>
    <n v="35.04"/>
    <m/>
  </r>
  <r>
    <x v="29"/>
    <x v="2"/>
    <n v="2020"/>
    <n v="1"/>
    <s v="Jan"/>
    <x v="21"/>
    <n v="17"/>
    <x v="1"/>
    <n v="18.850000000000001"/>
    <n v="29.33"/>
    <n v="79.92"/>
    <n v="0.26"/>
    <n v="128.1"/>
    <n v="128.36000000000001"/>
    <m/>
  </r>
  <r>
    <x v="29"/>
    <x v="2"/>
    <n v="2020"/>
    <n v="1"/>
    <s v="Jan"/>
    <x v="22"/>
    <n v="15"/>
    <x v="1"/>
    <n v="7.4"/>
    <n v="10.67"/>
    <n v="6.26"/>
    <n v="0.04"/>
    <n v="24.33"/>
    <n v="24.37"/>
    <m/>
  </r>
  <r>
    <x v="29"/>
    <x v="2"/>
    <n v="2020"/>
    <n v="1"/>
    <s v="Jan"/>
    <x v="23"/>
    <n v="13"/>
    <x v="1"/>
    <n v="9.8000000000000007"/>
    <n v="15.98"/>
    <n v="5.92"/>
    <n v="0.4"/>
    <n v="31.7"/>
    <n v="32.1"/>
    <m/>
  </r>
  <r>
    <x v="29"/>
    <x v="2"/>
    <n v="2020"/>
    <n v="1"/>
    <s v="Jan"/>
    <x v="24"/>
    <n v="21"/>
    <x v="1"/>
    <n v="563.85"/>
    <n v="744.33"/>
    <n v="674.18"/>
    <n v="521.61"/>
    <n v="1982.36"/>
    <n v="2503.9699999999998"/>
    <m/>
  </r>
  <r>
    <x v="29"/>
    <x v="2"/>
    <n v="2020"/>
    <n v="1"/>
    <s v="Jan"/>
    <x v="25"/>
    <n v="34"/>
    <x v="0"/>
    <n v="24.77"/>
    <n v="39.76"/>
    <n v="121.33"/>
    <n v="1.7"/>
    <n v="185.86"/>
    <n v="187.56"/>
    <m/>
  </r>
  <r>
    <x v="29"/>
    <x v="2"/>
    <n v="2020"/>
    <n v="1"/>
    <s v="Jan"/>
    <x v="26"/>
    <n v="3"/>
    <x v="1"/>
    <n v="343.21"/>
    <n v="569.36"/>
    <n v="409.72"/>
    <n v="18.02"/>
    <n v="1322.29"/>
    <n v="1340.31"/>
    <m/>
  </r>
  <r>
    <x v="29"/>
    <x v="2"/>
    <n v="2020"/>
    <n v="1"/>
    <s v="Jan"/>
    <x v="27"/>
    <n v="8"/>
    <x v="1"/>
    <n v="843.7"/>
    <n v="1149.97"/>
    <n v="923.23"/>
    <n v="113.15"/>
    <n v="2916.9"/>
    <n v="3030.05"/>
    <m/>
  </r>
  <r>
    <x v="29"/>
    <x v="2"/>
    <n v="2020"/>
    <n v="1"/>
    <s v="Jan"/>
    <x v="28"/>
    <n v="11"/>
    <x v="1"/>
    <n v="14.01"/>
    <n v="19.399999999999999"/>
    <n v="160.22"/>
    <n v="0.53"/>
    <n v="193.63"/>
    <n v="194.16"/>
    <m/>
  </r>
  <r>
    <x v="29"/>
    <x v="2"/>
    <n v="2020"/>
    <n v="1"/>
    <s v="Jan"/>
    <x v="29"/>
    <n v="33"/>
    <x v="1"/>
    <n v="1694.05"/>
    <n v="2318.12"/>
    <n v="2103.9299999999998"/>
    <n v="586.77"/>
    <n v="6116.1"/>
    <n v="6702.87"/>
    <m/>
  </r>
  <r>
    <x v="29"/>
    <x v="2"/>
    <n v="2020"/>
    <n v="1"/>
    <s v="Jan"/>
    <x v="30"/>
    <n v="36"/>
    <x v="1"/>
    <n v="930.73"/>
    <n v="1317.66"/>
    <n v="974.94"/>
    <n v="563.64"/>
    <n v="3223.33"/>
    <n v="3786.97"/>
    <m/>
  </r>
  <r>
    <x v="29"/>
    <x v="2"/>
    <n v="2020"/>
    <n v="1"/>
    <s v="Jan"/>
    <x v="31"/>
    <n v="16"/>
    <x v="1"/>
    <n v="19.96"/>
    <n v="30.54"/>
    <n v="5.81"/>
    <n v="0.09"/>
    <n v="56.31"/>
    <n v="56.4"/>
    <m/>
  </r>
  <r>
    <x v="29"/>
    <x v="2"/>
    <n v="2020"/>
    <n v="1"/>
    <s v="Jan"/>
    <x v="32"/>
    <n v="9"/>
    <x v="1"/>
    <n v="1253.55"/>
    <n v="1939.59"/>
    <n v="1443.6"/>
    <n v="1061.74"/>
    <n v="4636.74"/>
    <n v="5698.48"/>
    <m/>
  </r>
  <r>
    <x v="29"/>
    <x v="2"/>
    <n v="2020"/>
    <n v="1"/>
    <s v="Jan"/>
    <x v="33"/>
    <n v="5"/>
    <x v="1"/>
    <n v="234.39"/>
    <n v="326.37"/>
    <n v="677.86"/>
    <n v="18.03"/>
    <n v="1238.6199999999999"/>
    <n v="1256.6500000000001"/>
    <m/>
  </r>
  <r>
    <x v="29"/>
    <x v="2"/>
    <n v="2020"/>
    <n v="1"/>
    <s v="Jan"/>
    <x v="34"/>
    <n v="19"/>
    <x v="1"/>
    <n v="1113.53"/>
    <n v="1501.6"/>
    <n v="812.89"/>
    <n v="318.83999999999997"/>
    <n v="3428.02"/>
    <n v="3746.86"/>
    <m/>
  </r>
  <r>
    <x v="30"/>
    <x v="2"/>
    <n v="2020"/>
    <n v="2"/>
    <s v="Feb"/>
    <x v="0"/>
    <n v="35"/>
    <x v="0"/>
    <n v="13.62"/>
    <n v="18.88"/>
    <n v="3.45"/>
    <n v="0.06"/>
    <n v="35.950000000000003"/>
    <n v="36.01"/>
    <m/>
  </r>
  <r>
    <x v="30"/>
    <x v="2"/>
    <n v="2020"/>
    <n v="2"/>
    <s v="Feb"/>
    <x v="1"/>
    <n v="28"/>
    <x v="1"/>
    <n v="623.51"/>
    <n v="854.02"/>
    <n v="801.81"/>
    <n v="283.99"/>
    <n v="2279.34"/>
    <n v="2563.33"/>
    <m/>
  </r>
  <r>
    <x v="30"/>
    <x v="2"/>
    <n v="2020"/>
    <n v="2"/>
    <s v="Feb"/>
    <x v="2"/>
    <n v="12"/>
    <x v="1"/>
    <n v="18.63"/>
    <n v="24.75"/>
    <n v="4.5599999999999996"/>
    <n v="0.42"/>
    <n v="47.94"/>
    <n v="48.36"/>
    <m/>
  </r>
  <r>
    <x v="30"/>
    <x v="2"/>
    <n v="2020"/>
    <n v="2"/>
    <s v="Feb"/>
    <x v="3"/>
    <n v="18"/>
    <x v="1"/>
    <n v="280.49"/>
    <n v="381.43"/>
    <n v="213.22"/>
    <n v="48.73"/>
    <n v="875.14"/>
    <n v="923.87"/>
    <m/>
  </r>
  <r>
    <x v="30"/>
    <x v="2"/>
    <n v="2020"/>
    <n v="2"/>
    <s v="Feb"/>
    <x v="4"/>
    <n v="10"/>
    <x v="1"/>
    <n v="309.20999999999998"/>
    <n v="498.48"/>
    <n v="134.29"/>
    <n v="178.52"/>
    <n v="941.98"/>
    <n v="1120.5"/>
    <m/>
  </r>
  <r>
    <x v="30"/>
    <x v="2"/>
    <n v="2020"/>
    <n v="2"/>
    <s v="Feb"/>
    <x v="5"/>
    <n v="4"/>
    <x v="0"/>
    <n v="36.32"/>
    <n v="49.4"/>
    <n v="85.2"/>
    <n v="1.45"/>
    <n v="170.92"/>
    <n v="172.37"/>
    <m/>
  </r>
  <r>
    <x v="30"/>
    <x v="2"/>
    <n v="2020"/>
    <n v="2"/>
    <s v="Feb"/>
    <x v="6"/>
    <n v="22"/>
    <x v="1"/>
    <n v="402.09"/>
    <n v="497.24"/>
    <n v="775.67"/>
    <n v="599.41"/>
    <n v="1675"/>
    <n v="2274.41"/>
    <m/>
  </r>
  <r>
    <x v="30"/>
    <x v="2"/>
    <n v="2020"/>
    <n v="2"/>
    <s v="Feb"/>
    <x v="7"/>
    <n v="38"/>
    <x v="0"/>
    <n v="27.39"/>
    <n v="39.07"/>
    <n v="173.35"/>
    <n v="0.08"/>
    <n v="239.81"/>
    <n v="239.89"/>
    <m/>
  </r>
  <r>
    <x v="30"/>
    <x v="2"/>
    <n v="2020"/>
    <n v="2"/>
    <s v="Feb"/>
    <x v="8"/>
    <n v="7"/>
    <x v="0"/>
    <n v="782.09"/>
    <n v="993.45"/>
    <n v="1965.09"/>
    <n v="94.12"/>
    <n v="3740.63"/>
    <n v="3834.75"/>
    <m/>
  </r>
  <r>
    <x v="30"/>
    <x v="2"/>
    <n v="2020"/>
    <n v="2"/>
    <s v="Feb"/>
    <x v="9"/>
    <n v="30"/>
    <x v="1"/>
    <n v="107.93"/>
    <n v="148.28"/>
    <n v="151.18"/>
    <n v="3.22"/>
    <n v="407.39"/>
    <n v="410.61"/>
    <m/>
  </r>
  <r>
    <x v="30"/>
    <x v="2"/>
    <n v="2020"/>
    <n v="2"/>
    <s v="Feb"/>
    <x v="10"/>
    <n v="24"/>
    <x v="1"/>
    <n v="1983.73"/>
    <n v="2534.41"/>
    <n v="2208.14"/>
    <n v="489.26"/>
    <n v="6726.28"/>
    <n v="7215.54"/>
    <m/>
  </r>
  <r>
    <x v="30"/>
    <x v="2"/>
    <n v="2020"/>
    <n v="2"/>
    <s v="Feb"/>
    <x v="11"/>
    <n v="6"/>
    <x v="1"/>
    <n v="883.07"/>
    <n v="1269.3599999999999"/>
    <n v="2868.45"/>
    <n v="245.55"/>
    <n v="5020.88"/>
    <n v="5266.43"/>
    <m/>
  </r>
  <r>
    <x v="30"/>
    <x v="2"/>
    <n v="2020"/>
    <n v="2"/>
    <s v="Feb"/>
    <x v="12"/>
    <n v="2"/>
    <x v="1"/>
    <n v="102.18"/>
    <n v="140.37"/>
    <n v="376.8"/>
    <n v="1.34"/>
    <n v="619.35"/>
    <n v="620.69000000000005"/>
    <m/>
  </r>
  <r>
    <x v="30"/>
    <x v="2"/>
    <n v="2020"/>
    <n v="2"/>
    <s v="Feb"/>
    <x v="13"/>
    <n v="1"/>
    <x v="0"/>
    <n v="93.82"/>
    <n v="144.4"/>
    <n v="76.08"/>
    <n v="1.87"/>
    <n v="314.3"/>
    <n v="316.17"/>
    <m/>
  </r>
  <r>
    <x v="30"/>
    <x v="2"/>
    <n v="2020"/>
    <n v="2"/>
    <s v="Feb"/>
    <x v="14"/>
    <n v="20"/>
    <x v="1"/>
    <n v="367.84"/>
    <n v="476.85"/>
    <n v="755.25"/>
    <n v="470.93"/>
    <n v="1599.94"/>
    <n v="2070.87"/>
    <m/>
  </r>
  <r>
    <x v="30"/>
    <x v="2"/>
    <n v="2020"/>
    <n v="2"/>
    <s v="Feb"/>
    <x v="15"/>
    <n v="29"/>
    <x v="1"/>
    <n v="1826.93"/>
    <n v="2380.61"/>
    <n v="2516.9499999999998"/>
    <n v="689.34"/>
    <n v="6724.49"/>
    <n v="7413.83"/>
    <m/>
  </r>
  <r>
    <x v="30"/>
    <x v="2"/>
    <n v="2020"/>
    <n v="2"/>
    <s v="Feb"/>
    <x v="16"/>
    <n v="32"/>
    <x v="1"/>
    <n v="574.63"/>
    <n v="845.43"/>
    <n v="320.52999999999997"/>
    <n v="13.53"/>
    <n v="1740.59"/>
    <n v="1754.12"/>
    <m/>
  </r>
  <r>
    <x v="30"/>
    <x v="2"/>
    <n v="2020"/>
    <n v="2"/>
    <s v="Feb"/>
    <x v="35"/>
    <n v="37"/>
    <x v="0"/>
    <n v="0.71"/>
    <n v="0.71"/>
    <n v="0.09"/>
    <n v="2.96"/>
    <n v="1.51"/>
    <n v="4.47"/>
    <m/>
  </r>
  <r>
    <x v="30"/>
    <x v="2"/>
    <n v="2020"/>
    <n v="2"/>
    <s v="Feb"/>
    <x v="17"/>
    <n v="31"/>
    <x v="0"/>
    <n v="0.99"/>
    <n v="1.1100000000000001"/>
    <n v="0.04"/>
    <n v="0"/>
    <n v="2.14"/>
    <n v="2.14"/>
    <m/>
  </r>
  <r>
    <x v="30"/>
    <x v="2"/>
    <n v="2020"/>
    <n v="2"/>
    <s v="Feb"/>
    <x v="18"/>
    <n v="23"/>
    <x v="1"/>
    <n v="620.12"/>
    <n v="820.25"/>
    <n v="667.92"/>
    <n v="512.74"/>
    <n v="2108.29"/>
    <n v="2621.0300000000002"/>
    <m/>
  </r>
  <r>
    <x v="30"/>
    <x v="2"/>
    <n v="2020"/>
    <n v="2"/>
    <s v="Feb"/>
    <x v="19"/>
    <n v="27"/>
    <x v="1"/>
    <n v="4437.5600000000004"/>
    <n v="5443.23"/>
    <n v="4853.54"/>
    <n v="1000.33"/>
    <n v="14734.33"/>
    <n v="15734.66"/>
    <m/>
  </r>
  <r>
    <x v="30"/>
    <x v="2"/>
    <n v="2020"/>
    <n v="2"/>
    <s v="Feb"/>
    <x v="20"/>
    <n v="14"/>
    <x v="1"/>
    <n v="13.97"/>
    <n v="20.440000000000001"/>
    <n v="2.79"/>
    <n v="0.16"/>
    <n v="37.200000000000003"/>
    <n v="37.36"/>
    <m/>
  </r>
  <r>
    <x v="30"/>
    <x v="2"/>
    <n v="2020"/>
    <n v="2"/>
    <s v="Feb"/>
    <x v="21"/>
    <n v="17"/>
    <x v="1"/>
    <n v="19.98"/>
    <n v="29.18"/>
    <n v="107.18"/>
    <n v="0.23"/>
    <n v="156.34"/>
    <n v="156.57"/>
    <m/>
  </r>
  <r>
    <x v="30"/>
    <x v="2"/>
    <n v="2020"/>
    <n v="2"/>
    <s v="Feb"/>
    <x v="22"/>
    <n v="15"/>
    <x v="1"/>
    <n v="7.42"/>
    <n v="12.99"/>
    <n v="4.3"/>
    <n v="0.13"/>
    <n v="24.71"/>
    <n v="24.84"/>
    <m/>
  </r>
  <r>
    <x v="30"/>
    <x v="2"/>
    <n v="2020"/>
    <n v="2"/>
    <s v="Feb"/>
    <x v="23"/>
    <n v="13"/>
    <x v="1"/>
    <n v="8.26"/>
    <n v="11.31"/>
    <n v="4.3600000000000003"/>
    <n v="1"/>
    <n v="23.93"/>
    <n v="24.93"/>
    <m/>
  </r>
  <r>
    <x v="30"/>
    <x v="2"/>
    <n v="2020"/>
    <n v="2"/>
    <s v="Feb"/>
    <x v="24"/>
    <n v="21"/>
    <x v="1"/>
    <n v="618.78"/>
    <n v="804.85"/>
    <n v="792.59"/>
    <n v="573.94000000000005"/>
    <n v="2216.2199999999998"/>
    <n v="2790.16"/>
    <m/>
  </r>
  <r>
    <x v="30"/>
    <x v="2"/>
    <n v="2020"/>
    <n v="2"/>
    <s v="Feb"/>
    <x v="25"/>
    <n v="34"/>
    <x v="0"/>
    <n v="22.56"/>
    <n v="34.369999999999997"/>
    <n v="100.99"/>
    <n v="0.94"/>
    <n v="157.91999999999999"/>
    <n v="158.86000000000001"/>
    <m/>
  </r>
  <r>
    <x v="30"/>
    <x v="2"/>
    <n v="2020"/>
    <n v="2"/>
    <s v="Feb"/>
    <x v="26"/>
    <n v="3"/>
    <x v="1"/>
    <n v="308.58"/>
    <n v="503.82"/>
    <n v="403.5"/>
    <n v="13.04"/>
    <n v="1215.9000000000001"/>
    <n v="1228.94"/>
    <m/>
  </r>
  <r>
    <x v="30"/>
    <x v="2"/>
    <n v="2020"/>
    <n v="2"/>
    <s v="Feb"/>
    <x v="27"/>
    <n v="8"/>
    <x v="1"/>
    <n v="801.02"/>
    <n v="1046.69"/>
    <n v="968.05"/>
    <n v="116.33"/>
    <n v="2815.76"/>
    <n v="2932.09"/>
    <m/>
  </r>
  <r>
    <x v="30"/>
    <x v="2"/>
    <n v="2020"/>
    <n v="2"/>
    <s v="Feb"/>
    <x v="28"/>
    <n v="11"/>
    <x v="1"/>
    <n v="9.76"/>
    <n v="15.98"/>
    <n v="156.85"/>
    <n v="0.06"/>
    <n v="182.59"/>
    <n v="182.65"/>
    <m/>
  </r>
  <r>
    <x v="30"/>
    <x v="2"/>
    <n v="2020"/>
    <n v="2"/>
    <s v="Feb"/>
    <x v="29"/>
    <n v="33"/>
    <x v="1"/>
    <n v="1702.54"/>
    <n v="2332.04"/>
    <n v="1988.5"/>
    <n v="403.41"/>
    <n v="6023.08"/>
    <n v="6426.49"/>
    <m/>
  </r>
  <r>
    <x v="30"/>
    <x v="2"/>
    <n v="2020"/>
    <n v="2"/>
    <s v="Feb"/>
    <x v="30"/>
    <n v="36"/>
    <x v="1"/>
    <n v="932.54"/>
    <n v="1208.5999999999999"/>
    <n v="933.38"/>
    <n v="592.61"/>
    <n v="3074.52"/>
    <n v="3667.13"/>
    <m/>
  </r>
  <r>
    <x v="30"/>
    <x v="2"/>
    <n v="2020"/>
    <n v="2"/>
    <s v="Feb"/>
    <x v="31"/>
    <n v="16"/>
    <x v="1"/>
    <n v="22.55"/>
    <n v="33.57"/>
    <n v="6.92"/>
    <n v="0.22"/>
    <n v="63.04"/>
    <n v="63.26"/>
    <m/>
  </r>
  <r>
    <x v="30"/>
    <x v="2"/>
    <n v="2020"/>
    <n v="2"/>
    <s v="Feb"/>
    <x v="32"/>
    <n v="9"/>
    <x v="1"/>
    <n v="1229.3"/>
    <n v="1869.38"/>
    <n v="1478.92"/>
    <n v="1198.31"/>
    <n v="4577.6000000000004"/>
    <n v="5775.91"/>
    <m/>
  </r>
  <r>
    <x v="30"/>
    <x v="2"/>
    <n v="2020"/>
    <n v="2"/>
    <s v="Feb"/>
    <x v="33"/>
    <n v="5"/>
    <x v="1"/>
    <n v="229.59"/>
    <n v="310.31"/>
    <n v="723.23"/>
    <n v="17.8"/>
    <n v="1263.1300000000001"/>
    <n v="1280.93"/>
    <m/>
  </r>
  <r>
    <x v="30"/>
    <x v="2"/>
    <n v="2020"/>
    <n v="2"/>
    <s v="Feb"/>
    <x v="34"/>
    <n v="19"/>
    <x v="1"/>
    <n v="1140.54"/>
    <n v="1539.89"/>
    <n v="910.58"/>
    <n v="350.53"/>
    <n v="3591.01"/>
    <n v="3941.54"/>
    <m/>
  </r>
  <r>
    <x v="31"/>
    <x v="2"/>
    <n v="2020"/>
    <n v="3"/>
    <s v="Mar"/>
    <x v="0"/>
    <n v="35"/>
    <x v="0"/>
    <n v="15.87"/>
    <n v="19.61"/>
    <n v="3.04"/>
    <n v="0.06"/>
    <n v="38.520000000000003"/>
    <n v="38.58"/>
    <m/>
  </r>
  <r>
    <x v="31"/>
    <x v="2"/>
    <n v="2020"/>
    <n v="3"/>
    <s v="Mar"/>
    <x v="1"/>
    <n v="28"/>
    <x v="1"/>
    <n v="561.24"/>
    <n v="789.01"/>
    <n v="896.06"/>
    <n v="301.83"/>
    <n v="2246.31"/>
    <n v="2548.14"/>
    <m/>
  </r>
  <r>
    <x v="31"/>
    <x v="2"/>
    <n v="2020"/>
    <n v="3"/>
    <s v="Mar"/>
    <x v="2"/>
    <n v="12"/>
    <x v="1"/>
    <n v="27.5"/>
    <n v="33.229999999999997"/>
    <n v="5.96"/>
    <n v="0.01"/>
    <n v="66.69"/>
    <n v="66.7"/>
    <m/>
  </r>
  <r>
    <x v="31"/>
    <x v="2"/>
    <n v="2020"/>
    <n v="3"/>
    <s v="Mar"/>
    <x v="3"/>
    <n v="18"/>
    <x v="1"/>
    <n v="288.87"/>
    <n v="389.2"/>
    <n v="213.26"/>
    <n v="40.39"/>
    <n v="891.33"/>
    <n v="931.72"/>
    <m/>
  </r>
  <r>
    <x v="31"/>
    <x v="2"/>
    <n v="2020"/>
    <n v="3"/>
    <s v="Mar"/>
    <x v="4"/>
    <n v="10"/>
    <x v="1"/>
    <n v="305.76"/>
    <n v="496.81"/>
    <n v="118.13"/>
    <n v="135.25"/>
    <n v="920.7"/>
    <n v="1055.95"/>
    <m/>
  </r>
  <r>
    <x v="31"/>
    <x v="2"/>
    <n v="2020"/>
    <n v="3"/>
    <s v="Mar"/>
    <x v="5"/>
    <n v="4"/>
    <x v="0"/>
    <n v="30.03"/>
    <n v="41.32"/>
    <n v="79.41"/>
    <n v="2.5"/>
    <n v="150.76"/>
    <n v="153.26"/>
    <m/>
  </r>
  <r>
    <x v="31"/>
    <x v="2"/>
    <n v="2020"/>
    <n v="3"/>
    <s v="Mar"/>
    <x v="6"/>
    <n v="22"/>
    <x v="1"/>
    <n v="418.63"/>
    <n v="500.24"/>
    <n v="595.26"/>
    <n v="579.03"/>
    <n v="1514.13"/>
    <n v="2093.16"/>
    <m/>
  </r>
  <r>
    <x v="31"/>
    <x v="2"/>
    <n v="2020"/>
    <n v="3"/>
    <s v="Mar"/>
    <x v="7"/>
    <n v="38"/>
    <x v="0"/>
    <n v="29.41"/>
    <n v="40.26"/>
    <n v="193.93"/>
    <n v="0.2"/>
    <n v="263.60000000000002"/>
    <n v="263.8"/>
    <m/>
  </r>
  <r>
    <x v="31"/>
    <x v="2"/>
    <n v="2020"/>
    <n v="3"/>
    <s v="Mar"/>
    <x v="8"/>
    <n v="7"/>
    <x v="0"/>
    <n v="680.88"/>
    <n v="881.72"/>
    <n v="1617.06"/>
    <n v="93.33"/>
    <n v="3179.66"/>
    <n v="3272.99"/>
    <m/>
  </r>
  <r>
    <x v="31"/>
    <x v="2"/>
    <n v="2020"/>
    <n v="3"/>
    <s v="Mar"/>
    <x v="9"/>
    <n v="30"/>
    <x v="1"/>
    <n v="77.180000000000007"/>
    <n v="111.96"/>
    <n v="125.14"/>
    <n v="2.2000000000000002"/>
    <n v="314.27999999999997"/>
    <n v="316.48"/>
    <m/>
  </r>
  <r>
    <x v="31"/>
    <x v="2"/>
    <n v="2020"/>
    <n v="3"/>
    <s v="Mar"/>
    <x v="10"/>
    <n v="24"/>
    <x v="1"/>
    <n v="1886.25"/>
    <n v="2359.5500000000002"/>
    <n v="2218.04"/>
    <n v="356.62"/>
    <n v="6463.84"/>
    <n v="6820.46"/>
    <m/>
  </r>
  <r>
    <x v="31"/>
    <x v="2"/>
    <n v="2020"/>
    <n v="3"/>
    <s v="Mar"/>
    <x v="11"/>
    <n v="6"/>
    <x v="1"/>
    <n v="736.47"/>
    <n v="1074.1400000000001"/>
    <n v="2678.42"/>
    <n v="385.26"/>
    <n v="4489.03"/>
    <n v="4874.29"/>
    <m/>
  </r>
  <r>
    <x v="31"/>
    <x v="2"/>
    <n v="2020"/>
    <n v="3"/>
    <s v="Mar"/>
    <x v="12"/>
    <n v="2"/>
    <x v="1"/>
    <n v="91.2"/>
    <n v="135.87"/>
    <n v="367.61"/>
    <n v="1.21"/>
    <n v="594.67999999999995"/>
    <n v="595.89"/>
    <m/>
  </r>
  <r>
    <x v="31"/>
    <x v="2"/>
    <n v="2020"/>
    <n v="3"/>
    <s v="Mar"/>
    <x v="13"/>
    <n v="1"/>
    <x v="0"/>
    <n v="69.89"/>
    <n v="126"/>
    <n v="77.12"/>
    <n v="3.16"/>
    <n v="273.01"/>
    <n v="276.17"/>
    <m/>
  </r>
  <r>
    <x v="31"/>
    <x v="2"/>
    <n v="2020"/>
    <n v="3"/>
    <s v="Mar"/>
    <x v="14"/>
    <n v="20"/>
    <x v="1"/>
    <n v="388.64"/>
    <n v="499.95"/>
    <n v="666.91"/>
    <n v="493.93"/>
    <n v="1555.5"/>
    <n v="2049.4299999999998"/>
    <m/>
  </r>
  <r>
    <x v="31"/>
    <x v="2"/>
    <n v="2020"/>
    <n v="3"/>
    <s v="Mar"/>
    <x v="15"/>
    <n v="29"/>
    <x v="1"/>
    <n v="1716.85"/>
    <n v="2230.64"/>
    <n v="2386.8000000000002"/>
    <n v="810.01"/>
    <n v="6334.29"/>
    <n v="7144.3"/>
    <m/>
  </r>
  <r>
    <x v="31"/>
    <x v="2"/>
    <n v="2020"/>
    <n v="3"/>
    <s v="Mar"/>
    <x v="16"/>
    <n v="32"/>
    <x v="1"/>
    <n v="476.03"/>
    <n v="714.6"/>
    <n v="277.68"/>
    <n v="6.95"/>
    <n v="1468.31"/>
    <n v="1475.26"/>
    <m/>
  </r>
  <r>
    <x v="31"/>
    <x v="2"/>
    <n v="2020"/>
    <n v="3"/>
    <s v="Mar"/>
    <x v="35"/>
    <n v="37"/>
    <x v="0"/>
    <n v="0.22"/>
    <n v="0.22"/>
    <n v="0.15"/>
    <n v="0.25"/>
    <n v="0.59"/>
    <n v="0.84"/>
    <m/>
  </r>
  <r>
    <x v="31"/>
    <x v="2"/>
    <n v="2020"/>
    <n v="3"/>
    <s v="Mar"/>
    <x v="17"/>
    <n v="31"/>
    <x v="0"/>
    <n v="0.13"/>
    <n v="1.18"/>
    <n v="0.03"/>
    <n v="0"/>
    <n v="1.34"/>
    <n v="1.34"/>
    <m/>
  </r>
  <r>
    <x v="31"/>
    <x v="2"/>
    <n v="2020"/>
    <n v="3"/>
    <s v="Mar"/>
    <x v="18"/>
    <n v="23"/>
    <x v="1"/>
    <n v="541.53"/>
    <n v="746.66"/>
    <n v="645.04"/>
    <n v="474.16"/>
    <n v="1933.23"/>
    <n v="2407.39"/>
    <m/>
  </r>
  <r>
    <x v="31"/>
    <x v="2"/>
    <n v="2020"/>
    <n v="3"/>
    <s v="Mar"/>
    <x v="19"/>
    <n v="27"/>
    <x v="1"/>
    <n v="4232.3999999999996"/>
    <n v="5126.62"/>
    <n v="4755.47"/>
    <n v="887.61"/>
    <n v="14114.49"/>
    <n v="15002.1"/>
    <m/>
  </r>
  <r>
    <x v="31"/>
    <x v="2"/>
    <n v="2020"/>
    <n v="3"/>
    <s v="Mar"/>
    <x v="20"/>
    <n v="14"/>
    <x v="1"/>
    <n v="13.67"/>
    <n v="20.350000000000001"/>
    <n v="1.73"/>
    <n v="0.14000000000000001"/>
    <n v="35.75"/>
    <n v="35.89"/>
    <m/>
  </r>
  <r>
    <x v="31"/>
    <x v="2"/>
    <n v="2020"/>
    <n v="3"/>
    <s v="Mar"/>
    <x v="21"/>
    <n v="17"/>
    <x v="1"/>
    <n v="18.440000000000001"/>
    <n v="23.82"/>
    <n v="90.4"/>
    <n v="7.0000000000000007E-2"/>
    <n v="132.66"/>
    <n v="132.72999999999999"/>
    <m/>
  </r>
  <r>
    <x v="31"/>
    <x v="2"/>
    <n v="2020"/>
    <n v="3"/>
    <s v="Mar"/>
    <x v="22"/>
    <n v="15"/>
    <x v="1"/>
    <n v="11.65"/>
    <n v="17"/>
    <n v="4.51"/>
    <n v="0.02"/>
    <n v="33.159999999999997"/>
    <n v="33.18"/>
    <m/>
  </r>
  <r>
    <x v="31"/>
    <x v="2"/>
    <n v="2020"/>
    <n v="3"/>
    <s v="Mar"/>
    <x v="23"/>
    <n v="13"/>
    <x v="1"/>
    <n v="14.1"/>
    <n v="18.32"/>
    <n v="5.9"/>
    <n v="0.44"/>
    <n v="38.32"/>
    <n v="38.76"/>
    <m/>
  </r>
  <r>
    <x v="31"/>
    <x v="2"/>
    <n v="2020"/>
    <n v="3"/>
    <s v="Mar"/>
    <x v="24"/>
    <n v="21"/>
    <x v="1"/>
    <n v="583.79"/>
    <n v="776.28"/>
    <n v="731.77"/>
    <n v="541.04"/>
    <n v="2091.84"/>
    <n v="2632.88"/>
    <m/>
  </r>
  <r>
    <x v="31"/>
    <x v="2"/>
    <n v="2020"/>
    <n v="3"/>
    <s v="Mar"/>
    <x v="25"/>
    <n v="34"/>
    <x v="0"/>
    <n v="20.53"/>
    <n v="30.34"/>
    <n v="98.08"/>
    <n v="0.37"/>
    <n v="148.94999999999999"/>
    <n v="149.32"/>
    <m/>
  </r>
  <r>
    <x v="31"/>
    <x v="2"/>
    <n v="2020"/>
    <n v="3"/>
    <s v="Mar"/>
    <x v="26"/>
    <n v="3"/>
    <x v="1"/>
    <n v="301.44"/>
    <n v="484.36"/>
    <n v="374.6"/>
    <n v="20.41"/>
    <n v="1160.4000000000001"/>
    <n v="1180.81"/>
    <m/>
  </r>
  <r>
    <x v="31"/>
    <x v="2"/>
    <n v="2020"/>
    <n v="3"/>
    <s v="Mar"/>
    <x v="27"/>
    <n v="8"/>
    <x v="1"/>
    <n v="729.83"/>
    <n v="1007.84"/>
    <n v="978.25"/>
    <n v="104.51"/>
    <n v="2715.92"/>
    <n v="2820.43"/>
    <m/>
  </r>
  <r>
    <x v="31"/>
    <x v="2"/>
    <n v="2020"/>
    <n v="3"/>
    <s v="Mar"/>
    <x v="28"/>
    <n v="11"/>
    <x v="1"/>
    <n v="12.23"/>
    <n v="16.149999999999999"/>
    <n v="160.88"/>
    <n v="7.0000000000000007E-2"/>
    <n v="189.26"/>
    <n v="189.33"/>
    <m/>
  </r>
  <r>
    <x v="31"/>
    <x v="2"/>
    <n v="2020"/>
    <n v="3"/>
    <s v="Mar"/>
    <x v="29"/>
    <n v="33"/>
    <x v="1"/>
    <n v="1580.73"/>
    <n v="2223.19"/>
    <n v="1939.88"/>
    <n v="434.02"/>
    <n v="5743.8"/>
    <n v="6177.82"/>
    <m/>
  </r>
  <r>
    <x v="31"/>
    <x v="2"/>
    <n v="2020"/>
    <n v="3"/>
    <s v="Mar"/>
    <x v="30"/>
    <n v="36"/>
    <x v="1"/>
    <n v="846.3"/>
    <n v="1139.9000000000001"/>
    <n v="996.38"/>
    <n v="579.99"/>
    <n v="2982.58"/>
    <n v="3562.57"/>
    <m/>
  </r>
  <r>
    <x v="31"/>
    <x v="2"/>
    <n v="2020"/>
    <n v="3"/>
    <s v="Mar"/>
    <x v="31"/>
    <n v="16"/>
    <x v="1"/>
    <n v="23.46"/>
    <n v="36.67"/>
    <n v="6.74"/>
    <n v="0.25"/>
    <n v="66.87"/>
    <n v="67.12"/>
    <m/>
  </r>
  <r>
    <x v="31"/>
    <x v="2"/>
    <n v="2020"/>
    <n v="3"/>
    <s v="Mar"/>
    <x v="32"/>
    <n v="9"/>
    <x v="1"/>
    <n v="1182.98"/>
    <n v="1794.76"/>
    <n v="1432.72"/>
    <n v="883.26"/>
    <n v="4410.46"/>
    <n v="5293.72"/>
    <m/>
  </r>
  <r>
    <x v="31"/>
    <x v="2"/>
    <n v="2020"/>
    <n v="3"/>
    <s v="Mar"/>
    <x v="33"/>
    <n v="5"/>
    <x v="1"/>
    <n v="221.45"/>
    <n v="277.36"/>
    <n v="686.08"/>
    <n v="9.84"/>
    <n v="1184.8900000000001"/>
    <n v="1194.73"/>
    <m/>
  </r>
  <r>
    <x v="31"/>
    <x v="2"/>
    <n v="2020"/>
    <n v="3"/>
    <s v="Mar"/>
    <x v="34"/>
    <n v="19"/>
    <x v="1"/>
    <n v="1035.42"/>
    <n v="1401.37"/>
    <n v="829.19"/>
    <n v="316.27"/>
    <n v="3265.98"/>
    <n v="3582.25"/>
    <m/>
  </r>
  <r>
    <x v="32"/>
    <x v="3"/>
    <n v="2020"/>
    <n v="4"/>
    <s v="Apr"/>
    <x v="0"/>
    <n v="35"/>
    <x v="0"/>
    <n v="4.0199999999999996"/>
    <n v="4.5599999999999996"/>
    <n v="2.59"/>
    <n v="0.01"/>
    <n v="11.17"/>
    <n v="11.18"/>
    <m/>
  </r>
  <r>
    <x v="32"/>
    <x v="3"/>
    <n v="2020"/>
    <n v="4"/>
    <s v="Apr"/>
    <x v="1"/>
    <n v="28"/>
    <x v="1"/>
    <n v="181.93"/>
    <n v="211.97"/>
    <n v="145.57"/>
    <n v="9.3000000000000007"/>
    <n v="539.47"/>
    <n v="548.77"/>
    <m/>
  </r>
  <r>
    <x v="32"/>
    <x v="3"/>
    <n v="2020"/>
    <n v="4"/>
    <s v="Apr"/>
    <x v="2"/>
    <n v="12"/>
    <x v="1"/>
    <n v="18.399999999999999"/>
    <n v="21.3"/>
    <n v="2.4700000000000002"/>
    <n v="0.5"/>
    <n v="42.17"/>
    <n v="42.67"/>
    <m/>
  </r>
  <r>
    <x v="32"/>
    <x v="3"/>
    <n v="2020"/>
    <n v="4"/>
    <s v="Apr"/>
    <x v="3"/>
    <n v="18"/>
    <x v="1"/>
    <n v="80.2"/>
    <n v="100.64"/>
    <n v="78.540000000000006"/>
    <n v="5.0999999999999996"/>
    <n v="259.38"/>
    <n v="264.48"/>
    <m/>
  </r>
  <r>
    <x v="32"/>
    <x v="3"/>
    <n v="2020"/>
    <n v="4"/>
    <s v="Apr"/>
    <x v="4"/>
    <n v="10"/>
    <x v="1"/>
    <n v="112.93"/>
    <n v="137.57"/>
    <n v="32.049999999999997"/>
    <n v="0.03"/>
    <n v="282.55"/>
    <n v="282.58"/>
    <m/>
  </r>
  <r>
    <x v="32"/>
    <x v="3"/>
    <n v="2020"/>
    <n v="4"/>
    <s v="Apr"/>
    <x v="5"/>
    <n v="4"/>
    <x v="0"/>
    <n v="8.35"/>
    <n v="9.34"/>
    <n v="22.64"/>
    <n v="0.01"/>
    <n v="40.33"/>
    <n v="40.340000000000003"/>
    <m/>
  </r>
  <r>
    <x v="32"/>
    <x v="3"/>
    <n v="2020"/>
    <n v="4"/>
    <s v="Apr"/>
    <x v="6"/>
    <n v="22"/>
    <x v="1"/>
    <n v="82.62"/>
    <n v="93.38"/>
    <n v="171.36"/>
    <n v="3.49"/>
    <n v="347.36"/>
    <n v="350.85"/>
    <m/>
  </r>
  <r>
    <x v="32"/>
    <x v="3"/>
    <n v="2020"/>
    <n v="4"/>
    <s v="Apr"/>
    <x v="7"/>
    <n v="38"/>
    <x v="0"/>
    <n v="5.52"/>
    <n v="5.94"/>
    <n v="27.27"/>
    <n v="0.02"/>
    <n v="38.729999999999997"/>
    <n v="38.75"/>
    <m/>
  </r>
  <r>
    <x v="32"/>
    <x v="3"/>
    <n v="2020"/>
    <n v="4"/>
    <s v="Apr"/>
    <x v="8"/>
    <n v="7"/>
    <x v="0"/>
    <n v="216.38"/>
    <n v="240.7"/>
    <n v="526.28"/>
    <n v="6.55"/>
    <n v="983.36"/>
    <n v="989.91"/>
    <m/>
  </r>
  <r>
    <x v="32"/>
    <x v="3"/>
    <n v="2020"/>
    <n v="4"/>
    <s v="Apr"/>
    <x v="9"/>
    <n v="30"/>
    <x v="1"/>
    <n v="19.079999999999998"/>
    <n v="24.33"/>
    <n v="23.82"/>
    <n v="0.01"/>
    <n v="67.23"/>
    <n v="67.239999999999995"/>
    <m/>
  </r>
  <r>
    <x v="32"/>
    <x v="3"/>
    <n v="2020"/>
    <n v="4"/>
    <s v="Apr"/>
    <x v="10"/>
    <n v="24"/>
    <x v="1"/>
    <n v="411.21"/>
    <n v="464.24"/>
    <n v="325.7"/>
    <n v="94.95"/>
    <n v="1201.1500000000001"/>
    <n v="1296.0999999999999"/>
    <m/>
  </r>
  <r>
    <x v="32"/>
    <x v="3"/>
    <n v="2020"/>
    <n v="4"/>
    <s v="Apr"/>
    <x v="11"/>
    <n v="6"/>
    <x v="1"/>
    <n v="211.73"/>
    <n v="253.81"/>
    <n v="1088.94"/>
    <n v="152.16999999999999"/>
    <n v="1554.48"/>
    <n v="1706.65"/>
    <m/>
  </r>
  <r>
    <x v="32"/>
    <x v="3"/>
    <n v="2020"/>
    <n v="4"/>
    <s v="Apr"/>
    <x v="12"/>
    <n v="2"/>
    <x v="1"/>
    <n v="26.47"/>
    <n v="31.59"/>
    <n v="68.84"/>
    <n v="0.01"/>
    <n v="126.9"/>
    <n v="126.91"/>
    <m/>
  </r>
  <r>
    <x v="32"/>
    <x v="3"/>
    <n v="2020"/>
    <n v="4"/>
    <s v="Apr"/>
    <x v="13"/>
    <n v="1"/>
    <x v="0"/>
    <n v="31.54"/>
    <n v="37.119999999999997"/>
    <n v="22.4"/>
    <n v="7.0000000000000007E-2"/>
    <n v="91.06"/>
    <n v="91.13"/>
    <m/>
  </r>
  <r>
    <x v="32"/>
    <x v="3"/>
    <n v="2020"/>
    <n v="4"/>
    <s v="Apr"/>
    <x v="14"/>
    <n v="20"/>
    <x v="1"/>
    <n v="74.64"/>
    <n v="89.09"/>
    <n v="44.95"/>
    <n v="35.04"/>
    <n v="208.68"/>
    <n v="243.72"/>
    <m/>
  </r>
  <r>
    <x v="32"/>
    <x v="3"/>
    <n v="2020"/>
    <n v="4"/>
    <s v="Apr"/>
    <x v="15"/>
    <n v="29"/>
    <x v="1"/>
    <n v="484.21"/>
    <n v="576.9"/>
    <n v="930.72"/>
    <n v="36.71"/>
    <n v="1991.83"/>
    <n v="2028.54"/>
    <m/>
  </r>
  <r>
    <x v="32"/>
    <x v="3"/>
    <n v="2020"/>
    <n v="4"/>
    <s v="Apr"/>
    <x v="16"/>
    <n v="32"/>
    <x v="1"/>
    <n v="93.56"/>
    <n v="127.46"/>
    <n v="57.98"/>
    <n v="1.18"/>
    <n v="279"/>
    <n v="280.18"/>
    <m/>
  </r>
  <r>
    <x v="32"/>
    <x v="3"/>
    <n v="2020"/>
    <n v="4"/>
    <s v="Apr"/>
    <x v="35"/>
    <n v="37"/>
    <x v="0"/>
    <n v="1.24"/>
    <n v="1.29"/>
    <n v="0.52"/>
    <n v="0.78"/>
    <n v="3.05"/>
    <n v="3.83"/>
    <m/>
  </r>
  <r>
    <x v="32"/>
    <x v="3"/>
    <n v="2020"/>
    <n v="4"/>
    <s v="Apr"/>
    <x v="17"/>
    <n v="31"/>
    <x v="0"/>
    <n v="0.21"/>
    <n v="0.21"/>
    <n v="7.0000000000000007E-2"/>
    <n v="0"/>
    <n v="0.49"/>
    <n v="0.49"/>
    <m/>
  </r>
  <r>
    <x v="32"/>
    <x v="3"/>
    <n v="2020"/>
    <n v="4"/>
    <s v="Apr"/>
    <x v="18"/>
    <n v="23"/>
    <x v="1"/>
    <n v="149.04"/>
    <n v="176.19"/>
    <n v="104.08"/>
    <n v="33.619999999999997"/>
    <n v="429.31"/>
    <n v="462.93"/>
    <m/>
  </r>
  <r>
    <x v="32"/>
    <x v="3"/>
    <n v="2020"/>
    <n v="4"/>
    <s v="Apr"/>
    <x v="19"/>
    <n v="27"/>
    <x v="1"/>
    <n v="1059.94"/>
    <n v="1231.44"/>
    <n v="2256.87"/>
    <n v="38.479999999999997"/>
    <n v="4548.25"/>
    <n v="4586.7299999999996"/>
    <m/>
  </r>
  <r>
    <x v="32"/>
    <x v="3"/>
    <n v="2020"/>
    <n v="4"/>
    <s v="Apr"/>
    <x v="20"/>
    <n v="14"/>
    <x v="1"/>
    <n v="8.59"/>
    <n v="11.47"/>
    <n v="1.44"/>
    <n v="0"/>
    <n v="21.5"/>
    <n v="21.5"/>
    <m/>
  </r>
  <r>
    <x v="32"/>
    <x v="3"/>
    <n v="2020"/>
    <n v="4"/>
    <s v="Apr"/>
    <x v="21"/>
    <n v="17"/>
    <x v="1"/>
    <n v="8.1999999999999993"/>
    <n v="9.09"/>
    <n v="3.4"/>
    <n v="0.01"/>
    <n v="20.69"/>
    <n v="20.7"/>
    <m/>
  </r>
  <r>
    <x v="32"/>
    <x v="3"/>
    <n v="2020"/>
    <n v="4"/>
    <s v="Apr"/>
    <x v="22"/>
    <n v="15"/>
    <x v="1"/>
    <n v="3.35"/>
    <n v="4.16"/>
    <n v="1.73"/>
    <n v="0"/>
    <n v="9.24"/>
    <n v="9.24"/>
    <m/>
  </r>
  <r>
    <x v="32"/>
    <x v="3"/>
    <n v="2020"/>
    <n v="4"/>
    <s v="Apr"/>
    <x v="23"/>
    <n v="13"/>
    <x v="1"/>
    <n v="6.29"/>
    <n v="7.47"/>
    <n v="0.59"/>
    <n v="0.02"/>
    <n v="14.35"/>
    <n v="14.37"/>
    <m/>
  </r>
  <r>
    <x v="32"/>
    <x v="3"/>
    <n v="2020"/>
    <n v="4"/>
    <s v="Apr"/>
    <x v="24"/>
    <n v="21"/>
    <x v="1"/>
    <n v="310.12"/>
    <n v="360.36"/>
    <n v="101.36"/>
    <n v="2.4500000000000002"/>
    <n v="771.84"/>
    <n v="774.29"/>
    <m/>
  </r>
  <r>
    <x v="32"/>
    <x v="3"/>
    <n v="2020"/>
    <n v="4"/>
    <s v="Apr"/>
    <x v="25"/>
    <n v="34"/>
    <x v="0"/>
    <n v="4.25"/>
    <n v="5.33"/>
    <n v="21.94"/>
    <n v="0.01"/>
    <n v="31.52"/>
    <n v="31.53"/>
    <m/>
  </r>
  <r>
    <x v="32"/>
    <x v="3"/>
    <n v="2020"/>
    <n v="4"/>
    <s v="Apr"/>
    <x v="26"/>
    <n v="3"/>
    <x v="1"/>
    <n v="85.14"/>
    <n v="101.94"/>
    <n v="86.29"/>
    <n v="0.19"/>
    <n v="273.37"/>
    <n v="273.56"/>
    <m/>
  </r>
  <r>
    <x v="32"/>
    <x v="3"/>
    <n v="2020"/>
    <n v="4"/>
    <s v="Apr"/>
    <x v="27"/>
    <n v="8"/>
    <x v="1"/>
    <n v="177.78"/>
    <n v="183.86"/>
    <n v="92.62"/>
    <n v="42.59"/>
    <n v="454.26"/>
    <n v="496.85"/>
    <m/>
  </r>
  <r>
    <x v="32"/>
    <x v="3"/>
    <n v="2020"/>
    <n v="4"/>
    <s v="Apr"/>
    <x v="28"/>
    <n v="11"/>
    <x v="1"/>
    <n v="4.53"/>
    <n v="5.53"/>
    <n v="70.98"/>
    <n v="0"/>
    <n v="81.040000000000006"/>
    <n v="81.040000000000006"/>
    <m/>
  </r>
  <r>
    <x v="32"/>
    <x v="3"/>
    <n v="2020"/>
    <n v="4"/>
    <s v="Apr"/>
    <x v="29"/>
    <n v="33"/>
    <x v="1"/>
    <n v="371.71"/>
    <n v="451.05"/>
    <n v="594.51"/>
    <n v="2.78"/>
    <n v="1417.27"/>
    <n v="1420.05"/>
    <m/>
  </r>
  <r>
    <x v="32"/>
    <x v="3"/>
    <n v="2020"/>
    <n v="4"/>
    <s v="Apr"/>
    <x v="30"/>
    <n v="36"/>
    <x v="1"/>
    <n v="214.09"/>
    <n v="252.67"/>
    <n v="318.55"/>
    <n v="142.83000000000001"/>
    <n v="785.31"/>
    <n v="928.14"/>
    <m/>
  </r>
  <r>
    <x v="32"/>
    <x v="3"/>
    <n v="2020"/>
    <n v="4"/>
    <s v="Apr"/>
    <x v="31"/>
    <n v="16"/>
    <x v="1"/>
    <n v="7.99"/>
    <n v="9.7100000000000009"/>
    <n v="1.95"/>
    <n v="0.01"/>
    <n v="19.649999999999999"/>
    <n v="19.66"/>
    <m/>
  </r>
  <r>
    <x v="32"/>
    <x v="3"/>
    <n v="2020"/>
    <n v="4"/>
    <s v="Apr"/>
    <x v="32"/>
    <n v="9"/>
    <x v="1"/>
    <n v="312.66000000000003"/>
    <n v="376.17"/>
    <n v="284.2"/>
    <n v="17.04"/>
    <n v="973.03"/>
    <n v="990.07"/>
    <m/>
  </r>
  <r>
    <x v="32"/>
    <x v="3"/>
    <n v="2020"/>
    <n v="4"/>
    <s v="Apr"/>
    <x v="33"/>
    <n v="5"/>
    <x v="1"/>
    <n v="49.79"/>
    <n v="61.95"/>
    <n v="141.63"/>
    <n v="3.26"/>
    <n v="253.37"/>
    <n v="256.63"/>
    <m/>
  </r>
  <r>
    <x v="32"/>
    <x v="3"/>
    <n v="2020"/>
    <n v="4"/>
    <s v="Apr"/>
    <x v="34"/>
    <n v="19"/>
    <x v="1"/>
    <n v="220.64"/>
    <n v="260.61"/>
    <n v="149.1"/>
    <n v="3.11"/>
    <n v="630.35"/>
    <n v="633.46"/>
    <m/>
  </r>
  <r>
    <x v="33"/>
    <x v="3"/>
    <n v="2020"/>
    <n v="5"/>
    <s v="May"/>
    <x v="0"/>
    <n v="35"/>
    <x v="0"/>
    <n v="2.86"/>
    <n v="3.91"/>
    <n v="1.05"/>
    <n v="0.01"/>
    <n v="7.82"/>
    <n v="7.83"/>
    <m/>
  </r>
  <r>
    <x v="33"/>
    <x v="3"/>
    <n v="2020"/>
    <n v="5"/>
    <s v="May"/>
    <x v="1"/>
    <n v="28"/>
    <x v="1"/>
    <n v="294.75"/>
    <n v="379.5"/>
    <n v="373.5"/>
    <n v="180.25"/>
    <n v="1047.75"/>
    <n v="1228"/>
    <m/>
  </r>
  <r>
    <x v="33"/>
    <x v="3"/>
    <n v="2020"/>
    <n v="5"/>
    <s v="May"/>
    <x v="2"/>
    <n v="12"/>
    <x v="1"/>
    <n v="16.059999999999999"/>
    <n v="19.86"/>
    <n v="2.73"/>
    <n v="0.05"/>
    <n v="38.65"/>
    <n v="38.700000000000003"/>
    <m/>
  </r>
  <r>
    <x v="33"/>
    <x v="3"/>
    <n v="2020"/>
    <n v="5"/>
    <s v="May"/>
    <x v="3"/>
    <n v="18"/>
    <x v="1"/>
    <n v="166.97"/>
    <n v="190.7"/>
    <n v="105.87"/>
    <n v="44.46"/>
    <n v="463.54"/>
    <n v="508"/>
    <m/>
  </r>
  <r>
    <x v="33"/>
    <x v="3"/>
    <n v="2020"/>
    <n v="5"/>
    <s v="May"/>
    <x v="4"/>
    <n v="10"/>
    <x v="1"/>
    <n v="167.53"/>
    <n v="248.01"/>
    <n v="68.95"/>
    <n v="123.61"/>
    <n v="484.49"/>
    <n v="608.1"/>
    <m/>
  </r>
  <r>
    <x v="33"/>
    <x v="3"/>
    <n v="2020"/>
    <n v="5"/>
    <s v="May"/>
    <x v="5"/>
    <n v="4"/>
    <x v="0"/>
    <n v="16.16"/>
    <n v="22.06"/>
    <n v="63.58"/>
    <n v="1.64"/>
    <n v="101.8"/>
    <n v="103.44"/>
    <m/>
  </r>
  <r>
    <x v="33"/>
    <x v="3"/>
    <n v="2020"/>
    <n v="5"/>
    <s v="May"/>
    <x v="6"/>
    <n v="22"/>
    <x v="1"/>
    <n v="278.02"/>
    <n v="314.73"/>
    <n v="665.48"/>
    <n v="564.67999999999995"/>
    <n v="1258.23"/>
    <n v="1822.91"/>
    <m/>
  </r>
  <r>
    <x v="33"/>
    <x v="3"/>
    <n v="2020"/>
    <n v="5"/>
    <s v="May"/>
    <x v="7"/>
    <n v="38"/>
    <x v="0"/>
    <n v="13.11"/>
    <n v="16.690000000000001"/>
    <n v="68.36"/>
    <n v="0.04"/>
    <n v="98.16"/>
    <n v="98.2"/>
    <m/>
  </r>
  <r>
    <x v="33"/>
    <x v="3"/>
    <n v="2020"/>
    <n v="5"/>
    <s v="May"/>
    <x v="8"/>
    <n v="7"/>
    <x v="0"/>
    <n v="415.34"/>
    <n v="494.26"/>
    <n v="1191.83"/>
    <n v="57.35"/>
    <n v="2101.4299999999998"/>
    <n v="2158.7800000000002"/>
    <m/>
  </r>
  <r>
    <x v="33"/>
    <x v="3"/>
    <n v="2020"/>
    <n v="5"/>
    <s v="May"/>
    <x v="9"/>
    <n v="30"/>
    <x v="1"/>
    <n v="39.25"/>
    <n v="52.64"/>
    <n v="58.11"/>
    <n v="0.85"/>
    <n v="150"/>
    <n v="150.85"/>
    <m/>
  </r>
  <r>
    <x v="33"/>
    <x v="3"/>
    <n v="2020"/>
    <n v="5"/>
    <s v="May"/>
    <x v="10"/>
    <n v="24"/>
    <x v="1"/>
    <n v="855.01"/>
    <n v="1022.56"/>
    <n v="1015.66"/>
    <n v="184.5"/>
    <n v="2893.23"/>
    <n v="3077.73"/>
    <m/>
  </r>
  <r>
    <x v="33"/>
    <x v="3"/>
    <n v="2020"/>
    <n v="5"/>
    <s v="May"/>
    <x v="11"/>
    <n v="6"/>
    <x v="1"/>
    <n v="424.52"/>
    <n v="546.11"/>
    <n v="1556.35"/>
    <n v="81.59"/>
    <n v="2526.98"/>
    <n v="2608.5700000000002"/>
    <m/>
  </r>
  <r>
    <x v="33"/>
    <x v="3"/>
    <n v="2020"/>
    <n v="5"/>
    <s v="May"/>
    <x v="12"/>
    <n v="2"/>
    <x v="1"/>
    <n v="53.06"/>
    <n v="72.239999999999995"/>
    <n v="146.38999999999999"/>
    <n v="0.35"/>
    <n v="271.69"/>
    <n v="272.04000000000002"/>
    <m/>
  </r>
  <r>
    <x v="33"/>
    <x v="3"/>
    <n v="2020"/>
    <n v="5"/>
    <s v="May"/>
    <x v="13"/>
    <n v="1"/>
    <x v="0"/>
    <n v="40.130000000000003"/>
    <n v="62.74"/>
    <n v="24.51"/>
    <n v="1.74"/>
    <n v="127.38"/>
    <n v="129.12"/>
    <m/>
  </r>
  <r>
    <x v="33"/>
    <x v="3"/>
    <n v="2020"/>
    <n v="5"/>
    <s v="May"/>
    <x v="14"/>
    <n v="20"/>
    <x v="1"/>
    <n v="202.92"/>
    <n v="241.15"/>
    <n v="359.03"/>
    <n v="438.84"/>
    <n v="803.1"/>
    <n v="1241.94"/>
    <m/>
  </r>
  <r>
    <x v="33"/>
    <x v="3"/>
    <n v="2020"/>
    <n v="5"/>
    <s v="May"/>
    <x v="15"/>
    <n v="29"/>
    <x v="1"/>
    <n v="1058.82"/>
    <n v="1296.28"/>
    <n v="1532.32"/>
    <n v="621.32000000000005"/>
    <n v="3887.42"/>
    <n v="4508.74"/>
    <m/>
  </r>
  <r>
    <x v="33"/>
    <x v="3"/>
    <n v="2020"/>
    <n v="5"/>
    <s v="May"/>
    <x v="16"/>
    <n v="32"/>
    <x v="1"/>
    <n v="277.8"/>
    <n v="365.75"/>
    <n v="216.68"/>
    <n v="1.97"/>
    <n v="860.23"/>
    <n v="862.2"/>
    <m/>
  </r>
  <r>
    <x v="33"/>
    <x v="3"/>
    <n v="2020"/>
    <n v="5"/>
    <s v="May"/>
    <x v="35"/>
    <n v="37"/>
    <x v="0"/>
    <n v="4.7699999999999996"/>
    <n v="5.35"/>
    <n v="1.64"/>
    <n v="0.4"/>
    <n v="11.76"/>
    <n v="12.16"/>
    <m/>
  </r>
  <r>
    <x v="33"/>
    <x v="3"/>
    <n v="2020"/>
    <n v="5"/>
    <s v="May"/>
    <x v="17"/>
    <n v="31"/>
    <x v="0"/>
    <n v="1.21"/>
    <n v="1.24"/>
    <n v="0.03"/>
    <n v="0"/>
    <n v="2.48"/>
    <n v="2.48"/>
    <m/>
  </r>
  <r>
    <x v="33"/>
    <x v="3"/>
    <n v="2020"/>
    <n v="5"/>
    <s v="May"/>
    <x v="18"/>
    <n v="23"/>
    <x v="1"/>
    <n v="301.48"/>
    <n v="368.55"/>
    <n v="298.52"/>
    <n v="370.57"/>
    <n v="968.55"/>
    <n v="1339.12"/>
    <m/>
  </r>
  <r>
    <x v="33"/>
    <x v="3"/>
    <n v="2020"/>
    <n v="5"/>
    <s v="May"/>
    <x v="19"/>
    <n v="27"/>
    <x v="1"/>
    <n v="2060.79"/>
    <n v="2483.04"/>
    <n v="3374.13"/>
    <n v="552.92999999999995"/>
    <n v="7917.96"/>
    <n v="8470.89"/>
    <m/>
  </r>
  <r>
    <x v="33"/>
    <x v="3"/>
    <n v="2020"/>
    <n v="5"/>
    <s v="May"/>
    <x v="20"/>
    <n v="14"/>
    <x v="1"/>
    <n v="7.93"/>
    <n v="9.59"/>
    <n v="1"/>
    <n v="0"/>
    <n v="18.52"/>
    <n v="18.52"/>
    <m/>
  </r>
  <r>
    <x v="33"/>
    <x v="3"/>
    <n v="2020"/>
    <n v="5"/>
    <s v="May"/>
    <x v="21"/>
    <n v="17"/>
    <x v="1"/>
    <n v="13.98"/>
    <n v="16.7"/>
    <n v="62.43"/>
    <n v="0.21"/>
    <n v="93.11"/>
    <n v="93.32"/>
    <m/>
  </r>
  <r>
    <x v="33"/>
    <x v="3"/>
    <n v="2020"/>
    <n v="5"/>
    <s v="May"/>
    <x v="22"/>
    <n v="15"/>
    <x v="1"/>
    <n v="3.74"/>
    <n v="5.47"/>
    <n v="1.43"/>
    <n v="0"/>
    <n v="10.64"/>
    <n v="10.64"/>
    <m/>
  </r>
  <r>
    <x v="33"/>
    <x v="3"/>
    <n v="2020"/>
    <n v="5"/>
    <s v="May"/>
    <x v="23"/>
    <n v="13"/>
    <x v="1"/>
    <n v="12.06"/>
    <n v="18.38"/>
    <n v="1.45"/>
    <n v="0.85"/>
    <n v="31.89"/>
    <n v="32.74"/>
    <m/>
  </r>
  <r>
    <x v="33"/>
    <x v="3"/>
    <n v="2020"/>
    <n v="5"/>
    <s v="May"/>
    <x v="24"/>
    <n v="21"/>
    <x v="1"/>
    <n v="349.83"/>
    <n v="440.67"/>
    <n v="381.15"/>
    <n v="552.61"/>
    <n v="1171.6500000000001"/>
    <n v="1724.26"/>
    <m/>
  </r>
  <r>
    <x v="33"/>
    <x v="3"/>
    <n v="2020"/>
    <n v="5"/>
    <s v="May"/>
    <x v="25"/>
    <n v="34"/>
    <x v="0"/>
    <n v="14.74"/>
    <n v="17.2"/>
    <n v="67.03"/>
    <n v="0.02"/>
    <n v="98.97"/>
    <n v="98.99"/>
    <m/>
  </r>
  <r>
    <x v="33"/>
    <x v="3"/>
    <n v="2020"/>
    <n v="5"/>
    <s v="May"/>
    <x v="26"/>
    <n v="3"/>
    <x v="1"/>
    <n v="171.36"/>
    <n v="240.67"/>
    <n v="236.13"/>
    <n v="8.7899999999999991"/>
    <n v="648.16"/>
    <n v="656.95"/>
    <m/>
  </r>
  <r>
    <x v="33"/>
    <x v="3"/>
    <n v="2020"/>
    <n v="5"/>
    <s v="May"/>
    <x v="27"/>
    <n v="8"/>
    <x v="1"/>
    <n v="379.21"/>
    <n v="463.22"/>
    <n v="525.83000000000004"/>
    <n v="47.75"/>
    <n v="1368.26"/>
    <n v="1416.01"/>
    <m/>
  </r>
  <r>
    <x v="33"/>
    <x v="3"/>
    <n v="2020"/>
    <n v="5"/>
    <s v="May"/>
    <x v="28"/>
    <n v="11"/>
    <x v="1"/>
    <n v="8.91"/>
    <n v="10.96"/>
    <n v="74.319999999999993"/>
    <n v="0.31"/>
    <n v="94.19"/>
    <n v="94.5"/>
    <m/>
  </r>
  <r>
    <x v="33"/>
    <x v="3"/>
    <n v="2020"/>
    <n v="5"/>
    <s v="May"/>
    <x v="29"/>
    <n v="33"/>
    <x v="1"/>
    <n v="793.88"/>
    <n v="1064.6500000000001"/>
    <n v="1217.97"/>
    <n v="446.28"/>
    <n v="3076.5"/>
    <n v="3522.78"/>
    <m/>
  </r>
  <r>
    <x v="33"/>
    <x v="3"/>
    <n v="2020"/>
    <n v="5"/>
    <s v="May"/>
    <x v="30"/>
    <n v="36"/>
    <x v="1"/>
    <n v="432.73"/>
    <n v="543.23"/>
    <n v="685.39"/>
    <n v="227.07"/>
    <n v="1661.35"/>
    <n v="1888.42"/>
    <m/>
  </r>
  <r>
    <x v="33"/>
    <x v="3"/>
    <n v="2020"/>
    <n v="5"/>
    <s v="May"/>
    <x v="31"/>
    <n v="16"/>
    <x v="1"/>
    <n v="36.4"/>
    <n v="42.11"/>
    <n v="16.34"/>
    <n v="0.19"/>
    <n v="94.85"/>
    <n v="95.04"/>
    <m/>
  </r>
  <r>
    <x v="33"/>
    <x v="3"/>
    <n v="2020"/>
    <n v="5"/>
    <s v="May"/>
    <x v="32"/>
    <n v="9"/>
    <x v="1"/>
    <n v="710.21"/>
    <n v="945.92"/>
    <n v="758.01"/>
    <n v="768.52"/>
    <n v="2414.14"/>
    <n v="3182.66"/>
    <m/>
  </r>
  <r>
    <x v="33"/>
    <x v="3"/>
    <n v="2020"/>
    <n v="5"/>
    <s v="May"/>
    <x v="33"/>
    <n v="5"/>
    <x v="1"/>
    <n v="144.84"/>
    <n v="170"/>
    <n v="299.19"/>
    <n v="0.56000000000000005"/>
    <n v="614.03"/>
    <n v="614.59"/>
    <m/>
  </r>
  <r>
    <x v="33"/>
    <x v="3"/>
    <n v="2020"/>
    <n v="5"/>
    <s v="May"/>
    <x v="34"/>
    <n v="19"/>
    <x v="1"/>
    <n v="549.45000000000005"/>
    <n v="702.23"/>
    <n v="405.94"/>
    <n v="298.82"/>
    <n v="1657.62"/>
    <n v="1956.44"/>
    <m/>
  </r>
  <r>
    <x v="34"/>
    <x v="3"/>
    <n v="2020"/>
    <n v="6"/>
    <s v="Jun"/>
    <x v="0"/>
    <n v="35"/>
    <x v="0"/>
    <n v="23.65"/>
    <n v="26.73"/>
    <n v="3.74"/>
    <n v="7.0000000000000007E-2"/>
    <n v="54.12"/>
    <n v="54.19"/>
    <m/>
  </r>
  <r>
    <x v="34"/>
    <x v="3"/>
    <n v="2020"/>
    <n v="6"/>
    <s v="Jun"/>
    <x v="1"/>
    <n v="28"/>
    <x v="1"/>
    <n v="627.42999999999995"/>
    <n v="846.94"/>
    <n v="805.05"/>
    <n v="87.66"/>
    <n v="2279.42"/>
    <n v="2367.08"/>
    <m/>
  </r>
  <r>
    <x v="34"/>
    <x v="3"/>
    <n v="2020"/>
    <n v="6"/>
    <s v="Jun"/>
    <x v="2"/>
    <n v="12"/>
    <x v="1"/>
    <n v="19.420000000000002"/>
    <n v="25.43"/>
    <n v="4.07"/>
    <n v="0.47"/>
    <n v="48.92"/>
    <n v="49.39"/>
    <m/>
  </r>
  <r>
    <x v="34"/>
    <x v="3"/>
    <n v="2020"/>
    <n v="6"/>
    <s v="Jun"/>
    <x v="3"/>
    <n v="18"/>
    <x v="1"/>
    <n v="279.85000000000002"/>
    <n v="359.88"/>
    <n v="298.87"/>
    <n v="27.87"/>
    <n v="938.6"/>
    <n v="966.47"/>
    <m/>
  </r>
  <r>
    <x v="34"/>
    <x v="3"/>
    <n v="2020"/>
    <n v="6"/>
    <s v="Jun"/>
    <x v="4"/>
    <n v="10"/>
    <x v="1"/>
    <n v="341.6"/>
    <n v="569.77"/>
    <n v="119.18"/>
    <n v="131.83000000000001"/>
    <n v="1030.55"/>
    <n v="1162.3800000000001"/>
    <m/>
  </r>
  <r>
    <x v="34"/>
    <x v="3"/>
    <n v="2020"/>
    <n v="6"/>
    <s v="Jun"/>
    <x v="5"/>
    <n v="4"/>
    <x v="0"/>
    <n v="26.85"/>
    <n v="35.200000000000003"/>
    <n v="94.76"/>
    <n v="1.88"/>
    <n v="156.81"/>
    <n v="158.69"/>
    <m/>
  </r>
  <r>
    <x v="34"/>
    <x v="3"/>
    <n v="2020"/>
    <n v="6"/>
    <s v="Jun"/>
    <x v="6"/>
    <n v="22"/>
    <x v="1"/>
    <n v="472.28"/>
    <n v="546.34"/>
    <n v="744.26"/>
    <n v="785.71"/>
    <n v="1762.88"/>
    <n v="2548.59"/>
    <m/>
  </r>
  <r>
    <x v="34"/>
    <x v="3"/>
    <n v="2020"/>
    <n v="6"/>
    <s v="Jun"/>
    <x v="7"/>
    <n v="38"/>
    <x v="0"/>
    <n v="20.6"/>
    <n v="27.52"/>
    <n v="144.08000000000001"/>
    <n v="0.11"/>
    <n v="192.2"/>
    <n v="192.31"/>
    <m/>
  </r>
  <r>
    <x v="34"/>
    <x v="3"/>
    <n v="2020"/>
    <n v="6"/>
    <s v="Jun"/>
    <x v="8"/>
    <n v="7"/>
    <x v="0"/>
    <n v="651.99"/>
    <n v="762.25"/>
    <n v="1790.27"/>
    <n v="44.72"/>
    <n v="3204.51"/>
    <n v="3249.23"/>
    <m/>
  </r>
  <r>
    <x v="34"/>
    <x v="3"/>
    <n v="2020"/>
    <n v="6"/>
    <s v="Jun"/>
    <x v="9"/>
    <n v="30"/>
    <x v="1"/>
    <n v="75.83"/>
    <n v="102.63"/>
    <n v="141.36000000000001"/>
    <n v="4.13"/>
    <n v="319.82"/>
    <n v="323.95"/>
    <m/>
  </r>
  <r>
    <x v="34"/>
    <x v="3"/>
    <n v="2020"/>
    <n v="6"/>
    <s v="Jun"/>
    <x v="10"/>
    <n v="24"/>
    <x v="1"/>
    <n v="1747.47"/>
    <n v="2068.35"/>
    <n v="1973.11"/>
    <n v="235.71"/>
    <n v="5788.93"/>
    <n v="6024.64"/>
    <m/>
  </r>
  <r>
    <x v="34"/>
    <x v="3"/>
    <n v="2020"/>
    <n v="6"/>
    <s v="Jun"/>
    <x v="11"/>
    <n v="6"/>
    <x v="1"/>
    <n v="712.4"/>
    <n v="878.41"/>
    <n v="1998.32"/>
    <n v="108.01"/>
    <n v="3589.13"/>
    <n v="3697.14"/>
    <m/>
  </r>
  <r>
    <x v="34"/>
    <x v="3"/>
    <n v="2020"/>
    <n v="6"/>
    <s v="Jun"/>
    <x v="12"/>
    <n v="2"/>
    <x v="1"/>
    <n v="106.72"/>
    <n v="152.68"/>
    <n v="357.99"/>
    <n v="1.1100000000000001"/>
    <n v="617.39"/>
    <n v="618.5"/>
    <m/>
  </r>
  <r>
    <x v="34"/>
    <x v="3"/>
    <n v="2020"/>
    <n v="6"/>
    <s v="Jun"/>
    <x v="13"/>
    <n v="1"/>
    <x v="0"/>
    <n v="81.16"/>
    <n v="136.31"/>
    <n v="82.44"/>
    <n v="24.85"/>
    <n v="299.91000000000003"/>
    <n v="324.76"/>
    <m/>
  </r>
  <r>
    <x v="34"/>
    <x v="3"/>
    <n v="2020"/>
    <n v="6"/>
    <s v="Jun"/>
    <x v="14"/>
    <n v="20"/>
    <x v="1"/>
    <n v="328.95"/>
    <n v="398.96"/>
    <n v="371.62"/>
    <n v="543.75"/>
    <n v="1099.53"/>
    <n v="1643.28"/>
    <m/>
  </r>
  <r>
    <x v="34"/>
    <x v="3"/>
    <n v="2020"/>
    <n v="6"/>
    <s v="Jun"/>
    <x v="15"/>
    <n v="29"/>
    <x v="1"/>
    <n v="1795.6"/>
    <n v="2221.71"/>
    <n v="2033.28"/>
    <n v="659.18"/>
    <n v="6050.59"/>
    <n v="6709.77"/>
    <m/>
  </r>
  <r>
    <x v="34"/>
    <x v="3"/>
    <n v="2020"/>
    <n v="6"/>
    <s v="Jun"/>
    <x v="16"/>
    <n v="32"/>
    <x v="1"/>
    <n v="506.93"/>
    <n v="746.15"/>
    <n v="246.57"/>
    <n v="30.29"/>
    <n v="1499.65"/>
    <n v="1529.94"/>
    <m/>
  </r>
  <r>
    <x v="34"/>
    <x v="3"/>
    <n v="2020"/>
    <n v="6"/>
    <s v="Jun"/>
    <x v="35"/>
    <n v="37"/>
    <x v="0"/>
    <n v="2.67"/>
    <n v="3.29"/>
    <n v="0.71"/>
    <n v="0.79"/>
    <n v="6.67"/>
    <n v="7.46"/>
    <m/>
  </r>
  <r>
    <x v="34"/>
    <x v="3"/>
    <n v="2020"/>
    <n v="6"/>
    <s v="Jun"/>
    <x v="17"/>
    <n v="31"/>
    <x v="0"/>
    <n v="0.36"/>
    <n v="0.63"/>
    <n v="0.03"/>
    <n v="0"/>
    <n v="1.02"/>
    <n v="1.02"/>
    <m/>
  </r>
  <r>
    <x v="34"/>
    <x v="3"/>
    <n v="2020"/>
    <n v="6"/>
    <s v="Jun"/>
    <x v="18"/>
    <n v="23"/>
    <x v="1"/>
    <n v="596.53"/>
    <n v="762.02"/>
    <n v="617.27"/>
    <n v="765.81"/>
    <n v="1975.82"/>
    <n v="2741.63"/>
    <m/>
  </r>
  <r>
    <x v="34"/>
    <x v="3"/>
    <n v="2020"/>
    <n v="6"/>
    <s v="Jun"/>
    <x v="19"/>
    <n v="27"/>
    <x v="1"/>
    <n v="4269.6400000000003"/>
    <n v="4924.05"/>
    <n v="5250.02"/>
    <n v="543.19000000000005"/>
    <n v="14443.71"/>
    <n v="14986.9"/>
    <m/>
  </r>
  <r>
    <x v="34"/>
    <x v="3"/>
    <n v="2020"/>
    <n v="6"/>
    <s v="Jun"/>
    <x v="20"/>
    <n v="14"/>
    <x v="1"/>
    <n v="10.45"/>
    <n v="16.13"/>
    <n v="2.2200000000000002"/>
    <n v="0.08"/>
    <n v="28.8"/>
    <n v="28.88"/>
    <m/>
  </r>
  <r>
    <x v="34"/>
    <x v="3"/>
    <n v="2020"/>
    <n v="6"/>
    <s v="Jun"/>
    <x v="21"/>
    <n v="17"/>
    <x v="1"/>
    <n v="15.57"/>
    <n v="20.84"/>
    <n v="79.23"/>
    <n v="0.31"/>
    <n v="115.64"/>
    <n v="115.95"/>
    <m/>
  </r>
  <r>
    <x v="34"/>
    <x v="3"/>
    <n v="2020"/>
    <n v="6"/>
    <s v="Jun"/>
    <x v="22"/>
    <n v="15"/>
    <x v="1"/>
    <n v="7.42"/>
    <n v="11.85"/>
    <n v="4.82"/>
    <n v="0.11"/>
    <n v="24.09"/>
    <n v="24.2"/>
    <m/>
  </r>
  <r>
    <x v="34"/>
    <x v="3"/>
    <n v="2020"/>
    <n v="6"/>
    <s v="Jun"/>
    <x v="23"/>
    <n v="13"/>
    <x v="1"/>
    <n v="11.12"/>
    <n v="16.920000000000002"/>
    <n v="4.0999999999999996"/>
    <n v="0.27"/>
    <n v="32.14"/>
    <n v="32.409999999999997"/>
    <m/>
  </r>
  <r>
    <x v="34"/>
    <x v="3"/>
    <n v="2020"/>
    <n v="6"/>
    <s v="Jun"/>
    <x v="24"/>
    <n v="21"/>
    <x v="1"/>
    <n v="574.01"/>
    <n v="759.17"/>
    <n v="452.09"/>
    <n v="908.48"/>
    <n v="1785.27"/>
    <n v="2693.75"/>
    <m/>
  </r>
  <r>
    <x v="34"/>
    <x v="3"/>
    <n v="2020"/>
    <n v="6"/>
    <s v="Jun"/>
    <x v="25"/>
    <n v="34"/>
    <x v="0"/>
    <n v="18.100000000000001"/>
    <n v="28.51"/>
    <n v="93.72"/>
    <n v="0.25"/>
    <n v="140.33000000000001"/>
    <n v="140.58000000000001"/>
    <m/>
  </r>
  <r>
    <x v="34"/>
    <x v="3"/>
    <n v="2020"/>
    <n v="6"/>
    <s v="Jun"/>
    <x v="26"/>
    <n v="3"/>
    <x v="1"/>
    <n v="358.69"/>
    <n v="508.07"/>
    <n v="429.31"/>
    <n v="27.32"/>
    <n v="1296.07"/>
    <n v="1323.39"/>
    <m/>
  </r>
  <r>
    <x v="34"/>
    <x v="3"/>
    <n v="2020"/>
    <n v="6"/>
    <s v="Jun"/>
    <x v="27"/>
    <n v="8"/>
    <x v="1"/>
    <n v="798.07"/>
    <n v="1037.01"/>
    <n v="826.39"/>
    <n v="112.64"/>
    <n v="2661.47"/>
    <n v="2774.11"/>
    <m/>
  </r>
  <r>
    <x v="34"/>
    <x v="3"/>
    <n v="2020"/>
    <n v="6"/>
    <s v="Jun"/>
    <x v="28"/>
    <n v="11"/>
    <x v="1"/>
    <n v="11.98"/>
    <n v="17.37"/>
    <n v="316.19"/>
    <n v="0.01"/>
    <n v="345.54"/>
    <n v="345.55"/>
    <m/>
  </r>
  <r>
    <x v="34"/>
    <x v="3"/>
    <n v="2020"/>
    <n v="6"/>
    <s v="Jun"/>
    <x v="29"/>
    <n v="33"/>
    <x v="1"/>
    <n v="1347.16"/>
    <n v="1723.18"/>
    <n v="1607.53"/>
    <n v="297.64"/>
    <n v="4677.87"/>
    <n v="4975.51"/>
    <m/>
  </r>
  <r>
    <x v="34"/>
    <x v="3"/>
    <n v="2020"/>
    <n v="6"/>
    <s v="Jun"/>
    <x v="30"/>
    <n v="36"/>
    <x v="1"/>
    <n v="813.51"/>
    <n v="1073.58"/>
    <n v="899.09"/>
    <n v="489.99"/>
    <n v="2786.18"/>
    <n v="3276.17"/>
    <m/>
  </r>
  <r>
    <x v="34"/>
    <x v="3"/>
    <n v="2020"/>
    <n v="6"/>
    <s v="Jun"/>
    <x v="31"/>
    <n v="16"/>
    <x v="1"/>
    <n v="22.52"/>
    <n v="35.85"/>
    <n v="5.47"/>
    <n v="0.7"/>
    <n v="63.84"/>
    <n v="64.540000000000006"/>
    <m/>
  </r>
  <r>
    <x v="34"/>
    <x v="3"/>
    <n v="2020"/>
    <n v="6"/>
    <s v="Jun"/>
    <x v="32"/>
    <n v="9"/>
    <x v="1"/>
    <n v="1251.9000000000001"/>
    <n v="1775.87"/>
    <n v="1277.69"/>
    <n v="888.12"/>
    <n v="4305.46"/>
    <n v="5193.58"/>
    <m/>
  </r>
  <r>
    <x v="34"/>
    <x v="3"/>
    <n v="2020"/>
    <n v="6"/>
    <s v="Jun"/>
    <x v="33"/>
    <n v="5"/>
    <x v="1"/>
    <n v="184.09"/>
    <n v="238.62"/>
    <n v="469.81"/>
    <n v="2.42"/>
    <n v="892.52"/>
    <n v="894.94"/>
    <m/>
  </r>
  <r>
    <x v="34"/>
    <x v="3"/>
    <n v="2020"/>
    <n v="6"/>
    <s v="Jun"/>
    <x v="34"/>
    <n v="19"/>
    <x v="1"/>
    <n v="858.86"/>
    <n v="1102.1500000000001"/>
    <n v="834.58"/>
    <n v="332.79"/>
    <n v="2795.59"/>
    <n v="3128.38"/>
    <m/>
  </r>
  <r>
    <x v="35"/>
    <x v="3"/>
    <n v="2020"/>
    <n v="7"/>
    <s v="Jul"/>
    <x v="0"/>
    <n v="35"/>
    <x v="0"/>
    <n v="6.42"/>
    <n v="8.82"/>
    <n v="2.27"/>
    <n v="0.02"/>
    <n v="17.510000000000002"/>
    <n v="17.53"/>
    <m/>
  </r>
  <r>
    <x v="35"/>
    <x v="3"/>
    <n v="2020"/>
    <n v="7"/>
    <s v="Jul"/>
    <x v="1"/>
    <n v="28"/>
    <x v="1"/>
    <n v="546.47"/>
    <n v="755.24"/>
    <n v="701.47"/>
    <n v="135.03"/>
    <n v="2003.18"/>
    <n v="2138.21"/>
    <m/>
  </r>
  <r>
    <x v="35"/>
    <x v="3"/>
    <n v="2020"/>
    <n v="7"/>
    <s v="Jul"/>
    <x v="2"/>
    <n v="12"/>
    <x v="1"/>
    <n v="12.32"/>
    <n v="17.12"/>
    <n v="3.36"/>
    <n v="7.0000000000000007E-2"/>
    <n v="32.799999999999997"/>
    <n v="32.869999999999997"/>
    <m/>
  </r>
  <r>
    <x v="35"/>
    <x v="3"/>
    <n v="2020"/>
    <n v="7"/>
    <s v="Jul"/>
    <x v="3"/>
    <n v="18"/>
    <x v="1"/>
    <n v="200.86"/>
    <n v="270.63"/>
    <n v="231.3"/>
    <n v="20.03"/>
    <n v="702.79"/>
    <n v="722.82"/>
    <m/>
  </r>
  <r>
    <x v="35"/>
    <x v="3"/>
    <n v="2020"/>
    <n v="7"/>
    <s v="Jul"/>
    <x v="4"/>
    <n v="10"/>
    <x v="1"/>
    <n v="297"/>
    <n v="467.13"/>
    <n v="107.17"/>
    <n v="189.51"/>
    <n v="871.3"/>
    <n v="1060.81"/>
    <m/>
  </r>
  <r>
    <x v="35"/>
    <x v="3"/>
    <n v="2020"/>
    <n v="7"/>
    <s v="Jul"/>
    <x v="5"/>
    <n v="4"/>
    <x v="0"/>
    <n v="25.66"/>
    <n v="36.67"/>
    <n v="73.989999999999995"/>
    <n v="1.01"/>
    <n v="136.32"/>
    <n v="137.33000000000001"/>
    <m/>
  </r>
  <r>
    <x v="35"/>
    <x v="3"/>
    <n v="2020"/>
    <n v="7"/>
    <s v="Jul"/>
    <x v="6"/>
    <n v="22"/>
    <x v="1"/>
    <n v="375.37"/>
    <n v="456.29"/>
    <n v="561.92999999999995"/>
    <n v="438.73"/>
    <n v="1393.59"/>
    <n v="1832.32"/>
    <m/>
  </r>
  <r>
    <x v="35"/>
    <x v="3"/>
    <n v="2020"/>
    <n v="7"/>
    <s v="Jul"/>
    <x v="7"/>
    <n v="38"/>
    <x v="0"/>
    <n v="20.92"/>
    <n v="29.1"/>
    <n v="156.69999999999999"/>
    <n v="0.23"/>
    <n v="206.72"/>
    <n v="206.95"/>
    <m/>
  </r>
  <r>
    <x v="35"/>
    <x v="3"/>
    <n v="2020"/>
    <n v="7"/>
    <s v="Jul"/>
    <x v="8"/>
    <n v="7"/>
    <x v="0"/>
    <n v="521.96"/>
    <n v="653.16999999999996"/>
    <n v="1375.09"/>
    <n v="78.56"/>
    <n v="2550.2199999999998"/>
    <n v="2628.78"/>
    <m/>
  </r>
  <r>
    <x v="35"/>
    <x v="3"/>
    <n v="2020"/>
    <n v="7"/>
    <s v="Jul"/>
    <x v="9"/>
    <n v="30"/>
    <x v="1"/>
    <n v="60.14"/>
    <n v="80.709999999999994"/>
    <n v="114.89"/>
    <n v="1.04"/>
    <n v="255.74"/>
    <n v="256.77999999999997"/>
    <m/>
  </r>
  <r>
    <x v="35"/>
    <x v="3"/>
    <n v="2020"/>
    <n v="7"/>
    <s v="Jul"/>
    <x v="10"/>
    <n v="24"/>
    <x v="1"/>
    <n v="1560.85"/>
    <n v="1888.71"/>
    <n v="1689.87"/>
    <n v="481.27"/>
    <n v="5139.43"/>
    <n v="5620.7"/>
    <m/>
  </r>
  <r>
    <x v="35"/>
    <x v="3"/>
    <n v="2020"/>
    <n v="7"/>
    <s v="Jul"/>
    <x v="11"/>
    <n v="6"/>
    <x v="1"/>
    <n v="610.65"/>
    <n v="804.29"/>
    <n v="1854.43"/>
    <n v="213.67"/>
    <n v="3269.37"/>
    <n v="3483.04"/>
    <m/>
  </r>
  <r>
    <x v="35"/>
    <x v="3"/>
    <n v="2020"/>
    <n v="7"/>
    <s v="Jul"/>
    <x v="12"/>
    <n v="2"/>
    <x v="1"/>
    <n v="101.82"/>
    <n v="147.44999999999999"/>
    <n v="354.21"/>
    <n v="1.59"/>
    <n v="603.48"/>
    <n v="605.07000000000005"/>
    <m/>
  </r>
  <r>
    <x v="35"/>
    <x v="3"/>
    <n v="2020"/>
    <n v="7"/>
    <s v="Jul"/>
    <x v="13"/>
    <n v="1"/>
    <x v="0"/>
    <n v="75.31"/>
    <n v="130.38"/>
    <n v="85.74"/>
    <n v="6.41"/>
    <n v="291.43"/>
    <n v="297.83999999999997"/>
    <m/>
  </r>
  <r>
    <x v="35"/>
    <x v="3"/>
    <n v="2020"/>
    <n v="7"/>
    <s v="Jul"/>
    <x v="14"/>
    <n v="20"/>
    <x v="1"/>
    <n v="274.12"/>
    <n v="361.54"/>
    <n v="360.85"/>
    <n v="343.07"/>
    <n v="996.51"/>
    <n v="1339.58"/>
    <m/>
  </r>
  <r>
    <x v="35"/>
    <x v="3"/>
    <n v="2020"/>
    <n v="7"/>
    <s v="Jul"/>
    <x v="15"/>
    <n v="29"/>
    <x v="1"/>
    <n v="1412.94"/>
    <n v="1841.27"/>
    <n v="2055.7800000000002"/>
    <n v="703.8"/>
    <n v="5309.99"/>
    <n v="6013.79"/>
    <m/>
  </r>
  <r>
    <x v="35"/>
    <x v="3"/>
    <n v="2020"/>
    <n v="7"/>
    <s v="Jul"/>
    <x v="16"/>
    <n v="32"/>
    <x v="1"/>
    <n v="417.07"/>
    <n v="662.03"/>
    <n v="234.77"/>
    <n v="4.41"/>
    <n v="1313.87"/>
    <n v="1318.28"/>
    <m/>
  </r>
  <r>
    <x v="35"/>
    <x v="3"/>
    <n v="2020"/>
    <n v="7"/>
    <s v="Jul"/>
    <x v="35"/>
    <n v="37"/>
    <x v="0"/>
    <n v="2.61"/>
    <n v="3.04"/>
    <n v="0.96"/>
    <n v="0.03"/>
    <n v="6.61"/>
    <n v="6.64"/>
    <m/>
  </r>
  <r>
    <x v="35"/>
    <x v="3"/>
    <n v="2020"/>
    <n v="7"/>
    <s v="Jul"/>
    <x v="17"/>
    <n v="31"/>
    <x v="0"/>
    <n v="0.78"/>
    <n v="0.86"/>
    <n v="0.02"/>
    <n v="0"/>
    <n v="1.66"/>
    <n v="1.66"/>
    <m/>
  </r>
  <r>
    <x v="35"/>
    <x v="3"/>
    <n v="2020"/>
    <n v="7"/>
    <s v="Jul"/>
    <x v="18"/>
    <n v="23"/>
    <x v="1"/>
    <n v="523.76"/>
    <n v="713.93"/>
    <n v="584.35"/>
    <n v="466.81"/>
    <n v="1822.04"/>
    <n v="2288.85"/>
    <m/>
  </r>
  <r>
    <x v="35"/>
    <x v="3"/>
    <n v="2020"/>
    <n v="7"/>
    <s v="Jul"/>
    <x v="19"/>
    <n v="27"/>
    <x v="1"/>
    <n v="3235.22"/>
    <n v="3831.92"/>
    <n v="4811.57"/>
    <n v="628.82000000000005"/>
    <n v="11878.71"/>
    <n v="12507.53"/>
    <m/>
  </r>
  <r>
    <x v="35"/>
    <x v="3"/>
    <n v="2020"/>
    <n v="7"/>
    <s v="Jul"/>
    <x v="20"/>
    <n v="14"/>
    <x v="1"/>
    <n v="9.3000000000000007"/>
    <n v="14.84"/>
    <n v="1.1599999999999999"/>
    <n v="0.02"/>
    <n v="25.3"/>
    <n v="25.32"/>
    <m/>
  </r>
  <r>
    <x v="35"/>
    <x v="3"/>
    <n v="2020"/>
    <n v="7"/>
    <s v="Jul"/>
    <x v="21"/>
    <n v="17"/>
    <x v="1"/>
    <n v="18.25"/>
    <n v="23.54"/>
    <n v="78.63"/>
    <n v="0.01"/>
    <n v="120.42"/>
    <n v="120.43"/>
    <m/>
  </r>
  <r>
    <x v="35"/>
    <x v="3"/>
    <n v="2020"/>
    <n v="7"/>
    <s v="Jul"/>
    <x v="22"/>
    <n v="15"/>
    <x v="1"/>
    <n v="5.34"/>
    <n v="9.0299999999999994"/>
    <n v="1.64"/>
    <n v="0"/>
    <n v="16.010000000000002"/>
    <n v="16.010000000000002"/>
    <m/>
  </r>
  <r>
    <x v="35"/>
    <x v="3"/>
    <n v="2020"/>
    <n v="7"/>
    <s v="Jul"/>
    <x v="23"/>
    <n v="13"/>
    <x v="1"/>
    <n v="9.34"/>
    <n v="11.98"/>
    <n v="3.6"/>
    <n v="0.41"/>
    <n v="24.92"/>
    <n v="25.33"/>
    <m/>
  </r>
  <r>
    <x v="35"/>
    <x v="3"/>
    <n v="2020"/>
    <n v="7"/>
    <s v="Jul"/>
    <x v="24"/>
    <n v="21"/>
    <x v="1"/>
    <n v="641.76"/>
    <n v="794.02"/>
    <n v="444.01"/>
    <n v="468.62"/>
    <n v="1879.79"/>
    <n v="2348.41"/>
    <m/>
  </r>
  <r>
    <x v="35"/>
    <x v="3"/>
    <n v="2020"/>
    <n v="7"/>
    <s v="Jul"/>
    <x v="25"/>
    <n v="34"/>
    <x v="0"/>
    <n v="17.55"/>
    <n v="26.91"/>
    <n v="91.45"/>
    <n v="0.42"/>
    <n v="135.91"/>
    <n v="136.33000000000001"/>
    <m/>
  </r>
  <r>
    <x v="35"/>
    <x v="3"/>
    <n v="2020"/>
    <n v="7"/>
    <s v="Jul"/>
    <x v="26"/>
    <n v="3"/>
    <x v="1"/>
    <n v="308.75"/>
    <n v="489.57"/>
    <n v="364.63"/>
    <n v="24.8"/>
    <n v="1162.95"/>
    <n v="1187.75"/>
    <m/>
  </r>
  <r>
    <x v="35"/>
    <x v="3"/>
    <n v="2020"/>
    <n v="7"/>
    <s v="Jul"/>
    <x v="27"/>
    <n v="8"/>
    <x v="1"/>
    <n v="754.19"/>
    <n v="1032.2"/>
    <n v="856.31"/>
    <n v="153.97999999999999"/>
    <n v="2642.7"/>
    <n v="2796.68"/>
    <m/>
  </r>
  <r>
    <x v="35"/>
    <x v="3"/>
    <n v="2020"/>
    <n v="7"/>
    <s v="Jul"/>
    <x v="28"/>
    <n v="11"/>
    <x v="1"/>
    <n v="13.99"/>
    <n v="17"/>
    <n v="155.41999999999999"/>
    <n v="0.02"/>
    <n v="186.41"/>
    <n v="186.43"/>
    <m/>
  </r>
  <r>
    <x v="35"/>
    <x v="3"/>
    <n v="2020"/>
    <n v="7"/>
    <s v="Jul"/>
    <x v="29"/>
    <n v="33"/>
    <x v="1"/>
    <n v="1262.3"/>
    <n v="1687.56"/>
    <n v="1379.63"/>
    <n v="305.27"/>
    <n v="4329.49"/>
    <n v="4634.76"/>
    <m/>
  </r>
  <r>
    <x v="35"/>
    <x v="3"/>
    <n v="2020"/>
    <n v="7"/>
    <s v="Jul"/>
    <x v="30"/>
    <n v="36"/>
    <x v="1"/>
    <n v="633.30999999999995"/>
    <n v="923.49"/>
    <n v="882.42"/>
    <n v="436.79"/>
    <n v="2439.2199999999998"/>
    <n v="2876.01"/>
    <m/>
  </r>
  <r>
    <x v="35"/>
    <x v="3"/>
    <n v="2020"/>
    <n v="7"/>
    <s v="Jul"/>
    <x v="31"/>
    <n v="16"/>
    <x v="1"/>
    <n v="18.77"/>
    <n v="25.23"/>
    <n v="3.94"/>
    <n v="0.05"/>
    <n v="47.94"/>
    <n v="47.99"/>
    <m/>
  </r>
  <r>
    <x v="35"/>
    <x v="3"/>
    <n v="2020"/>
    <n v="7"/>
    <s v="Jul"/>
    <x v="32"/>
    <n v="9"/>
    <x v="1"/>
    <n v="1115.5"/>
    <n v="1785.56"/>
    <n v="1131.2"/>
    <n v="1066.67"/>
    <n v="4032.26"/>
    <n v="5098.93"/>
    <m/>
  </r>
  <r>
    <x v="35"/>
    <x v="3"/>
    <n v="2020"/>
    <n v="7"/>
    <s v="Jul"/>
    <x v="33"/>
    <n v="5"/>
    <x v="1"/>
    <n v="190.62"/>
    <n v="247.03"/>
    <n v="543.15"/>
    <n v="7.01"/>
    <n v="980.8"/>
    <n v="987.81"/>
    <m/>
  </r>
  <r>
    <x v="35"/>
    <x v="3"/>
    <n v="2020"/>
    <n v="7"/>
    <s v="Jul"/>
    <x v="34"/>
    <n v="19"/>
    <x v="1"/>
    <n v="850.43"/>
    <n v="1151.54"/>
    <n v="727.54"/>
    <n v="280.04000000000002"/>
    <n v="2729.51"/>
    <n v="3009.55"/>
    <m/>
  </r>
  <r>
    <x v="36"/>
    <x v="3"/>
    <n v="2020"/>
    <n v="8"/>
    <s v="Aug"/>
    <x v="0"/>
    <n v="35"/>
    <x v="0"/>
    <n v="4.4400000000000004"/>
    <n v="6.96"/>
    <n v="1.1599999999999999"/>
    <n v="0.02"/>
    <n v="12.56"/>
    <n v="12.58"/>
    <m/>
  </r>
  <r>
    <x v="36"/>
    <x v="3"/>
    <n v="2020"/>
    <n v="8"/>
    <s v="Aug"/>
    <x v="1"/>
    <n v="28"/>
    <x v="1"/>
    <n v="501.87"/>
    <n v="675.12"/>
    <n v="636.28"/>
    <n v="141.75"/>
    <n v="1813.27"/>
    <n v="1955.02"/>
    <m/>
  </r>
  <r>
    <x v="36"/>
    <x v="3"/>
    <n v="2020"/>
    <n v="8"/>
    <s v="Aug"/>
    <x v="2"/>
    <n v="12"/>
    <x v="1"/>
    <n v="13.15"/>
    <n v="17.329999999999998"/>
    <n v="4.54"/>
    <n v="0.02"/>
    <n v="35.020000000000003"/>
    <n v="35.04"/>
    <m/>
  </r>
  <r>
    <x v="36"/>
    <x v="3"/>
    <n v="2020"/>
    <n v="8"/>
    <s v="Aug"/>
    <x v="3"/>
    <n v="18"/>
    <x v="1"/>
    <n v="201.16"/>
    <n v="270.35000000000002"/>
    <n v="232.11"/>
    <n v="5.35"/>
    <n v="703.62"/>
    <n v="708.97"/>
    <m/>
  </r>
  <r>
    <x v="36"/>
    <x v="3"/>
    <n v="2020"/>
    <n v="8"/>
    <s v="Aug"/>
    <x v="4"/>
    <n v="10"/>
    <x v="1"/>
    <n v="249"/>
    <n v="437"/>
    <n v="121.21"/>
    <n v="159.63"/>
    <n v="807.21"/>
    <n v="966.84"/>
    <m/>
  </r>
  <r>
    <x v="36"/>
    <x v="3"/>
    <n v="2020"/>
    <n v="8"/>
    <s v="Aug"/>
    <x v="5"/>
    <n v="4"/>
    <x v="0"/>
    <n v="26.34"/>
    <n v="36.61"/>
    <n v="74.88"/>
    <n v="0.69"/>
    <n v="137.83000000000001"/>
    <n v="138.52000000000001"/>
    <m/>
  </r>
  <r>
    <x v="36"/>
    <x v="3"/>
    <n v="2020"/>
    <n v="8"/>
    <s v="Aug"/>
    <x v="6"/>
    <n v="22"/>
    <x v="1"/>
    <n v="378.44"/>
    <n v="443.94"/>
    <n v="697.35"/>
    <n v="474.7"/>
    <n v="1519.73"/>
    <n v="1994.43"/>
    <m/>
  </r>
  <r>
    <x v="36"/>
    <x v="3"/>
    <n v="2020"/>
    <n v="8"/>
    <s v="Aug"/>
    <x v="7"/>
    <n v="38"/>
    <x v="0"/>
    <n v="21.73"/>
    <n v="27.74"/>
    <n v="166.27"/>
    <n v="0.03"/>
    <n v="215.74"/>
    <n v="215.77"/>
    <m/>
  </r>
  <r>
    <x v="36"/>
    <x v="3"/>
    <n v="2020"/>
    <n v="8"/>
    <s v="Aug"/>
    <x v="8"/>
    <n v="7"/>
    <x v="0"/>
    <n v="565.26"/>
    <n v="697.42"/>
    <n v="1535.15"/>
    <n v="82.5"/>
    <n v="2797.83"/>
    <n v="2880.33"/>
    <m/>
  </r>
  <r>
    <x v="36"/>
    <x v="3"/>
    <n v="2020"/>
    <n v="8"/>
    <s v="Aug"/>
    <x v="9"/>
    <n v="30"/>
    <x v="1"/>
    <n v="41.92"/>
    <n v="60.52"/>
    <n v="110.19"/>
    <n v="0.61"/>
    <n v="212.63"/>
    <n v="213.24"/>
    <m/>
  </r>
  <r>
    <x v="36"/>
    <x v="3"/>
    <n v="2020"/>
    <n v="8"/>
    <s v="Aug"/>
    <x v="10"/>
    <n v="24"/>
    <x v="1"/>
    <n v="1591.56"/>
    <n v="1902.64"/>
    <n v="2079.7600000000002"/>
    <n v="455.73"/>
    <n v="5573.96"/>
    <n v="6029.69"/>
    <m/>
  </r>
  <r>
    <x v="36"/>
    <x v="3"/>
    <n v="2020"/>
    <n v="8"/>
    <s v="Aug"/>
    <x v="11"/>
    <n v="6"/>
    <x v="1"/>
    <n v="678.45"/>
    <n v="942.07"/>
    <n v="2379.38"/>
    <n v="373.29"/>
    <n v="3999.9"/>
    <n v="4373.1899999999996"/>
    <m/>
  </r>
  <r>
    <x v="36"/>
    <x v="3"/>
    <n v="2020"/>
    <n v="8"/>
    <s v="Aug"/>
    <x v="12"/>
    <n v="2"/>
    <x v="1"/>
    <n v="99.84"/>
    <n v="140.79"/>
    <n v="354.85"/>
    <n v="1.19"/>
    <n v="595.48"/>
    <n v="596.66999999999996"/>
    <m/>
  </r>
  <r>
    <x v="36"/>
    <x v="3"/>
    <n v="2020"/>
    <n v="8"/>
    <s v="Aug"/>
    <x v="13"/>
    <n v="1"/>
    <x v="0"/>
    <n v="69.61"/>
    <n v="121.56"/>
    <n v="130.32"/>
    <n v="4.34"/>
    <n v="321.49"/>
    <n v="325.83"/>
    <m/>
  </r>
  <r>
    <x v="36"/>
    <x v="3"/>
    <n v="2020"/>
    <n v="8"/>
    <s v="Aug"/>
    <x v="14"/>
    <n v="20"/>
    <x v="1"/>
    <n v="278.98"/>
    <n v="360.14"/>
    <n v="514.76"/>
    <n v="344.16"/>
    <n v="1153.8800000000001"/>
    <n v="1498.04"/>
    <m/>
  </r>
  <r>
    <x v="36"/>
    <x v="3"/>
    <n v="2020"/>
    <n v="8"/>
    <s v="Aug"/>
    <x v="15"/>
    <n v="29"/>
    <x v="1"/>
    <n v="1440.66"/>
    <n v="1848.19"/>
    <n v="1717.39"/>
    <n v="495.75"/>
    <n v="5006.24"/>
    <n v="5501.99"/>
    <m/>
  </r>
  <r>
    <x v="36"/>
    <x v="3"/>
    <n v="2020"/>
    <n v="8"/>
    <s v="Aug"/>
    <x v="16"/>
    <n v="32"/>
    <x v="1"/>
    <n v="407.98"/>
    <n v="598.63"/>
    <n v="219.71"/>
    <n v="2.93"/>
    <n v="1226.32"/>
    <n v="1229.25"/>
    <m/>
  </r>
  <r>
    <x v="36"/>
    <x v="3"/>
    <n v="2020"/>
    <n v="8"/>
    <s v="Aug"/>
    <x v="35"/>
    <n v="37"/>
    <x v="0"/>
    <n v="1.53"/>
    <n v="1.99"/>
    <n v="0.82"/>
    <n v="0.24"/>
    <n v="4.34"/>
    <n v="4.58"/>
    <m/>
  </r>
  <r>
    <x v="36"/>
    <x v="3"/>
    <n v="2020"/>
    <n v="8"/>
    <s v="Aug"/>
    <x v="17"/>
    <n v="31"/>
    <x v="0"/>
    <n v="0.16"/>
    <n v="0.17"/>
    <n v="7.0000000000000007E-2"/>
    <n v="0"/>
    <n v="0.4"/>
    <n v="0.4"/>
    <m/>
  </r>
  <r>
    <x v="36"/>
    <x v="3"/>
    <n v="2020"/>
    <n v="8"/>
    <s v="Aug"/>
    <x v="18"/>
    <n v="23"/>
    <x v="1"/>
    <n v="520.69000000000005"/>
    <n v="698.85"/>
    <n v="560.57000000000005"/>
    <n v="428.73"/>
    <n v="1780.11"/>
    <n v="2208.84"/>
    <m/>
  </r>
  <r>
    <x v="36"/>
    <x v="3"/>
    <n v="2020"/>
    <n v="8"/>
    <s v="Aug"/>
    <x v="19"/>
    <n v="27"/>
    <x v="1"/>
    <n v="2993"/>
    <n v="3690.06"/>
    <n v="4197.79"/>
    <n v="720.92"/>
    <n v="10880.85"/>
    <n v="11601.77"/>
    <m/>
  </r>
  <r>
    <x v="36"/>
    <x v="3"/>
    <n v="2020"/>
    <n v="8"/>
    <s v="Aug"/>
    <x v="20"/>
    <n v="14"/>
    <x v="1"/>
    <n v="9.75"/>
    <n v="14.21"/>
    <n v="2.14"/>
    <n v="0"/>
    <n v="26.1"/>
    <n v="26.1"/>
    <m/>
  </r>
  <r>
    <x v="36"/>
    <x v="3"/>
    <n v="2020"/>
    <n v="8"/>
    <s v="Aug"/>
    <x v="21"/>
    <n v="17"/>
    <x v="1"/>
    <n v="16.46"/>
    <n v="21.38"/>
    <n v="70.209999999999994"/>
    <n v="0.13"/>
    <n v="108.05"/>
    <n v="108.18"/>
    <m/>
  </r>
  <r>
    <x v="36"/>
    <x v="3"/>
    <n v="2020"/>
    <n v="8"/>
    <s v="Aug"/>
    <x v="22"/>
    <n v="15"/>
    <x v="1"/>
    <n v="3.94"/>
    <n v="6.74"/>
    <n v="1.44"/>
    <n v="0.02"/>
    <n v="12.12"/>
    <n v="12.14"/>
    <m/>
  </r>
  <r>
    <x v="36"/>
    <x v="3"/>
    <n v="2020"/>
    <n v="8"/>
    <s v="Aug"/>
    <x v="23"/>
    <n v="13"/>
    <x v="1"/>
    <n v="12.14"/>
    <n v="15.66"/>
    <n v="3.24"/>
    <n v="0.32"/>
    <n v="31.04"/>
    <n v="31.36"/>
    <m/>
  </r>
  <r>
    <x v="36"/>
    <x v="3"/>
    <n v="2020"/>
    <n v="8"/>
    <s v="Aug"/>
    <x v="24"/>
    <n v="21"/>
    <x v="1"/>
    <n v="538.91"/>
    <n v="686.15"/>
    <n v="630.14"/>
    <n v="493.08"/>
    <n v="1855.2"/>
    <n v="2348.2800000000002"/>
    <m/>
  </r>
  <r>
    <x v="36"/>
    <x v="3"/>
    <n v="2020"/>
    <n v="8"/>
    <s v="Aug"/>
    <x v="25"/>
    <n v="34"/>
    <x v="0"/>
    <n v="15.9"/>
    <n v="24.73"/>
    <n v="95.98"/>
    <n v="0.18"/>
    <n v="136.61000000000001"/>
    <n v="136.79"/>
    <m/>
  </r>
  <r>
    <x v="36"/>
    <x v="3"/>
    <n v="2020"/>
    <n v="8"/>
    <s v="Aug"/>
    <x v="26"/>
    <n v="3"/>
    <x v="1"/>
    <n v="277.24"/>
    <n v="457.08"/>
    <n v="385.9"/>
    <n v="18.28"/>
    <n v="1120.22"/>
    <n v="1138.5"/>
    <m/>
  </r>
  <r>
    <x v="36"/>
    <x v="3"/>
    <n v="2020"/>
    <n v="8"/>
    <s v="Aug"/>
    <x v="27"/>
    <n v="8"/>
    <x v="1"/>
    <n v="693.36"/>
    <n v="951.07"/>
    <n v="836.95"/>
    <n v="100.6"/>
    <n v="2481.38"/>
    <n v="2581.98"/>
    <m/>
  </r>
  <r>
    <x v="36"/>
    <x v="3"/>
    <n v="2020"/>
    <n v="8"/>
    <s v="Aug"/>
    <x v="28"/>
    <n v="11"/>
    <x v="1"/>
    <n v="11"/>
    <n v="12.96"/>
    <n v="123.23"/>
    <n v="0.01"/>
    <n v="147.19"/>
    <n v="147.19999999999999"/>
    <m/>
  </r>
  <r>
    <x v="36"/>
    <x v="3"/>
    <n v="2020"/>
    <n v="8"/>
    <s v="Aug"/>
    <x v="29"/>
    <n v="33"/>
    <x v="1"/>
    <n v="1381.18"/>
    <n v="1868.69"/>
    <n v="1534.78"/>
    <n v="458.82"/>
    <n v="4784.6499999999996"/>
    <n v="5243.47"/>
    <m/>
  </r>
  <r>
    <x v="36"/>
    <x v="3"/>
    <n v="2020"/>
    <n v="8"/>
    <s v="Aug"/>
    <x v="30"/>
    <n v="36"/>
    <x v="1"/>
    <n v="660.91"/>
    <n v="904.44"/>
    <n v="792.54"/>
    <n v="435.01"/>
    <n v="2357.89"/>
    <n v="2792.9"/>
    <m/>
  </r>
  <r>
    <x v="36"/>
    <x v="3"/>
    <n v="2020"/>
    <n v="8"/>
    <s v="Aug"/>
    <x v="31"/>
    <n v="16"/>
    <x v="1"/>
    <n v="15.8"/>
    <n v="22.07"/>
    <n v="5.16"/>
    <n v="0.11"/>
    <n v="43.03"/>
    <n v="43.14"/>
    <m/>
  </r>
  <r>
    <x v="36"/>
    <x v="3"/>
    <n v="2020"/>
    <n v="8"/>
    <s v="Aug"/>
    <x v="32"/>
    <n v="9"/>
    <x v="1"/>
    <n v="1076.44"/>
    <n v="1659.68"/>
    <n v="1265.02"/>
    <n v="1096.4100000000001"/>
    <n v="4001.14"/>
    <n v="5097.55"/>
    <m/>
  </r>
  <r>
    <x v="36"/>
    <x v="3"/>
    <n v="2020"/>
    <n v="8"/>
    <s v="Aug"/>
    <x v="33"/>
    <n v="5"/>
    <x v="1"/>
    <n v="184.6"/>
    <n v="249.44"/>
    <n v="564.19000000000005"/>
    <n v="7.52"/>
    <n v="998.23"/>
    <n v="1005.75"/>
    <m/>
  </r>
  <r>
    <x v="36"/>
    <x v="3"/>
    <n v="2020"/>
    <n v="8"/>
    <s v="Aug"/>
    <x v="34"/>
    <n v="19"/>
    <x v="1"/>
    <n v="896.77"/>
    <n v="1162.76"/>
    <n v="754.09"/>
    <n v="239.32"/>
    <n v="2813.62"/>
    <n v="3052.94"/>
    <m/>
  </r>
  <r>
    <x v="37"/>
    <x v="3"/>
    <n v="2020"/>
    <n v="9"/>
    <s v="Sep"/>
    <x v="0"/>
    <n v="35"/>
    <x v="0"/>
    <n v="6.86"/>
    <n v="9.27"/>
    <n v="2.91"/>
    <n v="0.02"/>
    <n v="19.04"/>
    <n v="19.059999999999999"/>
    <m/>
  </r>
  <r>
    <x v="37"/>
    <x v="3"/>
    <n v="2020"/>
    <n v="9"/>
    <s v="Sep"/>
    <x v="1"/>
    <n v="28"/>
    <x v="1"/>
    <n v="533.13"/>
    <n v="724.76"/>
    <n v="700.35"/>
    <n v="182.41"/>
    <n v="1958.24"/>
    <n v="2140.65"/>
    <m/>
  </r>
  <r>
    <x v="37"/>
    <x v="3"/>
    <n v="2020"/>
    <n v="9"/>
    <s v="Sep"/>
    <x v="2"/>
    <n v="12"/>
    <x v="1"/>
    <n v="12.68"/>
    <n v="17.47"/>
    <n v="5.26"/>
    <n v="0.01"/>
    <n v="35.409999999999997"/>
    <n v="35.42"/>
    <m/>
  </r>
  <r>
    <x v="37"/>
    <x v="3"/>
    <n v="2020"/>
    <n v="9"/>
    <s v="Sep"/>
    <x v="3"/>
    <n v="18"/>
    <x v="1"/>
    <n v="275.37"/>
    <n v="362.1"/>
    <n v="257.69"/>
    <n v="17.260000000000002"/>
    <n v="895.16"/>
    <n v="912.42"/>
    <m/>
  </r>
  <r>
    <x v="37"/>
    <x v="3"/>
    <n v="2020"/>
    <n v="9"/>
    <s v="Sep"/>
    <x v="4"/>
    <n v="10"/>
    <x v="1"/>
    <n v="263.48"/>
    <n v="458.23"/>
    <n v="114.14"/>
    <n v="159.91"/>
    <n v="835.85"/>
    <n v="995.76"/>
    <m/>
  </r>
  <r>
    <x v="37"/>
    <x v="3"/>
    <n v="2020"/>
    <n v="9"/>
    <s v="Sep"/>
    <x v="5"/>
    <n v="4"/>
    <x v="0"/>
    <n v="25.99"/>
    <n v="33.18"/>
    <n v="81.77"/>
    <n v="0.54"/>
    <n v="140.94"/>
    <n v="141.47999999999999"/>
    <m/>
  </r>
  <r>
    <x v="37"/>
    <x v="3"/>
    <n v="2020"/>
    <n v="9"/>
    <s v="Sep"/>
    <x v="6"/>
    <n v="22"/>
    <x v="1"/>
    <n v="341.1"/>
    <n v="413.23"/>
    <n v="640.09"/>
    <n v="447.05"/>
    <n v="1394.42"/>
    <n v="1841.47"/>
    <m/>
  </r>
  <r>
    <x v="37"/>
    <x v="3"/>
    <n v="2020"/>
    <n v="9"/>
    <s v="Sep"/>
    <x v="7"/>
    <n v="38"/>
    <x v="0"/>
    <n v="26.7"/>
    <n v="34.44"/>
    <n v="178.53"/>
    <n v="0.22"/>
    <n v="239.67"/>
    <n v="239.89"/>
    <m/>
  </r>
  <r>
    <x v="37"/>
    <x v="3"/>
    <n v="2020"/>
    <n v="9"/>
    <s v="Sep"/>
    <x v="8"/>
    <n v="7"/>
    <x v="0"/>
    <n v="615.34"/>
    <n v="760.64"/>
    <n v="1703.69"/>
    <n v="65.83"/>
    <n v="3079.67"/>
    <n v="3145.5"/>
    <m/>
  </r>
  <r>
    <x v="37"/>
    <x v="3"/>
    <n v="2020"/>
    <n v="9"/>
    <s v="Sep"/>
    <x v="9"/>
    <n v="30"/>
    <x v="1"/>
    <n v="55.66"/>
    <n v="75.349999999999994"/>
    <n v="107.92"/>
    <n v="1.34"/>
    <n v="238.93"/>
    <n v="240.27"/>
    <m/>
  </r>
  <r>
    <x v="37"/>
    <x v="3"/>
    <n v="2020"/>
    <n v="9"/>
    <s v="Sep"/>
    <x v="10"/>
    <n v="24"/>
    <x v="1"/>
    <n v="1646.57"/>
    <n v="2003.99"/>
    <n v="2048.0300000000002"/>
    <n v="391.68"/>
    <n v="5698.59"/>
    <n v="6090.27"/>
    <m/>
  </r>
  <r>
    <x v="37"/>
    <x v="3"/>
    <n v="2020"/>
    <n v="9"/>
    <s v="Sep"/>
    <x v="11"/>
    <n v="6"/>
    <x v="1"/>
    <n v="740.4"/>
    <n v="1048.1300000000001"/>
    <n v="2562.79"/>
    <n v="360.59"/>
    <n v="4351.32"/>
    <n v="4711.91"/>
    <m/>
  </r>
  <r>
    <x v="37"/>
    <x v="3"/>
    <n v="2020"/>
    <n v="9"/>
    <s v="Sep"/>
    <x v="12"/>
    <n v="2"/>
    <x v="1"/>
    <n v="104.81"/>
    <n v="151.80000000000001"/>
    <n v="396.03"/>
    <n v="0.72"/>
    <n v="652.64"/>
    <n v="653.36"/>
    <m/>
  </r>
  <r>
    <x v="37"/>
    <x v="3"/>
    <n v="2020"/>
    <n v="9"/>
    <s v="Sep"/>
    <x v="13"/>
    <n v="1"/>
    <x v="0"/>
    <n v="82.69"/>
    <n v="143.84"/>
    <n v="135.30000000000001"/>
    <n v="5.73"/>
    <n v="361.83"/>
    <n v="367.56"/>
    <m/>
  </r>
  <r>
    <x v="37"/>
    <x v="3"/>
    <n v="2020"/>
    <n v="9"/>
    <s v="Sep"/>
    <x v="14"/>
    <n v="20"/>
    <x v="1"/>
    <n v="286.36"/>
    <n v="366.89"/>
    <n v="624.66999999999996"/>
    <n v="377.64"/>
    <n v="1277.92"/>
    <n v="1655.56"/>
    <m/>
  </r>
  <r>
    <x v="37"/>
    <x v="3"/>
    <n v="2020"/>
    <n v="9"/>
    <s v="Sep"/>
    <x v="15"/>
    <n v="29"/>
    <x v="1"/>
    <n v="1548.22"/>
    <n v="1989.73"/>
    <n v="1974.56"/>
    <n v="537.91999999999996"/>
    <n v="5512.51"/>
    <n v="6050.43"/>
    <m/>
  </r>
  <r>
    <x v="37"/>
    <x v="3"/>
    <n v="2020"/>
    <n v="9"/>
    <s v="Sep"/>
    <x v="16"/>
    <n v="32"/>
    <x v="1"/>
    <n v="520.45000000000005"/>
    <n v="778.08"/>
    <n v="249.44"/>
    <n v="4.0999999999999996"/>
    <n v="1547.97"/>
    <n v="1552.07"/>
    <m/>
  </r>
  <r>
    <x v="37"/>
    <x v="3"/>
    <n v="2020"/>
    <n v="9"/>
    <s v="Sep"/>
    <x v="35"/>
    <n v="37"/>
    <x v="0"/>
    <n v="3.14"/>
    <n v="4.29"/>
    <n v="1.99"/>
    <n v="0.03"/>
    <n v="9.42"/>
    <n v="9.4499999999999993"/>
    <m/>
  </r>
  <r>
    <x v="37"/>
    <x v="3"/>
    <n v="2020"/>
    <n v="9"/>
    <s v="Sep"/>
    <x v="17"/>
    <n v="31"/>
    <x v="0"/>
    <n v="0.19"/>
    <n v="0.42"/>
    <n v="0.1"/>
    <n v="0"/>
    <n v="0.71"/>
    <n v="0.71"/>
    <m/>
  </r>
  <r>
    <x v="37"/>
    <x v="3"/>
    <n v="2020"/>
    <n v="9"/>
    <s v="Sep"/>
    <x v="18"/>
    <n v="23"/>
    <x v="1"/>
    <n v="484.64"/>
    <n v="639.25"/>
    <n v="598.19000000000005"/>
    <n v="454.36"/>
    <n v="1722.08"/>
    <n v="2176.44"/>
    <m/>
  </r>
  <r>
    <x v="37"/>
    <x v="3"/>
    <n v="2020"/>
    <n v="9"/>
    <s v="Sep"/>
    <x v="19"/>
    <n v="27"/>
    <x v="1"/>
    <n v="3786.63"/>
    <n v="4463.92"/>
    <n v="4699.53"/>
    <n v="596.05999999999995"/>
    <n v="12950.08"/>
    <n v="13546.14"/>
    <m/>
  </r>
  <r>
    <x v="37"/>
    <x v="3"/>
    <n v="2020"/>
    <n v="9"/>
    <s v="Sep"/>
    <x v="20"/>
    <n v="14"/>
    <x v="1"/>
    <n v="13"/>
    <n v="17.97"/>
    <n v="2.21"/>
    <n v="0.35"/>
    <n v="33.18"/>
    <n v="33.53"/>
    <m/>
  </r>
  <r>
    <x v="37"/>
    <x v="3"/>
    <n v="2020"/>
    <n v="9"/>
    <s v="Sep"/>
    <x v="21"/>
    <n v="17"/>
    <x v="1"/>
    <n v="15.47"/>
    <n v="20.49"/>
    <n v="63.65"/>
    <n v="0.04"/>
    <n v="99.61"/>
    <n v="99.65"/>
    <m/>
  </r>
  <r>
    <x v="37"/>
    <x v="3"/>
    <n v="2020"/>
    <n v="9"/>
    <s v="Sep"/>
    <x v="22"/>
    <n v="15"/>
    <x v="1"/>
    <n v="5.51"/>
    <n v="8.23"/>
    <n v="3.07"/>
    <n v="0.08"/>
    <n v="16.809999999999999"/>
    <n v="16.89"/>
    <m/>
  </r>
  <r>
    <x v="37"/>
    <x v="3"/>
    <n v="2020"/>
    <n v="9"/>
    <s v="Sep"/>
    <x v="23"/>
    <n v="13"/>
    <x v="1"/>
    <n v="11.43"/>
    <n v="13.82"/>
    <n v="4.01"/>
    <n v="0.19"/>
    <n v="29.26"/>
    <n v="29.45"/>
    <m/>
  </r>
  <r>
    <x v="37"/>
    <x v="3"/>
    <n v="2020"/>
    <n v="9"/>
    <s v="Sep"/>
    <x v="24"/>
    <n v="21"/>
    <x v="1"/>
    <n v="497.18"/>
    <n v="631.08000000000004"/>
    <n v="763.24"/>
    <n v="492.49"/>
    <n v="1891.5"/>
    <n v="2383.9899999999998"/>
    <m/>
  </r>
  <r>
    <x v="37"/>
    <x v="3"/>
    <n v="2020"/>
    <n v="9"/>
    <s v="Sep"/>
    <x v="25"/>
    <n v="34"/>
    <x v="0"/>
    <n v="20.81"/>
    <n v="33.92"/>
    <n v="93.49"/>
    <n v="7.0000000000000007E-2"/>
    <n v="148.22"/>
    <n v="148.29"/>
    <m/>
  </r>
  <r>
    <x v="37"/>
    <x v="3"/>
    <n v="2020"/>
    <n v="9"/>
    <s v="Sep"/>
    <x v="26"/>
    <n v="3"/>
    <x v="1"/>
    <n v="287.83"/>
    <n v="483.73"/>
    <n v="408.81"/>
    <n v="14.12"/>
    <n v="1180.3699999999999"/>
    <n v="1194.49"/>
    <m/>
  </r>
  <r>
    <x v="37"/>
    <x v="3"/>
    <n v="2020"/>
    <n v="9"/>
    <s v="Sep"/>
    <x v="27"/>
    <n v="8"/>
    <x v="1"/>
    <n v="702.76"/>
    <n v="934.71"/>
    <n v="900.08"/>
    <n v="109.26"/>
    <n v="2537.5500000000002"/>
    <n v="2646.81"/>
    <m/>
  </r>
  <r>
    <x v="37"/>
    <x v="3"/>
    <n v="2020"/>
    <n v="9"/>
    <s v="Sep"/>
    <x v="28"/>
    <n v="11"/>
    <x v="1"/>
    <n v="10.83"/>
    <n v="14.53"/>
    <n v="81.02"/>
    <n v="0.01"/>
    <n v="106.38"/>
    <n v="106.39"/>
    <m/>
  </r>
  <r>
    <x v="37"/>
    <x v="3"/>
    <n v="2020"/>
    <n v="9"/>
    <s v="Sep"/>
    <x v="29"/>
    <n v="33"/>
    <x v="1"/>
    <n v="1709.96"/>
    <n v="2230.39"/>
    <n v="2004.02"/>
    <n v="509.65"/>
    <n v="5944.37"/>
    <n v="6454.02"/>
    <m/>
  </r>
  <r>
    <x v="37"/>
    <x v="3"/>
    <n v="2020"/>
    <n v="9"/>
    <s v="Sep"/>
    <x v="30"/>
    <n v="36"/>
    <x v="1"/>
    <n v="678.14"/>
    <n v="919.81"/>
    <n v="801.48"/>
    <n v="397.06"/>
    <n v="2399.4299999999998"/>
    <n v="2796.49"/>
    <m/>
  </r>
  <r>
    <x v="37"/>
    <x v="3"/>
    <n v="2020"/>
    <n v="9"/>
    <s v="Sep"/>
    <x v="31"/>
    <n v="16"/>
    <x v="1"/>
    <n v="18.559999999999999"/>
    <n v="26.33"/>
    <n v="5.37"/>
    <n v="0.12"/>
    <n v="50.26"/>
    <n v="50.38"/>
    <m/>
  </r>
  <r>
    <x v="37"/>
    <x v="3"/>
    <n v="2020"/>
    <n v="9"/>
    <s v="Sep"/>
    <x v="32"/>
    <n v="9"/>
    <x v="1"/>
    <n v="1143.83"/>
    <n v="1700.43"/>
    <n v="1284.27"/>
    <n v="946.32"/>
    <n v="4128.53"/>
    <n v="5074.8500000000004"/>
    <m/>
  </r>
  <r>
    <x v="37"/>
    <x v="3"/>
    <n v="2020"/>
    <n v="9"/>
    <s v="Sep"/>
    <x v="33"/>
    <n v="5"/>
    <x v="1"/>
    <n v="205.63"/>
    <n v="276.95"/>
    <n v="572.42999999999995"/>
    <n v="9.73"/>
    <n v="1055.01"/>
    <n v="1064.74"/>
    <m/>
  </r>
  <r>
    <x v="37"/>
    <x v="3"/>
    <n v="2020"/>
    <n v="9"/>
    <s v="Sep"/>
    <x v="34"/>
    <n v="19"/>
    <x v="1"/>
    <n v="1046"/>
    <n v="1325.71"/>
    <n v="768.96"/>
    <n v="252.6"/>
    <n v="3140.67"/>
    <n v="3393.27"/>
    <m/>
  </r>
  <r>
    <x v="38"/>
    <x v="3"/>
    <n v="2020"/>
    <n v="10"/>
    <s v="Oct"/>
    <x v="0"/>
    <n v="35"/>
    <x v="0"/>
    <n v="6.16"/>
    <n v="10.28"/>
    <n v="1.96"/>
    <n v="0.14000000000000001"/>
    <n v="18.399999999999999"/>
    <n v="18.54"/>
    <m/>
  </r>
  <r>
    <x v="38"/>
    <x v="3"/>
    <n v="2020"/>
    <n v="10"/>
    <s v="Oct"/>
    <x v="1"/>
    <n v="28"/>
    <x v="1"/>
    <n v="573.54"/>
    <n v="805.42"/>
    <n v="832.63"/>
    <n v="268.77999999999997"/>
    <n v="2211.59"/>
    <n v="2480.37"/>
    <m/>
  </r>
  <r>
    <x v="38"/>
    <x v="3"/>
    <n v="2020"/>
    <n v="10"/>
    <s v="Oct"/>
    <x v="2"/>
    <n v="12"/>
    <x v="1"/>
    <n v="39.35"/>
    <n v="50.35"/>
    <n v="7.42"/>
    <n v="0.46"/>
    <n v="97.12"/>
    <n v="97.58"/>
    <m/>
  </r>
  <r>
    <x v="38"/>
    <x v="3"/>
    <n v="2020"/>
    <n v="10"/>
    <s v="Oct"/>
    <x v="3"/>
    <n v="18"/>
    <x v="1"/>
    <n v="302.64"/>
    <n v="410.39"/>
    <n v="290.72000000000003"/>
    <n v="12.9"/>
    <n v="1003.75"/>
    <n v="1016.65"/>
    <m/>
  </r>
  <r>
    <x v="38"/>
    <x v="3"/>
    <n v="2020"/>
    <n v="10"/>
    <s v="Oct"/>
    <x v="4"/>
    <n v="10"/>
    <x v="1"/>
    <n v="277.08"/>
    <n v="478.33"/>
    <n v="119.12"/>
    <n v="135.93"/>
    <n v="874.53"/>
    <n v="1010.46"/>
    <m/>
  </r>
  <r>
    <x v="38"/>
    <x v="3"/>
    <n v="2020"/>
    <n v="10"/>
    <s v="Oct"/>
    <x v="5"/>
    <n v="4"/>
    <x v="0"/>
    <n v="26.27"/>
    <n v="34.380000000000003"/>
    <n v="90.63"/>
    <n v="0.7"/>
    <n v="151.28"/>
    <n v="151.97999999999999"/>
    <m/>
  </r>
  <r>
    <x v="38"/>
    <x v="3"/>
    <n v="2020"/>
    <n v="10"/>
    <s v="Oct"/>
    <x v="6"/>
    <n v="22"/>
    <x v="1"/>
    <n v="383.31"/>
    <n v="450.12"/>
    <n v="698.7"/>
    <n v="441.84"/>
    <n v="1532.13"/>
    <n v="1973.97"/>
    <m/>
  </r>
  <r>
    <x v="38"/>
    <x v="3"/>
    <n v="2020"/>
    <n v="10"/>
    <s v="Oct"/>
    <x v="7"/>
    <n v="38"/>
    <x v="0"/>
    <n v="31.5"/>
    <n v="38.54"/>
    <n v="220.09"/>
    <n v="0.23"/>
    <n v="290.13"/>
    <n v="290.36"/>
    <m/>
  </r>
  <r>
    <x v="38"/>
    <x v="3"/>
    <n v="2020"/>
    <n v="10"/>
    <s v="Oct"/>
    <x v="8"/>
    <n v="7"/>
    <x v="0"/>
    <n v="637.64"/>
    <n v="813.35"/>
    <n v="1682.96"/>
    <n v="76.8"/>
    <n v="3133.95"/>
    <n v="3210.75"/>
    <m/>
  </r>
  <r>
    <x v="38"/>
    <x v="3"/>
    <n v="2020"/>
    <n v="10"/>
    <s v="Oct"/>
    <x v="9"/>
    <n v="30"/>
    <x v="1"/>
    <n v="59.7"/>
    <n v="84.46"/>
    <n v="164.53"/>
    <n v="0.97"/>
    <n v="308.69"/>
    <n v="309.66000000000003"/>
    <m/>
  </r>
  <r>
    <x v="38"/>
    <x v="3"/>
    <n v="2020"/>
    <n v="10"/>
    <s v="Oct"/>
    <x v="10"/>
    <n v="24"/>
    <x v="1"/>
    <n v="1752.86"/>
    <n v="2230.71"/>
    <n v="2403.16"/>
    <n v="399.8"/>
    <n v="6386.73"/>
    <n v="6786.53"/>
    <m/>
  </r>
  <r>
    <x v="38"/>
    <x v="3"/>
    <n v="2020"/>
    <n v="10"/>
    <s v="Oct"/>
    <x v="11"/>
    <n v="6"/>
    <x v="1"/>
    <n v="866.43"/>
    <n v="1195.94"/>
    <n v="2974.29"/>
    <n v="396.6"/>
    <n v="5036.66"/>
    <n v="5433.26"/>
    <m/>
  </r>
  <r>
    <x v="38"/>
    <x v="3"/>
    <n v="2020"/>
    <n v="10"/>
    <s v="Oct"/>
    <x v="12"/>
    <n v="2"/>
    <x v="1"/>
    <n v="113.59"/>
    <n v="163.03"/>
    <n v="413.51"/>
    <n v="0.85"/>
    <n v="690.13"/>
    <n v="690.98"/>
    <m/>
  </r>
  <r>
    <x v="38"/>
    <x v="3"/>
    <n v="2020"/>
    <n v="10"/>
    <s v="Oct"/>
    <x v="13"/>
    <n v="1"/>
    <x v="0"/>
    <n v="98.23"/>
    <n v="163.62"/>
    <n v="111.29"/>
    <n v="4"/>
    <n v="373.14"/>
    <n v="377.14"/>
    <m/>
  </r>
  <r>
    <x v="38"/>
    <x v="3"/>
    <n v="2020"/>
    <n v="10"/>
    <s v="Oct"/>
    <x v="14"/>
    <n v="20"/>
    <x v="1"/>
    <n v="312.70999999999998"/>
    <n v="415.86"/>
    <n v="646.37"/>
    <n v="396.23"/>
    <n v="1374.94"/>
    <n v="1771.17"/>
    <m/>
  </r>
  <r>
    <x v="38"/>
    <x v="3"/>
    <n v="2020"/>
    <n v="10"/>
    <s v="Oct"/>
    <x v="15"/>
    <n v="29"/>
    <x v="1"/>
    <n v="1597.37"/>
    <n v="2087.02"/>
    <n v="2549.5300000000002"/>
    <n v="764.16"/>
    <n v="6233.92"/>
    <n v="6998.08"/>
    <m/>
  </r>
  <r>
    <x v="38"/>
    <x v="3"/>
    <n v="2020"/>
    <n v="10"/>
    <s v="Oct"/>
    <x v="16"/>
    <n v="32"/>
    <x v="1"/>
    <n v="541.87"/>
    <n v="798.87"/>
    <n v="319.97000000000003"/>
    <n v="3.82"/>
    <n v="1660.71"/>
    <n v="1664.53"/>
    <m/>
  </r>
  <r>
    <x v="38"/>
    <x v="3"/>
    <n v="2020"/>
    <n v="10"/>
    <s v="Oct"/>
    <x v="35"/>
    <n v="37"/>
    <x v="0"/>
    <n v="5.64"/>
    <n v="6.91"/>
    <n v="1.96"/>
    <n v="0"/>
    <n v="14.51"/>
    <n v="14.51"/>
    <m/>
  </r>
  <r>
    <x v="38"/>
    <x v="3"/>
    <n v="2020"/>
    <n v="10"/>
    <s v="Oct"/>
    <x v="17"/>
    <n v="31"/>
    <x v="0"/>
    <n v="0.36"/>
    <n v="0.66"/>
    <n v="0.1"/>
    <n v="0"/>
    <n v="1.1200000000000001"/>
    <n v="1.1200000000000001"/>
    <m/>
  </r>
  <r>
    <x v="38"/>
    <x v="3"/>
    <n v="2020"/>
    <n v="10"/>
    <s v="Oct"/>
    <x v="18"/>
    <n v="23"/>
    <x v="1"/>
    <n v="547"/>
    <n v="754.35"/>
    <n v="642.05999999999995"/>
    <n v="459.89"/>
    <n v="1943.41"/>
    <n v="2403.3000000000002"/>
    <m/>
  </r>
  <r>
    <x v="38"/>
    <x v="3"/>
    <n v="2020"/>
    <n v="10"/>
    <s v="Oct"/>
    <x v="19"/>
    <n v="27"/>
    <x v="1"/>
    <n v="4188.9399999999996"/>
    <n v="4975.66"/>
    <n v="5808.3"/>
    <n v="825.98"/>
    <n v="14972.9"/>
    <n v="15798.88"/>
    <m/>
  </r>
  <r>
    <x v="38"/>
    <x v="3"/>
    <n v="2020"/>
    <n v="10"/>
    <s v="Oct"/>
    <x v="20"/>
    <n v="14"/>
    <x v="1"/>
    <n v="15.98"/>
    <n v="25.18"/>
    <n v="1.92"/>
    <n v="0.1"/>
    <n v="43.08"/>
    <n v="43.18"/>
    <m/>
  </r>
  <r>
    <x v="38"/>
    <x v="3"/>
    <n v="2020"/>
    <n v="10"/>
    <s v="Oct"/>
    <x v="21"/>
    <n v="17"/>
    <x v="1"/>
    <n v="21.22"/>
    <n v="28.61"/>
    <n v="67.180000000000007"/>
    <n v="0.38"/>
    <n v="117.01"/>
    <n v="117.39"/>
    <m/>
  </r>
  <r>
    <x v="38"/>
    <x v="3"/>
    <n v="2020"/>
    <n v="10"/>
    <s v="Oct"/>
    <x v="22"/>
    <n v="15"/>
    <x v="1"/>
    <n v="10.56"/>
    <n v="17.7"/>
    <n v="3.19"/>
    <n v="0.2"/>
    <n v="31.45"/>
    <n v="31.65"/>
    <m/>
  </r>
  <r>
    <x v="38"/>
    <x v="3"/>
    <n v="2020"/>
    <n v="10"/>
    <s v="Oct"/>
    <x v="23"/>
    <n v="13"/>
    <x v="1"/>
    <n v="10.58"/>
    <n v="13.16"/>
    <n v="5.58"/>
    <n v="0.18"/>
    <n v="29.32"/>
    <n v="29.5"/>
    <m/>
  </r>
  <r>
    <x v="38"/>
    <x v="3"/>
    <n v="2020"/>
    <n v="10"/>
    <s v="Oct"/>
    <x v="24"/>
    <n v="21"/>
    <x v="1"/>
    <n v="523.72"/>
    <n v="660.09"/>
    <n v="731.65"/>
    <n v="503.81"/>
    <n v="1915.46"/>
    <n v="2419.27"/>
    <m/>
  </r>
  <r>
    <x v="38"/>
    <x v="3"/>
    <n v="2020"/>
    <n v="10"/>
    <s v="Oct"/>
    <x v="25"/>
    <n v="34"/>
    <x v="0"/>
    <n v="20.12"/>
    <n v="30.96"/>
    <n v="109.66"/>
    <n v="0.21"/>
    <n v="160.74"/>
    <n v="160.94999999999999"/>
    <m/>
  </r>
  <r>
    <x v="38"/>
    <x v="3"/>
    <n v="2020"/>
    <n v="10"/>
    <s v="Oct"/>
    <x v="26"/>
    <n v="3"/>
    <x v="1"/>
    <n v="331.48"/>
    <n v="538"/>
    <n v="492.67"/>
    <n v="14.07"/>
    <n v="1362.15"/>
    <n v="1376.22"/>
    <m/>
  </r>
  <r>
    <x v="38"/>
    <x v="3"/>
    <n v="2020"/>
    <n v="10"/>
    <s v="Oct"/>
    <x v="27"/>
    <n v="8"/>
    <x v="1"/>
    <n v="739.3"/>
    <n v="1018.58"/>
    <n v="1072.1400000000001"/>
    <n v="135.5"/>
    <n v="2830.02"/>
    <n v="2965.52"/>
    <m/>
  </r>
  <r>
    <x v="38"/>
    <x v="3"/>
    <n v="2020"/>
    <n v="10"/>
    <s v="Oct"/>
    <x v="28"/>
    <n v="11"/>
    <x v="1"/>
    <n v="13.06"/>
    <n v="17.91"/>
    <n v="145.88999999999999"/>
    <n v="0.01"/>
    <n v="176.86"/>
    <n v="176.87"/>
    <m/>
  </r>
  <r>
    <x v="38"/>
    <x v="3"/>
    <n v="2020"/>
    <n v="10"/>
    <s v="Oct"/>
    <x v="29"/>
    <n v="33"/>
    <x v="1"/>
    <n v="1745.08"/>
    <n v="2402.5500000000002"/>
    <n v="2284.79"/>
    <n v="468.45"/>
    <n v="6432.42"/>
    <n v="6900.87"/>
    <m/>
  </r>
  <r>
    <x v="38"/>
    <x v="3"/>
    <n v="2020"/>
    <n v="10"/>
    <s v="Oct"/>
    <x v="30"/>
    <n v="36"/>
    <x v="1"/>
    <n v="835.94"/>
    <n v="1122.5"/>
    <n v="1001.24"/>
    <n v="423.76"/>
    <n v="2959.68"/>
    <n v="3383.44"/>
    <m/>
  </r>
  <r>
    <x v="38"/>
    <x v="3"/>
    <n v="2020"/>
    <n v="10"/>
    <s v="Oct"/>
    <x v="31"/>
    <n v="16"/>
    <x v="1"/>
    <n v="22.09"/>
    <n v="29.44"/>
    <n v="5.6"/>
    <n v="0.06"/>
    <n v="57.13"/>
    <n v="57.19"/>
    <m/>
  </r>
  <r>
    <x v="38"/>
    <x v="3"/>
    <n v="2020"/>
    <n v="10"/>
    <s v="Oct"/>
    <x v="32"/>
    <n v="9"/>
    <x v="1"/>
    <n v="1207.8699999999999"/>
    <n v="1768.77"/>
    <n v="1467"/>
    <n v="1027.8"/>
    <n v="4443.6400000000003"/>
    <n v="5471.44"/>
    <m/>
  </r>
  <r>
    <x v="38"/>
    <x v="3"/>
    <n v="2020"/>
    <n v="10"/>
    <s v="Oct"/>
    <x v="33"/>
    <n v="5"/>
    <x v="1"/>
    <n v="228.93"/>
    <n v="335.97"/>
    <n v="696.33"/>
    <n v="11.01"/>
    <n v="1261.23"/>
    <n v="1272.24"/>
    <m/>
  </r>
  <r>
    <x v="38"/>
    <x v="3"/>
    <n v="2020"/>
    <n v="10"/>
    <s v="Oct"/>
    <x v="34"/>
    <n v="19"/>
    <x v="1"/>
    <n v="1100.1500000000001"/>
    <n v="1427.98"/>
    <n v="906.28"/>
    <n v="303.26"/>
    <n v="3434.41"/>
    <n v="3737.67"/>
    <m/>
  </r>
  <r>
    <x v="39"/>
    <x v="3"/>
    <n v="2020"/>
    <n v="11"/>
    <s v="Nov"/>
    <x v="0"/>
    <n v="35"/>
    <x v="0"/>
    <n v="9.48"/>
    <n v="11.67"/>
    <n v="1.92"/>
    <n v="0.04"/>
    <n v="23.07"/>
    <n v="23.11"/>
    <m/>
  </r>
  <r>
    <x v="39"/>
    <x v="3"/>
    <n v="2020"/>
    <n v="11"/>
    <s v="Nov"/>
    <x v="1"/>
    <n v="28"/>
    <x v="1"/>
    <n v="605.38"/>
    <n v="823.12"/>
    <n v="828.67"/>
    <n v="249.42"/>
    <n v="2257.17"/>
    <n v="2506.59"/>
    <m/>
  </r>
  <r>
    <x v="39"/>
    <x v="3"/>
    <n v="2020"/>
    <n v="11"/>
    <s v="Nov"/>
    <x v="2"/>
    <n v="12"/>
    <x v="1"/>
    <n v="25.02"/>
    <n v="28.82"/>
    <n v="6.14"/>
    <n v="0.01"/>
    <n v="59.98"/>
    <n v="59.99"/>
    <m/>
  </r>
  <r>
    <x v="39"/>
    <x v="3"/>
    <n v="2020"/>
    <n v="11"/>
    <s v="Nov"/>
    <x v="3"/>
    <n v="18"/>
    <x v="1"/>
    <n v="275.86"/>
    <n v="355.91"/>
    <n v="280.18"/>
    <n v="33.979999999999997"/>
    <n v="911.95"/>
    <n v="945.93"/>
    <m/>
  </r>
  <r>
    <x v="39"/>
    <x v="3"/>
    <n v="2020"/>
    <n v="11"/>
    <s v="Nov"/>
    <x v="4"/>
    <n v="10"/>
    <x v="1"/>
    <n v="252.57"/>
    <n v="463.04"/>
    <n v="122.69"/>
    <n v="131.57"/>
    <n v="838.3"/>
    <n v="969.87"/>
    <m/>
  </r>
  <r>
    <x v="39"/>
    <x v="3"/>
    <n v="2020"/>
    <n v="11"/>
    <s v="Nov"/>
    <x v="5"/>
    <n v="4"/>
    <x v="0"/>
    <n v="27.12"/>
    <n v="35.26"/>
    <n v="78.34"/>
    <n v="0.64"/>
    <n v="140.72"/>
    <n v="141.36000000000001"/>
    <m/>
  </r>
  <r>
    <x v="39"/>
    <x v="3"/>
    <n v="2020"/>
    <n v="11"/>
    <s v="Nov"/>
    <x v="6"/>
    <n v="22"/>
    <x v="1"/>
    <n v="398.49"/>
    <n v="469.54"/>
    <n v="799.3"/>
    <n v="513.75"/>
    <n v="1667.33"/>
    <n v="2181.08"/>
    <m/>
  </r>
  <r>
    <x v="39"/>
    <x v="3"/>
    <n v="2020"/>
    <n v="11"/>
    <s v="Nov"/>
    <x v="7"/>
    <n v="38"/>
    <x v="0"/>
    <n v="30.36"/>
    <n v="42.93"/>
    <n v="224.94"/>
    <n v="0.04"/>
    <n v="298.23"/>
    <n v="298.27"/>
    <m/>
  </r>
  <r>
    <x v="39"/>
    <x v="3"/>
    <n v="2020"/>
    <n v="11"/>
    <s v="Nov"/>
    <x v="8"/>
    <n v="7"/>
    <x v="0"/>
    <n v="653.51"/>
    <n v="832.92"/>
    <n v="1838.82"/>
    <n v="87.88"/>
    <n v="3325.25"/>
    <n v="3413.13"/>
    <m/>
  </r>
  <r>
    <x v="39"/>
    <x v="3"/>
    <n v="2020"/>
    <n v="11"/>
    <s v="Nov"/>
    <x v="9"/>
    <n v="30"/>
    <x v="1"/>
    <n v="58.66"/>
    <n v="85.28"/>
    <n v="154.38"/>
    <n v="1.8"/>
    <n v="298.32"/>
    <n v="300.12"/>
    <m/>
  </r>
  <r>
    <x v="39"/>
    <x v="3"/>
    <n v="2020"/>
    <n v="11"/>
    <s v="Nov"/>
    <x v="10"/>
    <n v="24"/>
    <x v="1"/>
    <n v="1950.51"/>
    <n v="2448.0700000000002"/>
    <n v="2692.95"/>
    <n v="474.84"/>
    <n v="7091.53"/>
    <n v="7566.37"/>
    <m/>
  </r>
  <r>
    <x v="39"/>
    <x v="3"/>
    <n v="2020"/>
    <n v="11"/>
    <s v="Nov"/>
    <x v="11"/>
    <n v="6"/>
    <x v="1"/>
    <n v="894.96"/>
    <n v="1264.21"/>
    <n v="3321.52"/>
    <n v="447.56"/>
    <n v="5480.69"/>
    <n v="5928.25"/>
    <m/>
  </r>
  <r>
    <x v="39"/>
    <x v="3"/>
    <n v="2020"/>
    <n v="11"/>
    <s v="Nov"/>
    <x v="12"/>
    <n v="2"/>
    <x v="1"/>
    <n v="113.18"/>
    <n v="161.59"/>
    <n v="482.7"/>
    <n v="0.89"/>
    <n v="757.47"/>
    <n v="758.36"/>
    <m/>
  </r>
  <r>
    <x v="39"/>
    <x v="3"/>
    <n v="2020"/>
    <n v="11"/>
    <s v="Nov"/>
    <x v="13"/>
    <n v="1"/>
    <x v="0"/>
    <n v="91.07"/>
    <n v="147.5"/>
    <n v="118.25"/>
    <n v="2.96"/>
    <n v="356.82"/>
    <n v="359.78"/>
    <m/>
  </r>
  <r>
    <x v="39"/>
    <x v="3"/>
    <n v="2020"/>
    <n v="11"/>
    <s v="Nov"/>
    <x v="14"/>
    <n v="20"/>
    <x v="1"/>
    <n v="317.02"/>
    <n v="422.37"/>
    <n v="753.16"/>
    <n v="414.66"/>
    <n v="1492.55"/>
    <n v="1907.21"/>
    <m/>
  </r>
  <r>
    <x v="39"/>
    <x v="3"/>
    <n v="2020"/>
    <n v="11"/>
    <s v="Nov"/>
    <x v="15"/>
    <n v="29"/>
    <x v="1"/>
    <n v="1656.86"/>
    <n v="2146.59"/>
    <n v="2440.06"/>
    <n v="671.74"/>
    <n v="6243.51"/>
    <n v="6915.25"/>
    <m/>
  </r>
  <r>
    <x v="39"/>
    <x v="3"/>
    <n v="2020"/>
    <n v="11"/>
    <s v="Nov"/>
    <x v="16"/>
    <n v="32"/>
    <x v="1"/>
    <n v="512.26"/>
    <n v="745.81"/>
    <n v="307.51"/>
    <n v="2.65"/>
    <n v="1565.58"/>
    <n v="1568.23"/>
    <m/>
  </r>
  <r>
    <x v="39"/>
    <x v="3"/>
    <n v="2020"/>
    <n v="11"/>
    <s v="Nov"/>
    <x v="35"/>
    <n v="37"/>
    <x v="0"/>
    <n v="2.86"/>
    <n v="4.47"/>
    <n v="1.86"/>
    <n v="0"/>
    <n v="9.19"/>
    <n v="9.19"/>
    <m/>
  </r>
  <r>
    <x v="39"/>
    <x v="3"/>
    <n v="2020"/>
    <n v="11"/>
    <s v="Nov"/>
    <x v="17"/>
    <n v="31"/>
    <x v="0"/>
    <n v="0.16"/>
    <n v="0.28999999999999998"/>
    <n v="0.03"/>
    <n v="0"/>
    <n v="0.48"/>
    <n v="0.48"/>
    <m/>
  </r>
  <r>
    <x v="39"/>
    <x v="3"/>
    <n v="2020"/>
    <n v="11"/>
    <s v="Nov"/>
    <x v="18"/>
    <n v="23"/>
    <x v="1"/>
    <n v="569.72"/>
    <n v="744.96"/>
    <n v="696.93"/>
    <n v="481.45"/>
    <n v="2011.61"/>
    <n v="2493.06"/>
    <m/>
  </r>
  <r>
    <x v="39"/>
    <x v="3"/>
    <n v="2020"/>
    <n v="11"/>
    <s v="Nov"/>
    <x v="19"/>
    <n v="27"/>
    <x v="1"/>
    <n v="3992.81"/>
    <n v="4875.3599999999997"/>
    <n v="5144.67"/>
    <n v="988.01"/>
    <n v="14012.84"/>
    <n v="15000.85"/>
    <m/>
  </r>
  <r>
    <x v="39"/>
    <x v="3"/>
    <n v="2020"/>
    <n v="11"/>
    <s v="Nov"/>
    <x v="20"/>
    <n v="14"/>
    <x v="1"/>
    <n v="11.67"/>
    <n v="17.600000000000001"/>
    <n v="2.67"/>
    <n v="0.03"/>
    <n v="31.94"/>
    <n v="31.97"/>
    <m/>
  </r>
  <r>
    <x v="39"/>
    <x v="3"/>
    <n v="2020"/>
    <n v="11"/>
    <s v="Nov"/>
    <x v="21"/>
    <n v="17"/>
    <x v="1"/>
    <n v="20.27"/>
    <n v="25.61"/>
    <n v="73.739999999999995"/>
    <n v="0.41"/>
    <n v="119.62"/>
    <n v="120.03"/>
    <m/>
  </r>
  <r>
    <x v="39"/>
    <x v="3"/>
    <n v="2020"/>
    <n v="11"/>
    <s v="Nov"/>
    <x v="22"/>
    <n v="15"/>
    <x v="1"/>
    <n v="5.68"/>
    <n v="8.7200000000000006"/>
    <n v="2.35"/>
    <n v="0.01"/>
    <n v="16.75"/>
    <n v="16.760000000000002"/>
    <m/>
  </r>
  <r>
    <x v="39"/>
    <x v="3"/>
    <n v="2020"/>
    <n v="11"/>
    <s v="Nov"/>
    <x v="23"/>
    <n v="13"/>
    <x v="1"/>
    <n v="10.53"/>
    <n v="12.4"/>
    <n v="4.87"/>
    <n v="1.81"/>
    <n v="27.8"/>
    <n v="29.61"/>
    <m/>
  </r>
  <r>
    <x v="39"/>
    <x v="3"/>
    <n v="2020"/>
    <n v="11"/>
    <s v="Nov"/>
    <x v="24"/>
    <n v="21"/>
    <x v="1"/>
    <n v="533.57000000000005"/>
    <n v="681.96"/>
    <n v="787.63"/>
    <n v="524.85"/>
    <n v="2003.16"/>
    <n v="2528.0100000000002"/>
    <m/>
  </r>
  <r>
    <x v="39"/>
    <x v="3"/>
    <n v="2020"/>
    <n v="11"/>
    <s v="Nov"/>
    <x v="25"/>
    <n v="34"/>
    <x v="0"/>
    <n v="19.18"/>
    <n v="29.6"/>
    <n v="109.27"/>
    <n v="0.17"/>
    <n v="158.05000000000001"/>
    <n v="158.22"/>
    <m/>
  </r>
  <r>
    <x v="39"/>
    <x v="3"/>
    <n v="2020"/>
    <n v="11"/>
    <s v="Nov"/>
    <x v="26"/>
    <n v="3"/>
    <x v="1"/>
    <n v="322.95999999999998"/>
    <n v="548.85"/>
    <n v="511.68"/>
    <n v="12.79"/>
    <n v="1383.49"/>
    <n v="1396.28"/>
    <m/>
  </r>
  <r>
    <x v="39"/>
    <x v="3"/>
    <n v="2020"/>
    <n v="11"/>
    <s v="Nov"/>
    <x v="27"/>
    <n v="8"/>
    <x v="1"/>
    <n v="781.21"/>
    <n v="1061.6199999999999"/>
    <n v="1121.6199999999999"/>
    <n v="165.94"/>
    <n v="2964.45"/>
    <n v="3130.39"/>
    <m/>
  </r>
  <r>
    <x v="39"/>
    <x v="3"/>
    <n v="2020"/>
    <n v="11"/>
    <s v="Nov"/>
    <x v="28"/>
    <n v="11"/>
    <x v="1"/>
    <n v="15.72"/>
    <n v="25.02"/>
    <n v="182.62"/>
    <n v="0.01"/>
    <n v="223.36"/>
    <n v="223.37"/>
    <m/>
  </r>
  <r>
    <x v="39"/>
    <x v="3"/>
    <n v="2020"/>
    <n v="11"/>
    <s v="Nov"/>
    <x v="29"/>
    <n v="33"/>
    <x v="1"/>
    <n v="1735.11"/>
    <n v="2397.58"/>
    <n v="2383.83"/>
    <n v="567.54999999999995"/>
    <n v="6516.52"/>
    <n v="7084.07"/>
    <m/>
  </r>
  <r>
    <x v="39"/>
    <x v="3"/>
    <n v="2020"/>
    <n v="11"/>
    <s v="Nov"/>
    <x v="30"/>
    <n v="36"/>
    <x v="1"/>
    <n v="766.82"/>
    <n v="1077.3900000000001"/>
    <n v="914.83"/>
    <n v="415.48"/>
    <n v="2759.04"/>
    <n v="3174.52"/>
    <m/>
  </r>
  <r>
    <x v="39"/>
    <x v="3"/>
    <n v="2020"/>
    <n v="11"/>
    <s v="Nov"/>
    <x v="31"/>
    <n v="16"/>
    <x v="1"/>
    <n v="20.69"/>
    <n v="29.97"/>
    <n v="7.21"/>
    <n v="0.23"/>
    <n v="57.87"/>
    <n v="58.1"/>
    <m/>
  </r>
  <r>
    <x v="39"/>
    <x v="3"/>
    <n v="2020"/>
    <n v="11"/>
    <s v="Nov"/>
    <x v="32"/>
    <n v="9"/>
    <x v="1"/>
    <n v="1171.76"/>
    <n v="1768.28"/>
    <n v="1636.13"/>
    <n v="951.79"/>
    <n v="4576.17"/>
    <n v="5527.96"/>
    <m/>
  </r>
  <r>
    <x v="39"/>
    <x v="3"/>
    <n v="2020"/>
    <n v="11"/>
    <s v="Nov"/>
    <x v="33"/>
    <n v="5"/>
    <x v="1"/>
    <n v="204.48"/>
    <n v="323.76"/>
    <n v="748.02"/>
    <n v="9.24"/>
    <n v="1276.26"/>
    <n v="1285.5"/>
    <m/>
  </r>
  <r>
    <x v="39"/>
    <x v="3"/>
    <n v="2020"/>
    <n v="11"/>
    <s v="Nov"/>
    <x v="34"/>
    <n v="19"/>
    <x v="1"/>
    <n v="1127.51"/>
    <n v="1416.23"/>
    <n v="925.16"/>
    <n v="278.07"/>
    <n v="3468.9"/>
    <n v="3746.97"/>
    <m/>
  </r>
  <r>
    <x v="40"/>
    <x v="3"/>
    <n v="2020"/>
    <n v="12"/>
    <s v="Dec"/>
    <x v="0"/>
    <n v="35"/>
    <x v="0"/>
    <n v="6.98"/>
    <n v="10.61"/>
    <n v="4.29"/>
    <n v="0.02"/>
    <n v="21.88"/>
    <n v="21.9"/>
    <m/>
  </r>
  <r>
    <x v="40"/>
    <x v="3"/>
    <n v="2020"/>
    <n v="12"/>
    <s v="Dec"/>
    <x v="1"/>
    <n v="28"/>
    <x v="1"/>
    <n v="607.07000000000005"/>
    <n v="817.35"/>
    <n v="925.12"/>
    <n v="231.36"/>
    <n v="2349.54"/>
    <n v="2580.9"/>
    <m/>
  </r>
  <r>
    <x v="40"/>
    <x v="3"/>
    <n v="2020"/>
    <n v="12"/>
    <s v="Dec"/>
    <x v="2"/>
    <n v="12"/>
    <x v="1"/>
    <n v="16.68"/>
    <n v="23.67"/>
    <n v="5.17"/>
    <n v="0.04"/>
    <n v="45.52"/>
    <n v="45.56"/>
    <m/>
  </r>
  <r>
    <x v="40"/>
    <x v="3"/>
    <n v="2020"/>
    <n v="12"/>
    <s v="Dec"/>
    <x v="3"/>
    <n v="18"/>
    <x v="1"/>
    <n v="286.89999999999998"/>
    <n v="393.95"/>
    <n v="271.43"/>
    <n v="31.54"/>
    <n v="952.28"/>
    <n v="983.82"/>
    <m/>
  </r>
  <r>
    <x v="40"/>
    <x v="3"/>
    <n v="2020"/>
    <n v="12"/>
    <s v="Dec"/>
    <x v="4"/>
    <n v="10"/>
    <x v="1"/>
    <n v="280.57"/>
    <n v="484.72"/>
    <n v="129.86000000000001"/>
    <n v="172.28"/>
    <n v="895.15"/>
    <n v="1067.43"/>
    <m/>
  </r>
  <r>
    <x v="40"/>
    <x v="3"/>
    <n v="2020"/>
    <n v="12"/>
    <s v="Dec"/>
    <x v="5"/>
    <n v="4"/>
    <x v="0"/>
    <n v="29.46"/>
    <n v="40.69"/>
    <n v="87.61"/>
    <n v="0.57999999999999996"/>
    <n v="157.76"/>
    <n v="158.34"/>
    <m/>
  </r>
  <r>
    <x v="40"/>
    <x v="3"/>
    <n v="2020"/>
    <n v="12"/>
    <s v="Dec"/>
    <x v="6"/>
    <n v="22"/>
    <x v="1"/>
    <n v="466.66"/>
    <n v="551.63"/>
    <n v="795.42"/>
    <n v="535.69000000000005"/>
    <n v="1813.71"/>
    <n v="2349.4"/>
    <m/>
  </r>
  <r>
    <x v="40"/>
    <x v="3"/>
    <n v="2020"/>
    <n v="12"/>
    <s v="Dec"/>
    <x v="7"/>
    <n v="38"/>
    <x v="0"/>
    <n v="36.229999999999997"/>
    <n v="46.84"/>
    <n v="179.58"/>
    <n v="0.09"/>
    <n v="262.64999999999998"/>
    <n v="262.74"/>
    <m/>
  </r>
  <r>
    <x v="40"/>
    <x v="3"/>
    <n v="2020"/>
    <n v="12"/>
    <s v="Dec"/>
    <x v="8"/>
    <n v="7"/>
    <x v="0"/>
    <n v="701.05"/>
    <n v="876.45"/>
    <n v="1784.95"/>
    <n v="88.83"/>
    <n v="3362.45"/>
    <n v="3451.28"/>
    <m/>
  </r>
  <r>
    <x v="40"/>
    <x v="3"/>
    <n v="2020"/>
    <n v="12"/>
    <s v="Dec"/>
    <x v="9"/>
    <n v="30"/>
    <x v="1"/>
    <n v="80.28"/>
    <n v="114.33"/>
    <n v="145.04"/>
    <n v="2.0499999999999998"/>
    <n v="339.65"/>
    <n v="341.7"/>
    <m/>
  </r>
  <r>
    <x v="40"/>
    <x v="3"/>
    <n v="2020"/>
    <n v="12"/>
    <s v="Dec"/>
    <x v="10"/>
    <n v="24"/>
    <x v="1"/>
    <n v="1997.66"/>
    <n v="2464.5700000000002"/>
    <n v="2491.79"/>
    <n v="514.78"/>
    <n v="6954.02"/>
    <n v="7468.8"/>
    <m/>
  </r>
  <r>
    <x v="40"/>
    <x v="3"/>
    <n v="2020"/>
    <n v="12"/>
    <s v="Dec"/>
    <x v="11"/>
    <n v="6"/>
    <x v="1"/>
    <n v="938.85"/>
    <n v="1280.9000000000001"/>
    <n v="3101.55"/>
    <n v="425.7"/>
    <n v="5321.3"/>
    <n v="5747"/>
    <m/>
  </r>
  <r>
    <x v="40"/>
    <x v="3"/>
    <n v="2020"/>
    <n v="12"/>
    <s v="Dec"/>
    <x v="12"/>
    <n v="2"/>
    <x v="1"/>
    <n v="114.45"/>
    <n v="165.7"/>
    <n v="389.03"/>
    <n v="0.6"/>
    <n v="669.18"/>
    <n v="669.78"/>
    <m/>
  </r>
  <r>
    <x v="40"/>
    <x v="3"/>
    <n v="2020"/>
    <n v="12"/>
    <s v="Dec"/>
    <x v="13"/>
    <n v="1"/>
    <x v="0"/>
    <n v="79.38"/>
    <n v="132.41"/>
    <n v="104.73"/>
    <n v="1.93"/>
    <n v="316.52"/>
    <n v="318.45"/>
    <m/>
  </r>
  <r>
    <x v="40"/>
    <x v="3"/>
    <n v="2020"/>
    <n v="12"/>
    <s v="Dec"/>
    <x v="14"/>
    <n v="20"/>
    <x v="1"/>
    <n v="350.66"/>
    <n v="493"/>
    <n v="871.09"/>
    <n v="435.43"/>
    <n v="1714.75"/>
    <n v="2150.1799999999998"/>
    <m/>
  </r>
  <r>
    <x v="40"/>
    <x v="3"/>
    <n v="2020"/>
    <n v="12"/>
    <s v="Dec"/>
    <x v="15"/>
    <n v="29"/>
    <x v="1"/>
    <n v="1752.76"/>
    <n v="2274.89"/>
    <n v="2785.21"/>
    <n v="646.42999999999995"/>
    <n v="6812.86"/>
    <n v="7459.29"/>
    <m/>
  </r>
  <r>
    <x v="40"/>
    <x v="3"/>
    <n v="2020"/>
    <n v="12"/>
    <s v="Dec"/>
    <x v="16"/>
    <n v="32"/>
    <x v="1"/>
    <n v="585.04"/>
    <n v="847.83"/>
    <n v="339.72"/>
    <n v="3.8"/>
    <n v="1772.59"/>
    <n v="1776.39"/>
    <m/>
  </r>
  <r>
    <x v="40"/>
    <x v="3"/>
    <n v="2020"/>
    <n v="12"/>
    <s v="Dec"/>
    <x v="35"/>
    <n v="37"/>
    <x v="0"/>
    <n v="2.59"/>
    <n v="3.98"/>
    <n v="1.72"/>
    <n v="0.02"/>
    <n v="8.2899999999999991"/>
    <n v="8.31"/>
    <m/>
  </r>
  <r>
    <x v="40"/>
    <x v="3"/>
    <n v="2020"/>
    <n v="12"/>
    <s v="Dec"/>
    <x v="17"/>
    <n v="31"/>
    <x v="0"/>
    <n v="0.19"/>
    <n v="0.25"/>
    <n v="0.09"/>
    <n v="0"/>
    <n v="0.53"/>
    <n v="0.53"/>
    <m/>
  </r>
  <r>
    <x v="40"/>
    <x v="3"/>
    <n v="2020"/>
    <n v="12"/>
    <s v="Dec"/>
    <x v="18"/>
    <n v="23"/>
    <x v="1"/>
    <n v="628.48"/>
    <n v="823.38"/>
    <n v="651.59"/>
    <n v="511.15"/>
    <n v="2103.4499999999998"/>
    <n v="2614.6"/>
    <m/>
  </r>
  <r>
    <x v="40"/>
    <x v="3"/>
    <n v="2020"/>
    <n v="12"/>
    <s v="Dec"/>
    <x v="19"/>
    <n v="27"/>
    <x v="1"/>
    <n v="5098.3900000000003"/>
    <n v="5916.56"/>
    <n v="5760.9"/>
    <n v="923.06"/>
    <n v="16775.849999999999"/>
    <n v="17698.91"/>
    <m/>
  </r>
  <r>
    <x v="40"/>
    <x v="3"/>
    <n v="2020"/>
    <n v="12"/>
    <s v="Dec"/>
    <x v="20"/>
    <n v="14"/>
    <x v="1"/>
    <n v="15.09"/>
    <n v="20.29"/>
    <n v="5.18"/>
    <n v="0.13"/>
    <n v="40.56"/>
    <n v="40.69"/>
    <m/>
  </r>
  <r>
    <x v="40"/>
    <x v="3"/>
    <n v="2020"/>
    <n v="12"/>
    <s v="Dec"/>
    <x v="21"/>
    <n v="17"/>
    <x v="1"/>
    <n v="19.309999999999999"/>
    <n v="27.79"/>
    <n v="58.45"/>
    <n v="0.33"/>
    <n v="105.55"/>
    <n v="105.88"/>
    <m/>
  </r>
  <r>
    <x v="40"/>
    <x v="3"/>
    <n v="2020"/>
    <n v="12"/>
    <s v="Dec"/>
    <x v="22"/>
    <n v="15"/>
    <x v="1"/>
    <n v="7.61"/>
    <n v="11.55"/>
    <n v="6.22"/>
    <n v="0.01"/>
    <n v="25.38"/>
    <n v="25.39"/>
    <m/>
  </r>
  <r>
    <x v="40"/>
    <x v="3"/>
    <n v="2020"/>
    <n v="12"/>
    <s v="Dec"/>
    <x v="23"/>
    <n v="13"/>
    <x v="1"/>
    <n v="15.62"/>
    <n v="17.739999999999998"/>
    <n v="4.5199999999999996"/>
    <n v="0.34"/>
    <n v="37.880000000000003"/>
    <n v="38.22"/>
    <m/>
  </r>
  <r>
    <x v="40"/>
    <x v="3"/>
    <n v="2020"/>
    <n v="12"/>
    <s v="Dec"/>
    <x v="24"/>
    <n v="21"/>
    <x v="1"/>
    <n v="589.41"/>
    <n v="765.26"/>
    <n v="965.75"/>
    <n v="539.78"/>
    <n v="2320.42"/>
    <n v="2860.2"/>
    <m/>
  </r>
  <r>
    <x v="40"/>
    <x v="3"/>
    <n v="2020"/>
    <n v="12"/>
    <s v="Dec"/>
    <x v="25"/>
    <n v="34"/>
    <x v="0"/>
    <n v="19.46"/>
    <n v="30.18"/>
    <n v="109.13"/>
    <n v="0.23"/>
    <n v="158.77000000000001"/>
    <n v="159"/>
    <m/>
  </r>
  <r>
    <x v="40"/>
    <x v="3"/>
    <n v="2020"/>
    <n v="12"/>
    <s v="Dec"/>
    <x v="26"/>
    <n v="3"/>
    <x v="1"/>
    <n v="341.87"/>
    <n v="531.67999999999995"/>
    <n v="469.66"/>
    <n v="9.5500000000000007"/>
    <n v="1343.21"/>
    <n v="1352.76"/>
    <m/>
  </r>
  <r>
    <x v="40"/>
    <x v="3"/>
    <n v="2020"/>
    <n v="12"/>
    <s v="Dec"/>
    <x v="27"/>
    <n v="8"/>
    <x v="1"/>
    <n v="790.71"/>
    <n v="1095.77"/>
    <n v="1078.97"/>
    <n v="170"/>
    <n v="2965.45"/>
    <n v="3135.45"/>
    <m/>
  </r>
  <r>
    <x v="40"/>
    <x v="3"/>
    <n v="2020"/>
    <n v="12"/>
    <s v="Dec"/>
    <x v="28"/>
    <n v="11"/>
    <x v="1"/>
    <n v="13.06"/>
    <n v="18.78"/>
    <n v="193.18"/>
    <n v="0.11"/>
    <n v="225.02"/>
    <n v="225.13"/>
    <m/>
  </r>
  <r>
    <x v="40"/>
    <x v="3"/>
    <n v="2020"/>
    <n v="12"/>
    <s v="Dec"/>
    <x v="29"/>
    <n v="33"/>
    <x v="1"/>
    <n v="1814.91"/>
    <n v="2427.4299999999998"/>
    <n v="2148.9699999999998"/>
    <n v="513.6"/>
    <n v="6391.31"/>
    <n v="6904.91"/>
    <m/>
  </r>
  <r>
    <x v="40"/>
    <x v="3"/>
    <n v="2020"/>
    <n v="12"/>
    <s v="Dec"/>
    <x v="30"/>
    <n v="36"/>
    <x v="1"/>
    <n v="869.85"/>
    <n v="1154.53"/>
    <n v="1032.49"/>
    <n v="486.5"/>
    <n v="3056.87"/>
    <n v="3543.37"/>
    <m/>
  </r>
  <r>
    <x v="40"/>
    <x v="3"/>
    <n v="2020"/>
    <n v="12"/>
    <s v="Dec"/>
    <x v="31"/>
    <n v="16"/>
    <x v="1"/>
    <n v="27.68"/>
    <n v="39.97"/>
    <n v="6.48"/>
    <n v="0.15"/>
    <n v="74.13"/>
    <n v="74.28"/>
    <m/>
  </r>
  <r>
    <x v="40"/>
    <x v="3"/>
    <n v="2020"/>
    <n v="12"/>
    <s v="Dec"/>
    <x v="32"/>
    <n v="9"/>
    <x v="1"/>
    <n v="1342.98"/>
    <n v="1997.9"/>
    <n v="1537.24"/>
    <n v="1058.8"/>
    <n v="4878.12"/>
    <n v="5936.92"/>
    <m/>
  </r>
  <r>
    <x v="40"/>
    <x v="3"/>
    <n v="2020"/>
    <n v="12"/>
    <s v="Dec"/>
    <x v="33"/>
    <n v="5"/>
    <x v="1"/>
    <n v="209.08"/>
    <n v="337.54"/>
    <n v="690.11"/>
    <n v="9.07"/>
    <n v="1236.73"/>
    <n v="1245.8"/>
    <m/>
  </r>
  <r>
    <x v="40"/>
    <x v="3"/>
    <n v="2020"/>
    <n v="12"/>
    <s v="Dec"/>
    <x v="34"/>
    <n v="19"/>
    <x v="1"/>
    <n v="1221.6600000000001"/>
    <n v="1555.14"/>
    <n v="1043.05"/>
    <n v="294.5"/>
    <n v="3819.85"/>
    <n v="4114.3500000000004"/>
    <m/>
  </r>
  <r>
    <x v="41"/>
    <x v="3"/>
    <n v="2021"/>
    <n v="1"/>
    <s v="Jan"/>
    <x v="0"/>
    <n v="35"/>
    <x v="0"/>
    <n v="7.67"/>
    <n v="10.94"/>
    <n v="1.88"/>
    <n v="0.03"/>
    <n v="20.49"/>
    <n v="20.52"/>
    <m/>
  </r>
  <r>
    <x v="41"/>
    <x v="3"/>
    <n v="2021"/>
    <n v="1"/>
    <s v="Jan"/>
    <x v="1"/>
    <n v="28"/>
    <x v="1"/>
    <n v="673.6"/>
    <n v="922.79"/>
    <n v="1102.74"/>
    <n v="180.77"/>
    <n v="2699.13"/>
    <n v="2879.9"/>
    <m/>
  </r>
  <r>
    <x v="41"/>
    <x v="3"/>
    <n v="2021"/>
    <n v="1"/>
    <s v="Jan"/>
    <x v="2"/>
    <n v="12"/>
    <x v="1"/>
    <n v="23.48"/>
    <n v="29.35"/>
    <n v="7.1"/>
    <n v="7.0000000000000007E-2"/>
    <n v="59.93"/>
    <n v="60"/>
    <m/>
  </r>
  <r>
    <x v="41"/>
    <x v="3"/>
    <n v="2021"/>
    <n v="1"/>
    <s v="Jan"/>
    <x v="3"/>
    <n v="18"/>
    <x v="1"/>
    <n v="309.06"/>
    <n v="406.6"/>
    <n v="290.97000000000003"/>
    <n v="43.6"/>
    <n v="1006.63"/>
    <n v="1050.23"/>
    <m/>
  </r>
  <r>
    <x v="41"/>
    <x v="3"/>
    <n v="2021"/>
    <n v="1"/>
    <s v="Jan"/>
    <x v="4"/>
    <n v="10"/>
    <x v="1"/>
    <n v="316.82"/>
    <n v="576.72"/>
    <n v="128.4"/>
    <n v="168.14"/>
    <n v="1021.94"/>
    <n v="1190.08"/>
    <m/>
  </r>
  <r>
    <x v="41"/>
    <x v="3"/>
    <n v="2021"/>
    <n v="1"/>
    <s v="Jan"/>
    <x v="5"/>
    <n v="4"/>
    <x v="0"/>
    <n v="29.08"/>
    <n v="47.61"/>
    <n v="85.97"/>
    <n v="2.75"/>
    <n v="162.66"/>
    <n v="165.41"/>
    <m/>
  </r>
  <r>
    <x v="41"/>
    <x v="3"/>
    <n v="2021"/>
    <n v="1"/>
    <s v="Jan"/>
    <x v="6"/>
    <n v="22"/>
    <x v="1"/>
    <n v="475.6"/>
    <n v="558.04"/>
    <n v="923.28"/>
    <n v="570.17999999999995"/>
    <n v="1956.92"/>
    <n v="2527.1"/>
    <m/>
  </r>
  <r>
    <x v="41"/>
    <x v="3"/>
    <n v="2021"/>
    <n v="1"/>
    <s v="Jan"/>
    <x v="7"/>
    <n v="38"/>
    <x v="0"/>
    <n v="34.29"/>
    <n v="44.03"/>
    <n v="203.43"/>
    <n v="0.34"/>
    <n v="281.75"/>
    <n v="282.08999999999997"/>
    <m/>
  </r>
  <r>
    <x v="41"/>
    <x v="3"/>
    <n v="2021"/>
    <n v="1"/>
    <s v="Jan"/>
    <x v="8"/>
    <n v="7"/>
    <x v="0"/>
    <n v="713.35"/>
    <n v="922.79"/>
    <n v="2039.99"/>
    <n v="111.07"/>
    <n v="3676.13"/>
    <n v="3787.2"/>
    <m/>
  </r>
  <r>
    <x v="41"/>
    <x v="3"/>
    <n v="2021"/>
    <n v="1"/>
    <s v="Jan"/>
    <x v="9"/>
    <n v="30"/>
    <x v="1"/>
    <n v="95.64"/>
    <n v="135.22999999999999"/>
    <n v="144.55000000000001"/>
    <n v="2.34"/>
    <n v="375.42"/>
    <n v="377.76"/>
    <m/>
  </r>
  <r>
    <x v="41"/>
    <x v="3"/>
    <n v="2021"/>
    <n v="1"/>
    <s v="Jan"/>
    <x v="10"/>
    <n v="24"/>
    <x v="1"/>
    <n v="2175.58"/>
    <n v="2664.01"/>
    <n v="2612.96"/>
    <n v="514.35"/>
    <n v="7452.55"/>
    <n v="7966.9"/>
    <m/>
  </r>
  <r>
    <x v="41"/>
    <x v="3"/>
    <n v="2021"/>
    <n v="1"/>
    <s v="Jan"/>
    <x v="11"/>
    <n v="6"/>
    <x v="1"/>
    <n v="926.71"/>
    <n v="1286.9100000000001"/>
    <n v="3258.17"/>
    <n v="430.19"/>
    <n v="5471.79"/>
    <n v="5901.98"/>
    <m/>
  </r>
  <r>
    <x v="41"/>
    <x v="3"/>
    <n v="2021"/>
    <n v="1"/>
    <s v="Jan"/>
    <x v="12"/>
    <n v="2"/>
    <x v="1"/>
    <n v="117.58"/>
    <n v="173.84"/>
    <n v="420.2"/>
    <n v="1.66"/>
    <n v="711.62"/>
    <n v="713.28"/>
    <m/>
  </r>
  <r>
    <x v="41"/>
    <x v="3"/>
    <n v="2021"/>
    <n v="1"/>
    <s v="Jan"/>
    <x v="13"/>
    <n v="1"/>
    <x v="0"/>
    <n v="105.16"/>
    <n v="173.06"/>
    <n v="93.79"/>
    <n v="2.39"/>
    <n v="372.01"/>
    <n v="374.4"/>
    <m/>
  </r>
  <r>
    <x v="41"/>
    <x v="3"/>
    <n v="2021"/>
    <n v="1"/>
    <s v="Jan"/>
    <x v="14"/>
    <n v="20"/>
    <x v="1"/>
    <n v="383.54"/>
    <n v="522.58000000000004"/>
    <n v="975.91"/>
    <n v="412.2"/>
    <n v="1882.03"/>
    <n v="2294.23"/>
    <m/>
  </r>
  <r>
    <x v="41"/>
    <x v="3"/>
    <n v="2021"/>
    <n v="1"/>
    <s v="Jan"/>
    <x v="15"/>
    <n v="29"/>
    <x v="1"/>
    <n v="1813.82"/>
    <n v="2346.21"/>
    <n v="3101.01"/>
    <n v="716.34"/>
    <n v="7261.04"/>
    <n v="7977.38"/>
    <m/>
  </r>
  <r>
    <x v="41"/>
    <x v="3"/>
    <n v="2021"/>
    <n v="1"/>
    <s v="Jan"/>
    <x v="16"/>
    <n v="32"/>
    <x v="1"/>
    <n v="628.46"/>
    <n v="946.46"/>
    <n v="345.32"/>
    <n v="13.38"/>
    <n v="1920.24"/>
    <n v="1933.62"/>
    <m/>
  </r>
  <r>
    <x v="41"/>
    <x v="3"/>
    <n v="2021"/>
    <n v="1"/>
    <s v="Jan"/>
    <x v="35"/>
    <n v="37"/>
    <x v="0"/>
    <n v="4.9400000000000004"/>
    <n v="8.0299999999999994"/>
    <n v="1.99"/>
    <n v="0.13"/>
    <n v="14.96"/>
    <n v="15.09"/>
    <m/>
  </r>
  <r>
    <x v="41"/>
    <x v="3"/>
    <n v="2021"/>
    <n v="1"/>
    <s v="Jan"/>
    <x v="17"/>
    <n v="31"/>
    <x v="0"/>
    <n v="1.22"/>
    <n v="1.32"/>
    <n v="0.02"/>
    <n v="0"/>
    <n v="2.56"/>
    <n v="2.56"/>
    <m/>
  </r>
  <r>
    <x v="41"/>
    <x v="3"/>
    <n v="2021"/>
    <n v="1"/>
    <s v="Jan"/>
    <x v="18"/>
    <n v="23"/>
    <x v="1"/>
    <n v="660.78"/>
    <n v="863.64"/>
    <n v="719.97"/>
    <n v="511.92"/>
    <n v="2244.39"/>
    <n v="2756.31"/>
    <m/>
  </r>
  <r>
    <x v="41"/>
    <x v="3"/>
    <n v="2021"/>
    <n v="1"/>
    <s v="Jan"/>
    <x v="19"/>
    <n v="27"/>
    <x v="1"/>
    <n v="4858.3500000000004"/>
    <n v="5856.33"/>
    <n v="6320.26"/>
    <n v="932.49"/>
    <n v="17034.939999999999"/>
    <n v="17967.43"/>
    <m/>
  </r>
  <r>
    <x v="41"/>
    <x v="3"/>
    <n v="2021"/>
    <n v="1"/>
    <s v="Jan"/>
    <x v="20"/>
    <n v="14"/>
    <x v="1"/>
    <n v="13.83"/>
    <n v="22.51"/>
    <n v="2.8"/>
    <n v="0.53"/>
    <n v="39.14"/>
    <n v="39.67"/>
    <m/>
  </r>
  <r>
    <x v="41"/>
    <x v="3"/>
    <n v="2021"/>
    <n v="1"/>
    <s v="Jan"/>
    <x v="21"/>
    <n v="17"/>
    <x v="1"/>
    <n v="24.91"/>
    <n v="36.61"/>
    <n v="75.38"/>
    <n v="0.12"/>
    <n v="136.9"/>
    <n v="137.02000000000001"/>
    <m/>
  </r>
  <r>
    <x v="41"/>
    <x v="3"/>
    <n v="2021"/>
    <n v="1"/>
    <s v="Jan"/>
    <x v="22"/>
    <n v="15"/>
    <x v="1"/>
    <n v="9.69"/>
    <n v="14.62"/>
    <n v="13.27"/>
    <n v="0.03"/>
    <n v="37.58"/>
    <n v="37.61"/>
    <m/>
  </r>
  <r>
    <x v="41"/>
    <x v="3"/>
    <n v="2021"/>
    <n v="1"/>
    <s v="Jan"/>
    <x v="23"/>
    <n v="13"/>
    <x v="1"/>
    <n v="17.16"/>
    <n v="22.17"/>
    <n v="5.74"/>
    <n v="0.28000000000000003"/>
    <n v="45.07"/>
    <n v="45.35"/>
    <m/>
  </r>
  <r>
    <x v="41"/>
    <x v="3"/>
    <n v="2021"/>
    <n v="1"/>
    <s v="Jan"/>
    <x v="24"/>
    <n v="21"/>
    <x v="1"/>
    <n v="609.92999999999995"/>
    <n v="777.71"/>
    <n v="1158.77"/>
    <n v="591.04"/>
    <n v="2546.41"/>
    <n v="3137.45"/>
    <m/>
  </r>
  <r>
    <x v="41"/>
    <x v="3"/>
    <n v="2021"/>
    <n v="1"/>
    <s v="Jan"/>
    <x v="25"/>
    <n v="34"/>
    <x v="0"/>
    <n v="19.920000000000002"/>
    <n v="34.28"/>
    <n v="100.46"/>
    <n v="1.78"/>
    <n v="154.66"/>
    <n v="156.44"/>
    <m/>
  </r>
  <r>
    <x v="41"/>
    <x v="3"/>
    <n v="2021"/>
    <n v="1"/>
    <s v="Jan"/>
    <x v="26"/>
    <n v="3"/>
    <x v="1"/>
    <n v="324.76"/>
    <n v="566.74"/>
    <n v="444.35"/>
    <n v="16.11"/>
    <n v="1335.85"/>
    <n v="1351.96"/>
    <m/>
  </r>
  <r>
    <x v="41"/>
    <x v="3"/>
    <n v="2021"/>
    <n v="1"/>
    <s v="Jan"/>
    <x v="27"/>
    <n v="8"/>
    <x v="1"/>
    <n v="835.13"/>
    <n v="1129.3599999999999"/>
    <n v="1160.17"/>
    <n v="152.94"/>
    <n v="3124.66"/>
    <n v="3277.6"/>
    <m/>
  </r>
  <r>
    <x v="41"/>
    <x v="3"/>
    <n v="2021"/>
    <n v="1"/>
    <s v="Jan"/>
    <x v="28"/>
    <n v="11"/>
    <x v="1"/>
    <n v="12.24"/>
    <n v="15.71"/>
    <n v="215.75"/>
    <n v="0.17"/>
    <n v="243.7"/>
    <n v="243.87"/>
    <m/>
  </r>
  <r>
    <x v="41"/>
    <x v="3"/>
    <n v="2021"/>
    <n v="1"/>
    <s v="Jan"/>
    <x v="29"/>
    <n v="33"/>
    <x v="1"/>
    <n v="1865.72"/>
    <n v="2589.41"/>
    <n v="2370.9899999999998"/>
    <n v="567.1"/>
    <n v="6826.12"/>
    <n v="7393.22"/>
    <m/>
  </r>
  <r>
    <x v="41"/>
    <x v="3"/>
    <n v="2021"/>
    <n v="1"/>
    <s v="Jan"/>
    <x v="30"/>
    <n v="36"/>
    <x v="1"/>
    <n v="958.19"/>
    <n v="1307.47"/>
    <n v="1109.53"/>
    <n v="508.3"/>
    <n v="3375.19"/>
    <n v="3883.49"/>
    <m/>
  </r>
  <r>
    <x v="41"/>
    <x v="3"/>
    <n v="2021"/>
    <n v="1"/>
    <s v="Jan"/>
    <x v="31"/>
    <n v="16"/>
    <x v="1"/>
    <n v="25.15"/>
    <n v="35.35"/>
    <n v="9.5299999999999994"/>
    <n v="0.44"/>
    <n v="70.03"/>
    <n v="70.47"/>
    <m/>
  </r>
  <r>
    <x v="41"/>
    <x v="3"/>
    <n v="2021"/>
    <n v="1"/>
    <s v="Jan"/>
    <x v="32"/>
    <n v="9"/>
    <x v="1"/>
    <n v="1358.1"/>
    <n v="2037.09"/>
    <n v="1526.81"/>
    <n v="963.7"/>
    <n v="4922"/>
    <n v="5885.7"/>
    <m/>
  </r>
  <r>
    <x v="41"/>
    <x v="3"/>
    <n v="2021"/>
    <n v="1"/>
    <s v="Jan"/>
    <x v="33"/>
    <n v="5"/>
    <x v="1"/>
    <n v="218.53"/>
    <n v="327.66000000000003"/>
    <n v="669.94"/>
    <n v="9.92"/>
    <n v="1216.1300000000001"/>
    <n v="1226.05"/>
    <m/>
  </r>
  <r>
    <x v="41"/>
    <x v="3"/>
    <n v="2021"/>
    <n v="1"/>
    <s v="Jan"/>
    <x v="34"/>
    <n v="19"/>
    <x v="1"/>
    <n v="1278.23"/>
    <n v="1604.54"/>
    <n v="1003.56"/>
    <n v="312.52999999999997"/>
    <n v="3886.33"/>
    <n v="4198.8599999999997"/>
    <m/>
  </r>
  <r>
    <x v="42"/>
    <x v="3"/>
    <n v="2021"/>
    <n v="2"/>
    <s v="Feb"/>
    <x v="0"/>
    <n v="35"/>
    <x v="0"/>
    <n v="7.44"/>
    <n v="12.77"/>
    <n v="2.97"/>
    <n v="0.08"/>
    <n v="23.18"/>
    <n v="23.26"/>
    <m/>
  </r>
  <r>
    <x v="42"/>
    <x v="3"/>
    <n v="2021"/>
    <n v="2"/>
    <s v="Feb"/>
    <x v="1"/>
    <n v="28"/>
    <x v="1"/>
    <n v="592.54999999999995"/>
    <n v="814.07"/>
    <n v="1016.49"/>
    <n v="229.47"/>
    <n v="2423.11"/>
    <n v="2652.58"/>
    <m/>
  </r>
  <r>
    <x v="42"/>
    <x v="3"/>
    <n v="2021"/>
    <n v="2"/>
    <s v="Feb"/>
    <x v="2"/>
    <n v="12"/>
    <x v="1"/>
    <n v="23.18"/>
    <n v="30.55"/>
    <n v="7.6"/>
    <n v="0.04"/>
    <n v="61.33"/>
    <n v="61.37"/>
    <m/>
  </r>
  <r>
    <x v="42"/>
    <x v="3"/>
    <n v="2021"/>
    <n v="2"/>
    <s v="Feb"/>
    <x v="3"/>
    <n v="18"/>
    <x v="1"/>
    <n v="288.39999999999998"/>
    <n v="374.3"/>
    <n v="244.37"/>
    <n v="38.770000000000003"/>
    <n v="907.07"/>
    <n v="945.84"/>
    <m/>
  </r>
  <r>
    <x v="42"/>
    <x v="3"/>
    <n v="2021"/>
    <n v="2"/>
    <s v="Feb"/>
    <x v="4"/>
    <n v="10"/>
    <x v="1"/>
    <n v="302.68"/>
    <n v="468.16"/>
    <n v="168.6"/>
    <n v="188.55"/>
    <n v="939.44"/>
    <n v="1127.99"/>
    <m/>
  </r>
  <r>
    <x v="42"/>
    <x v="3"/>
    <n v="2021"/>
    <n v="2"/>
    <s v="Feb"/>
    <x v="5"/>
    <n v="4"/>
    <x v="0"/>
    <n v="28.96"/>
    <n v="37.94"/>
    <n v="81.17"/>
    <n v="0.43"/>
    <n v="148.07"/>
    <n v="148.5"/>
    <m/>
  </r>
  <r>
    <x v="42"/>
    <x v="3"/>
    <n v="2021"/>
    <n v="2"/>
    <s v="Feb"/>
    <x v="6"/>
    <n v="22"/>
    <x v="1"/>
    <n v="456.04"/>
    <n v="524.01"/>
    <n v="868.97"/>
    <n v="604.07000000000005"/>
    <n v="1849.02"/>
    <n v="2453.09"/>
    <m/>
  </r>
  <r>
    <x v="42"/>
    <x v="3"/>
    <n v="2021"/>
    <n v="2"/>
    <s v="Feb"/>
    <x v="7"/>
    <n v="38"/>
    <x v="0"/>
    <n v="32.82"/>
    <n v="42.21"/>
    <n v="162.44999999999999"/>
    <n v="0.22"/>
    <n v="237.48"/>
    <n v="237.7"/>
    <m/>
  </r>
  <r>
    <x v="42"/>
    <x v="3"/>
    <n v="2021"/>
    <n v="2"/>
    <s v="Feb"/>
    <x v="8"/>
    <n v="7"/>
    <x v="0"/>
    <n v="720.27"/>
    <n v="892.96"/>
    <n v="2026.94"/>
    <n v="87.29"/>
    <n v="3640.17"/>
    <n v="3727.46"/>
    <m/>
  </r>
  <r>
    <x v="42"/>
    <x v="3"/>
    <n v="2021"/>
    <n v="2"/>
    <s v="Feb"/>
    <x v="9"/>
    <n v="30"/>
    <x v="1"/>
    <n v="97.41"/>
    <n v="128.38"/>
    <n v="116.41"/>
    <n v="1.59"/>
    <n v="342.2"/>
    <n v="343.79"/>
    <m/>
  </r>
  <r>
    <x v="42"/>
    <x v="3"/>
    <n v="2021"/>
    <n v="2"/>
    <s v="Feb"/>
    <x v="10"/>
    <n v="24"/>
    <x v="1"/>
    <n v="2217.59"/>
    <n v="2727.93"/>
    <n v="2645.02"/>
    <n v="630.69000000000005"/>
    <n v="7590.54"/>
    <n v="8221.23"/>
    <m/>
  </r>
  <r>
    <x v="42"/>
    <x v="3"/>
    <n v="2021"/>
    <n v="2"/>
    <s v="Feb"/>
    <x v="11"/>
    <n v="6"/>
    <x v="1"/>
    <n v="859.97"/>
    <n v="1198.1500000000001"/>
    <n v="3118.85"/>
    <n v="412.84"/>
    <n v="5176.97"/>
    <n v="5589.81"/>
    <m/>
  </r>
  <r>
    <x v="42"/>
    <x v="3"/>
    <n v="2021"/>
    <n v="2"/>
    <s v="Feb"/>
    <x v="12"/>
    <n v="2"/>
    <x v="1"/>
    <n v="108.92"/>
    <n v="146.62"/>
    <n v="406.83"/>
    <n v="0.75"/>
    <n v="662.37"/>
    <n v="663.12"/>
    <m/>
  </r>
  <r>
    <x v="42"/>
    <x v="3"/>
    <n v="2021"/>
    <n v="2"/>
    <s v="Feb"/>
    <x v="13"/>
    <n v="1"/>
    <x v="0"/>
    <n v="97.22"/>
    <n v="141.12"/>
    <n v="89.88"/>
    <n v="1.67"/>
    <n v="328.22"/>
    <n v="329.89"/>
    <m/>
  </r>
  <r>
    <x v="42"/>
    <x v="3"/>
    <n v="2021"/>
    <n v="2"/>
    <s v="Feb"/>
    <x v="14"/>
    <n v="20"/>
    <x v="1"/>
    <n v="427.79"/>
    <n v="552.95000000000005"/>
    <n v="941.19"/>
    <n v="399.09"/>
    <n v="1921.93"/>
    <n v="2321.02"/>
    <m/>
  </r>
  <r>
    <x v="42"/>
    <x v="3"/>
    <n v="2021"/>
    <n v="2"/>
    <s v="Feb"/>
    <x v="15"/>
    <n v="29"/>
    <x v="1"/>
    <n v="1747.06"/>
    <n v="2230.65"/>
    <n v="2759.87"/>
    <n v="843.86"/>
    <n v="6737.58"/>
    <n v="7581.44"/>
    <m/>
  </r>
  <r>
    <x v="42"/>
    <x v="3"/>
    <n v="2021"/>
    <n v="2"/>
    <s v="Feb"/>
    <x v="16"/>
    <n v="32"/>
    <x v="1"/>
    <n v="599.27"/>
    <n v="856.89"/>
    <n v="344.42"/>
    <n v="5.52"/>
    <n v="1800.58"/>
    <n v="1806.1"/>
    <m/>
  </r>
  <r>
    <x v="42"/>
    <x v="3"/>
    <n v="2021"/>
    <n v="2"/>
    <s v="Feb"/>
    <x v="35"/>
    <n v="37"/>
    <x v="0"/>
    <n v="3.48"/>
    <n v="4.32"/>
    <n v="1.25"/>
    <n v="0.02"/>
    <n v="9.0500000000000007"/>
    <n v="9.07"/>
    <m/>
  </r>
  <r>
    <x v="42"/>
    <x v="3"/>
    <n v="2021"/>
    <n v="2"/>
    <s v="Feb"/>
    <x v="17"/>
    <n v="31"/>
    <x v="0"/>
    <n v="0.21"/>
    <n v="0.22"/>
    <n v="0.02"/>
    <n v="0"/>
    <n v="0.45"/>
    <n v="0.45"/>
    <m/>
  </r>
  <r>
    <x v="42"/>
    <x v="3"/>
    <n v="2021"/>
    <n v="2"/>
    <s v="Feb"/>
    <x v="18"/>
    <n v="23"/>
    <x v="1"/>
    <n v="657.2"/>
    <n v="832.56"/>
    <n v="712.09"/>
    <n v="589.72"/>
    <n v="2201.85"/>
    <n v="2791.57"/>
    <m/>
  </r>
  <r>
    <x v="42"/>
    <x v="3"/>
    <n v="2021"/>
    <n v="2"/>
    <s v="Feb"/>
    <x v="19"/>
    <n v="27"/>
    <x v="1"/>
    <n v="4469.8999999999996"/>
    <n v="5426.54"/>
    <n v="5095.79"/>
    <n v="1111.27"/>
    <n v="14992.23"/>
    <n v="16103.5"/>
    <m/>
  </r>
  <r>
    <x v="42"/>
    <x v="3"/>
    <n v="2021"/>
    <n v="2"/>
    <s v="Feb"/>
    <x v="20"/>
    <n v="14"/>
    <x v="1"/>
    <n v="10.56"/>
    <n v="15.03"/>
    <n v="6.59"/>
    <n v="0.17"/>
    <n v="32.18"/>
    <n v="32.35"/>
    <m/>
  </r>
  <r>
    <x v="42"/>
    <x v="3"/>
    <n v="2021"/>
    <n v="2"/>
    <s v="Feb"/>
    <x v="21"/>
    <n v="17"/>
    <x v="1"/>
    <n v="25.55"/>
    <n v="30.54"/>
    <n v="88.22"/>
    <n v="2.2000000000000002"/>
    <n v="144.31"/>
    <n v="146.51"/>
    <m/>
  </r>
  <r>
    <x v="42"/>
    <x v="3"/>
    <n v="2021"/>
    <n v="2"/>
    <s v="Feb"/>
    <x v="22"/>
    <n v="15"/>
    <x v="1"/>
    <n v="6.05"/>
    <n v="9.8000000000000007"/>
    <n v="5.18"/>
    <n v="0.03"/>
    <n v="21.03"/>
    <n v="21.06"/>
    <m/>
  </r>
  <r>
    <x v="42"/>
    <x v="3"/>
    <n v="2021"/>
    <n v="2"/>
    <s v="Feb"/>
    <x v="23"/>
    <n v="13"/>
    <x v="1"/>
    <n v="12.01"/>
    <n v="16.54"/>
    <n v="5.91"/>
    <n v="0.37"/>
    <n v="34.46"/>
    <n v="34.83"/>
    <m/>
  </r>
  <r>
    <x v="42"/>
    <x v="3"/>
    <n v="2021"/>
    <n v="2"/>
    <s v="Feb"/>
    <x v="24"/>
    <n v="21"/>
    <x v="1"/>
    <n v="624.16"/>
    <n v="781.06"/>
    <n v="1345.79"/>
    <n v="589.54999999999995"/>
    <n v="2751.01"/>
    <n v="3340.56"/>
    <m/>
  </r>
  <r>
    <x v="42"/>
    <x v="3"/>
    <n v="2021"/>
    <n v="2"/>
    <s v="Feb"/>
    <x v="25"/>
    <n v="34"/>
    <x v="0"/>
    <n v="19.22"/>
    <n v="29.09"/>
    <n v="109.61"/>
    <n v="0.14000000000000001"/>
    <n v="157.91999999999999"/>
    <n v="158.06"/>
    <m/>
  </r>
  <r>
    <x v="42"/>
    <x v="3"/>
    <n v="2021"/>
    <n v="2"/>
    <s v="Feb"/>
    <x v="26"/>
    <n v="3"/>
    <x v="1"/>
    <n v="330.06"/>
    <n v="510.88"/>
    <n v="447.67"/>
    <n v="10.77"/>
    <n v="1288.6099999999999"/>
    <n v="1299.3800000000001"/>
    <m/>
  </r>
  <r>
    <x v="42"/>
    <x v="3"/>
    <n v="2021"/>
    <n v="2"/>
    <s v="Feb"/>
    <x v="27"/>
    <n v="8"/>
    <x v="1"/>
    <n v="814"/>
    <n v="1068.46"/>
    <n v="1154.8499999999999"/>
    <n v="186.39"/>
    <n v="3037.31"/>
    <n v="3223.7"/>
    <m/>
  </r>
  <r>
    <x v="42"/>
    <x v="3"/>
    <n v="2021"/>
    <n v="2"/>
    <s v="Feb"/>
    <x v="28"/>
    <n v="11"/>
    <x v="1"/>
    <n v="12.97"/>
    <n v="18.48"/>
    <n v="190.84"/>
    <n v="0.05"/>
    <n v="222.29"/>
    <n v="222.34"/>
    <m/>
  </r>
  <r>
    <x v="42"/>
    <x v="3"/>
    <n v="2021"/>
    <n v="2"/>
    <s v="Feb"/>
    <x v="29"/>
    <n v="33"/>
    <x v="1"/>
    <n v="1770.87"/>
    <n v="2459.52"/>
    <n v="2109.4899999999998"/>
    <n v="668.33"/>
    <n v="6339.88"/>
    <n v="7008.21"/>
    <m/>
  </r>
  <r>
    <x v="42"/>
    <x v="3"/>
    <n v="2021"/>
    <n v="2"/>
    <s v="Feb"/>
    <x v="30"/>
    <n v="36"/>
    <x v="1"/>
    <n v="900.57"/>
    <n v="1173.4100000000001"/>
    <n v="986.92"/>
    <n v="575.54"/>
    <n v="3060.9"/>
    <n v="3636.44"/>
    <m/>
  </r>
  <r>
    <x v="42"/>
    <x v="3"/>
    <n v="2021"/>
    <n v="2"/>
    <s v="Feb"/>
    <x v="31"/>
    <n v="16"/>
    <x v="1"/>
    <n v="22.75"/>
    <n v="30.76"/>
    <n v="9.1199999999999992"/>
    <n v="0.62"/>
    <n v="62.63"/>
    <n v="63.25"/>
    <m/>
  </r>
  <r>
    <x v="42"/>
    <x v="3"/>
    <n v="2021"/>
    <n v="2"/>
    <s v="Feb"/>
    <x v="32"/>
    <n v="9"/>
    <x v="1"/>
    <n v="1281.2"/>
    <n v="1790.55"/>
    <n v="1626.48"/>
    <n v="1298.4000000000001"/>
    <n v="4698.2299999999996"/>
    <n v="5996.63"/>
    <m/>
  </r>
  <r>
    <x v="42"/>
    <x v="3"/>
    <n v="2021"/>
    <n v="2"/>
    <s v="Feb"/>
    <x v="33"/>
    <n v="5"/>
    <x v="1"/>
    <n v="212.69"/>
    <n v="308.44"/>
    <n v="647.44000000000005"/>
    <n v="12.56"/>
    <n v="1168.57"/>
    <n v="1181.1300000000001"/>
    <m/>
  </r>
  <r>
    <x v="42"/>
    <x v="3"/>
    <n v="2021"/>
    <n v="2"/>
    <s v="Feb"/>
    <x v="34"/>
    <n v="19"/>
    <x v="1"/>
    <n v="1291.8900000000001"/>
    <n v="1563"/>
    <n v="1105.93"/>
    <n v="374.17"/>
    <n v="3960.82"/>
    <n v="4334.99"/>
    <m/>
  </r>
  <r>
    <x v="43"/>
    <x v="3"/>
    <n v="2021"/>
    <n v="3"/>
    <s v="Mar"/>
    <x v="0"/>
    <n v="35"/>
    <x v="0"/>
    <n v="9.7200000000000006"/>
    <n v="12.93"/>
    <n v="2.9"/>
    <n v="0.11"/>
    <n v="25.55"/>
    <n v="25.66"/>
    <m/>
  </r>
  <r>
    <x v="43"/>
    <x v="3"/>
    <n v="2021"/>
    <n v="3"/>
    <s v="Mar"/>
    <x v="1"/>
    <n v="28"/>
    <x v="1"/>
    <n v="590.25"/>
    <n v="803.23"/>
    <n v="1075.06"/>
    <n v="216.54"/>
    <n v="2468.54"/>
    <n v="2685.08"/>
    <m/>
  </r>
  <r>
    <x v="43"/>
    <x v="3"/>
    <n v="2021"/>
    <n v="3"/>
    <s v="Mar"/>
    <x v="2"/>
    <n v="12"/>
    <x v="1"/>
    <n v="38.590000000000003"/>
    <n v="44.79"/>
    <n v="8.6300000000000008"/>
    <n v="0.02"/>
    <n v="92.01"/>
    <n v="92.03"/>
    <m/>
  </r>
  <r>
    <x v="43"/>
    <x v="3"/>
    <n v="2021"/>
    <n v="3"/>
    <s v="Mar"/>
    <x v="3"/>
    <n v="18"/>
    <x v="1"/>
    <n v="319.07"/>
    <n v="399.89"/>
    <n v="257.79000000000002"/>
    <n v="27.89"/>
    <n v="976.75"/>
    <n v="1004.64"/>
    <m/>
  </r>
  <r>
    <x v="43"/>
    <x v="3"/>
    <n v="2021"/>
    <n v="3"/>
    <s v="Mar"/>
    <x v="4"/>
    <n v="10"/>
    <x v="1"/>
    <n v="347.2"/>
    <n v="581.77"/>
    <n v="150.9"/>
    <n v="115.88"/>
    <n v="1079.8699999999999"/>
    <n v="1195.75"/>
    <m/>
  </r>
  <r>
    <x v="43"/>
    <x v="3"/>
    <n v="2021"/>
    <n v="3"/>
    <s v="Mar"/>
    <x v="5"/>
    <n v="4"/>
    <x v="0"/>
    <n v="31.81"/>
    <n v="41.05"/>
    <n v="91.94"/>
    <n v="0.47"/>
    <n v="164.8"/>
    <n v="165.27"/>
    <m/>
  </r>
  <r>
    <x v="43"/>
    <x v="3"/>
    <n v="2021"/>
    <n v="3"/>
    <s v="Mar"/>
    <x v="6"/>
    <n v="22"/>
    <x v="1"/>
    <n v="542.20000000000005"/>
    <n v="622.47"/>
    <n v="890.17"/>
    <n v="489.29"/>
    <n v="2054.84"/>
    <n v="2544.13"/>
    <m/>
  </r>
  <r>
    <x v="43"/>
    <x v="3"/>
    <n v="2021"/>
    <n v="3"/>
    <s v="Mar"/>
    <x v="7"/>
    <n v="38"/>
    <x v="0"/>
    <n v="38.549999999999997"/>
    <n v="50.88"/>
    <n v="202.28"/>
    <n v="7.0000000000000007E-2"/>
    <n v="291.70999999999998"/>
    <n v="291.77999999999997"/>
    <m/>
  </r>
  <r>
    <x v="43"/>
    <x v="3"/>
    <n v="2021"/>
    <n v="3"/>
    <s v="Mar"/>
    <x v="8"/>
    <n v="7"/>
    <x v="0"/>
    <n v="783.41"/>
    <n v="951.94"/>
    <n v="2090.31"/>
    <n v="100.31"/>
    <n v="3825.66"/>
    <n v="3925.97"/>
    <m/>
  </r>
  <r>
    <x v="43"/>
    <x v="3"/>
    <n v="2021"/>
    <n v="3"/>
    <s v="Mar"/>
    <x v="9"/>
    <n v="30"/>
    <x v="1"/>
    <n v="98.18"/>
    <n v="136.06"/>
    <n v="108.26"/>
    <n v="1.78"/>
    <n v="342.5"/>
    <n v="344.28"/>
    <m/>
  </r>
  <r>
    <x v="43"/>
    <x v="3"/>
    <n v="2021"/>
    <n v="3"/>
    <s v="Mar"/>
    <x v="10"/>
    <n v="24"/>
    <x v="1"/>
    <n v="2310.4299999999998"/>
    <n v="2815.06"/>
    <n v="2629.04"/>
    <n v="442.51"/>
    <n v="7754.53"/>
    <n v="8197.0400000000009"/>
    <m/>
  </r>
  <r>
    <x v="43"/>
    <x v="3"/>
    <n v="2021"/>
    <n v="3"/>
    <s v="Mar"/>
    <x v="11"/>
    <n v="6"/>
    <x v="1"/>
    <n v="930.02"/>
    <n v="1260.76"/>
    <n v="3104.72"/>
    <n v="414.11"/>
    <n v="5295.5"/>
    <n v="5709.61"/>
    <m/>
  </r>
  <r>
    <x v="43"/>
    <x v="3"/>
    <n v="2021"/>
    <n v="3"/>
    <s v="Mar"/>
    <x v="12"/>
    <n v="2"/>
    <x v="1"/>
    <n v="117.59"/>
    <n v="157.05000000000001"/>
    <n v="411.72"/>
    <n v="0.52"/>
    <n v="686.36"/>
    <n v="686.88"/>
    <m/>
  </r>
  <r>
    <x v="43"/>
    <x v="3"/>
    <n v="2021"/>
    <n v="3"/>
    <s v="Mar"/>
    <x v="13"/>
    <n v="1"/>
    <x v="0"/>
    <n v="99.41"/>
    <n v="163.18"/>
    <n v="85.98"/>
    <n v="3.05"/>
    <n v="348.57"/>
    <n v="351.62"/>
    <m/>
  </r>
  <r>
    <x v="43"/>
    <x v="3"/>
    <n v="2021"/>
    <n v="3"/>
    <s v="Mar"/>
    <x v="14"/>
    <n v="20"/>
    <x v="1"/>
    <n v="498.21"/>
    <n v="640.27"/>
    <n v="846.43"/>
    <n v="431.22"/>
    <n v="1984.91"/>
    <n v="2416.13"/>
    <m/>
  </r>
  <r>
    <x v="43"/>
    <x v="3"/>
    <n v="2021"/>
    <n v="3"/>
    <s v="Mar"/>
    <x v="15"/>
    <n v="29"/>
    <x v="1"/>
    <n v="1878.91"/>
    <n v="2377.71"/>
    <n v="2834.15"/>
    <n v="824.2"/>
    <n v="7090.77"/>
    <n v="7914.97"/>
    <m/>
  </r>
  <r>
    <x v="43"/>
    <x v="3"/>
    <n v="2021"/>
    <n v="3"/>
    <s v="Mar"/>
    <x v="16"/>
    <n v="32"/>
    <x v="1"/>
    <n v="637.29"/>
    <n v="863.89"/>
    <n v="322.10000000000002"/>
    <n v="4.66"/>
    <n v="1823.28"/>
    <n v="1827.94"/>
    <m/>
  </r>
  <r>
    <x v="43"/>
    <x v="3"/>
    <n v="2021"/>
    <n v="3"/>
    <s v="Mar"/>
    <x v="35"/>
    <n v="37"/>
    <x v="0"/>
    <n v="5.67"/>
    <n v="6.37"/>
    <n v="1.59"/>
    <n v="0.04"/>
    <n v="13.63"/>
    <n v="13.67"/>
    <m/>
  </r>
  <r>
    <x v="43"/>
    <x v="3"/>
    <n v="2021"/>
    <n v="3"/>
    <s v="Mar"/>
    <x v="17"/>
    <n v="31"/>
    <x v="0"/>
    <n v="0.64"/>
    <n v="0.82"/>
    <n v="0.08"/>
    <n v="0"/>
    <n v="1.54"/>
    <n v="1.54"/>
    <m/>
  </r>
  <r>
    <x v="43"/>
    <x v="3"/>
    <n v="2021"/>
    <n v="3"/>
    <s v="Mar"/>
    <x v="18"/>
    <n v="23"/>
    <x v="1"/>
    <n v="669.54"/>
    <n v="847.35"/>
    <n v="755.99"/>
    <n v="455.61"/>
    <n v="2272.88"/>
    <n v="2728.49"/>
    <m/>
  </r>
  <r>
    <x v="43"/>
    <x v="3"/>
    <n v="2021"/>
    <n v="3"/>
    <s v="Mar"/>
    <x v="19"/>
    <n v="27"/>
    <x v="1"/>
    <n v="4833.74"/>
    <n v="5669.22"/>
    <n v="5444.22"/>
    <n v="1091.31"/>
    <n v="15947.18"/>
    <n v="17038.490000000002"/>
    <m/>
  </r>
  <r>
    <x v="43"/>
    <x v="3"/>
    <n v="2021"/>
    <n v="3"/>
    <s v="Mar"/>
    <x v="20"/>
    <n v="14"/>
    <x v="1"/>
    <n v="20.69"/>
    <n v="24.92"/>
    <n v="4.59"/>
    <n v="0.16"/>
    <n v="50.2"/>
    <n v="50.36"/>
    <m/>
  </r>
  <r>
    <x v="43"/>
    <x v="3"/>
    <n v="2021"/>
    <n v="3"/>
    <s v="Mar"/>
    <x v="21"/>
    <n v="17"/>
    <x v="1"/>
    <n v="23.27"/>
    <n v="34.130000000000003"/>
    <n v="94.28"/>
    <n v="0.28000000000000003"/>
    <n v="151.68"/>
    <n v="151.96"/>
    <m/>
  </r>
  <r>
    <x v="43"/>
    <x v="3"/>
    <n v="2021"/>
    <n v="3"/>
    <s v="Mar"/>
    <x v="22"/>
    <n v="15"/>
    <x v="1"/>
    <n v="10.84"/>
    <n v="14.7"/>
    <n v="9.2799999999999994"/>
    <n v="0.1"/>
    <n v="34.82"/>
    <n v="34.92"/>
    <m/>
  </r>
  <r>
    <x v="43"/>
    <x v="3"/>
    <n v="2021"/>
    <n v="3"/>
    <s v="Mar"/>
    <x v="23"/>
    <n v="13"/>
    <x v="1"/>
    <n v="17.23"/>
    <n v="21.64"/>
    <n v="6.04"/>
    <n v="0.56999999999999995"/>
    <n v="44.91"/>
    <n v="45.48"/>
    <m/>
  </r>
  <r>
    <x v="43"/>
    <x v="3"/>
    <n v="2021"/>
    <n v="3"/>
    <s v="Mar"/>
    <x v="24"/>
    <n v="21"/>
    <x v="1"/>
    <n v="762.99"/>
    <n v="954.62"/>
    <n v="1036.5899999999999"/>
    <n v="531.09"/>
    <n v="2754.2"/>
    <n v="3285.29"/>
    <m/>
  </r>
  <r>
    <x v="43"/>
    <x v="3"/>
    <n v="2021"/>
    <n v="3"/>
    <s v="Mar"/>
    <x v="25"/>
    <n v="34"/>
    <x v="0"/>
    <n v="21.33"/>
    <n v="31.68"/>
    <n v="107.9"/>
    <n v="0.13"/>
    <n v="160.91"/>
    <n v="161.04"/>
    <m/>
  </r>
  <r>
    <x v="43"/>
    <x v="3"/>
    <n v="2021"/>
    <n v="3"/>
    <s v="Mar"/>
    <x v="26"/>
    <n v="3"/>
    <x v="1"/>
    <n v="349.54"/>
    <n v="544.35"/>
    <n v="450.88"/>
    <n v="17.079999999999998"/>
    <n v="1344.77"/>
    <n v="1361.85"/>
    <m/>
  </r>
  <r>
    <x v="43"/>
    <x v="3"/>
    <n v="2021"/>
    <n v="3"/>
    <s v="Mar"/>
    <x v="27"/>
    <n v="8"/>
    <x v="1"/>
    <n v="852.35"/>
    <n v="1132.52"/>
    <n v="1236.9100000000001"/>
    <n v="130"/>
    <n v="3221.78"/>
    <n v="3351.78"/>
    <m/>
  </r>
  <r>
    <x v="43"/>
    <x v="3"/>
    <n v="2021"/>
    <n v="3"/>
    <s v="Mar"/>
    <x v="28"/>
    <n v="11"/>
    <x v="1"/>
    <n v="13.66"/>
    <n v="19.95"/>
    <n v="179.82"/>
    <n v="0.23"/>
    <n v="213.43"/>
    <n v="213.66"/>
    <m/>
  </r>
  <r>
    <x v="43"/>
    <x v="3"/>
    <n v="2021"/>
    <n v="3"/>
    <s v="Mar"/>
    <x v="29"/>
    <n v="33"/>
    <x v="1"/>
    <n v="1914.53"/>
    <n v="2568.17"/>
    <n v="2315.88"/>
    <n v="780.59"/>
    <n v="6798.58"/>
    <n v="7579.17"/>
    <m/>
  </r>
  <r>
    <x v="43"/>
    <x v="3"/>
    <n v="2021"/>
    <n v="3"/>
    <s v="Mar"/>
    <x v="30"/>
    <n v="36"/>
    <x v="1"/>
    <n v="1057.6500000000001"/>
    <n v="1343.76"/>
    <n v="1142.6600000000001"/>
    <n v="622.35"/>
    <n v="3544.07"/>
    <n v="4166.42"/>
    <m/>
  </r>
  <r>
    <x v="43"/>
    <x v="3"/>
    <n v="2021"/>
    <n v="3"/>
    <s v="Mar"/>
    <x v="31"/>
    <n v="16"/>
    <x v="1"/>
    <n v="35.340000000000003"/>
    <n v="44.48"/>
    <n v="7.9"/>
    <n v="0.18"/>
    <n v="87.72"/>
    <n v="87.9"/>
    <m/>
  </r>
  <r>
    <x v="43"/>
    <x v="3"/>
    <n v="2021"/>
    <n v="3"/>
    <s v="Mar"/>
    <x v="32"/>
    <n v="9"/>
    <x v="1"/>
    <n v="1533.88"/>
    <n v="2119.04"/>
    <n v="1785.63"/>
    <n v="826.45"/>
    <n v="5438.55"/>
    <n v="6265"/>
    <m/>
  </r>
  <r>
    <x v="43"/>
    <x v="3"/>
    <n v="2021"/>
    <n v="3"/>
    <s v="Mar"/>
    <x v="33"/>
    <n v="5"/>
    <x v="1"/>
    <n v="230.19"/>
    <n v="354.39"/>
    <n v="711.04"/>
    <n v="7.95"/>
    <n v="1295.6199999999999"/>
    <n v="1303.57"/>
    <m/>
  </r>
  <r>
    <x v="43"/>
    <x v="3"/>
    <n v="2021"/>
    <n v="3"/>
    <s v="Mar"/>
    <x v="34"/>
    <n v="19"/>
    <x v="1"/>
    <n v="1342.61"/>
    <n v="1665.1"/>
    <n v="1093.8599999999999"/>
    <n v="285.22000000000003"/>
    <n v="4101.57"/>
    <n v="4386.79"/>
    <m/>
  </r>
  <r>
    <x v="44"/>
    <x v="4"/>
    <n v="2021"/>
    <n v="4"/>
    <s v="Apr"/>
    <x v="0"/>
    <n v="35"/>
    <x v="0"/>
    <n v="23.94"/>
    <n v="32.090000000000003"/>
    <n v="4.5599999999999996"/>
    <n v="0.01"/>
    <n v="60.59"/>
    <n v="60.6"/>
    <m/>
  </r>
  <r>
    <x v="44"/>
    <x v="4"/>
    <n v="2021"/>
    <n v="4"/>
    <s v="Apr"/>
    <x v="1"/>
    <n v="28"/>
    <x v="1"/>
    <n v="804.04"/>
    <n v="1079.07"/>
    <n v="1192.56"/>
    <n v="269.62"/>
    <n v="3075.67"/>
    <n v="3345.29"/>
    <m/>
  </r>
  <r>
    <x v="44"/>
    <x v="4"/>
    <n v="2021"/>
    <n v="4"/>
    <s v="Apr"/>
    <x v="2"/>
    <n v="12"/>
    <x v="1"/>
    <n v="43.65"/>
    <n v="51.05"/>
    <n v="8.32"/>
    <n v="0.22"/>
    <n v="103.02"/>
    <n v="103.24"/>
    <m/>
  </r>
  <r>
    <x v="44"/>
    <x v="4"/>
    <n v="2021"/>
    <n v="4"/>
    <s v="Apr"/>
    <x v="3"/>
    <n v="18"/>
    <x v="1"/>
    <n v="376.46"/>
    <n v="457.33"/>
    <n v="269.04000000000002"/>
    <n v="47.76"/>
    <n v="1102.83"/>
    <n v="1150.5899999999999"/>
    <m/>
  </r>
  <r>
    <x v="44"/>
    <x v="4"/>
    <n v="2021"/>
    <n v="4"/>
    <s v="Apr"/>
    <x v="4"/>
    <n v="10"/>
    <x v="1"/>
    <n v="440.54"/>
    <n v="675.73"/>
    <n v="227.95"/>
    <n v="164"/>
    <n v="1344.22"/>
    <n v="1508.22"/>
    <m/>
  </r>
  <r>
    <x v="44"/>
    <x v="4"/>
    <n v="2021"/>
    <n v="4"/>
    <s v="Apr"/>
    <x v="5"/>
    <n v="4"/>
    <x v="0"/>
    <n v="35.28"/>
    <n v="48.97"/>
    <n v="118.23"/>
    <n v="0.81"/>
    <n v="202.48"/>
    <n v="203.29"/>
    <m/>
  </r>
  <r>
    <x v="44"/>
    <x v="4"/>
    <n v="2021"/>
    <n v="4"/>
    <s v="Apr"/>
    <x v="6"/>
    <n v="22"/>
    <x v="1"/>
    <n v="514.13"/>
    <n v="586.17999999999995"/>
    <n v="869.88"/>
    <n v="702.39"/>
    <n v="1970.19"/>
    <n v="2672.58"/>
    <m/>
  </r>
  <r>
    <x v="44"/>
    <x v="4"/>
    <n v="2021"/>
    <n v="4"/>
    <s v="Apr"/>
    <x v="7"/>
    <n v="38"/>
    <x v="0"/>
    <n v="35.94"/>
    <n v="45.8"/>
    <n v="211.06"/>
    <n v="0.06"/>
    <n v="292.8"/>
    <n v="292.86"/>
    <m/>
  </r>
  <r>
    <x v="44"/>
    <x v="4"/>
    <n v="2021"/>
    <n v="4"/>
    <s v="Apr"/>
    <x v="8"/>
    <n v="7"/>
    <x v="0"/>
    <n v="1146.0999999999999"/>
    <n v="1375.87"/>
    <n v="2449.0300000000002"/>
    <n v="82.29"/>
    <n v="4971"/>
    <n v="5053.29"/>
    <m/>
  </r>
  <r>
    <x v="44"/>
    <x v="4"/>
    <n v="2021"/>
    <n v="4"/>
    <s v="Apr"/>
    <x v="9"/>
    <n v="30"/>
    <x v="1"/>
    <n v="107.41"/>
    <n v="146.84"/>
    <n v="143.85"/>
    <n v="2.62"/>
    <n v="398.1"/>
    <n v="400.72"/>
    <m/>
  </r>
  <r>
    <x v="44"/>
    <x v="4"/>
    <n v="2021"/>
    <n v="4"/>
    <s v="Apr"/>
    <x v="10"/>
    <n v="24"/>
    <x v="1"/>
    <n v="2769.85"/>
    <n v="3323.04"/>
    <n v="2967.19"/>
    <n v="572.28"/>
    <n v="9060.08"/>
    <n v="9632.36"/>
    <m/>
  </r>
  <r>
    <x v="44"/>
    <x v="4"/>
    <n v="2021"/>
    <n v="4"/>
    <s v="Apr"/>
    <x v="11"/>
    <n v="6"/>
    <x v="1"/>
    <n v="1038.46"/>
    <n v="1450.92"/>
    <n v="3677.26"/>
    <n v="491.67"/>
    <n v="6166.64"/>
    <n v="6658.31"/>
    <m/>
  </r>
  <r>
    <x v="44"/>
    <x v="4"/>
    <n v="2021"/>
    <n v="4"/>
    <s v="Apr"/>
    <x v="12"/>
    <n v="2"/>
    <x v="1"/>
    <n v="142.41"/>
    <n v="196.7"/>
    <n v="423.87"/>
    <n v="0.87"/>
    <n v="762.98"/>
    <n v="763.85"/>
    <m/>
  </r>
  <r>
    <x v="44"/>
    <x v="4"/>
    <n v="2021"/>
    <n v="4"/>
    <s v="Apr"/>
    <x v="13"/>
    <n v="1"/>
    <x v="0"/>
    <n v="150.80000000000001"/>
    <n v="244.63"/>
    <n v="109.02"/>
    <n v="4.42"/>
    <n v="504.45"/>
    <n v="508.87"/>
    <m/>
  </r>
  <r>
    <x v="44"/>
    <x v="4"/>
    <n v="2021"/>
    <n v="4"/>
    <s v="Apr"/>
    <x v="14"/>
    <n v="20"/>
    <x v="1"/>
    <n v="574.44000000000005"/>
    <n v="734.3"/>
    <n v="1103.5899999999999"/>
    <n v="543.92999999999995"/>
    <n v="2412.33"/>
    <n v="2956.26"/>
    <m/>
  </r>
  <r>
    <x v="44"/>
    <x v="4"/>
    <n v="2021"/>
    <n v="4"/>
    <s v="Apr"/>
    <x v="15"/>
    <n v="29"/>
    <x v="1"/>
    <n v="2438.17"/>
    <n v="3064.05"/>
    <n v="3570.32"/>
    <n v="882.87"/>
    <n v="9072.5400000000009"/>
    <n v="9955.41"/>
    <m/>
  </r>
  <r>
    <x v="44"/>
    <x v="4"/>
    <n v="2021"/>
    <n v="4"/>
    <s v="Apr"/>
    <x v="16"/>
    <n v="32"/>
    <x v="1"/>
    <n v="796.31"/>
    <n v="1075.8800000000001"/>
    <n v="582.29999999999995"/>
    <n v="11.83"/>
    <n v="2454.4899999999998"/>
    <n v="2466.3200000000002"/>
    <m/>
  </r>
  <r>
    <x v="44"/>
    <x v="4"/>
    <n v="2021"/>
    <n v="4"/>
    <s v="Apr"/>
    <x v="35"/>
    <n v="37"/>
    <x v="0"/>
    <n v="12.02"/>
    <n v="15.33"/>
    <n v="3.44"/>
    <n v="0.02"/>
    <n v="30.79"/>
    <n v="30.81"/>
    <m/>
  </r>
  <r>
    <x v="44"/>
    <x v="4"/>
    <n v="2021"/>
    <n v="4"/>
    <s v="Apr"/>
    <x v="17"/>
    <n v="31"/>
    <x v="0"/>
    <n v="1.62"/>
    <n v="1.76"/>
    <n v="0.34"/>
    <n v="0"/>
    <n v="3.72"/>
    <n v="3.72"/>
    <m/>
  </r>
  <r>
    <x v="44"/>
    <x v="4"/>
    <n v="2021"/>
    <n v="4"/>
    <s v="Apr"/>
    <x v="18"/>
    <n v="23"/>
    <x v="1"/>
    <n v="745.02"/>
    <n v="970.14"/>
    <n v="796.31"/>
    <n v="538.55999999999995"/>
    <n v="2511.4699999999998"/>
    <n v="3050.03"/>
    <m/>
  </r>
  <r>
    <x v="44"/>
    <x v="4"/>
    <n v="2021"/>
    <n v="4"/>
    <s v="Apr"/>
    <x v="19"/>
    <n v="27"/>
    <x v="1"/>
    <n v="5900.29"/>
    <n v="7029.04"/>
    <n v="8012.67"/>
    <n v="1070.6199999999999"/>
    <n v="20942"/>
    <n v="22012.62"/>
    <m/>
  </r>
  <r>
    <x v="44"/>
    <x v="4"/>
    <n v="2021"/>
    <n v="4"/>
    <s v="Apr"/>
    <x v="20"/>
    <n v="14"/>
    <x v="1"/>
    <n v="43.43"/>
    <n v="55.39"/>
    <n v="3.61"/>
    <n v="0.25"/>
    <n v="102.43"/>
    <n v="102.68"/>
    <m/>
  </r>
  <r>
    <x v="44"/>
    <x v="4"/>
    <n v="2021"/>
    <n v="4"/>
    <s v="Apr"/>
    <x v="21"/>
    <n v="17"/>
    <x v="1"/>
    <n v="39.67"/>
    <n v="46.35"/>
    <n v="119.67"/>
    <n v="0.43"/>
    <n v="205.69"/>
    <n v="206.12"/>
    <m/>
  </r>
  <r>
    <x v="44"/>
    <x v="4"/>
    <n v="2021"/>
    <n v="4"/>
    <s v="Apr"/>
    <x v="22"/>
    <n v="15"/>
    <x v="1"/>
    <n v="22.14"/>
    <n v="30.1"/>
    <n v="5.09"/>
    <n v="0.01"/>
    <n v="57.33"/>
    <n v="57.34"/>
    <m/>
  </r>
  <r>
    <x v="44"/>
    <x v="4"/>
    <n v="2021"/>
    <n v="4"/>
    <s v="Apr"/>
    <x v="23"/>
    <n v="13"/>
    <x v="1"/>
    <n v="19.13"/>
    <n v="24.38"/>
    <n v="7.62"/>
    <n v="0.47"/>
    <n v="51.13"/>
    <n v="51.6"/>
    <m/>
  </r>
  <r>
    <x v="44"/>
    <x v="4"/>
    <n v="2021"/>
    <n v="4"/>
    <s v="Apr"/>
    <x v="24"/>
    <n v="21"/>
    <x v="1"/>
    <n v="952.43"/>
    <n v="1126.67"/>
    <n v="1157.05"/>
    <n v="613.33000000000004"/>
    <n v="3236.15"/>
    <n v="3849.48"/>
    <m/>
  </r>
  <r>
    <x v="44"/>
    <x v="4"/>
    <n v="2021"/>
    <n v="4"/>
    <s v="Apr"/>
    <x v="25"/>
    <n v="34"/>
    <x v="0"/>
    <n v="22.03"/>
    <n v="34.979999999999997"/>
    <n v="112.2"/>
    <n v="0.28000000000000003"/>
    <n v="169.21"/>
    <n v="169.49"/>
    <m/>
  </r>
  <r>
    <x v="44"/>
    <x v="4"/>
    <n v="2021"/>
    <n v="4"/>
    <s v="Apr"/>
    <x v="26"/>
    <n v="3"/>
    <x v="1"/>
    <n v="466.4"/>
    <n v="728.68"/>
    <n v="708.49"/>
    <n v="20.53"/>
    <n v="1903.57"/>
    <n v="1924.1"/>
    <m/>
  </r>
  <r>
    <x v="44"/>
    <x v="4"/>
    <n v="2021"/>
    <n v="4"/>
    <s v="Apr"/>
    <x v="27"/>
    <n v="8"/>
    <x v="1"/>
    <n v="1044.75"/>
    <n v="1368.78"/>
    <n v="1276.01"/>
    <n v="130.79"/>
    <n v="3689.54"/>
    <n v="3820.33"/>
    <m/>
  </r>
  <r>
    <x v="44"/>
    <x v="4"/>
    <n v="2021"/>
    <n v="4"/>
    <s v="Apr"/>
    <x v="28"/>
    <n v="11"/>
    <x v="1"/>
    <n v="25.02"/>
    <n v="34.94"/>
    <n v="197.75"/>
    <n v="0.15"/>
    <n v="257.70999999999998"/>
    <n v="257.86"/>
    <m/>
  </r>
  <r>
    <x v="44"/>
    <x v="4"/>
    <n v="2021"/>
    <n v="4"/>
    <s v="Apr"/>
    <x v="29"/>
    <n v="33"/>
    <x v="1"/>
    <n v="2294.0300000000002"/>
    <n v="3121.79"/>
    <n v="3022.38"/>
    <n v="411.17"/>
    <n v="8438.2000000000007"/>
    <n v="8849.3700000000008"/>
    <m/>
  </r>
  <r>
    <x v="44"/>
    <x v="4"/>
    <n v="2021"/>
    <n v="4"/>
    <s v="Apr"/>
    <x v="30"/>
    <n v="36"/>
    <x v="1"/>
    <n v="1121.6600000000001"/>
    <n v="1460.28"/>
    <n v="1251.08"/>
    <n v="429.13"/>
    <n v="3833.02"/>
    <n v="4262.1499999999996"/>
    <m/>
  </r>
  <r>
    <x v="44"/>
    <x v="4"/>
    <n v="2021"/>
    <n v="4"/>
    <s v="Apr"/>
    <x v="31"/>
    <n v="16"/>
    <x v="1"/>
    <n v="43.53"/>
    <n v="56.93"/>
    <n v="9.4499999999999993"/>
    <n v="0.16"/>
    <n v="109.91"/>
    <n v="110.07"/>
    <m/>
  </r>
  <r>
    <x v="44"/>
    <x v="4"/>
    <n v="2021"/>
    <n v="4"/>
    <s v="Apr"/>
    <x v="32"/>
    <n v="9"/>
    <x v="1"/>
    <n v="1746.12"/>
    <n v="2493.75"/>
    <n v="2031.18"/>
    <n v="1083.95"/>
    <n v="6271.05"/>
    <n v="7355"/>
    <m/>
  </r>
  <r>
    <x v="44"/>
    <x v="4"/>
    <n v="2021"/>
    <n v="4"/>
    <s v="Apr"/>
    <x v="33"/>
    <n v="5"/>
    <x v="1"/>
    <n v="256.16000000000003"/>
    <n v="389.9"/>
    <n v="761.4"/>
    <n v="14.47"/>
    <n v="1407.46"/>
    <n v="1421.93"/>
    <m/>
  </r>
  <r>
    <x v="44"/>
    <x v="4"/>
    <n v="2021"/>
    <n v="4"/>
    <s v="Apr"/>
    <x v="34"/>
    <n v="19"/>
    <x v="1"/>
    <n v="1624.73"/>
    <n v="2019.54"/>
    <n v="1219.83"/>
    <n v="371.75"/>
    <n v="4864.1000000000004"/>
    <n v="5235.8500000000004"/>
    <m/>
  </r>
  <r>
    <x v="45"/>
    <x v="4"/>
    <n v="2021"/>
    <n v="5"/>
    <s v="May"/>
    <x v="0"/>
    <n v="35"/>
    <x v="0"/>
    <n v="19.420000000000002"/>
    <n v="25.84"/>
    <n v="3.04"/>
    <n v="0"/>
    <n v="48.3"/>
    <n v="48.3"/>
    <m/>
  </r>
  <r>
    <x v="45"/>
    <x v="4"/>
    <n v="2021"/>
    <n v="5"/>
    <s v="May"/>
    <x v="1"/>
    <n v="28"/>
    <x v="1"/>
    <n v="431.5"/>
    <n v="611.37"/>
    <n v="856.47"/>
    <n v="174.56"/>
    <n v="1899.34"/>
    <n v="2073.9"/>
    <m/>
  </r>
  <r>
    <x v="45"/>
    <x v="4"/>
    <n v="2021"/>
    <n v="5"/>
    <s v="May"/>
    <x v="2"/>
    <n v="12"/>
    <x v="1"/>
    <n v="13.7"/>
    <n v="17.649999999999999"/>
    <n v="5.13"/>
    <n v="0.01"/>
    <n v="36.479999999999997"/>
    <n v="36.49"/>
    <m/>
  </r>
  <r>
    <x v="45"/>
    <x v="4"/>
    <n v="2021"/>
    <n v="5"/>
    <s v="May"/>
    <x v="3"/>
    <n v="18"/>
    <x v="1"/>
    <n v="218.68"/>
    <n v="294.68"/>
    <n v="234.72"/>
    <n v="21.53"/>
    <n v="748.08"/>
    <n v="769.61"/>
    <m/>
  </r>
  <r>
    <x v="45"/>
    <x v="4"/>
    <n v="2021"/>
    <n v="5"/>
    <s v="May"/>
    <x v="4"/>
    <n v="10"/>
    <x v="1"/>
    <n v="198.92"/>
    <n v="366.65"/>
    <n v="110.92"/>
    <n v="172.55"/>
    <n v="676.49"/>
    <n v="849.04"/>
    <m/>
  </r>
  <r>
    <x v="45"/>
    <x v="4"/>
    <n v="2021"/>
    <n v="5"/>
    <s v="May"/>
    <x v="5"/>
    <n v="4"/>
    <x v="0"/>
    <n v="21.68"/>
    <n v="25.5"/>
    <n v="81.569999999999993"/>
    <n v="1.21"/>
    <n v="128.75"/>
    <n v="129.96"/>
    <m/>
  </r>
  <r>
    <x v="45"/>
    <x v="4"/>
    <n v="2021"/>
    <n v="5"/>
    <s v="May"/>
    <x v="6"/>
    <n v="22"/>
    <x v="1"/>
    <n v="337.88"/>
    <n v="389.15"/>
    <n v="774.06"/>
    <n v="524.88"/>
    <n v="1501.09"/>
    <n v="2025.97"/>
    <m/>
  </r>
  <r>
    <x v="45"/>
    <x v="4"/>
    <n v="2021"/>
    <n v="5"/>
    <s v="May"/>
    <x v="7"/>
    <n v="38"/>
    <x v="0"/>
    <n v="28.1"/>
    <n v="34.799999999999997"/>
    <n v="165.61"/>
    <n v="0.09"/>
    <n v="228.51"/>
    <n v="228.6"/>
    <m/>
  </r>
  <r>
    <x v="45"/>
    <x v="4"/>
    <n v="2021"/>
    <n v="5"/>
    <s v="May"/>
    <x v="8"/>
    <n v="7"/>
    <x v="0"/>
    <n v="538.04"/>
    <n v="624.07000000000005"/>
    <n v="1533.24"/>
    <n v="75.48"/>
    <n v="2695.35"/>
    <n v="2770.83"/>
    <m/>
  </r>
  <r>
    <x v="45"/>
    <x v="4"/>
    <n v="2021"/>
    <n v="5"/>
    <s v="May"/>
    <x v="9"/>
    <n v="30"/>
    <x v="1"/>
    <n v="52.01"/>
    <n v="74.459999999999994"/>
    <n v="101.52"/>
    <n v="0.97"/>
    <n v="227.99"/>
    <n v="228.96"/>
    <m/>
  </r>
  <r>
    <x v="45"/>
    <x v="4"/>
    <n v="2021"/>
    <n v="5"/>
    <s v="May"/>
    <x v="10"/>
    <n v="24"/>
    <x v="1"/>
    <n v="1655.66"/>
    <n v="2042.77"/>
    <n v="2074.08"/>
    <n v="609.29"/>
    <n v="5772.51"/>
    <n v="6381.8"/>
    <m/>
  </r>
  <r>
    <x v="45"/>
    <x v="4"/>
    <n v="2021"/>
    <n v="5"/>
    <s v="May"/>
    <x v="11"/>
    <n v="6"/>
    <x v="1"/>
    <n v="722.18"/>
    <n v="921.83"/>
    <n v="2591.7399999999998"/>
    <n v="427.23"/>
    <n v="4235.75"/>
    <n v="4662.9799999999996"/>
    <m/>
  </r>
  <r>
    <x v="45"/>
    <x v="4"/>
    <n v="2021"/>
    <n v="5"/>
    <s v="May"/>
    <x v="12"/>
    <n v="2"/>
    <x v="1"/>
    <n v="75.16"/>
    <n v="109.61"/>
    <n v="354.68"/>
    <n v="0.63"/>
    <n v="539.45000000000005"/>
    <n v="540.08000000000004"/>
    <m/>
  </r>
  <r>
    <x v="45"/>
    <x v="4"/>
    <n v="2021"/>
    <n v="5"/>
    <s v="May"/>
    <x v="13"/>
    <n v="1"/>
    <x v="0"/>
    <n v="60.74"/>
    <n v="93.22"/>
    <n v="74.39"/>
    <n v="3.68"/>
    <n v="228.35"/>
    <n v="232.03"/>
    <m/>
  </r>
  <r>
    <x v="45"/>
    <x v="4"/>
    <n v="2021"/>
    <n v="5"/>
    <s v="May"/>
    <x v="14"/>
    <n v="20"/>
    <x v="1"/>
    <n v="300.81"/>
    <n v="382.32"/>
    <n v="841.35"/>
    <n v="488.51"/>
    <n v="1524.48"/>
    <n v="2012.99"/>
    <m/>
  </r>
  <r>
    <x v="45"/>
    <x v="4"/>
    <n v="2021"/>
    <n v="5"/>
    <s v="May"/>
    <x v="15"/>
    <n v="29"/>
    <x v="1"/>
    <n v="1229.73"/>
    <n v="1538.5"/>
    <n v="2156.7600000000002"/>
    <n v="828.88"/>
    <n v="4924.99"/>
    <n v="5753.87"/>
    <m/>
  </r>
  <r>
    <x v="45"/>
    <x v="4"/>
    <n v="2021"/>
    <n v="5"/>
    <s v="May"/>
    <x v="16"/>
    <n v="32"/>
    <x v="1"/>
    <n v="319.92"/>
    <n v="477.18"/>
    <n v="346.99"/>
    <n v="2.4300000000000002"/>
    <n v="1144.0899999999999"/>
    <n v="1146.52"/>
    <m/>
  </r>
  <r>
    <x v="45"/>
    <x v="4"/>
    <n v="2021"/>
    <n v="5"/>
    <s v="May"/>
    <x v="35"/>
    <n v="37"/>
    <x v="0"/>
    <n v="1.81"/>
    <n v="3.05"/>
    <n v="0.45"/>
    <n v="0"/>
    <n v="5.31"/>
    <n v="5.31"/>
    <m/>
  </r>
  <r>
    <x v="45"/>
    <x v="4"/>
    <n v="2021"/>
    <n v="5"/>
    <s v="May"/>
    <x v="17"/>
    <n v="31"/>
    <x v="0"/>
    <n v="0.09"/>
    <n v="0.15"/>
    <n v="0.03"/>
    <n v="0"/>
    <n v="0.27"/>
    <n v="0.27"/>
    <m/>
  </r>
  <r>
    <x v="45"/>
    <x v="4"/>
    <n v="2021"/>
    <n v="5"/>
    <s v="May"/>
    <x v="18"/>
    <n v="23"/>
    <x v="1"/>
    <n v="382.9"/>
    <n v="491.04"/>
    <n v="578.98"/>
    <n v="475.48"/>
    <n v="1452.92"/>
    <n v="1928.4"/>
    <m/>
  </r>
  <r>
    <x v="45"/>
    <x v="4"/>
    <n v="2021"/>
    <n v="5"/>
    <s v="May"/>
    <x v="19"/>
    <n v="27"/>
    <x v="1"/>
    <n v="3760.78"/>
    <n v="4433.1899999999996"/>
    <n v="4360.53"/>
    <n v="1010.93"/>
    <n v="12554.5"/>
    <n v="13565.43"/>
    <m/>
  </r>
  <r>
    <x v="45"/>
    <x v="4"/>
    <n v="2021"/>
    <n v="5"/>
    <s v="May"/>
    <x v="20"/>
    <n v="14"/>
    <x v="1"/>
    <n v="7.71"/>
    <n v="10.53"/>
    <n v="3.37"/>
    <n v="0"/>
    <n v="21.61"/>
    <n v="21.61"/>
    <m/>
  </r>
  <r>
    <x v="45"/>
    <x v="4"/>
    <n v="2021"/>
    <n v="5"/>
    <s v="May"/>
    <x v="21"/>
    <n v="17"/>
    <x v="1"/>
    <n v="14.23"/>
    <n v="16.75"/>
    <n v="93.14"/>
    <n v="0.21"/>
    <n v="124.12"/>
    <n v="124.33"/>
    <m/>
  </r>
  <r>
    <x v="45"/>
    <x v="4"/>
    <n v="2021"/>
    <n v="5"/>
    <s v="May"/>
    <x v="22"/>
    <n v="15"/>
    <x v="1"/>
    <n v="4.9400000000000004"/>
    <n v="6.89"/>
    <n v="2.89"/>
    <n v="0.01"/>
    <n v="14.72"/>
    <n v="14.73"/>
    <m/>
  </r>
  <r>
    <x v="45"/>
    <x v="4"/>
    <n v="2021"/>
    <n v="5"/>
    <s v="May"/>
    <x v="23"/>
    <n v="13"/>
    <x v="1"/>
    <n v="11.27"/>
    <n v="14.63"/>
    <n v="3.46"/>
    <n v="0.05"/>
    <n v="29.36"/>
    <n v="29.41"/>
    <m/>
  </r>
  <r>
    <x v="45"/>
    <x v="4"/>
    <n v="2021"/>
    <n v="5"/>
    <s v="May"/>
    <x v="24"/>
    <n v="21"/>
    <x v="1"/>
    <n v="690.32"/>
    <n v="827.43"/>
    <n v="1094.7"/>
    <n v="584.29999999999995"/>
    <n v="2612.4499999999998"/>
    <n v="3196.75"/>
    <m/>
  </r>
  <r>
    <x v="45"/>
    <x v="4"/>
    <n v="2021"/>
    <n v="5"/>
    <s v="May"/>
    <x v="25"/>
    <n v="34"/>
    <x v="0"/>
    <n v="11.67"/>
    <n v="17.3"/>
    <n v="93.75"/>
    <n v="0.4"/>
    <n v="122.72"/>
    <n v="123.12"/>
    <m/>
  </r>
  <r>
    <x v="45"/>
    <x v="4"/>
    <n v="2021"/>
    <n v="5"/>
    <s v="May"/>
    <x v="26"/>
    <n v="3"/>
    <x v="1"/>
    <n v="288.27"/>
    <n v="462.95"/>
    <n v="493.13"/>
    <n v="21.43"/>
    <n v="1244.3499999999999"/>
    <n v="1265.78"/>
    <m/>
  </r>
  <r>
    <x v="45"/>
    <x v="4"/>
    <n v="2021"/>
    <n v="5"/>
    <s v="May"/>
    <x v="27"/>
    <n v="8"/>
    <x v="1"/>
    <n v="579.26"/>
    <n v="782.08"/>
    <n v="913.53"/>
    <n v="189.01"/>
    <n v="2274.87"/>
    <n v="2463.88"/>
    <m/>
  </r>
  <r>
    <x v="45"/>
    <x v="4"/>
    <n v="2021"/>
    <n v="5"/>
    <s v="May"/>
    <x v="28"/>
    <n v="11"/>
    <x v="1"/>
    <n v="10.3"/>
    <n v="11.87"/>
    <n v="227.6"/>
    <n v="0.03"/>
    <n v="249.77"/>
    <n v="249.8"/>
    <m/>
  </r>
  <r>
    <x v="45"/>
    <x v="4"/>
    <n v="2021"/>
    <n v="5"/>
    <s v="May"/>
    <x v="29"/>
    <n v="33"/>
    <x v="1"/>
    <n v="1325.49"/>
    <n v="1764.11"/>
    <n v="1834.61"/>
    <n v="667.52"/>
    <n v="4924.21"/>
    <n v="5591.73"/>
    <m/>
  </r>
  <r>
    <x v="45"/>
    <x v="4"/>
    <n v="2021"/>
    <n v="5"/>
    <s v="May"/>
    <x v="30"/>
    <n v="36"/>
    <x v="1"/>
    <n v="622.63"/>
    <n v="856.3"/>
    <n v="904.67"/>
    <n v="600.76"/>
    <n v="2383.6"/>
    <n v="2984.36"/>
    <m/>
  </r>
  <r>
    <x v="45"/>
    <x v="4"/>
    <n v="2021"/>
    <n v="5"/>
    <s v="May"/>
    <x v="31"/>
    <n v="16"/>
    <x v="1"/>
    <n v="13.9"/>
    <n v="19.22"/>
    <n v="5.98"/>
    <n v="0.05"/>
    <n v="39.1"/>
    <n v="39.15"/>
    <m/>
  </r>
  <r>
    <x v="45"/>
    <x v="4"/>
    <n v="2021"/>
    <n v="5"/>
    <s v="May"/>
    <x v="32"/>
    <n v="9"/>
    <x v="1"/>
    <n v="1002.21"/>
    <n v="1436.93"/>
    <n v="1223.24"/>
    <n v="1047.18"/>
    <n v="3662.38"/>
    <n v="4709.5600000000004"/>
    <m/>
  </r>
  <r>
    <x v="45"/>
    <x v="4"/>
    <n v="2021"/>
    <n v="5"/>
    <s v="May"/>
    <x v="33"/>
    <n v="5"/>
    <x v="1"/>
    <n v="156.33000000000001"/>
    <n v="224.74"/>
    <n v="503.27"/>
    <n v="9.07"/>
    <n v="884.34"/>
    <n v="893.41"/>
    <m/>
  </r>
  <r>
    <x v="45"/>
    <x v="4"/>
    <n v="2021"/>
    <n v="5"/>
    <s v="May"/>
    <x v="34"/>
    <n v="19"/>
    <x v="1"/>
    <n v="1007.05"/>
    <n v="1322.1"/>
    <n v="842.2"/>
    <n v="418.86"/>
    <n v="3171.35"/>
    <n v="3590.21"/>
    <m/>
  </r>
  <r>
    <x v="46"/>
    <x v="4"/>
    <n v="2021"/>
    <n v="6"/>
    <s v="Jun"/>
    <x v="0"/>
    <n v="35"/>
    <x v="0"/>
    <n v="4.25"/>
    <n v="5.62"/>
    <n v="1.66"/>
    <n v="0.01"/>
    <n v="11.53"/>
    <n v="11.54"/>
    <m/>
  </r>
  <r>
    <x v="46"/>
    <x v="4"/>
    <n v="2021"/>
    <n v="6"/>
    <s v="Jun"/>
    <x v="1"/>
    <n v="28"/>
    <x v="1"/>
    <n v="512.11"/>
    <n v="653.82000000000005"/>
    <n v="784.26"/>
    <n v="100.57"/>
    <n v="1950.19"/>
    <n v="2050.7600000000002"/>
    <m/>
  </r>
  <r>
    <x v="46"/>
    <x v="4"/>
    <n v="2021"/>
    <n v="6"/>
    <s v="Jun"/>
    <x v="2"/>
    <n v="12"/>
    <x v="1"/>
    <n v="13.18"/>
    <n v="15.91"/>
    <n v="3.87"/>
    <n v="0.13"/>
    <n v="32.96"/>
    <n v="33.090000000000003"/>
    <m/>
  </r>
  <r>
    <x v="46"/>
    <x v="4"/>
    <n v="2021"/>
    <n v="6"/>
    <s v="Jun"/>
    <x v="3"/>
    <n v="18"/>
    <x v="1"/>
    <n v="187.91"/>
    <n v="235.16"/>
    <n v="208.82"/>
    <n v="29.93"/>
    <n v="631.89"/>
    <n v="661.82"/>
    <m/>
  </r>
  <r>
    <x v="46"/>
    <x v="4"/>
    <n v="2021"/>
    <n v="6"/>
    <s v="Jun"/>
    <x v="4"/>
    <n v="10"/>
    <x v="1"/>
    <n v="242.46"/>
    <n v="368.62"/>
    <n v="119.86"/>
    <n v="158.01"/>
    <n v="730.94"/>
    <n v="888.95"/>
    <m/>
  </r>
  <r>
    <x v="46"/>
    <x v="4"/>
    <n v="2021"/>
    <n v="6"/>
    <s v="Jun"/>
    <x v="5"/>
    <n v="4"/>
    <x v="0"/>
    <n v="21.01"/>
    <n v="28.42"/>
    <n v="69.64"/>
    <n v="1.38"/>
    <n v="119.07"/>
    <n v="120.45"/>
    <m/>
  </r>
  <r>
    <x v="46"/>
    <x v="4"/>
    <n v="2021"/>
    <n v="6"/>
    <s v="Jun"/>
    <x v="6"/>
    <n v="22"/>
    <x v="1"/>
    <n v="439.57"/>
    <n v="488.1"/>
    <n v="744.44"/>
    <n v="557.51"/>
    <n v="1672.11"/>
    <n v="2229.62"/>
    <m/>
  </r>
  <r>
    <x v="46"/>
    <x v="4"/>
    <n v="2021"/>
    <n v="6"/>
    <s v="Jun"/>
    <x v="7"/>
    <n v="38"/>
    <x v="0"/>
    <n v="38.82"/>
    <n v="46.86"/>
    <n v="157.35"/>
    <n v="0.08"/>
    <n v="243.03"/>
    <n v="243.11"/>
    <m/>
  </r>
  <r>
    <x v="46"/>
    <x v="4"/>
    <n v="2021"/>
    <n v="6"/>
    <s v="Jun"/>
    <x v="8"/>
    <n v="7"/>
    <x v="0"/>
    <n v="497.13"/>
    <n v="601.89"/>
    <n v="1494.28"/>
    <n v="62.32"/>
    <n v="2593.3000000000002"/>
    <n v="2655.62"/>
    <m/>
  </r>
  <r>
    <x v="46"/>
    <x v="4"/>
    <n v="2021"/>
    <n v="6"/>
    <s v="Jun"/>
    <x v="9"/>
    <n v="30"/>
    <x v="1"/>
    <n v="65.5"/>
    <n v="84.45"/>
    <n v="105.09"/>
    <n v="1.29"/>
    <n v="255.04"/>
    <n v="256.33"/>
    <m/>
  </r>
  <r>
    <x v="46"/>
    <x v="4"/>
    <n v="2021"/>
    <n v="6"/>
    <s v="Jun"/>
    <x v="10"/>
    <n v="24"/>
    <x v="1"/>
    <n v="1739.55"/>
    <n v="2081.7199999999998"/>
    <n v="1952.49"/>
    <n v="353.97"/>
    <n v="5773.76"/>
    <n v="6127.73"/>
    <m/>
  </r>
  <r>
    <x v="46"/>
    <x v="4"/>
    <n v="2021"/>
    <n v="6"/>
    <s v="Jun"/>
    <x v="11"/>
    <n v="6"/>
    <x v="1"/>
    <n v="678.7"/>
    <n v="870.28"/>
    <n v="2096.92"/>
    <n v="155.09"/>
    <n v="3645.9"/>
    <n v="3800.99"/>
    <m/>
  </r>
  <r>
    <x v="46"/>
    <x v="4"/>
    <n v="2021"/>
    <n v="6"/>
    <s v="Jun"/>
    <x v="12"/>
    <n v="2"/>
    <x v="1"/>
    <n v="87.31"/>
    <n v="119.87"/>
    <n v="311.13"/>
    <n v="0.78"/>
    <n v="518.30999999999995"/>
    <n v="519.09"/>
    <m/>
  </r>
  <r>
    <x v="46"/>
    <x v="4"/>
    <n v="2021"/>
    <n v="6"/>
    <s v="Jun"/>
    <x v="13"/>
    <n v="1"/>
    <x v="0"/>
    <n v="75.58"/>
    <n v="123.78"/>
    <n v="95.25"/>
    <n v="5.13"/>
    <n v="294.61"/>
    <n v="299.74"/>
    <m/>
  </r>
  <r>
    <x v="46"/>
    <x v="4"/>
    <n v="2021"/>
    <n v="6"/>
    <s v="Jun"/>
    <x v="14"/>
    <n v="20"/>
    <x v="1"/>
    <n v="316.16000000000003"/>
    <n v="391.82"/>
    <n v="843.62"/>
    <n v="479.94"/>
    <n v="1551.6"/>
    <n v="2031.54"/>
    <m/>
  </r>
  <r>
    <x v="46"/>
    <x v="4"/>
    <n v="2021"/>
    <n v="6"/>
    <s v="Jun"/>
    <x v="15"/>
    <n v="29"/>
    <x v="1"/>
    <n v="1237.19"/>
    <n v="1501.72"/>
    <n v="2119.16"/>
    <n v="245.02"/>
    <n v="4858.07"/>
    <n v="5103.09"/>
    <m/>
  </r>
  <r>
    <x v="46"/>
    <x v="4"/>
    <n v="2021"/>
    <n v="6"/>
    <s v="Jun"/>
    <x v="16"/>
    <n v="32"/>
    <x v="1"/>
    <n v="313.19"/>
    <n v="438.46"/>
    <n v="244.61"/>
    <n v="2.12"/>
    <n v="996.26"/>
    <n v="998.38"/>
    <m/>
  </r>
  <r>
    <x v="46"/>
    <x v="4"/>
    <n v="2021"/>
    <n v="6"/>
    <s v="Jun"/>
    <x v="35"/>
    <n v="37"/>
    <x v="0"/>
    <n v="2.13"/>
    <n v="2.94"/>
    <n v="0.99"/>
    <n v="0"/>
    <n v="6.06"/>
    <n v="6.06"/>
    <m/>
  </r>
  <r>
    <x v="46"/>
    <x v="4"/>
    <n v="2021"/>
    <n v="6"/>
    <s v="Jun"/>
    <x v="17"/>
    <n v="31"/>
    <x v="0"/>
    <n v="0.18"/>
    <n v="0.18"/>
    <n v="0.11"/>
    <n v="0"/>
    <n v="0.47"/>
    <n v="0.47"/>
    <m/>
  </r>
  <r>
    <x v="46"/>
    <x v="4"/>
    <n v="2021"/>
    <n v="6"/>
    <s v="Jun"/>
    <x v="18"/>
    <n v="23"/>
    <x v="1"/>
    <n v="437.98"/>
    <n v="556.08000000000004"/>
    <n v="545.76"/>
    <n v="558.62"/>
    <n v="1539.82"/>
    <n v="2098.44"/>
    <m/>
  </r>
  <r>
    <x v="46"/>
    <x v="4"/>
    <n v="2021"/>
    <n v="6"/>
    <s v="Jun"/>
    <x v="19"/>
    <n v="27"/>
    <x v="1"/>
    <n v="3814.76"/>
    <n v="4411.37"/>
    <n v="4553.3"/>
    <n v="942.43"/>
    <n v="12779.43"/>
    <n v="13721.86"/>
    <m/>
  </r>
  <r>
    <x v="46"/>
    <x v="4"/>
    <n v="2021"/>
    <n v="6"/>
    <s v="Jun"/>
    <x v="20"/>
    <n v="14"/>
    <x v="1"/>
    <n v="8.64"/>
    <n v="11.06"/>
    <n v="2.11"/>
    <n v="0.04"/>
    <n v="21.81"/>
    <n v="21.85"/>
    <m/>
  </r>
  <r>
    <x v="46"/>
    <x v="4"/>
    <n v="2021"/>
    <n v="6"/>
    <s v="Jun"/>
    <x v="21"/>
    <n v="17"/>
    <x v="1"/>
    <n v="13.98"/>
    <n v="17.260000000000002"/>
    <n v="73.459999999999994"/>
    <n v="0.15"/>
    <n v="104.7"/>
    <n v="104.85"/>
    <m/>
  </r>
  <r>
    <x v="46"/>
    <x v="4"/>
    <n v="2021"/>
    <n v="6"/>
    <s v="Jun"/>
    <x v="22"/>
    <n v="15"/>
    <x v="1"/>
    <n v="5.79"/>
    <n v="7.92"/>
    <n v="3.64"/>
    <n v="0.02"/>
    <n v="17.350000000000001"/>
    <n v="17.37"/>
    <m/>
  </r>
  <r>
    <x v="46"/>
    <x v="4"/>
    <n v="2021"/>
    <n v="6"/>
    <s v="Jun"/>
    <x v="23"/>
    <n v="13"/>
    <x v="1"/>
    <n v="11.3"/>
    <n v="15.55"/>
    <n v="2.89"/>
    <n v="0.39"/>
    <n v="29.74"/>
    <n v="30.13"/>
    <m/>
  </r>
  <r>
    <x v="46"/>
    <x v="4"/>
    <n v="2021"/>
    <n v="6"/>
    <s v="Jun"/>
    <x v="24"/>
    <n v="21"/>
    <x v="1"/>
    <n v="743.16"/>
    <n v="858.83"/>
    <n v="842.65"/>
    <n v="555.27"/>
    <n v="2444.64"/>
    <n v="2999.91"/>
    <m/>
  </r>
  <r>
    <x v="46"/>
    <x v="4"/>
    <n v="2021"/>
    <n v="6"/>
    <s v="Jun"/>
    <x v="25"/>
    <n v="34"/>
    <x v="0"/>
    <n v="12.84"/>
    <n v="20.48"/>
    <n v="70.55"/>
    <n v="0.22"/>
    <n v="103.87"/>
    <n v="104.09"/>
    <m/>
  </r>
  <r>
    <x v="46"/>
    <x v="4"/>
    <n v="2021"/>
    <n v="6"/>
    <s v="Jun"/>
    <x v="26"/>
    <n v="3"/>
    <x v="1"/>
    <n v="274.91000000000003"/>
    <n v="410.85"/>
    <n v="407.81"/>
    <n v="17.559999999999999"/>
    <n v="1093.57"/>
    <n v="1111.1300000000001"/>
    <m/>
  </r>
  <r>
    <x v="46"/>
    <x v="4"/>
    <n v="2021"/>
    <n v="6"/>
    <s v="Jun"/>
    <x v="27"/>
    <n v="8"/>
    <x v="1"/>
    <n v="621.09"/>
    <n v="781.45"/>
    <n v="683.54"/>
    <n v="89.88"/>
    <n v="2086.08"/>
    <n v="2175.96"/>
    <m/>
  </r>
  <r>
    <x v="46"/>
    <x v="4"/>
    <n v="2021"/>
    <n v="6"/>
    <s v="Jun"/>
    <x v="28"/>
    <n v="11"/>
    <x v="1"/>
    <n v="11.04"/>
    <n v="17.75"/>
    <n v="182.92"/>
    <n v="0.01"/>
    <n v="211.71"/>
    <n v="211.72"/>
    <m/>
  </r>
  <r>
    <x v="46"/>
    <x v="4"/>
    <n v="2021"/>
    <n v="6"/>
    <s v="Jun"/>
    <x v="29"/>
    <n v="33"/>
    <x v="1"/>
    <n v="1152.6400000000001"/>
    <n v="1499.14"/>
    <n v="1395.94"/>
    <n v="331.89"/>
    <n v="4047.72"/>
    <n v="4379.6099999999997"/>
    <m/>
  </r>
  <r>
    <x v="46"/>
    <x v="4"/>
    <n v="2021"/>
    <n v="6"/>
    <s v="Jun"/>
    <x v="30"/>
    <n v="36"/>
    <x v="1"/>
    <n v="662.31"/>
    <n v="872.76"/>
    <n v="850.31"/>
    <n v="459.8"/>
    <n v="2385.38"/>
    <n v="2845.18"/>
    <m/>
  </r>
  <r>
    <x v="46"/>
    <x v="4"/>
    <n v="2021"/>
    <n v="6"/>
    <s v="Jun"/>
    <x v="31"/>
    <n v="16"/>
    <x v="1"/>
    <n v="16.190000000000001"/>
    <n v="21.85"/>
    <n v="4.58"/>
    <n v="0.09"/>
    <n v="42.62"/>
    <n v="42.71"/>
    <m/>
  </r>
  <r>
    <x v="46"/>
    <x v="4"/>
    <n v="2021"/>
    <n v="6"/>
    <s v="Jun"/>
    <x v="32"/>
    <n v="9"/>
    <x v="1"/>
    <n v="1091.48"/>
    <n v="1540.3"/>
    <n v="1175.67"/>
    <n v="780.91"/>
    <n v="3807.45"/>
    <n v="4588.3599999999997"/>
    <m/>
  </r>
  <r>
    <x v="46"/>
    <x v="4"/>
    <n v="2021"/>
    <n v="6"/>
    <s v="Jun"/>
    <x v="33"/>
    <n v="5"/>
    <x v="1"/>
    <n v="154.88999999999999"/>
    <n v="209.14"/>
    <n v="332.49"/>
    <n v="5.77"/>
    <n v="696.52"/>
    <n v="702.29"/>
    <m/>
  </r>
  <r>
    <x v="46"/>
    <x v="4"/>
    <n v="2021"/>
    <n v="6"/>
    <s v="Jun"/>
    <x v="34"/>
    <n v="19"/>
    <x v="1"/>
    <n v="820.11"/>
    <n v="1020.95"/>
    <n v="659.21"/>
    <n v="243.68"/>
    <n v="2500.27"/>
    <n v="2743.95"/>
    <m/>
  </r>
  <r>
    <x v="47"/>
    <x v="4"/>
    <n v="2021"/>
    <n v="7"/>
    <s v="Jul"/>
    <x v="0"/>
    <n v="35"/>
    <x v="0"/>
    <n v="5.93"/>
    <n v="10.09"/>
    <n v="2.4900000000000002"/>
    <n v="0.06"/>
    <n v="18.510000000000002"/>
    <n v="18.57"/>
    <m/>
  </r>
  <r>
    <x v="47"/>
    <x v="4"/>
    <n v="2021"/>
    <n v="7"/>
    <s v="Jul"/>
    <x v="1"/>
    <n v="28"/>
    <x v="1"/>
    <n v="669.41"/>
    <n v="927.77"/>
    <n v="956.19"/>
    <n v="176.97"/>
    <n v="2553.37"/>
    <n v="2730.34"/>
    <m/>
  </r>
  <r>
    <x v="47"/>
    <x v="4"/>
    <n v="2021"/>
    <n v="7"/>
    <s v="Jul"/>
    <x v="2"/>
    <n v="12"/>
    <x v="1"/>
    <n v="21.25"/>
    <n v="26.15"/>
    <n v="8.06"/>
    <n v="0.03"/>
    <n v="55.46"/>
    <n v="55.49"/>
    <m/>
  </r>
  <r>
    <x v="47"/>
    <x v="4"/>
    <n v="2021"/>
    <n v="7"/>
    <s v="Jul"/>
    <x v="3"/>
    <n v="18"/>
    <x v="1"/>
    <n v="281.39999999999998"/>
    <n v="355.61"/>
    <n v="225.69"/>
    <n v="19.260000000000002"/>
    <n v="862.7"/>
    <n v="881.96"/>
    <m/>
  </r>
  <r>
    <x v="47"/>
    <x v="4"/>
    <n v="2021"/>
    <n v="7"/>
    <s v="Jul"/>
    <x v="4"/>
    <n v="10"/>
    <x v="1"/>
    <n v="357.19"/>
    <n v="603.26"/>
    <n v="149.34"/>
    <n v="171.21"/>
    <n v="1109.79"/>
    <n v="1281"/>
    <m/>
  </r>
  <r>
    <x v="47"/>
    <x v="4"/>
    <n v="2021"/>
    <n v="7"/>
    <s v="Jul"/>
    <x v="5"/>
    <n v="4"/>
    <x v="0"/>
    <n v="30.58"/>
    <n v="42.03"/>
    <n v="95.92"/>
    <n v="0.38"/>
    <n v="168.53"/>
    <n v="168.91"/>
    <m/>
  </r>
  <r>
    <x v="47"/>
    <x v="4"/>
    <n v="2021"/>
    <n v="7"/>
    <s v="Jul"/>
    <x v="6"/>
    <n v="22"/>
    <x v="1"/>
    <n v="536.46"/>
    <n v="618.74"/>
    <n v="772.13"/>
    <n v="505.12"/>
    <n v="1927.33"/>
    <n v="2432.4499999999998"/>
    <m/>
  </r>
  <r>
    <x v="47"/>
    <x v="4"/>
    <n v="2021"/>
    <n v="7"/>
    <s v="Jul"/>
    <x v="7"/>
    <n v="38"/>
    <x v="0"/>
    <n v="33.22"/>
    <n v="42.52"/>
    <n v="151.57"/>
    <n v="0.04"/>
    <n v="227.31"/>
    <n v="227.35"/>
    <m/>
  </r>
  <r>
    <x v="47"/>
    <x v="4"/>
    <n v="2021"/>
    <n v="7"/>
    <s v="Jul"/>
    <x v="8"/>
    <n v="7"/>
    <x v="0"/>
    <n v="773.76"/>
    <n v="947.34"/>
    <n v="2040.37"/>
    <n v="53.59"/>
    <n v="3761.47"/>
    <n v="3815.06"/>
    <m/>
  </r>
  <r>
    <x v="47"/>
    <x v="4"/>
    <n v="2021"/>
    <n v="7"/>
    <s v="Jul"/>
    <x v="9"/>
    <n v="30"/>
    <x v="1"/>
    <n v="76.569999999999993"/>
    <n v="104.99"/>
    <n v="120.7"/>
    <n v="1.0900000000000001"/>
    <n v="302.26"/>
    <n v="303.35000000000002"/>
    <m/>
  </r>
  <r>
    <x v="47"/>
    <x v="4"/>
    <n v="2021"/>
    <n v="7"/>
    <s v="Jul"/>
    <x v="10"/>
    <n v="24"/>
    <x v="1"/>
    <n v="2183.06"/>
    <n v="2703.74"/>
    <n v="2310.17"/>
    <n v="431.68"/>
    <n v="7196.97"/>
    <n v="7628.65"/>
    <m/>
  </r>
  <r>
    <x v="47"/>
    <x v="4"/>
    <n v="2021"/>
    <n v="7"/>
    <s v="Jul"/>
    <x v="11"/>
    <n v="6"/>
    <x v="1"/>
    <n v="944.68"/>
    <n v="1259.8"/>
    <n v="2700.66"/>
    <n v="424.5"/>
    <n v="4905.1400000000003"/>
    <n v="5329.64"/>
    <m/>
  </r>
  <r>
    <x v="47"/>
    <x v="4"/>
    <n v="2021"/>
    <n v="7"/>
    <s v="Jul"/>
    <x v="12"/>
    <n v="2"/>
    <x v="1"/>
    <n v="120.78"/>
    <n v="184.6"/>
    <n v="360.38"/>
    <n v="0.89"/>
    <n v="665.76"/>
    <n v="666.65"/>
    <m/>
  </r>
  <r>
    <x v="47"/>
    <x v="4"/>
    <n v="2021"/>
    <n v="7"/>
    <s v="Jul"/>
    <x v="13"/>
    <n v="1"/>
    <x v="0"/>
    <n v="112.07"/>
    <n v="182.95"/>
    <n v="129.4"/>
    <n v="7.36"/>
    <n v="424.42"/>
    <n v="431.78"/>
    <m/>
  </r>
  <r>
    <x v="47"/>
    <x v="4"/>
    <n v="2021"/>
    <n v="7"/>
    <s v="Jul"/>
    <x v="14"/>
    <n v="20"/>
    <x v="1"/>
    <n v="365.12"/>
    <n v="482.49"/>
    <n v="792.87"/>
    <n v="415.92"/>
    <n v="1640.48"/>
    <n v="2056.4"/>
    <m/>
  </r>
  <r>
    <x v="47"/>
    <x v="4"/>
    <n v="2021"/>
    <n v="7"/>
    <s v="Jul"/>
    <x v="15"/>
    <n v="29"/>
    <x v="1"/>
    <n v="1797.44"/>
    <n v="2263.5300000000002"/>
    <n v="2393.7399999999998"/>
    <n v="281.8"/>
    <n v="6454.71"/>
    <n v="6736.51"/>
    <m/>
  </r>
  <r>
    <x v="47"/>
    <x v="4"/>
    <n v="2021"/>
    <n v="7"/>
    <s v="Jul"/>
    <x v="16"/>
    <n v="32"/>
    <x v="1"/>
    <n v="522.62"/>
    <n v="750.57"/>
    <n v="399.1"/>
    <n v="2.86"/>
    <n v="1672.29"/>
    <n v="1675.15"/>
    <m/>
  </r>
  <r>
    <x v="47"/>
    <x v="4"/>
    <n v="2021"/>
    <n v="7"/>
    <s v="Jul"/>
    <x v="35"/>
    <n v="37"/>
    <x v="0"/>
    <n v="4.4400000000000004"/>
    <n v="6.08"/>
    <n v="2.4300000000000002"/>
    <n v="0"/>
    <n v="12.95"/>
    <n v="12.95"/>
    <m/>
  </r>
  <r>
    <x v="47"/>
    <x v="4"/>
    <n v="2021"/>
    <n v="7"/>
    <s v="Jul"/>
    <x v="17"/>
    <n v="31"/>
    <x v="0"/>
    <n v="0.45"/>
    <n v="0.48"/>
    <n v="0.03"/>
    <n v="0"/>
    <n v="0.96"/>
    <n v="0.96"/>
    <m/>
  </r>
  <r>
    <x v="47"/>
    <x v="4"/>
    <n v="2021"/>
    <n v="7"/>
    <s v="Jul"/>
    <x v="18"/>
    <n v="23"/>
    <x v="1"/>
    <n v="644.39"/>
    <n v="855.94"/>
    <n v="672.68"/>
    <n v="484.03"/>
    <n v="2173.0100000000002"/>
    <n v="2657.04"/>
    <m/>
  </r>
  <r>
    <x v="47"/>
    <x v="4"/>
    <n v="2021"/>
    <n v="7"/>
    <s v="Jul"/>
    <x v="19"/>
    <n v="27"/>
    <x v="1"/>
    <n v="5133.1099999999997"/>
    <n v="6092.96"/>
    <n v="6605.47"/>
    <n v="1067.73"/>
    <n v="17831.54"/>
    <n v="18899.27"/>
    <m/>
  </r>
  <r>
    <x v="47"/>
    <x v="4"/>
    <n v="2021"/>
    <n v="7"/>
    <s v="Jul"/>
    <x v="20"/>
    <n v="14"/>
    <x v="1"/>
    <n v="14.09"/>
    <n v="19.84"/>
    <n v="3.19"/>
    <n v="0.27"/>
    <n v="37.119999999999997"/>
    <n v="37.39"/>
    <m/>
  </r>
  <r>
    <x v="47"/>
    <x v="4"/>
    <n v="2021"/>
    <n v="7"/>
    <s v="Jul"/>
    <x v="21"/>
    <n v="17"/>
    <x v="1"/>
    <n v="21.9"/>
    <n v="28.98"/>
    <n v="70.099999999999994"/>
    <n v="0.12"/>
    <n v="120.98"/>
    <n v="121.1"/>
    <m/>
  </r>
  <r>
    <x v="47"/>
    <x v="4"/>
    <n v="2021"/>
    <n v="7"/>
    <s v="Jul"/>
    <x v="22"/>
    <n v="15"/>
    <x v="1"/>
    <n v="6.94"/>
    <n v="11.38"/>
    <n v="2.64"/>
    <n v="0.03"/>
    <n v="20.96"/>
    <n v="20.99"/>
    <m/>
  </r>
  <r>
    <x v="47"/>
    <x v="4"/>
    <n v="2021"/>
    <n v="7"/>
    <s v="Jul"/>
    <x v="23"/>
    <n v="13"/>
    <x v="1"/>
    <n v="8.89"/>
    <n v="12.5"/>
    <n v="6.2"/>
    <n v="0.59"/>
    <n v="27.59"/>
    <n v="28.18"/>
    <m/>
  </r>
  <r>
    <x v="47"/>
    <x v="4"/>
    <n v="2021"/>
    <n v="7"/>
    <s v="Jul"/>
    <x v="24"/>
    <n v="21"/>
    <x v="1"/>
    <n v="927.52"/>
    <n v="1067.3499999999999"/>
    <n v="1028.1600000000001"/>
    <n v="592.20000000000005"/>
    <n v="3023.03"/>
    <n v="3615.23"/>
    <m/>
  </r>
  <r>
    <x v="47"/>
    <x v="4"/>
    <n v="2021"/>
    <n v="7"/>
    <s v="Jul"/>
    <x v="25"/>
    <n v="34"/>
    <x v="0"/>
    <n v="18.97"/>
    <n v="32.89"/>
    <n v="76.67"/>
    <n v="0.08"/>
    <n v="128.53"/>
    <n v="128.61000000000001"/>
    <m/>
  </r>
  <r>
    <x v="47"/>
    <x v="4"/>
    <n v="2021"/>
    <n v="7"/>
    <s v="Jul"/>
    <x v="26"/>
    <n v="3"/>
    <x v="1"/>
    <n v="398.27"/>
    <n v="597.67999999999995"/>
    <n v="516.73"/>
    <n v="20.350000000000001"/>
    <n v="1512.68"/>
    <n v="1533.03"/>
    <m/>
  </r>
  <r>
    <x v="47"/>
    <x v="4"/>
    <n v="2021"/>
    <n v="7"/>
    <s v="Jul"/>
    <x v="27"/>
    <n v="8"/>
    <x v="1"/>
    <n v="858.43"/>
    <n v="1144.6300000000001"/>
    <n v="1006.67"/>
    <n v="119.06"/>
    <n v="3009.73"/>
    <n v="3128.79"/>
    <m/>
  </r>
  <r>
    <x v="47"/>
    <x v="4"/>
    <n v="2021"/>
    <n v="7"/>
    <s v="Jul"/>
    <x v="28"/>
    <n v="11"/>
    <x v="1"/>
    <n v="15.64"/>
    <n v="23.67"/>
    <n v="158"/>
    <n v="0.02"/>
    <n v="197.31"/>
    <n v="197.33"/>
    <m/>
  </r>
  <r>
    <x v="47"/>
    <x v="4"/>
    <n v="2021"/>
    <n v="7"/>
    <s v="Jul"/>
    <x v="29"/>
    <n v="33"/>
    <x v="1"/>
    <n v="1722.26"/>
    <n v="2257.0100000000002"/>
    <n v="1764.38"/>
    <n v="558.47"/>
    <n v="5743.65"/>
    <n v="6302.12"/>
    <m/>
  </r>
  <r>
    <x v="47"/>
    <x v="4"/>
    <n v="2021"/>
    <n v="7"/>
    <s v="Jul"/>
    <x v="30"/>
    <n v="36"/>
    <x v="1"/>
    <n v="855.69"/>
    <n v="1151.57"/>
    <n v="1101.58"/>
    <n v="500.72"/>
    <n v="3108.84"/>
    <n v="3609.56"/>
    <m/>
  </r>
  <r>
    <x v="47"/>
    <x v="4"/>
    <n v="2021"/>
    <n v="7"/>
    <s v="Jul"/>
    <x v="31"/>
    <n v="16"/>
    <x v="1"/>
    <n v="24.54"/>
    <n v="32.68"/>
    <n v="7.58"/>
    <n v="0.43"/>
    <n v="64.8"/>
    <n v="65.23"/>
    <m/>
  </r>
  <r>
    <x v="47"/>
    <x v="4"/>
    <n v="2021"/>
    <n v="7"/>
    <s v="Jul"/>
    <x v="32"/>
    <n v="9"/>
    <x v="1"/>
    <n v="1414.22"/>
    <n v="2030.79"/>
    <n v="1565.3"/>
    <n v="1000.33"/>
    <n v="5010.3100000000004"/>
    <n v="6010.64"/>
    <m/>
  </r>
  <r>
    <x v="47"/>
    <x v="4"/>
    <n v="2021"/>
    <n v="7"/>
    <s v="Jul"/>
    <x v="33"/>
    <n v="5"/>
    <x v="1"/>
    <n v="226.84"/>
    <n v="313.22000000000003"/>
    <n v="558.27"/>
    <n v="7.3"/>
    <n v="1098.33"/>
    <n v="1105.6300000000001"/>
    <m/>
  </r>
  <r>
    <x v="47"/>
    <x v="4"/>
    <n v="2021"/>
    <n v="7"/>
    <s v="Jul"/>
    <x v="34"/>
    <n v="19"/>
    <x v="1"/>
    <n v="1061.18"/>
    <n v="1346.36"/>
    <n v="924.37"/>
    <n v="130.77000000000001"/>
    <n v="3331.91"/>
    <n v="3462.68"/>
    <m/>
  </r>
  <r>
    <x v="48"/>
    <x v="4"/>
    <n v="2021"/>
    <n v="8"/>
    <s v="Aug"/>
    <x v="0"/>
    <n v="35"/>
    <x v="0"/>
    <n v="7.7"/>
    <n v="10.52"/>
    <n v="1.57"/>
    <n v="0.04"/>
    <n v="19.79"/>
    <n v="19.829999999999998"/>
    <m/>
  </r>
  <r>
    <x v="48"/>
    <x v="4"/>
    <n v="2021"/>
    <n v="8"/>
    <s v="Aug"/>
    <x v="1"/>
    <n v="28"/>
    <x v="1"/>
    <n v="626.61"/>
    <n v="867.83"/>
    <n v="956.48"/>
    <n v="140.57"/>
    <n v="2450.92"/>
    <n v="2591.4899999999998"/>
    <m/>
  </r>
  <r>
    <x v="48"/>
    <x v="4"/>
    <n v="2021"/>
    <n v="8"/>
    <s v="Aug"/>
    <x v="2"/>
    <n v="12"/>
    <x v="1"/>
    <n v="19.600000000000001"/>
    <n v="23.72"/>
    <n v="9.81"/>
    <n v="0.22"/>
    <n v="53.13"/>
    <n v="53.35"/>
    <m/>
  </r>
  <r>
    <x v="48"/>
    <x v="4"/>
    <n v="2021"/>
    <n v="8"/>
    <s v="Aug"/>
    <x v="3"/>
    <n v="18"/>
    <x v="1"/>
    <n v="273.32"/>
    <n v="338.02"/>
    <n v="315.81"/>
    <n v="31.63"/>
    <n v="927.15"/>
    <n v="958.78"/>
    <m/>
  </r>
  <r>
    <x v="48"/>
    <x v="4"/>
    <n v="2021"/>
    <n v="8"/>
    <s v="Aug"/>
    <x v="4"/>
    <n v="10"/>
    <x v="1"/>
    <n v="287.83"/>
    <n v="478.67"/>
    <n v="144.72999999999999"/>
    <n v="125.72"/>
    <n v="911.23"/>
    <n v="1036.95"/>
    <m/>
  </r>
  <r>
    <x v="48"/>
    <x v="4"/>
    <n v="2021"/>
    <n v="8"/>
    <s v="Aug"/>
    <x v="5"/>
    <n v="4"/>
    <x v="0"/>
    <n v="27.83"/>
    <n v="38.4"/>
    <n v="77.52"/>
    <n v="0.41"/>
    <n v="143.75"/>
    <n v="144.16"/>
    <m/>
  </r>
  <r>
    <x v="48"/>
    <x v="4"/>
    <n v="2021"/>
    <n v="8"/>
    <s v="Aug"/>
    <x v="6"/>
    <n v="22"/>
    <x v="1"/>
    <n v="455.56"/>
    <n v="536.63"/>
    <n v="812.9"/>
    <n v="585.41"/>
    <n v="1805.09"/>
    <n v="2390.5"/>
    <m/>
  </r>
  <r>
    <x v="48"/>
    <x v="4"/>
    <n v="2021"/>
    <n v="8"/>
    <s v="Aug"/>
    <x v="7"/>
    <n v="38"/>
    <x v="0"/>
    <n v="29.39"/>
    <n v="40.36"/>
    <n v="184.69"/>
    <n v="0.1"/>
    <n v="254.44"/>
    <n v="254.54"/>
    <m/>
  </r>
  <r>
    <x v="48"/>
    <x v="4"/>
    <n v="2021"/>
    <n v="8"/>
    <s v="Aug"/>
    <x v="8"/>
    <n v="7"/>
    <x v="0"/>
    <n v="721.39"/>
    <n v="876.01"/>
    <n v="1926.19"/>
    <n v="81.89"/>
    <n v="3523.59"/>
    <n v="3605.48"/>
    <m/>
  </r>
  <r>
    <x v="48"/>
    <x v="4"/>
    <n v="2021"/>
    <n v="8"/>
    <s v="Aug"/>
    <x v="9"/>
    <n v="30"/>
    <x v="1"/>
    <n v="63.28"/>
    <n v="92.37"/>
    <n v="128.26"/>
    <n v="1.1100000000000001"/>
    <n v="283.91000000000003"/>
    <n v="285.02"/>
    <m/>
  </r>
  <r>
    <x v="48"/>
    <x v="4"/>
    <n v="2021"/>
    <n v="8"/>
    <s v="Aug"/>
    <x v="10"/>
    <n v="24"/>
    <x v="1"/>
    <n v="2000.89"/>
    <n v="2499.9499999999998"/>
    <n v="2507.44"/>
    <n v="547.96"/>
    <n v="7008.28"/>
    <n v="7556.24"/>
    <m/>
  </r>
  <r>
    <x v="48"/>
    <x v="4"/>
    <n v="2021"/>
    <n v="8"/>
    <s v="Aug"/>
    <x v="11"/>
    <n v="6"/>
    <x v="1"/>
    <n v="941.23"/>
    <n v="1287.06"/>
    <n v="2902.08"/>
    <n v="487.29"/>
    <n v="5130.37"/>
    <n v="5617.66"/>
    <m/>
  </r>
  <r>
    <x v="48"/>
    <x v="4"/>
    <n v="2021"/>
    <n v="8"/>
    <s v="Aug"/>
    <x v="12"/>
    <n v="2"/>
    <x v="1"/>
    <n v="115.23"/>
    <n v="173.99"/>
    <n v="414.16"/>
    <n v="0.79"/>
    <n v="703.38"/>
    <n v="704.17"/>
    <m/>
  </r>
  <r>
    <x v="48"/>
    <x v="4"/>
    <n v="2021"/>
    <n v="8"/>
    <s v="Aug"/>
    <x v="13"/>
    <n v="1"/>
    <x v="0"/>
    <n v="102.62"/>
    <n v="154.29"/>
    <n v="126.34"/>
    <n v="8.57"/>
    <n v="383.25"/>
    <n v="391.82"/>
    <m/>
  </r>
  <r>
    <x v="48"/>
    <x v="4"/>
    <n v="2021"/>
    <n v="8"/>
    <s v="Aug"/>
    <x v="14"/>
    <n v="20"/>
    <x v="1"/>
    <n v="377.7"/>
    <n v="492.92"/>
    <n v="911.71"/>
    <n v="384.14"/>
    <n v="1782.33"/>
    <n v="2166.4699999999998"/>
    <m/>
  </r>
  <r>
    <x v="48"/>
    <x v="4"/>
    <n v="2021"/>
    <n v="8"/>
    <s v="Aug"/>
    <x v="15"/>
    <n v="29"/>
    <x v="1"/>
    <n v="1789.71"/>
    <n v="2284.4699999999998"/>
    <n v="2551.2600000000002"/>
    <n v="804.02"/>
    <n v="6625.44"/>
    <n v="7429.46"/>
    <m/>
  </r>
  <r>
    <x v="48"/>
    <x v="4"/>
    <n v="2021"/>
    <n v="8"/>
    <s v="Aug"/>
    <x v="16"/>
    <n v="32"/>
    <x v="1"/>
    <n v="494.29"/>
    <n v="710.69"/>
    <n v="404.19"/>
    <n v="2.76"/>
    <n v="1609.17"/>
    <n v="1611.93"/>
    <m/>
  </r>
  <r>
    <x v="48"/>
    <x v="4"/>
    <n v="2021"/>
    <n v="8"/>
    <s v="Aug"/>
    <x v="35"/>
    <n v="37"/>
    <x v="0"/>
    <n v="4.7300000000000004"/>
    <n v="6.05"/>
    <n v="3.57"/>
    <n v="0"/>
    <n v="14.35"/>
    <n v="14.35"/>
    <m/>
  </r>
  <r>
    <x v="48"/>
    <x v="4"/>
    <n v="2021"/>
    <n v="8"/>
    <s v="Aug"/>
    <x v="17"/>
    <n v="31"/>
    <x v="0"/>
    <n v="0.6"/>
    <n v="0.65"/>
    <n v="0.06"/>
    <n v="0"/>
    <n v="1.31"/>
    <n v="1.31"/>
    <m/>
  </r>
  <r>
    <x v="48"/>
    <x v="4"/>
    <n v="2021"/>
    <n v="8"/>
    <s v="Aug"/>
    <x v="18"/>
    <n v="23"/>
    <x v="1"/>
    <n v="578.87"/>
    <n v="767.31"/>
    <n v="630.01"/>
    <n v="461.87"/>
    <n v="1976.19"/>
    <n v="2438.06"/>
    <m/>
  </r>
  <r>
    <x v="48"/>
    <x v="4"/>
    <n v="2021"/>
    <n v="8"/>
    <s v="Aug"/>
    <x v="19"/>
    <n v="27"/>
    <x v="1"/>
    <n v="4114.79"/>
    <n v="5068.3100000000004"/>
    <n v="4974.45"/>
    <n v="1017.09"/>
    <n v="14157.55"/>
    <n v="15174.64"/>
    <m/>
  </r>
  <r>
    <x v="48"/>
    <x v="4"/>
    <n v="2021"/>
    <n v="8"/>
    <s v="Aug"/>
    <x v="20"/>
    <n v="14"/>
    <x v="1"/>
    <n v="15.84"/>
    <n v="23.2"/>
    <n v="5.43"/>
    <n v="0.04"/>
    <n v="44.47"/>
    <n v="44.51"/>
    <m/>
  </r>
  <r>
    <x v="48"/>
    <x v="4"/>
    <n v="2021"/>
    <n v="8"/>
    <s v="Aug"/>
    <x v="21"/>
    <n v="17"/>
    <x v="1"/>
    <n v="22.64"/>
    <n v="27.6"/>
    <n v="66.95"/>
    <n v="2.17"/>
    <n v="117.19"/>
    <n v="119.36"/>
    <m/>
  </r>
  <r>
    <x v="48"/>
    <x v="4"/>
    <n v="2021"/>
    <n v="8"/>
    <s v="Aug"/>
    <x v="22"/>
    <n v="15"/>
    <x v="1"/>
    <n v="5.89"/>
    <n v="8.0500000000000007"/>
    <n v="1.97"/>
    <n v="0.03"/>
    <n v="15.91"/>
    <n v="15.94"/>
    <m/>
  </r>
  <r>
    <x v="48"/>
    <x v="4"/>
    <n v="2021"/>
    <n v="8"/>
    <s v="Aug"/>
    <x v="23"/>
    <n v="13"/>
    <x v="1"/>
    <n v="11.31"/>
    <n v="14.71"/>
    <n v="5.39"/>
    <n v="0.43"/>
    <n v="31.41"/>
    <n v="31.84"/>
    <m/>
  </r>
  <r>
    <x v="48"/>
    <x v="4"/>
    <n v="2021"/>
    <n v="8"/>
    <s v="Aug"/>
    <x v="24"/>
    <n v="21"/>
    <x v="1"/>
    <n v="792.93"/>
    <n v="956.47"/>
    <n v="948.21"/>
    <n v="618.94000000000005"/>
    <n v="2697.61"/>
    <n v="3316.55"/>
    <m/>
  </r>
  <r>
    <x v="48"/>
    <x v="4"/>
    <n v="2021"/>
    <n v="8"/>
    <s v="Aug"/>
    <x v="25"/>
    <n v="34"/>
    <x v="0"/>
    <n v="17.489999999999998"/>
    <n v="30.93"/>
    <n v="107.5"/>
    <n v="0.45"/>
    <n v="155.91999999999999"/>
    <n v="156.37"/>
    <m/>
  </r>
  <r>
    <x v="48"/>
    <x v="4"/>
    <n v="2021"/>
    <n v="8"/>
    <s v="Aug"/>
    <x v="26"/>
    <n v="3"/>
    <x v="1"/>
    <n v="363.17"/>
    <n v="529.76"/>
    <n v="502.94"/>
    <n v="18.27"/>
    <n v="1395.87"/>
    <n v="1414.14"/>
    <m/>
  </r>
  <r>
    <x v="48"/>
    <x v="4"/>
    <n v="2021"/>
    <n v="8"/>
    <s v="Aug"/>
    <x v="27"/>
    <n v="8"/>
    <x v="1"/>
    <n v="797.71"/>
    <n v="1029.31"/>
    <n v="1057.05"/>
    <n v="164.45"/>
    <n v="2884.07"/>
    <n v="3048.52"/>
    <m/>
  </r>
  <r>
    <x v="48"/>
    <x v="4"/>
    <n v="2021"/>
    <n v="8"/>
    <s v="Aug"/>
    <x v="28"/>
    <n v="11"/>
    <x v="1"/>
    <n v="12.57"/>
    <n v="16.23"/>
    <n v="190.26"/>
    <n v="0.03"/>
    <n v="219.06"/>
    <n v="219.09"/>
    <m/>
  </r>
  <r>
    <x v="48"/>
    <x v="4"/>
    <n v="2021"/>
    <n v="8"/>
    <s v="Aug"/>
    <x v="29"/>
    <n v="33"/>
    <x v="1"/>
    <n v="1857.14"/>
    <n v="2460.3000000000002"/>
    <n v="2048.17"/>
    <n v="694.32"/>
    <n v="6365.61"/>
    <n v="7059.93"/>
    <m/>
  </r>
  <r>
    <x v="48"/>
    <x v="4"/>
    <n v="2021"/>
    <n v="8"/>
    <s v="Aug"/>
    <x v="30"/>
    <n v="36"/>
    <x v="1"/>
    <n v="855.52"/>
    <n v="1123.0899999999999"/>
    <n v="1041.72"/>
    <n v="505.2"/>
    <n v="3020.33"/>
    <n v="3525.53"/>
    <m/>
  </r>
  <r>
    <x v="48"/>
    <x v="4"/>
    <n v="2021"/>
    <n v="8"/>
    <s v="Aug"/>
    <x v="31"/>
    <n v="16"/>
    <x v="1"/>
    <n v="21.14"/>
    <n v="27.65"/>
    <n v="6.96"/>
    <n v="0.16"/>
    <n v="55.75"/>
    <n v="55.91"/>
    <m/>
  </r>
  <r>
    <x v="48"/>
    <x v="4"/>
    <n v="2021"/>
    <n v="8"/>
    <s v="Aug"/>
    <x v="32"/>
    <n v="9"/>
    <x v="1"/>
    <n v="1377.19"/>
    <n v="1903.54"/>
    <n v="1621.48"/>
    <n v="1043.9100000000001"/>
    <n v="4902.21"/>
    <n v="5946.12"/>
    <m/>
  </r>
  <r>
    <x v="48"/>
    <x v="4"/>
    <n v="2021"/>
    <n v="8"/>
    <s v="Aug"/>
    <x v="33"/>
    <n v="5"/>
    <x v="1"/>
    <n v="213.29"/>
    <n v="303.17"/>
    <n v="566.17999999999995"/>
    <n v="6.84"/>
    <n v="1082.6400000000001"/>
    <n v="1089.48"/>
    <m/>
  </r>
  <r>
    <x v="48"/>
    <x v="4"/>
    <n v="2021"/>
    <n v="8"/>
    <s v="Aug"/>
    <x v="34"/>
    <n v="19"/>
    <x v="1"/>
    <n v="1118.6099999999999"/>
    <n v="1396.35"/>
    <n v="900.12"/>
    <n v="263.38"/>
    <n v="3415.08"/>
    <n v="3678.46"/>
    <m/>
  </r>
  <r>
    <x v="49"/>
    <x v="4"/>
    <n v="2021"/>
    <n v="9"/>
    <s v="Sep"/>
    <x v="0"/>
    <n v="35"/>
    <x v="0"/>
    <n v="6.56"/>
    <n v="10.91"/>
    <n v="2.11"/>
    <n v="0.02"/>
    <n v="19.579999999999998"/>
    <n v="19.600000000000001"/>
    <m/>
  </r>
  <r>
    <x v="49"/>
    <x v="4"/>
    <n v="2021"/>
    <n v="9"/>
    <s v="Sep"/>
    <x v="1"/>
    <n v="28"/>
    <x v="1"/>
    <n v="619.09"/>
    <n v="849.06"/>
    <n v="943.15"/>
    <n v="183.22"/>
    <n v="2411.3000000000002"/>
    <n v="2594.52"/>
    <m/>
  </r>
  <r>
    <x v="49"/>
    <x v="4"/>
    <n v="2021"/>
    <n v="9"/>
    <s v="Sep"/>
    <x v="2"/>
    <n v="12"/>
    <x v="1"/>
    <n v="18.71"/>
    <n v="25.35"/>
    <n v="11.15"/>
    <n v="0.06"/>
    <n v="55.21"/>
    <n v="55.27"/>
    <m/>
  </r>
  <r>
    <x v="49"/>
    <x v="4"/>
    <n v="2021"/>
    <n v="9"/>
    <s v="Sep"/>
    <x v="3"/>
    <n v="18"/>
    <x v="1"/>
    <n v="267.60000000000002"/>
    <n v="346.91"/>
    <n v="321.57"/>
    <n v="31.84"/>
    <n v="936.08"/>
    <n v="967.92"/>
    <m/>
  </r>
  <r>
    <x v="49"/>
    <x v="4"/>
    <n v="2021"/>
    <n v="9"/>
    <s v="Sep"/>
    <x v="4"/>
    <n v="10"/>
    <x v="1"/>
    <n v="222.85"/>
    <n v="365.45"/>
    <n v="126.89"/>
    <n v="160.36000000000001"/>
    <n v="715.19"/>
    <n v="875.55"/>
    <m/>
  </r>
  <r>
    <x v="49"/>
    <x v="4"/>
    <n v="2021"/>
    <n v="9"/>
    <s v="Sep"/>
    <x v="5"/>
    <n v="4"/>
    <x v="0"/>
    <n v="28.35"/>
    <n v="39.18"/>
    <n v="84.08"/>
    <n v="0.72"/>
    <n v="151.61000000000001"/>
    <n v="152.33000000000001"/>
    <m/>
  </r>
  <r>
    <x v="49"/>
    <x v="4"/>
    <n v="2021"/>
    <n v="9"/>
    <s v="Sep"/>
    <x v="6"/>
    <n v="22"/>
    <x v="1"/>
    <n v="464.56"/>
    <n v="550.16"/>
    <n v="756.63"/>
    <n v="461.58"/>
    <n v="1771.35"/>
    <n v="2232.9299999999998"/>
    <m/>
  </r>
  <r>
    <x v="49"/>
    <x v="4"/>
    <n v="2021"/>
    <n v="9"/>
    <s v="Sep"/>
    <x v="7"/>
    <n v="38"/>
    <x v="0"/>
    <n v="35.69"/>
    <n v="46.31"/>
    <n v="221.76"/>
    <n v="0.15"/>
    <n v="303.76"/>
    <n v="303.91000000000003"/>
    <m/>
  </r>
  <r>
    <x v="49"/>
    <x v="4"/>
    <n v="2021"/>
    <n v="9"/>
    <s v="Sep"/>
    <x v="8"/>
    <n v="7"/>
    <x v="0"/>
    <n v="695.21"/>
    <n v="849.5"/>
    <n v="1972.24"/>
    <n v="87.77"/>
    <n v="3516.95"/>
    <n v="3604.72"/>
    <m/>
  </r>
  <r>
    <x v="49"/>
    <x v="4"/>
    <n v="2021"/>
    <n v="9"/>
    <s v="Sep"/>
    <x v="9"/>
    <n v="30"/>
    <x v="1"/>
    <n v="71.349999999999994"/>
    <n v="100.25"/>
    <n v="145.63999999999999"/>
    <n v="1.36"/>
    <n v="317.24"/>
    <n v="318.60000000000002"/>
    <m/>
  </r>
  <r>
    <x v="49"/>
    <x v="4"/>
    <n v="2021"/>
    <n v="9"/>
    <s v="Sep"/>
    <x v="10"/>
    <n v="24"/>
    <x v="1"/>
    <n v="2044.98"/>
    <n v="2491.3000000000002"/>
    <n v="2732.34"/>
    <n v="511.33"/>
    <n v="7268.62"/>
    <n v="7779.95"/>
    <m/>
  </r>
  <r>
    <x v="49"/>
    <x v="4"/>
    <n v="2021"/>
    <n v="9"/>
    <s v="Sep"/>
    <x v="11"/>
    <n v="6"/>
    <x v="1"/>
    <n v="896.25"/>
    <n v="1197.52"/>
    <n v="3078.68"/>
    <n v="404.64"/>
    <n v="5172.45"/>
    <n v="5577.09"/>
    <m/>
  </r>
  <r>
    <x v="49"/>
    <x v="4"/>
    <n v="2021"/>
    <n v="9"/>
    <s v="Sep"/>
    <x v="12"/>
    <n v="2"/>
    <x v="1"/>
    <n v="108.43"/>
    <n v="157.13"/>
    <n v="413.32"/>
    <n v="1.04"/>
    <n v="678.88"/>
    <n v="679.92"/>
    <m/>
  </r>
  <r>
    <x v="49"/>
    <x v="4"/>
    <n v="2021"/>
    <n v="9"/>
    <s v="Sep"/>
    <x v="13"/>
    <n v="1"/>
    <x v="0"/>
    <n v="106.98"/>
    <n v="162.33000000000001"/>
    <n v="101.08"/>
    <n v="6.79"/>
    <n v="370.39"/>
    <n v="377.18"/>
    <m/>
  </r>
  <r>
    <x v="49"/>
    <x v="4"/>
    <n v="2021"/>
    <n v="9"/>
    <s v="Sep"/>
    <x v="14"/>
    <n v="20"/>
    <x v="1"/>
    <n v="349.19"/>
    <n v="434.86"/>
    <n v="1009.52"/>
    <n v="404.67"/>
    <n v="1793.57"/>
    <n v="2198.2399999999998"/>
    <m/>
  </r>
  <r>
    <x v="49"/>
    <x v="4"/>
    <n v="2021"/>
    <n v="9"/>
    <s v="Sep"/>
    <x v="15"/>
    <n v="29"/>
    <x v="1"/>
    <n v="1798.44"/>
    <n v="2312.33"/>
    <n v="2712.04"/>
    <n v="959.89"/>
    <n v="6822.81"/>
    <n v="7782.7"/>
    <m/>
  </r>
  <r>
    <x v="49"/>
    <x v="4"/>
    <n v="2021"/>
    <n v="9"/>
    <s v="Sep"/>
    <x v="16"/>
    <n v="32"/>
    <x v="1"/>
    <n v="574.55999999999995"/>
    <n v="846.11"/>
    <n v="339.65"/>
    <n v="3.65"/>
    <n v="1760.32"/>
    <n v="1763.97"/>
    <m/>
  </r>
  <r>
    <x v="49"/>
    <x v="4"/>
    <n v="2021"/>
    <n v="9"/>
    <s v="Sep"/>
    <x v="35"/>
    <n v="37"/>
    <x v="0"/>
    <n v="5.2"/>
    <n v="6.81"/>
    <n v="3.21"/>
    <n v="0.01"/>
    <n v="15.22"/>
    <n v="15.23"/>
    <m/>
  </r>
  <r>
    <x v="49"/>
    <x v="4"/>
    <n v="2021"/>
    <n v="9"/>
    <s v="Sep"/>
    <x v="17"/>
    <n v="31"/>
    <x v="0"/>
    <n v="0.16"/>
    <n v="0.16"/>
    <n v="0.02"/>
    <n v="0"/>
    <n v="0.34"/>
    <n v="0.34"/>
    <m/>
  </r>
  <r>
    <x v="49"/>
    <x v="4"/>
    <n v="2021"/>
    <n v="9"/>
    <s v="Sep"/>
    <x v="18"/>
    <n v="23"/>
    <x v="1"/>
    <n v="508.41"/>
    <n v="682.6"/>
    <n v="678.57"/>
    <n v="459.53"/>
    <n v="1869.58"/>
    <n v="2329.11"/>
    <m/>
  </r>
  <r>
    <x v="49"/>
    <x v="4"/>
    <n v="2021"/>
    <n v="9"/>
    <s v="Sep"/>
    <x v="19"/>
    <n v="27"/>
    <x v="1"/>
    <n v="4382.97"/>
    <n v="5397.04"/>
    <n v="5690.15"/>
    <n v="1114.04"/>
    <n v="15470.16"/>
    <n v="16584.2"/>
    <m/>
  </r>
  <r>
    <x v="49"/>
    <x v="4"/>
    <n v="2021"/>
    <n v="9"/>
    <s v="Sep"/>
    <x v="20"/>
    <n v="14"/>
    <x v="1"/>
    <n v="11.86"/>
    <n v="17.52"/>
    <n v="3.32"/>
    <n v="0.12"/>
    <n v="32.700000000000003"/>
    <n v="32.82"/>
    <m/>
  </r>
  <r>
    <x v="49"/>
    <x v="4"/>
    <n v="2021"/>
    <n v="9"/>
    <s v="Sep"/>
    <x v="21"/>
    <n v="17"/>
    <x v="1"/>
    <n v="22.62"/>
    <n v="29.24"/>
    <n v="67.53"/>
    <n v="0.14000000000000001"/>
    <n v="119.39"/>
    <n v="119.53"/>
    <m/>
  </r>
  <r>
    <x v="49"/>
    <x v="4"/>
    <n v="2021"/>
    <n v="9"/>
    <s v="Sep"/>
    <x v="22"/>
    <n v="15"/>
    <x v="1"/>
    <n v="7.5"/>
    <n v="10.91"/>
    <n v="1.1100000000000001"/>
    <n v="0.05"/>
    <n v="19.52"/>
    <n v="19.57"/>
    <m/>
  </r>
  <r>
    <x v="49"/>
    <x v="4"/>
    <n v="2021"/>
    <n v="9"/>
    <s v="Sep"/>
    <x v="23"/>
    <n v="13"/>
    <x v="1"/>
    <n v="9.98"/>
    <n v="13.37"/>
    <n v="6.65"/>
    <n v="0.48"/>
    <n v="30"/>
    <n v="30.48"/>
    <m/>
  </r>
  <r>
    <x v="49"/>
    <x v="4"/>
    <n v="2021"/>
    <n v="9"/>
    <s v="Sep"/>
    <x v="24"/>
    <n v="21"/>
    <x v="1"/>
    <n v="772.93"/>
    <n v="929.68"/>
    <n v="996.48"/>
    <n v="626.85"/>
    <n v="2699.09"/>
    <n v="3325.94"/>
    <m/>
  </r>
  <r>
    <x v="49"/>
    <x v="4"/>
    <n v="2021"/>
    <n v="9"/>
    <s v="Sep"/>
    <x v="25"/>
    <n v="34"/>
    <x v="0"/>
    <n v="18.68"/>
    <n v="31.37"/>
    <n v="109.62"/>
    <n v="0.45"/>
    <n v="159.66999999999999"/>
    <n v="160.12"/>
    <m/>
  </r>
  <r>
    <x v="49"/>
    <x v="4"/>
    <n v="2021"/>
    <n v="9"/>
    <s v="Sep"/>
    <x v="26"/>
    <n v="3"/>
    <x v="1"/>
    <n v="338.76"/>
    <n v="518.5"/>
    <n v="526.24"/>
    <n v="18.66"/>
    <n v="1383.5"/>
    <n v="1402.16"/>
    <m/>
  </r>
  <r>
    <x v="49"/>
    <x v="4"/>
    <n v="2021"/>
    <n v="9"/>
    <s v="Sep"/>
    <x v="27"/>
    <n v="8"/>
    <x v="1"/>
    <n v="739.56"/>
    <n v="987.22"/>
    <n v="1070.8900000000001"/>
    <n v="161.09"/>
    <n v="2797.67"/>
    <n v="2958.76"/>
    <m/>
  </r>
  <r>
    <x v="49"/>
    <x v="4"/>
    <n v="2021"/>
    <n v="9"/>
    <s v="Sep"/>
    <x v="28"/>
    <n v="11"/>
    <x v="1"/>
    <n v="14.99"/>
    <n v="20.07"/>
    <n v="224.97"/>
    <n v="0.01"/>
    <n v="260.02999999999997"/>
    <n v="260.04000000000002"/>
    <m/>
  </r>
  <r>
    <x v="49"/>
    <x v="4"/>
    <n v="2021"/>
    <n v="9"/>
    <s v="Sep"/>
    <x v="29"/>
    <n v="33"/>
    <x v="1"/>
    <n v="1903.14"/>
    <n v="2604.4699999999998"/>
    <n v="2568.17"/>
    <n v="765.85"/>
    <n v="7075.78"/>
    <n v="7841.63"/>
    <m/>
  </r>
  <r>
    <x v="49"/>
    <x v="4"/>
    <n v="2021"/>
    <n v="9"/>
    <s v="Sep"/>
    <x v="30"/>
    <n v="36"/>
    <x v="1"/>
    <n v="876.99"/>
    <n v="1170.3399999999999"/>
    <n v="967.76"/>
    <n v="478.48"/>
    <n v="3015.09"/>
    <n v="3493.57"/>
    <m/>
  </r>
  <r>
    <x v="49"/>
    <x v="4"/>
    <n v="2021"/>
    <n v="9"/>
    <s v="Sep"/>
    <x v="31"/>
    <n v="16"/>
    <x v="1"/>
    <n v="18.440000000000001"/>
    <n v="25.89"/>
    <n v="5.64"/>
    <n v="0.16"/>
    <n v="49.97"/>
    <n v="50.13"/>
    <m/>
  </r>
  <r>
    <x v="49"/>
    <x v="4"/>
    <n v="2021"/>
    <n v="9"/>
    <s v="Sep"/>
    <x v="32"/>
    <n v="9"/>
    <x v="1"/>
    <n v="1290.71"/>
    <n v="1826.51"/>
    <n v="1524.47"/>
    <n v="1050.0899999999999"/>
    <n v="4641.6899999999996"/>
    <n v="5691.78"/>
    <m/>
  </r>
  <r>
    <x v="49"/>
    <x v="4"/>
    <n v="2021"/>
    <n v="9"/>
    <s v="Sep"/>
    <x v="33"/>
    <n v="5"/>
    <x v="1"/>
    <n v="211.78"/>
    <n v="288.42"/>
    <n v="626.13"/>
    <n v="4.33"/>
    <n v="1126.33"/>
    <n v="1130.6600000000001"/>
    <m/>
  </r>
  <r>
    <x v="49"/>
    <x v="4"/>
    <n v="2021"/>
    <n v="9"/>
    <s v="Sep"/>
    <x v="34"/>
    <n v="19"/>
    <x v="1"/>
    <n v="1126.1300000000001"/>
    <n v="1412.85"/>
    <n v="1007.64"/>
    <n v="231.67"/>
    <n v="3546.62"/>
    <n v="3778.29"/>
    <m/>
  </r>
  <r>
    <x v="50"/>
    <x v="4"/>
    <n v="2021"/>
    <n v="10"/>
    <s v="Oct"/>
    <x v="0"/>
    <n v="35"/>
    <x v="0"/>
    <n v="6.87"/>
    <n v="11.69"/>
    <n v="7.31"/>
    <n v="0"/>
    <n v="25.87"/>
    <n v="25.87"/>
    <m/>
  </r>
  <r>
    <x v="50"/>
    <x v="4"/>
    <n v="2021"/>
    <n v="10"/>
    <s v="Oct"/>
    <x v="1"/>
    <n v="28"/>
    <x v="1"/>
    <n v="742.39"/>
    <n v="983.57"/>
    <n v="957.26"/>
    <n v="195.78"/>
    <n v="2683.22"/>
    <n v="2879"/>
    <m/>
  </r>
  <r>
    <x v="50"/>
    <x v="4"/>
    <n v="2021"/>
    <n v="10"/>
    <s v="Oct"/>
    <x v="2"/>
    <n v="12"/>
    <x v="1"/>
    <n v="16.12"/>
    <n v="23.25"/>
    <n v="6.95"/>
    <n v="0.21"/>
    <n v="46.32"/>
    <n v="46.53"/>
    <m/>
  </r>
  <r>
    <x v="50"/>
    <x v="4"/>
    <n v="2021"/>
    <n v="10"/>
    <s v="Oct"/>
    <x v="3"/>
    <n v="18"/>
    <x v="1"/>
    <n v="496.23"/>
    <n v="590.72"/>
    <n v="304.33999999999997"/>
    <n v="33.979999999999997"/>
    <n v="1391.29"/>
    <n v="1425.27"/>
    <m/>
  </r>
  <r>
    <x v="50"/>
    <x v="4"/>
    <n v="2021"/>
    <n v="10"/>
    <s v="Oct"/>
    <x v="4"/>
    <n v="10"/>
    <x v="1"/>
    <n v="444.22"/>
    <n v="620.4"/>
    <n v="138.59"/>
    <n v="147.88999999999999"/>
    <n v="1203.21"/>
    <n v="1351.1"/>
    <m/>
  </r>
  <r>
    <x v="50"/>
    <x v="4"/>
    <n v="2021"/>
    <n v="10"/>
    <s v="Oct"/>
    <x v="5"/>
    <n v="4"/>
    <x v="0"/>
    <n v="28.46"/>
    <n v="38.619999999999997"/>
    <n v="89.38"/>
    <n v="1.34"/>
    <n v="156.46"/>
    <n v="157.80000000000001"/>
    <m/>
  </r>
  <r>
    <x v="50"/>
    <x v="4"/>
    <n v="2021"/>
    <n v="10"/>
    <s v="Oct"/>
    <x v="6"/>
    <n v="22"/>
    <x v="1"/>
    <n v="519.04999999999995"/>
    <n v="600.91"/>
    <n v="808.93"/>
    <n v="463.56"/>
    <n v="1928.89"/>
    <n v="2392.4499999999998"/>
    <m/>
  </r>
  <r>
    <x v="50"/>
    <x v="4"/>
    <n v="2021"/>
    <n v="10"/>
    <s v="Oct"/>
    <x v="7"/>
    <n v="38"/>
    <x v="0"/>
    <n v="33.54"/>
    <n v="48.49"/>
    <n v="186.57"/>
    <n v="7.0000000000000007E-2"/>
    <n v="268.60000000000002"/>
    <n v="268.67"/>
    <m/>
  </r>
  <r>
    <x v="50"/>
    <x v="4"/>
    <n v="2021"/>
    <n v="10"/>
    <s v="Oct"/>
    <x v="8"/>
    <n v="7"/>
    <x v="0"/>
    <n v="835.68"/>
    <n v="1012.64"/>
    <n v="2106.29"/>
    <n v="90.17"/>
    <n v="3954.61"/>
    <n v="4044.78"/>
    <m/>
  </r>
  <r>
    <x v="50"/>
    <x v="4"/>
    <n v="2021"/>
    <n v="10"/>
    <s v="Oct"/>
    <x v="9"/>
    <n v="30"/>
    <x v="1"/>
    <n v="80.459999999999994"/>
    <n v="109.14"/>
    <n v="125.53"/>
    <n v="2.31"/>
    <n v="315.13"/>
    <n v="317.44"/>
    <m/>
  </r>
  <r>
    <x v="50"/>
    <x v="4"/>
    <n v="2021"/>
    <n v="10"/>
    <s v="Oct"/>
    <x v="10"/>
    <n v="24"/>
    <x v="1"/>
    <n v="2265.19"/>
    <n v="2773.34"/>
    <n v="2951.96"/>
    <n v="506.39"/>
    <n v="7990.49"/>
    <n v="8496.8799999999992"/>
    <m/>
  </r>
  <r>
    <x v="50"/>
    <x v="4"/>
    <n v="2021"/>
    <n v="10"/>
    <s v="Oct"/>
    <x v="11"/>
    <n v="6"/>
    <x v="1"/>
    <n v="954.53"/>
    <n v="1229.02"/>
    <n v="3102.35"/>
    <n v="319.61"/>
    <n v="5285.9"/>
    <n v="5605.51"/>
    <m/>
  </r>
  <r>
    <x v="50"/>
    <x v="4"/>
    <n v="2021"/>
    <n v="10"/>
    <s v="Oct"/>
    <x v="12"/>
    <n v="2"/>
    <x v="1"/>
    <n v="110.72"/>
    <n v="159.76"/>
    <n v="417.79"/>
    <n v="1.1599999999999999"/>
    <n v="688.27"/>
    <n v="689.43"/>
    <m/>
  </r>
  <r>
    <x v="50"/>
    <x v="4"/>
    <n v="2021"/>
    <n v="10"/>
    <s v="Oct"/>
    <x v="13"/>
    <n v="1"/>
    <x v="0"/>
    <n v="240.44"/>
    <n v="298.35000000000002"/>
    <n v="104.66"/>
    <n v="4.8899999999999997"/>
    <n v="643.45000000000005"/>
    <n v="648.34"/>
    <m/>
  </r>
  <r>
    <x v="50"/>
    <x v="4"/>
    <n v="2021"/>
    <n v="10"/>
    <s v="Oct"/>
    <x v="14"/>
    <n v="20"/>
    <x v="1"/>
    <n v="450.28"/>
    <n v="511.68"/>
    <n v="998.42"/>
    <n v="409.18"/>
    <n v="1960.38"/>
    <n v="2369.56"/>
    <m/>
  </r>
  <r>
    <x v="50"/>
    <x v="4"/>
    <n v="2021"/>
    <n v="10"/>
    <s v="Oct"/>
    <x v="15"/>
    <n v="29"/>
    <x v="1"/>
    <n v="1890.91"/>
    <n v="2449.91"/>
    <n v="3041.36"/>
    <n v="876.67"/>
    <n v="7382.18"/>
    <n v="8258.85"/>
    <m/>
  </r>
  <r>
    <x v="50"/>
    <x v="4"/>
    <n v="2021"/>
    <n v="10"/>
    <s v="Oct"/>
    <x v="16"/>
    <n v="32"/>
    <x v="1"/>
    <n v="631.30999999999995"/>
    <n v="916.14"/>
    <n v="375.35"/>
    <n v="8.91"/>
    <n v="1922.8"/>
    <n v="1931.71"/>
    <m/>
  </r>
  <r>
    <x v="50"/>
    <x v="4"/>
    <n v="2021"/>
    <n v="10"/>
    <s v="Oct"/>
    <x v="35"/>
    <n v="37"/>
    <x v="0"/>
    <n v="6.55"/>
    <n v="9.15"/>
    <n v="3.5"/>
    <n v="0"/>
    <n v="19.2"/>
    <n v="19.2"/>
    <m/>
  </r>
  <r>
    <x v="50"/>
    <x v="4"/>
    <n v="2021"/>
    <n v="10"/>
    <s v="Oct"/>
    <x v="17"/>
    <n v="31"/>
    <x v="0"/>
    <n v="0.98"/>
    <n v="1"/>
    <n v="0.09"/>
    <n v="0"/>
    <n v="2.0699999999999998"/>
    <n v="2.0699999999999998"/>
    <m/>
  </r>
  <r>
    <x v="50"/>
    <x v="4"/>
    <n v="2021"/>
    <n v="10"/>
    <s v="Oct"/>
    <x v="18"/>
    <n v="23"/>
    <x v="1"/>
    <n v="654.01"/>
    <n v="817.46"/>
    <n v="714.88"/>
    <n v="479.27"/>
    <n v="2186.35"/>
    <n v="2665.62"/>
    <m/>
  </r>
  <r>
    <x v="50"/>
    <x v="4"/>
    <n v="2021"/>
    <n v="10"/>
    <s v="Oct"/>
    <x v="19"/>
    <n v="27"/>
    <x v="1"/>
    <n v="4981.68"/>
    <n v="6058.63"/>
    <n v="7298.97"/>
    <n v="1015.63"/>
    <n v="18339.28"/>
    <n v="19354.91"/>
    <m/>
  </r>
  <r>
    <x v="50"/>
    <x v="4"/>
    <n v="2021"/>
    <n v="10"/>
    <s v="Oct"/>
    <x v="20"/>
    <n v="14"/>
    <x v="1"/>
    <n v="27.23"/>
    <n v="32.93"/>
    <n v="4.0199999999999996"/>
    <n v="0.06"/>
    <n v="64.180000000000007"/>
    <n v="64.239999999999995"/>
    <m/>
  </r>
  <r>
    <x v="50"/>
    <x v="4"/>
    <n v="2021"/>
    <n v="10"/>
    <s v="Oct"/>
    <x v="21"/>
    <n v="17"/>
    <x v="1"/>
    <n v="23.58"/>
    <n v="27.08"/>
    <n v="89.3"/>
    <n v="0.24"/>
    <n v="139.96"/>
    <n v="140.19999999999999"/>
    <m/>
  </r>
  <r>
    <x v="50"/>
    <x v="4"/>
    <n v="2021"/>
    <n v="10"/>
    <s v="Oct"/>
    <x v="22"/>
    <n v="15"/>
    <x v="1"/>
    <n v="12.52"/>
    <n v="15.97"/>
    <n v="3.31"/>
    <n v="0.04"/>
    <n v="31.8"/>
    <n v="31.84"/>
    <m/>
  </r>
  <r>
    <x v="50"/>
    <x v="4"/>
    <n v="2021"/>
    <n v="10"/>
    <s v="Oct"/>
    <x v="23"/>
    <n v="13"/>
    <x v="1"/>
    <n v="13.55"/>
    <n v="17.09"/>
    <n v="6.23"/>
    <n v="1.47"/>
    <n v="36.869999999999997"/>
    <n v="38.340000000000003"/>
    <m/>
  </r>
  <r>
    <x v="50"/>
    <x v="4"/>
    <n v="2021"/>
    <n v="10"/>
    <s v="Oct"/>
    <x v="24"/>
    <n v="21"/>
    <x v="1"/>
    <n v="907.29"/>
    <n v="1053.48"/>
    <n v="1005.5"/>
    <n v="627.07000000000005"/>
    <n v="2966.27"/>
    <n v="3593.34"/>
    <m/>
  </r>
  <r>
    <x v="50"/>
    <x v="4"/>
    <n v="2021"/>
    <n v="10"/>
    <s v="Oct"/>
    <x v="25"/>
    <n v="34"/>
    <x v="0"/>
    <n v="19.34"/>
    <n v="33.950000000000003"/>
    <n v="98.06"/>
    <n v="0.46"/>
    <n v="151.35"/>
    <n v="151.81"/>
    <m/>
  </r>
  <r>
    <x v="50"/>
    <x v="4"/>
    <n v="2021"/>
    <n v="10"/>
    <s v="Oct"/>
    <x v="26"/>
    <n v="3"/>
    <x v="1"/>
    <n v="410.27"/>
    <n v="606.44000000000005"/>
    <n v="560.87"/>
    <n v="17.86"/>
    <n v="1577.58"/>
    <n v="1595.44"/>
    <m/>
  </r>
  <r>
    <x v="50"/>
    <x v="4"/>
    <n v="2021"/>
    <n v="10"/>
    <s v="Oct"/>
    <x v="27"/>
    <n v="8"/>
    <x v="1"/>
    <n v="925.53"/>
    <n v="1212.6400000000001"/>
    <n v="1128.78"/>
    <n v="155.94"/>
    <n v="3266.95"/>
    <n v="3422.89"/>
    <m/>
  </r>
  <r>
    <x v="50"/>
    <x v="4"/>
    <n v="2021"/>
    <n v="10"/>
    <s v="Oct"/>
    <x v="28"/>
    <n v="11"/>
    <x v="1"/>
    <n v="15.81"/>
    <n v="24.3"/>
    <n v="217.19"/>
    <n v="0.04"/>
    <n v="257.3"/>
    <n v="257.33999999999997"/>
    <m/>
  </r>
  <r>
    <x v="50"/>
    <x v="4"/>
    <n v="2021"/>
    <n v="10"/>
    <s v="Oct"/>
    <x v="29"/>
    <n v="33"/>
    <x v="1"/>
    <n v="2011.24"/>
    <n v="2690.51"/>
    <n v="2376.9499999999998"/>
    <n v="563.67999999999995"/>
    <n v="7078.7"/>
    <n v="7642.38"/>
    <m/>
  </r>
  <r>
    <x v="50"/>
    <x v="4"/>
    <n v="2021"/>
    <n v="10"/>
    <s v="Oct"/>
    <x v="30"/>
    <n v="36"/>
    <x v="1"/>
    <n v="928.02"/>
    <n v="1277.77"/>
    <n v="1141.98"/>
    <n v="506.35"/>
    <n v="3347.77"/>
    <n v="3854.12"/>
    <m/>
  </r>
  <r>
    <x v="50"/>
    <x v="4"/>
    <n v="2021"/>
    <n v="10"/>
    <s v="Oct"/>
    <x v="31"/>
    <n v="16"/>
    <x v="1"/>
    <n v="25.77"/>
    <n v="33.54"/>
    <n v="7.49"/>
    <n v="0.11"/>
    <n v="66.8"/>
    <n v="66.91"/>
    <m/>
  </r>
  <r>
    <x v="50"/>
    <x v="4"/>
    <n v="2021"/>
    <n v="10"/>
    <s v="Oct"/>
    <x v="32"/>
    <n v="9"/>
    <x v="1"/>
    <n v="1574.74"/>
    <n v="2114.9"/>
    <n v="2000.73"/>
    <n v="1084.31"/>
    <n v="5690.37"/>
    <n v="6774.68"/>
    <m/>
  </r>
  <r>
    <x v="50"/>
    <x v="4"/>
    <n v="2021"/>
    <n v="10"/>
    <s v="Oct"/>
    <x v="33"/>
    <n v="5"/>
    <x v="1"/>
    <n v="222.92"/>
    <n v="355.77"/>
    <n v="678.11"/>
    <n v="2.5299999999999998"/>
    <n v="1256.8"/>
    <n v="1259.33"/>
    <m/>
  </r>
  <r>
    <x v="50"/>
    <x v="4"/>
    <n v="2021"/>
    <n v="10"/>
    <s v="Oct"/>
    <x v="34"/>
    <n v="19"/>
    <x v="1"/>
    <n v="1344.22"/>
    <n v="1650.42"/>
    <n v="997.07"/>
    <n v="267.69"/>
    <n v="3991.71"/>
    <n v="4259.3999999999996"/>
    <m/>
  </r>
  <r>
    <x v="51"/>
    <x v="4"/>
    <n v="2021"/>
    <n v="11"/>
    <s v="Nov"/>
    <x v="0"/>
    <n v="35"/>
    <x v="0"/>
    <n v="7.41"/>
    <n v="9.7899999999999991"/>
    <n v="6.97"/>
    <n v="0.02"/>
    <n v="24.17"/>
    <n v="24.19"/>
    <m/>
  </r>
  <r>
    <x v="51"/>
    <x v="4"/>
    <n v="2021"/>
    <n v="11"/>
    <s v="Nov"/>
    <x v="1"/>
    <n v="28"/>
    <x v="1"/>
    <n v="639.46"/>
    <n v="899.5"/>
    <n v="999.74"/>
    <n v="210.93"/>
    <n v="2538.6999999999998"/>
    <n v="2749.63"/>
    <m/>
  </r>
  <r>
    <x v="51"/>
    <x v="4"/>
    <n v="2021"/>
    <n v="11"/>
    <s v="Nov"/>
    <x v="2"/>
    <n v="12"/>
    <x v="1"/>
    <n v="13.12"/>
    <n v="17.59"/>
    <n v="9.5299999999999994"/>
    <n v="0.04"/>
    <n v="40.24"/>
    <n v="40.28"/>
    <m/>
  </r>
  <r>
    <x v="51"/>
    <x v="4"/>
    <n v="2021"/>
    <n v="11"/>
    <s v="Nov"/>
    <x v="3"/>
    <n v="18"/>
    <x v="1"/>
    <n v="283.64999999999998"/>
    <n v="373.69"/>
    <n v="300.14999999999998"/>
    <n v="34.04"/>
    <n v="957.49"/>
    <n v="991.53"/>
    <m/>
  </r>
  <r>
    <x v="51"/>
    <x v="4"/>
    <n v="2021"/>
    <n v="11"/>
    <s v="Nov"/>
    <x v="4"/>
    <n v="10"/>
    <x v="1"/>
    <n v="284.02999999999997"/>
    <n v="481.25"/>
    <n v="113.19"/>
    <n v="151.47"/>
    <n v="878.47"/>
    <n v="1029.94"/>
    <m/>
  </r>
  <r>
    <x v="51"/>
    <x v="4"/>
    <n v="2021"/>
    <n v="11"/>
    <s v="Nov"/>
    <x v="5"/>
    <n v="4"/>
    <x v="0"/>
    <n v="35.869999999999997"/>
    <n v="48.94"/>
    <n v="92.55"/>
    <n v="2.2999999999999998"/>
    <n v="177.36"/>
    <n v="179.66"/>
    <m/>
  </r>
  <r>
    <x v="51"/>
    <x v="4"/>
    <n v="2021"/>
    <n v="11"/>
    <s v="Nov"/>
    <x v="6"/>
    <n v="22"/>
    <x v="1"/>
    <n v="503.34"/>
    <n v="595.44000000000005"/>
    <n v="790.14"/>
    <n v="565.23"/>
    <n v="1888.92"/>
    <n v="2454.15"/>
    <m/>
  </r>
  <r>
    <x v="51"/>
    <x v="4"/>
    <n v="2021"/>
    <n v="11"/>
    <s v="Nov"/>
    <x v="7"/>
    <n v="38"/>
    <x v="0"/>
    <n v="33.57"/>
    <n v="47.17"/>
    <n v="189.22"/>
    <n v="0.33"/>
    <n v="269.95999999999998"/>
    <n v="270.29000000000002"/>
    <m/>
  </r>
  <r>
    <x v="51"/>
    <x v="4"/>
    <n v="2021"/>
    <n v="11"/>
    <s v="Nov"/>
    <x v="8"/>
    <n v="7"/>
    <x v="0"/>
    <n v="877.51"/>
    <n v="1087.95"/>
    <n v="2323.12"/>
    <n v="98.33"/>
    <n v="4288.58"/>
    <n v="4386.91"/>
    <m/>
  </r>
  <r>
    <x v="51"/>
    <x v="4"/>
    <n v="2021"/>
    <n v="11"/>
    <s v="Nov"/>
    <x v="9"/>
    <n v="30"/>
    <x v="1"/>
    <n v="99.03"/>
    <n v="138.31"/>
    <n v="278.54000000000002"/>
    <n v="2.14"/>
    <n v="515.88"/>
    <n v="518.02"/>
    <m/>
  </r>
  <r>
    <x v="51"/>
    <x v="4"/>
    <n v="2021"/>
    <n v="11"/>
    <s v="Nov"/>
    <x v="10"/>
    <n v="24"/>
    <x v="1"/>
    <n v="2657.94"/>
    <n v="3207.78"/>
    <n v="3078.37"/>
    <n v="624.89"/>
    <n v="8944.09"/>
    <n v="9568.98"/>
    <m/>
  </r>
  <r>
    <x v="51"/>
    <x v="4"/>
    <n v="2021"/>
    <n v="11"/>
    <s v="Nov"/>
    <x v="11"/>
    <n v="6"/>
    <x v="1"/>
    <n v="999.8"/>
    <n v="1377.16"/>
    <n v="3197.72"/>
    <n v="440.86"/>
    <n v="5574.68"/>
    <n v="6015.54"/>
    <m/>
  </r>
  <r>
    <x v="51"/>
    <x v="4"/>
    <n v="2021"/>
    <n v="11"/>
    <s v="Nov"/>
    <x v="12"/>
    <n v="2"/>
    <x v="1"/>
    <n v="123.57"/>
    <n v="188.6"/>
    <n v="446.86"/>
    <n v="2.91"/>
    <n v="759.03"/>
    <n v="761.94"/>
    <m/>
  </r>
  <r>
    <x v="51"/>
    <x v="4"/>
    <n v="2021"/>
    <n v="11"/>
    <s v="Nov"/>
    <x v="13"/>
    <n v="1"/>
    <x v="0"/>
    <n v="110.59"/>
    <n v="161.09"/>
    <n v="107.35"/>
    <n v="3.79"/>
    <n v="379.03"/>
    <n v="382.82"/>
    <m/>
  </r>
  <r>
    <x v="51"/>
    <x v="4"/>
    <n v="2021"/>
    <n v="11"/>
    <s v="Nov"/>
    <x v="14"/>
    <n v="20"/>
    <x v="1"/>
    <n v="395.37"/>
    <n v="520.59"/>
    <n v="996.77"/>
    <n v="424.19"/>
    <n v="1912.73"/>
    <n v="2336.92"/>
    <m/>
  </r>
  <r>
    <x v="51"/>
    <x v="4"/>
    <n v="2021"/>
    <n v="11"/>
    <s v="Nov"/>
    <x v="15"/>
    <n v="29"/>
    <x v="1"/>
    <n v="2044.08"/>
    <n v="2632.66"/>
    <n v="3400.37"/>
    <n v="970.97"/>
    <n v="8077.11"/>
    <n v="9048.08"/>
    <m/>
  </r>
  <r>
    <x v="51"/>
    <x v="4"/>
    <n v="2021"/>
    <n v="11"/>
    <s v="Nov"/>
    <x v="16"/>
    <n v="32"/>
    <x v="1"/>
    <n v="651.16"/>
    <n v="894.51"/>
    <n v="573.13"/>
    <n v="9.92"/>
    <n v="2118.8000000000002"/>
    <n v="2128.7199999999998"/>
    <m/>
  </r>
  <r>
    <x v="51"/>
    <x v="4"/>
    <n v="2021"/>
    <n v="11"/>
    <s v="Nov"/>
    <x v="35"/>
    <n v="37"/>
    <x v="0"/>
    <n v="4.63"/>
    <n v="5.9"/>
    <n v="2.83"/>
    <n v="0.05"/>
    <n v="13.36"/>
    <n v="13.41"/>
    <m/>
  </r>
  <r>
    <x v="51"/>
    <x v="4"/>
    <n v="2021"/>
    <n v="11"/>
    <s v="Nov"/>
    <x v="17"/>
    <n v="31"/>
    <x v="0"/>
    <n v="1.04"/>
    <n v="1.08"/>
    <n v="0.14000000000000001"/>
    <n v="0"/>
    <n v="2.2599999999999998"/>
    <n v="2.2599999999999998"/>
    <m/>
  </r>
  <r>
    <x v="51"/>
    <x v="4"/>
    <n v="2021"/>
    <n v="11"/>
    <s v="Nov"/>
    <x v="18"/>
    <n v="23"/>
    <x v="1"/>
    <n v="638.55999999999995"/>
    <n v="852.95"/>
    <n v="753.4"/>
    <n v="562.89"/>
    <n v="2244.91"/>
    <n v="2807.8"/>
    <m/>
  </r>
  <r>
    <x v="51"/>
    <x v="4"/>
    <n v="2021"/>
    <n v="11"/>
    <s v="Nov"/>
    <x v="19"/>
    <n v="27"/>
    <x v="1"/>
    <n v="5089.1400000000003"/>
    <n v="6157.54"/>
    <n v="6108.24"/>
    <n v="1301.3399999999999"/>
    <n v="17354.919999999998"/>
    <n v="18656.259999999998"/>
    <m/>
  </r>
  <r>
    <x v="51"/>
    <x v="4"/>
    <n v="2021"/>
    <n v="11"/>
    <s v="Nov"/>
    <x v="20"/>
    <n v="14"/>
    <x v="1"/>
    <n v="12.13"/>
    <n v="17.940000000000001"/>
    <n v="5.33"/>
    <n v="0.1"/>
    <n v="35.4"/>
    <n v="35.5"/>
    <m/>
  </r>
  <r>
    <x v="51"/>
    <x v="4"/>
    <n v="2021"/>
    <n v="11"/>
    <s v="Nov"/>
    <x v="21"/>
    <n v="17"/>
    <x v="1"/>
    <n v="27.05"/>
    <n v="35.630000000000003"/>
    <n v="89.21"/>
    <n v="0.31"/>
    <n v="151.88999999999999"/>
    <n v="152.19999999999999"/>
    <m/>
  </r>
  <r>
    <x v="51"/>
    <x v="4"/>
    <n v="2021"/>
    <n v="11"/>
    <s v="Nov"/>
    <x v="22"/>
    <n v="15"/>
    <x v="1"/>
    <n v="8.9"/>
    <n v="12.03"/>
    <n v="2.0499999999999998"/>
    <n v="0.02"/>
    <n v="22.98"/>
    <n v="23"/>
    <m/>
  </r>
  <r>
    <x v="51"/>
    <x v="4"/>
    <n v="2021"/>
    <n v="11"/>
    <s v="Nov"/>
    <x v="23"/>
    <n v="13"/>
    <x v="1"/>
    <n v="10.01"/>
    <n v="13.25"/>
    <n v="6.4"/>
    <n v="0.57999999999999996"/>
    <n v="29.66"/>
    <n v="30.24"/>
    <m/>
  </r>
  <r>
    <x v="51"/>
    <x v="4"/>
    <n v="2021"/>
    <n v="11"/>
    <s v="Nov"/>
    <x v="24"/>
    <n v="21"/>
    <x v="1"/>
    <n v="1001.08"/>
    <n v="1157.69"/>
    <n v="1223.24"/>
    <n v="753.77"/>
    <n v="3382.01"/>
    <n v="4135.78"/>
    <m/>
  </r>
  <r>
    <x v="51"/>
    <x v="4"/>
    <n v="2021"/>
    <n v="11"/>
    <s v="Nov"/>
    <x v="25"/>
    <n v="34"/>
    <x v="0"/>
    <n v="18.43"/>
    <n v="30.2"/>
    <n v="123.11"/>
    <n v="0.51"/>
    <n v="171.74"/>
    <n v="172.25"/>
    <m/>
  </r>
  <r>
    <x v="51"/>
    <x v="4"/>
    <n v="2021"/>
    <n v="11"/>
    <s v="Nov"/>
    <x v="26"/>
    <n v="3"/>
    <x v="1"/>
    <n v="463.04"/>
    <n v="704.95"/>
    <n v="655.52"/>
    <n v="21.71"/>
    <n v="1823.51"/>
    <n v="1845.22"/>
    <m/>
  </r>
  <r>
    <x v="51"/>
    <x v="4"/>
    <n v="2021"/>
    <n v="11"/>
    <s v="Nov"/>
    <x v="27"/>
    <n v="8"/>
    <x v="1"/>
    <n v="992.4"/>
    <n v="1312.62"/>
    <n v="1208.9000000000001"/>
    <n v="184.51"/>
    <n v="3513.92"/>
    <n v="3698.43"/>
    <m/>
  </r>
  <r>
    <x v="51"/>
    <x v="4"/>
    <n v="2021"/>
    <n v="11"/>
    <s v="Nov"/>
    <x v="28"/>
    <n v="11"/>
    <x v="1"/>
    <n v="13.36"/>
    <n v="18.649999999999999"/>
    <n v="175.21"/>
    <n v="0.1"/>
    <n v="207.22"/>
    <n v="207.32"/>
    <m/>
  </r>
  <r>
    <x v="51"/>
    <x v="4"/>
    <n v="2021"/>
    <n v="11"/>
    <s v="Nov"/>
    <x v="29"/>
    <n v="33"/>
    <x v="1"/>
    <n v="1958.49"/>
    <n v="2708.36"/>
    <n v="2573.63"/>
    <n v="554.48"/>
    <n v="7240.48"/>
    <n v="7794.96"/>
    <m/>
  </r>
  <r>
    <x v="51"/>
    <x v="4"/>
    <n v="2021"/>
    <n v="11"/>
    <s v="Nov"/>
    <x v="30"/>
    <n v="36"/>
    <x v="1"/>
    <n v="952.04"/>
    <n v="1310.3699999999999"/>
    <n v="1119"/>
    <n v="549.73"/>
    <n v="3381.41"/>
    <n v="3931.14"/>
    <m/>
  </r>
  <r>
    <x v="51"/>
    <x v="4"/>
    <n v="2021"/>
    <n v="11"/>
    <s v="Nov"/>
    <x v="31"/>
    <n v="16"/>
    <x v="1"/>
    <n v="20.62"/>
    <n v="28.96"/>
    <n v="7.9"/>
    <n v="0.2"/>
    <n v="57.48"/>
    <n v="57.68"/>
    <m/>
  </r>
  <r>
    <x v="51"/>
    <x v="4"/>
    <n v="2021"/>
    <n v="11"/>
    <s v="Nov"/>
    <x v="32"/>
    <n v="9"/>
    <x v="1"/>
    <n v="1507.6"/>
    <n v="2157.92"/>
    <n v="1803.14"/>
    <n v="1167.49"/>
    <n v="5468.66"/>
    <n v="6636.15"/>
    <m/>
  </r>
  <r>
    <x v="51"/>
    <x v="4"/>
    <n v="2021"/>
    <n v="11"/>
    <s v="Nov"/>
    <x v="33"/>
    <n v="5"/>
    <x v="1"/>
    <n v="233.41"/>
    <n v="356.99"/>
    <n v="665.76"/>
    <n v="7.11"/>
    <n v="1256.1600000000001"/>
    <n v="1263.27"/>
    <m/>
  </r>
  <r>
    <x v="51"/>
    <x v="4"/>
    <n v="2021"/>
    <n v="11"/>
    <s v="Nov"/>
    <x v="34"/>
    <n v="19"/>
    <x v="1"/>
    <n v="1263.58"/>
    <n v="1558.69"/>
    <n v="954.87"/>
    <n v="305.60000000000002"/>
    <n v="3777.14"/>
    <n v="4082.74"/>
    <m/>
  </r>
  <r>
    <x v="52"/>
    <x v="4"/>
    <n v="2021"/>
    <n v="12"/>
    <s v="Dec"/>
    <x v="0"/>
    <n v="35"/>
    <x v="0"/>
    <n v="10.220000000000001"/>
    <n v="12.93"/>
    <n v="2.7"/>
    <n v="0.02"/>
    <n v="25.85"/>
    <n v="25.87"/>
    <m/>
  </r>
  <r>
    <x v="52"/>
    <x v="4"/>
    <n v="2021"/>
    <n v="12"/>
    <s v="Dec"/>
    <x v="1"/>
    <n v="28"/>
    <x v="1"/>
    <n v="602"/>
    <n v="805.07"/>
    <n v="937.39"/>
    <n v="187.94"/>
    <n v="2344.46"/>
    <n v="2532.4"/>
    <m/>
  </r>
  <r>
    <x v="52"/>
    <x v="4"/>
    <n v="2021"/>
    <n v="12"/>
    <s v="Dec"/>
    <x v="2"/>
    <n v="12"/>
    <x v="1"/>
    <n v="17.72"/>
    <n v="25.16"/>
    <n v="9.74"/>
    <n v="0.11"/>
    <n v="52.62"/>
    <n v="52.73"/>
    <m/>
  </r>
  <r>
    <x v="52"/>
    <x v="4"/>
    <n v="2021"/>
    <n v="12"/>
    <s v="Dec"/>
    <x v="3"/>
    <n v="18"/>
    <x v="1"/>
    <n v="289.08"/>
    <n v="377.66"/>
    <n v="315.23"/>
    <n v="32.659999999999997"/>
    <n v="981.97"/>
    <n v="1014.63"/>
    <m/>
  </r>
  <r>
    <x v="52"/>
    <x v="4"/>
    <n v="2021"/>
    <n v="12"/>
    <s v="Dec"/>
    <x v="4"/>
    <n v="10"/>
    <x v="1"/>
    <n v="258.35000000000002"/>
    <n v="441.66"/>
    <n v="113.76"/>
    <n v="149.16999999999999"/>
    <n v="813.77"/>
    <n v="962.94"/>
    <m/>
  </r>
  <r>
    <x v="52"/>
    <x v="4"/>
    <n v="2021"/>
    <n v="12"/>
    <s v="Dec"/>
    <x v="5"/>
    <n v="4"/>
    <x v="0"/>
    <n v="32.090000000000003"/>
    <n v="47.47"/>
    <n v="83.8"/>
    <n v="0.7"/>
    <n v="163.36000000000001"/>
    <n v="164.06"/>
    <m/>
  </r>
  <r>
    <x v="52"/>
    <x v="4"/>
    <n v="2021"/>
    <n v="12"/>
    <s v="Dec"/>
    <x v="6"/>
    <n v="22"/>
    <x v="1"/>
    <n v="484.46"/>
    <n v="571.30999999999995"/>
    <n v="929"/>
    <n v="596.85"/>
    <n v="1984.77"/>
    <n v="2581.62"/>
    <m/>
  </r>
  <r>
    <x v="52"/>
    <x v="4"/>
    <n v="2021"/>
    <n v="12"/>
    <s v="Dec"/>
    <x v="7"/>
    <n v="38"/>
    <x v="0"/>
    <n v="30.71"/>
    <n v="40.340000000000003"/>
    <n v="161.03"/>
    <n v="1.36"/>
    <n v="232.08"/>
    <n v="233.44"/>
    <m/>
  </r>
  <r>
    <x v="52"/>
    <x v="4"/>
    <n v="2021"/>
    <n v="12"/>
    <s v="Dec"/>
    <x v="8"/>
    <n v="7"/>
    <x v="0"/>
    <n v="741.01"/>
    <n v="924.64"/>
    <n v="2002.74"/>
    <n v="85.4"/>
    <n v="3668.39"/>
    <n v="3753.79"/>
    <m/>
  </r>
  <r>
    <x v="52"/>
    <x v="4"/>
    <n v="2021"/>
    <n v="12"/>
    <s v="Dec"/>
    <x v="9"/>
    <n v="30"/>
    <x v="1"/>
    <n v="103.64"/>
    <n v="143.72999999999999"/>
    <n v="342.52"/>
    <n v="1.91"/>
    <n v="589.89"/>
    <n v="591.79999999999995"/>
    <m/>
  </r>
  <r>
    <x v="52"/>
    <x v="4"/>
    <n v="2021"/>
    <n v="12"/>
    <s v="Dec"/>
    <x v="10"/>
    <n v="24"/>
    <x v="1"/>
    <n v="2144.5100000000002"/>
    <n v="2551.92"/>
    <n v="2165.31"/>
    <n v="474.18"/>
    <n v="6861.74"/>
    <n v="7335.92"/>
    <m/>
  </r>
  <r>
    <x v="52"/>
    <x v="4"/>
    <n v="2021"/>
    <n v="12"/>
    <s v="Dec"/>
    <x v="11"/>
    <n v="6"/>
    <x v="1"/>
    <n v="946.75"/>
    <n v="1298.19"/>
    <n v="3201.61"/>
    <n v="426.65"/>
    <n v="5446.55"/>
    <n v="5873.2"/>
    <m/>
  </r>
  <r>
    <x v="52"/>
    <x v="4"/>
    <n v="2021"/>
    <n v="12"/>
    <s v="Dec"/>
    <x v="12"/>
    <n v="2"/>
    <x v="1"/>
    <n v="138.91"/>
    <n v="192.97"/>
    <n v="328.79"/>
    <n v="1.51"/>
    <n v="660.67"/>
    <n v="662.18"/>
    <m/>
  </r>
  <r>
    <x v="52"/>
    <x v="4"/>
    <n v="2021"/>
    <n v="12"/>
    <s v="Dec"/>
    <x v="13"/>
    <n v="1"/>
    <x v="0"/>
    <n v="95.92"/>
    <n v="143.84"/>
    <n v="78.84"/>
    <n v="1.4"/>
    <n v="318.60000000000002"/>
    <n v="320"/>
    <m/>
  </r>
  <r>
    <x v="52"/>
    <x v="4"/>
    <n v="2021"/>
    <n v="12"/>
    <s v="Dec"/>
    <x v="14"/>
    <n v="20"/>
    <x v="1"/>
    <n v="391.03"/>
    <n v="494.71"/>
    <n v="877.75"/>
    <n v="442.74"/>
    <n v="1763.49"/>
    <n v="2206.23"/>
    <m/>
  </r>
  <r>
    <x v="52"/>
    <x v="4"/>
    <n v="2021"/>
    <n v="12"/>
    <s v="Dec"/>
    <x v="15"/>
    <n v="29"/>
    <x v="1"/>
    <n v="1895.64"/>
    <n v="2409.75"/>
    <n v="3029.08"/>
    <n v="1000.41"/>
    <n v="7334.47"/>
    <n v="8334.8799999999992"/>
    <m/>
  </r>
  <r>
    <x v="52"/>
    <x v="4"/>
    <n v="2021"/>
    <n v="12"/>
    <s v="Dec"/>
    <x v="16"/>
    <n v="32"/>
    <x v="1"/>
    <n v="643.12"/>
    <n v="870.43"/>
    <n v="376.12"/>
    <n v="5.7"/>
    <n v="1889.67"/>
    <n v="1895.37"/>
    <m/>
  </r>
  <r>
    <x v="52"/>
    <x v="4"/>
    <n v="2021"/>
    <n v="12"/>
    <s v="Dec"/>
    <x v="35"/>
    <n v="37"/>
    <x v="0"/>
    <n v="5.81"/>
    <n v="7.32"/>
    <n v="2.0299999999999998"/>
    <n v="7.0000000000000007E-2"/>
    <n v="15.16"/>
    <n v="15.23"/>
    <m/>
  </r>
  <r>
    <x v="52"/>
    <x v="4"/>
    <n v="2021"/>
    <n v="12"/>
    <s v="Dec"/>
    <x v="17"/>
    <n v="31"/>
    <x v="0"/>
    <n v="0.69"/>
    <n v="0.66"/>
    <n v="0.08"/>
    <n v="0"/>
    <n v="1.43"/>
    <n v="1.43"/>
    <m/>
  </r>
  <r>
    <x v="52"/>
    <x v="4"/>
    <n v="2021"/>
    <n v="12"/>
    <s v="Dec"/>
    <x v="18"/>
    <n v="23"/>
    <x v="1"/>
    <n v="592.69000000000005"/>
    <n v="748.86"/>
    <n v="644.47"/>
    <n v="546.86"/>
    <n v="1986.02"/>
    <n v="2532.88"/>
    <m/>
  </r>
  <r>
    <x v="52"/>
    <x v="4"/>
    <n v="2021"/>
    <n v="12"/>
    <s v="Dec"/>
    <x v="19"/>
    <n v="27"/>
    <x v="1"/>
    <n v="5516.25"/>
    <n v="6469.5"/>
    <n v="6259.66"/>
    <n v="1346.13"/>
    <n v="18245.41"/>
    <n v="19591.54"/>
    <m/>
  </r>
  <r>
    <x v="52"/>
    <x v="4"/>
    <n v="2021"/>
    <n v="12"/>
    <s v="Dec"/>
    <x v="20"/>
    <n v="14"/>
    <x v="1"/>
    <n v="17.84"/>
    <n v="25.02"/>
    <n v="4.7"/>
    <n v="0.3"/>
    <n v="47.56"/>
    <n v="47.86"/>
    <m/>
  </r>
  <r>
    <x v="52"/>
    <x v="4"/>
    <n v="2021"/>
    <n v="12"/>
    <s v="Dec"/>
    <x v="21"/>
    <n v="17"/>
    <x v="1"/>
    <n v="21.86"/>
    <n v="27.12"/>
    <n v="99.16"/>
    <n v="0.49"/>
    <n v="148.13999999999999"/>
    <n v="148.63"/>
    <m/>
  </r>
  <r>
    <x v="52"/>
    <x v="4"/>
    <n v="2021"/>
    <n v="12"/>
    <s v="Dec"/>
    <x v="22"/>
    <n v="15"/>
    <x v="1"/>
    <n v="7.42"/>
    <n v="10.24"/>
    <n v="1.91"/>
    <n v="0.03"/>
    <n v="19.57"/>
    <n v="19.600000000000001"/>
    <m/>
  </r>
  <r>
    <x v="52"/>
    <x v="4"/>
    <n v="2021"/>
    <n v="12"/>
    <s v="Dec"/>
    <x v="23"/>
    <n v="13"/>
    <x v="1"/>
    <n v="11.39"/>
    <n v="14.87"/>
    <n v="5.57"/>
    <n v="1.87"/>
    <n v="31.83"/>
    <n v="33.700000000000003"/>
    <m/>
  </r>
  <r>
    <x v="52"/>
    <x v="4"/>
    <n v="2021"/>
    <n v="12"/>
    <s v="Dec"/>
    <x v="24"/>
    <n v="21"/>
    <x v="1"/>
    <n v="973.79"/>
    <n v="1118.6500000000001"/>
    <n v="1267.6300000000001"/>
    <n v="720.07"/>
    <n v="3360.07"/>
    <n v="4080.14"/>
    <m/>
  </r>
  <r>
    <x v="52"/>
    <x v="4"/>
    <n v="2021"/>
    <n v="12"/>
    <s v="Dec"/>
    <x v="25"/>
    <n v="34"/>
    <x v="0"/>
    <n v="18.899999999999999"/>
    <n v="30.24"/>
    <n v="97.19"/>
    <n v="0.64"/>
    <n v="146.33000000000001"/>
    <n v="146.97"/>
    <m/>
  </r>
  <r>
    <x v="52"/>
    <x v="4"/>
    <n v="2021"/>
    <n v="12"/>
    <s v="Dec"/>
    <x v="26"/>
    <n v="3"/>
    <x v="1"/>
    <n v="381.23"/>
    <n v="563.42999999999995"/>
    <n v="616.46"/>
    <n v="11.4"/>
    <n v="1561.12"/>
    <n v="1572.52"/>
    <m/>
  </r>
  <r>
    <x v="52"/>
    <x v="4"/>
    <n v="2021"/>
    <n v="12"/>
    <s v="Dec"/>
    <x v="27"/>
    <n v="8"/>
    <x v="1"/>
    <n v="812.64"/>
    <n v="1072.8499999999999"/>
    <n v="987.82"/>
    <n v="184.2"/>
    <n v="2873.31"/>
    <n v="3057.51"/>
    <m/>
  </r>
  <r>
    <x v="52"/>
    <x v="4"/>
    <n v="2021"/>
    <n v="12"/>
    <s v="Dec"/>
    <x v="28"/>
    <n v="11"/>
    <x v="1"/>
    <n v="23.6"/>
    <n v="21.67"/>
    <n v="203.63"/>
    <n v="0.05"/>
    <n v="248.9"/>
    <n v="248.95"/>
    <m/>
  </r>
  <r>
    <x v="52"/>
    <x v="4"/>
    <n v="2021"/>
    <n v="12"/>
    <s v="Dec"/>
    <x v="29"/>
    <n v="33"/>
    <x v="1"/>
    <n v="1712.3"/>
    <n v="2229.3200000000002"/>
    <n v="2083.5100000000002"/>
    <n v="610.20000000000005"/>
    <n v="6025.13"/>
    <n v="6635.33"/>
    <m/>
  </r>
  <r>
    <x v="52"/>
    <x v="4"/>
    <n v="2021"/>
    <n v="12"/>
    <s v="Dec"/>
    <x v="30"/>
    <n v="36"/>
    <x v="1"/>
    <n v="935.93"/>
    <n v="1252.4100000000001"/>
    <n v="1019.71"/>
    <n v="552.16"/>
    <n v="3208.05"/>
    <n v="3760.21"/>
    <m/>
  </r>
  <r>
    <x v="52"/>
    <x v="4"/>
    <n v="2021"/>
    <n v="12"/>
    <s v="Dec"/>
    <x v="31"/>
    <n v="16"/>
    <x v="1"/>
    <n v="26.45"/>
    <n v="32.81"/>
    <n v="8.31"/>
    <n v="0.09"/>
    <n v="67.569999999999993"/>
    <n v="67.66"/>
    <m/>
  </r>
  <r>
    <x v="52"/>
    <x v="4"/>
    <n v="2021"/>
    <n v="12"/>
    <s v="Dec"/>
    <x v="32"/>
    <n v="9"/>
    <x v="1"/>
    <n v="1323.86"/>
    <n v="1892.58"/>
    <n v="1704.26"/>
    <n v="1108.03"/>
    <n v="4920.7"/>
    <n v="6028.73"/>
    <m/>
  </r>
  <r>
    <x v="52"/>
    <x v="4"/>
    <n v="2021"/>
    <n v="12"/>
    <s v="Dec"/>
    <x v="33"/>
    <n v="5"/>
    <x v="1"/>
    <n v="211.9"/>
    <n v="317.91000000000003"/>
    <n v="539.13"/>
    <n v="7.57"/>
    <n v="1068.94"/>
    <n v="1076.51"/>
    <m/>
  </r>
  <r>
    <x v="52"/>
    <x v="4"/>
    <n v="2021"/>
    <n v="12"/>
    <s v="Dec"/>
    <x v="34"/>
    <n v="19"/>
    <x v="1"/>
    <n v="1149.8699999999999"/>
    <n v="1459.64"/>
    <n v="820.71"/>
    <n v="276.37"/>
    <n v="3430.22"/>
    <n v="3706.59"/>
    <m/>
  </r>
  <r>
    <x v="53"/>
    <x v="4"/>
    <n v="2022"/>
    <n v="1"/>
    <s v="Jan"/>
    <x v="0"/>
    <n v="35"/>
    <x v="0"/>
    <n v="11.05"/>
    <n v="14.64"/>
    <n v="2.98"/>
    <n v="0.01"/>
    <n v="28.67"/>
    <n v="28.68"/>
    <m/>
  </r>
  <r>
    <x v="53"/>
    <x v="4"/>
    <n v="2022"/>
    <n v="1"/>
    <s v="Jan"/>
    <x v="1"/>
    <n v="28"/>
    <x v="1"/>
    <n v="713.03"/>
    <n v="952.17"/>
    <n v="1058.1099999999999"/>
    <n v="108.01"/>
    <n v="2723.31"/>
    <n v="2831.32"/>
    <m/>
  </r>
  <r>
    <x v="53"/>
    <x v="4"/>
    <n v="2022"/>
    <n v="1"/>
    <s v="Jan"/>
    <x v="2"/>
    <n v="12"/>
    <x v="1"/>
    <n v="25.59"/>
    <n v="33.369999999999997"/>
    <n v="12.5"/>
    <n v="0.7"/>
    <n v="71.459999999999994"/>
    <n v="72.16"/>
    <m/>
  </r>
  <r>
    <x v="53"/>
    <x v="4"/>
    <n v="2022"/>
    <n v="1"/>
    <s v="Jan"/>
    <x v="3"/>
    <n v="18"/>
    <x v="1"/>
    <n v="308.7"/>
    <n v="421.33"/>
    <n v="292.88"/>
    <n v="39.47"/>
    <n v="1022.91"/>
    <n v="1062.3800000000001"/>
    <m/>
  </r>
  <r>
    <x v="53"/>
    <x v="4"/>
    <n v="2022"/>
    <n v="1"/>
    <s v="Jan"/>
    <x v="4"/>
    <n v="10"/>
    <x v="1"/>
    <n v="327.85"/>
    <n v="552.08000000000004"/>
    <n v="145.4"/>
    <n v="171.09"/>
    <n v="1025.33"/>
    <n v="1196.42"/>
    <m/>
  </r>
  <r>
    <x v="53"/>
    <x v="4"/>
    <n v="2022"/>
    <n v="1"/>
    <s v="Jan"/>
    <x v="5"/>
    <n v="4"/>
    <x v="0"/>
    <n v="37.909999999999997"/>
    <n v="59.54"/>
    <n v="93.8"/>
    <n v="4.71"/>
    <n v="191.25"/>
    <n v="195.96"/>
    <m/>
  </r>
  <r>
    <x v="53"/>
    <x v="4"/>
    <n v="2022"/>
    <n v="1"/>
    <s v="Jan"/>
    <x v="6"/>
    <n v="22"/>
    <x v="1"/>
    <n v="518.75"/>
    <n v="621.97"/>
    <n v="874.26"/>
    <n v="641.13"/>
    <n v="2014.98"/>
    <n v="2656.11"/>
    <m/>
  </r>
  <r>
    <x v="53"/>
    <x v="4"/>
    <n v="2022"/>
    <n v="1"/>
    <s v="Jan"/>
    <x v="7"/>
    <n v="38"/>
    <x v="0"/>
    <n v="35.35"/>
    <n v="46.04"/>
    <n v="197.96"/>
    <n v="0.53"/>
    <n v="279.35000000000002"/>
    <n v="279.88"/>
    <m/>
  </r>
  <r>
    <x v="53"/>
    <x v="4"/>
    <n v="2022"/>
    <n v="1"/>
    <s v="Jan"/>
    <x v="8"/>
    <n v="7"/>
    <x v="0"/>
    <n v="870.82"/>
    <n v="1104.48"/>
    <n v="2454.7199999999998"/>
    <n v="98.71"/>
    <n v="4430.0200000000004"/>
    <n v="4528.7299999999996"/>
    <m/>
  </r>
  <r>
    <x v="53"/>
    <x v="4"/>
    <n v="2022"/>
    <n v="1"/>
    <s v="Jan"/>
    <x v="9"/>
    <n v="30"/>
    <x v="1"/>
    <n v="111.82"/>
    <n v="155.49"/>
    <n v="124.28"/>
    <n v="2.59"/>
    <n v="391.59"/>
    <n v="394.18"/>
    <m/>
  </r>
  <r>
    <x v="53"/>
    <x v="4"/>
    <n v="2022"/>
    <n v="1"/>
    <s v="Jan"/>
    <x v="10"/>
    <n v="24"/>
    <x v="1"/>
    <n v="2430.91"/>
    <n v="2960.16"/>
    <n v="2613.7800000000002"/>
    <n v="611.47"/>
    <n v="8004.85"/>
    <n v="8616.32"/>
    <m/>
  </r>
  <r>
    <x v="53"/>
    <x v="4"/>
    <n v="2022"/>
    <n v="1"/>
    <s v="Jan"/>
    <x v="11"/>
    <n v="6"/>
    <x v="1"/>
    <n v="1038.75"/>
    <n v="1420.77"/>
    <n v="3470.79"/>
    <n v="489.4"/>
    <n v="5930.31"/>
    <n v="6419.71"/>
    <m/>
  </r>
  <r>
    <x v="53"/>
    <x v="4"/>
    <n v="2022"/>
    <n v="1"/>
    <s v="Jan"/>
    <x v="12"/>
    <n v="2"/>
    <x v="1"/>
    <n v="127.19"/>
    <n v="194.38"/>
    <n v="368.83"/>
    <n v="4.45"/>
    <n v="690.4"/>
    <n v="694.85"/>
    <m/>
  </r>
  <r>
    <x v="53"/>
    <x v="4"/>
    <n v="2022"/>
    <n v="1"/>
    <s v="Jan"/>
    <x v="13"/>
    <n v="1"/>
    <x v="0"/>
    <n v="112.93"/>
    <n v="198.36"/>
    <n v="91.16"/>
    <n v="2.23"/>
    <n v="402.45"/>
    <n v="404.68"/>
    <m/>
  </r>
  <r>
    <x v="53"/>
    <x v="4"/>
    <n v="2022"/>
    <n v="1"/>
    <s v="Jan"/>
    <x v="14"/>
    <n v="20"/>
    <x v="1"/>
    <n v="451.55"/>
    <n v="559.61"/>
    <n v="950.58"/>
    <n v="470.95"/>
    <n v="1961.74"/>
    <n v="2432.69"/>
    <m/>
  </r>
  <r>
    <x v="53"/>
    <x v="4"/>
    <n v="2022"/>
    <n v="1"/>
    <s v="Jan"/>
    <x v="15"/>
    <n v="29"/>
    <x v="1"/>
    <n v="2195.5300000000002"/>
    <n v="2835.47"/>
    <n v="3644.53"/>
    <n v="920.74"/>
    <n v="8675.5300000000007"/>
    <n v="9596.27"/>
    <m/>
  </r>
  <r>
    <x v="53"/>
    <x v="4"/>
    <n v="2022"/>
    <n v="1"/>
    <s v="Jan"/>
    <x v="16"/>
    <n v="32"/>
    <x v="1"/>
    <n v="752.75"/>
    <n v="1056.32"/>
    <n v="651.42999999999995"/>
    <n v="21.38"/>
    <n v="2460.5"/>
    <n v="2481.88"/>
    <m/>
  </r>
  <r>
    <x v="53"/>
    <x v="4"/>
    <n v="2022"/>
    <n v="1"/>
    <s v="Jan"/>
    <x v="35"/>
    <n v="37"/>
    <x v="0"/>
    <n v="13.31"/>
    <n v="17.71"/>
    <n v="3.86"/>
    <n v="0.28000000000000003"/>
    <n v="34.880000000000003"/>
    <n v="35.159999999999997"/>
    <m/>
  </r>
  <r>
    <x v="53"/>
    <x v="4"/>
    <n v="2022"/>
    <n v="1"/>
    <s v="Jan"/>
    <x v="17"/>
    <n v="31"/>
    <x v="0"/>
    <n v="0.99"/>
    <n v="1.03"/>
    <n v="0.05"/>
    <n v="0"/>
    <n v="2.0699999999999998"/>
    <n v="2.0699999999999998"/>
    <m/>
  </r>
  <r>
    <x v="53"/>
    <x v="4"/>
    <n v="2022"/>
    <n v="1"/>
    <s v="Jan"/>
    <x v="18"/>
    <n v="23"/>
    <x v="1"/>
    <n v="718.3"/>
    <n v="920.77"/>
    <n v="734.12"/>
    <n v="586.12"/>
    <n v="2373.19"/>
    <n v="2959.31"/>
    <m/>
  </r>
  <r>
    <x v="53"/>
    <x v="4"/>
    <n v="2022"/>
    <n v="1"/>
    <s v="Jan"/>
    <x v="19"/>
    <n v="27"/>
    <x v="1"/>
    <n v="5319.45"/>
    <n v="6360.44"/>
    <n v="7687.46"/>
    <n v="1337.05"/>
    <n v="19367.349999999999"/>
    <n v="20704.400000000001"/>
    <m/>
  </r>
  <r>
    <x v="53"/>
    <x v="4"/>
    <n v="2022"/>
    <n v="1"/>
    <s v="Jan"/>
    <x v="20"/>
    <n v="14"/>
    <x v="1"/>
    <n v="16.13"/>
    <n v="20.82"/>
    <n v="7.26"/>
    <n v="0.09"/>
    <n v="44.21"/>
    <n v="44.3"/>
    <m/>
  </r>
  <r>
    <x v="53"/>
    <x v="4"/>
    <n v="2022"/>
    <n v="1"/>
    <s v="Jan"/>
    <x v="21"/>
    <n v="17"/>
    <x v="1"/>
    <n v="26.95"/>
    <n v="35.6"/>
    <n v="83.27"/>
    <n v="0.49"/>
    <n v="145.82"/>
    <n v="146.31"/>
    <m/>
  </r>
  <r>
    <x v="53"/>
    <x v="4"/>
    <n v="2022"/>
    <n v="1"/>
    <s v="Jan"/>
    <x v="22"/>
    <n v="15"/>
    <x v="1"/>
    <n v="11.99"/>
    <n v="17.510000000000002"/>
    <n v="5.09"/>
    <n v="0.17"/>
    <n v="34.590000000000003"/>
    <n v="34.76"/>
    <m/>
  </r>
  <r>
    <x v="53"/>
    <x v="4"/>
    <n v="2022"/>
    <n v="1"/>
    <s v="Jan"/>
    <x v="23"/>
    <n v="13"/>
    <x v="1"/>
    <n v="12.24"/>
    <n v="20.04"/>
    <n v="6.54"/>
    <n v="1.73"/>
    <n v="38.82"/>
    <n v="40.549999999999997"/>
    <m/>
  </r>
  <r>
    <x v="53"/>
    <x v="4"/>
    <n v="2022"/>
    <n v="1"/>
    <s v="Jan"/>
    <x v="24"/>
    <n v="21"/>
    <x v="1"/>
    <n v="965.92"/>
    <n v="1143.1400000000001"/>
    <n v="1134.1500000000001"/>
    <n v="752.19"/>
    <n v="3243.21"/>
    <n v="3995.4"/>
    <m/>
  </r>
  <r>
    <x v="53"/>
    <x v="4"/>
    <n v="2022"/>
    <n v="1"/>
    <s v="Jan"/>
    <x v="25"/>
    <n v="34"/>
    <x v="0"/>
    <n v="22.48"/>
    <n v="38.72"/>
    <n v="106.77"/>
    <n v="1.28"/>
    <n v="167.97"/>
    <n v="169.25"/>
    <m/>
  </r>
  <r>
    <x v="53"/>
    <x v="4"/>
    <n v="2022"/>
    <n v="1"/>
    <s v="Jan"/>
    <x v="26"/>
    <n v="3"/>
    <x v="1"/>
    <n v="422.29"/>
    <n v="659.09"/>
    <n v="583.15"/>
    <n v="25.75"/>
    <n v="1664.53"/>
    <n v="1690.28"/>
    <m/>
  </r>
  <r>
    <x v="53"/>
    <x v="4"/>
    <n v="2022"/>
    <n v="1"/>
    <s v="Jan"/>
    <x v="27"/>
    <n v="8"/>
    <x v="1"/>
    <n v="971.7"/>
    <n v="1289.8599999999999"/>
    <n v="1215.7"/>
    <n v="171.41"/>
    <n v="3477.26"/>
    <n v="3648.67"/>
    <m/>
  </r>
  <r>
    <x v="53"/>
    <x v="4"/>
    <n v="2022"/>
    <n v="1"/>
    <s v="Jan"/>
    <x v="28"/>
    <n v="11"/>
    <x v="1"/>
    <n v="15"/>
    <n v="24.72"/>
    <n v="209.51"/>
    <n v="0.38"/>
    <n v="249.23"/>
    <n v="249.61"/>
    <m/>
  </r>
  <r>
    <x v="53"/>
    <x v="4"/>
    <n v="2022"/>
    <n v="1"/>
    <s v="Jan"/>
    <x v="29"/>
    <n v="33"/>
    <x v="1"/>
    <n v="2089.7399999999998"/>
    <n v="2812.13"/>
    <n v="2421.11"/>
    <n v="656.63"/>
    <n v="7322.98"/>
    <n v="7979.61"/>
    <m/>
  </r>
  <r>
    <x v="53"/>
    <x v="4"/>
    <n v="2022"/>
    <n v="1"/>
    <s v="Jan"/>
    <x v="30"/>
    <n v="36"/>
    <x v="1"/>
    <n v="1055.72"/>
    <n v="1424.16"/>
    <n v="1375.14"/>
    <n v="604.96"/>
    <n v="3855.02"/>
    <n v="4459.9799999999996"/>
    <m/>
  </r>
  <r>
    <x v="53"/>
    <x v="4"/>
    <n v="2022"/>
    <n v="1"/>
    <s v="Jan"/>
    <x v="31"/>
    <n v="16"/>
    <x v="1"/>
    <n v="27"/>
    <n v="37.42"/>
    <n v="8.3800000000000008"/>
    <n v="0.38"/>
    <n v="72.8"/>
    <n v="73.180000000000007"/>
    <m/>
  </r>
  <r>
    <x v="53"/>
    <x v="4"/>
    <n v="2022"/>
    <n v="1"/>
    <s v="Jan"/>
    <x v="32"/>
    <n v="9"/>
    <x v="1"/>
    <n v="1529.52"/>
    <n v="2178.6999999999998"/>
    <n v="2181.83"/>
    <n v="1095.5"/>
    <n v="5890.05"/>
    <n v="6985.55"/>
    <m/>
  </r>
  <r>
    <x v="53"/>
    <x v="4"/>
    <n v="2022"/>
    <n v="1"/>
    <s v="Jan"/>
    <x v="33"/>
    <n v="5"/>
    <x v="1"/>
    <n v="242.6"/>
    <n v="360.92"/>
    <n v="693.35"/>
    <n v="9.2200000000000006"/>
    <n v="1296.8699999999999"/>
    <n v="1306.0899999999999"/>
    <m/>
  </r>
  <r>
    <x v="53"/>
    <x v="4"/>
    <n v="2022"/>
    <n v="1"/>
    <s v="Jan"/>
    <x v="34"/>
    <n v="19"/>
    <x v="1"/>
    <n v="1329.17"/>
    <n v="1675.91"/>
    <n v="1140.81"/>
    <n v="328.37"/>
    <n v="4145.8900000000003"/>
    <n v="4474.26"/>
    <m/>
  </r>
  <r>
    <x v="54"/>
    <x v="4"/>
    <n v="2022"/>
    <n v="2"/>
    <s v="Feb"/>
    <x v="0"/>
    <n v="35"/>
    <x v="0"/>
    <n v="8.39"/>
    <n v="11.57"/>
    <n v="2.02"/>
    <n v="0.03"/>
    <n v="21.98"/>
    <n v="22.01"/>
    <m/>
  </r>
  <r>
    <x v="54"/>
    <x v="4"/>
    <n v="2022"/>
    <n v="2"/>
    <s v="Feb"/>
    <x v="1"/>
    <n v="28"/>
    <x v="1"/>
    <n v="707.92"/>
    <n v="931.88"/>
    <n v="1204.19"/>
    <n v="313.29000000000002"/>
    <n v="2843.99"/>
    <n v="3157.28"/>
    <m/>
  </r>
  <r>
    <x v="54"/>
    <x v="4"/>
    <n v="2022"/>
    <n v="2"/>
    <s v="Feb"/>
    <x v="2"/>
    <n v="12"/>
    <x v="1"/>
    <n v="18.59"/>
    <n v="26.26"/>
    <n v="10.98"/>
    <n v="0.16"/>
    <n v="55.83"/>
    <n v="55.99"/>
    <m/>
  </r>
  <r>
    <x v="54"/>
    <x v="4"/>
    <n v="2022"/>
    <n v="2"/>
    <s v="Feb"/>
    <x v="3"/>
    <n v="18"/>
    <x v="1"/>
    <n v="311.91000000000003"/>
    <n v="401.63"/>
    <n v="250.85"/>
    <n v="43.41"/>
    <n v="964.39"/>
    <n v="1007.8"/>
    <m/>
  </r>
  <r>
    <x v="54"/>
    <x v="4"/>
    <n v="2022"/>
    <n v="2"/>
    <s v="Feb"/>
    <x v="4"/>
    <n v="10"/>
    <x v="1"/>
    <n v="351.46"/>
    <n v="550.11"/>
    <n v="156.36000000000001"/>
    <n v="148.41"/>
    <n v="1057.93"/>
    <n v="1206.3399999999999"/>
    <m/>
  </r>
  <r>
    <x v="54"/>
    <x v="4"/>
    <n v="2022"/>
    <n v="2"/>
    <s v="Feb"/>
    <x v="5"/>
    <n v="4"/>
    <x v="0"/>
    <n v="32.880000000000003"/>
    <n v="45.79"/>
    <n v="98.79"/>
    <n v="0.82"/>
    <n v="177.46"/>
    <n v="178.28"/>
    <m/>
  </r>
  <r>
    <x v="54"/>
    <x v="4"/>
    <n v="2022"/>
    <n v="2"/>
    <s v="Feb"/>
    <x v="6"/>
    <n v="22"/>
    <x v="1"/>
    <n v="528.39"/>
    <n v="620.37"/>
    <n v="988.95"/>
    <n v="645.09"/>
    <n v="2137.71"/>
    <n v="2782.8"/>
    <m/>
  </r>
  <r>
    <x v="54"/>
    <x v="4"/>
    <n v="2022"/>
    <n v="2"/>
    <s v="Feb"/>
    <x v="7"/>
    <n v="38"/>
    <x v="0"/>
    <n v="37.06"/>
    <n v="48"/>
    <n v="174.56"/>
    <n v="0.52"/>
    <n v="259.62"/>
    <n v="260.14"/>
    <m/>
  </r>
  <r>
    <x v="54"/>
    <x v="4"/>
    <n v="2022"/>
    <n v="2"/>
    <s v="Feb"/>
    <x v="8"/>
    <n v="7"/>
    <x v="0"/>
    <n v="777.9"/>
    <n v="939.01"/>
    <n v="2103.11"/>
    <n v="101.63"/>
    <n v="3820.02"/>
    <n v="3921.65"/>
    <m/>
  </r>
  <r>
    <x v="54"/>
    <x v="4"/>
    <n v="2022"/>
    <n v="2"/>
    <s v="Feb"/>
    <x v="9"/>
    <n v="30"/>
    <x v="1"/>
    <n v="92.95"/>
    <n v="123.79"/>
    <n v="145.04"/>
    <n v="2.0499999999999998"/>
    <n v="361.78"/>
    <n v="363.83"/>
    <m/>
  </r>
  <r>
    <x v="54"/>
    <x v="4"/>
    <n v="2022"/>
    <n v="2"/>
    <s v="Feb"/>
    <x v="10"/>
    <n v="24"/>
    <x v="1"/>
    <n v="2478.13"/>
    <n v="3007.46"/>
    <n v="2768.51"/>
    <n v="618.66"/>
    <n v="8254.1"/>
    <n v="8872.76"/>
    <m/>
  </r>
  <r>
    <x v="54"/>
    <x v="4"/>
    <n v="2022"/>
    <n v="2"/>
    <s v="Feb"/>
    <x v="11"/>
    <n v="6"/>
    <x v="1"/>
    <n v="1050.3699999999999"/>
    <n v="1399.91"/>
    <n v="3008.6"/>
    <n v="469.29"/>
    <n v="5458.88"/>
    <n v="5928.17"/>
    <m/>
  </r>
  <r>
    <x v="54"/>
    <x v="4"/>
    <n v="2022"/>
    <n v="2"/>
    <s v="Feb"/>
    <x v="12"/>
    <n v="2"/>
    <x v="1"/>
    <n v="108.59"/>
    <n v="155.47999999999999"/>
    <n v="392.19"/>
    <n v="0.98"/>
    <n v="656.26"/>
    <n v="657.24"/>
    <m/>
  </r>
  <r>
    <x v="54"/>
    <x v="4"/>
    <n v="2022"/>
    <n v="2"/>
    <s v="Feb"/>
    <x v="13"/>
    <n v="1"/>
    <x v="0"/>
    <n v="96.86"/>
    <n v="136.46"/>
    <n v="90.67"/>
    <n v="2.4300000000000002"/>
    <n v="323.99"/>
    <n v="326.42"/>
    <m/>
  </r>
  <r>
    <x v="54"/>
    <x v="4"/>
    <n v="2022"/>
    <n v="2"/>
    <s v="Feb"/>
    <x v="14"/>
    <n v="20"/>
    <x v="1"/>
    <n v="544.61"/>
    <n v="660.79"/>
    <n v="846.35"/>
    <n v="484.73"/>
    <n v="2051.75"/>
    <n v="2536.48"/>
    <m/>
  </r>
  <r>
    <x v="54"/>
    <x v="4"/>
    <n v="2022"/>
    <n v="2"/>
    <s v="Feb"/>
    <x v="15"/>
    <n v="29"/>
    <x v="1"/>
    <n v="2177.58"/>
    <n v="2678.54"/>
    <n v="3393.69"/>
    <n v="926.51"/>
    <n v="8249.81"/>
    <n v="9176.32"/>
    <m/>
  </r>
  <r>
    <x v="54"/>
    <x v="4"/>
    <n v="2022"/>
    <n v="2"/>
    <s v="Feb"/>
    <x v="16"/>
    <n v="32"/>
    <x v="1"/>
    <n v="706.36"/>
    <n v="927.57"/>
    <n v="434.7"/>
    <n v="5.86"/>
    <n v="2068.63"/>
    <n v="2074.4899999999998"/>
    <m/>
  </r>
  <r>
    <x v="54"/>
    <x v="4"/>
    <n v="2022"/>
    <n v="2"/>
    <s v="Feb"/>
    <x v="35"/>
    <n v="37"/>
    <x v="0"/>
    <n v="5.56"/>
    <n v="7.59"/>
    <n v="2.17"/>
    <n v="0.25"/>
    <n v="15.32"/>
    <n v="15.57"/>
    <m/>
  </r>
  <r>
    <x v="54"/>
    <x v="4"/>
    <n v="2022"/>
    <n v="2"/>
    <s v="Feb"/>
    <x v="17"/>
    <n v="31"/>
    <x v="0"/>
    <n v="0.3"/>
    <n v="0.45"/>
    <n v="0.06"/>
    <n v="0"/>
    <n v="0.81"/>
    <n v="0.81"/>
    <m/>
  </r>
  <r>
    <x v="54"/>
    <x v="4"/>
    <n v="2022"/>
    <n v="2"/>
    <s v="Feb"/>
    <x v="18"/>
    <n v="23"/>
    <x v="1"/>
    <n v="666.04"/>
    <n v="858.95"/>
    <n v="726.38"/>
    <n v="601.45000000000005"/>
    <n v="2251.37"/>
    <n v="2852.82"/>
    <m/>
  </r>
  <r>
    <x v="54"/>
    <x v="4"/>
    <n v="2022"/>
    <n v="2"/>
    <s v="Feb"/>
    <x v="19"/>
    <n v="27"/>
    <x v="1"/>
    <n v="5426.85"/>
    <n v="6379.42"/>
    <n v="6122.46"/>
    <n v="1493.86"/>
    <n v="17928.73"/>
    <n v="19422.59"/>
    <m/>
  </r>
  <r>
    <x v="54"/>
    <x v="4"/>
    <n v="2022"/>
    <n v="2"/>
    <s v="Feb"/>
    <x v="20"/>
    <n v="14"/>
    <x v="1"/>
    <n v="14.12"/>
    <n v="19.52"/>
    <n v="5.0199999999999996"/>
    <n v="0.13"/>
    <n v="38.659999999999997"/>
    <n v="38.79"/>
    <m/>
  </r>
  <r>
    <x v="54"/>
    <x v="4"/>
    <n v="2022"/>
    <n v="2"/>
    <s v="Feb"/>
    <x v="21"/>
    <n v="17"/>
    <x v="1"/>
    <n v="31.25"/>
    <n v="38.369999999999997"/>
    <n v="130.19999999999999"/>
    <n v="0.74"/>
    <n v="199.82"/>
    <n v="200.56"/>
    <m/>
  </r>
  <r>
    <x v="54"/>
    <x v="4"/>
    <n v="2022"/>
    <n v="2"/>
    <s v="Feb"/>
    <x v="22"/>
    <n v="15"/>
    <x v="1"/>
    <n v="9.65"/>
    <n v="12.26"/>
    <n v="2.29"/>
    <n v="0.03"/>
    <n v="24.2"/>
    <n v="24.23"/>
    <m/>
  </r>
  <r>
    <x v="54"/>
    <x v="4"/>
    <n v="2022"/>
    <n v="2"/>
    <s v="Feb"/>
    <x v="23"/>
    <n v="13"/>
    <x v="1"/>
    <n v="9.0500000000000007"/>
    <n v="12.24"/>
    <n v="9.6"/>
    <n v="1.95"/>
    <n v="30.89"/>
    <n v="32.840000000000003"/>
    <m/>
  </r>
  <r>
    <x v="54"/>
    <x v="4"/>
    <n v="2022"/>
    <n v="2"/>
    <s v="Feb"/>
    <x v="24"/>
    <n v="21"/>
    <x v="1"/>
    <n v="989.49"/>
    <n v="1152.3699999999999"/>
    <n v="1223.92"/>
    <n v="735.71"/>
    <n v="3365.78"/>
    <n v="4101.49"/>
    <m/>
  </r>
  <r>
    <x v="54"/>
    <x v="4"/>
    <n v="2022"/>
    <n v="2"/>
    <s v="Feb"/>
    <x v="25"/>
    <n v="34"/>
    <x v="0"/>
    <n v="22.26"/>
    <n v="32.450000000000003"/>
    <n v="123.5"/>
    <n v="0.17"/>
    <n v="178.21"/>
    <n v="178.38"/>
    <m/>
  </r>
  <r>
    <x v="54"/>
    <x v="4"/>
    <n v="2022"/>
    <n v="2"/>
    <s v="Feb"/>
    <x v="26"/>
    <n v="3"/>
    <x v="1"/>
    <n v="367.37"/>
    <n v="516.98"/>
    <n v="584.59"/>
    <n v="11.21"/>
    <n v="1468.94"/>
    <n v="1480.15"/>
    <m/>
  </r>
  <r>
    <x v="54"/>
    <x v="4"/>
    <n v="2022"/>
    <n v="2"/>
    <s v="Feb"/>
    <x v="27"/>
    <n v="8"/>
    <x v="1"/>
    <n v="934.17"/>
    <n v="1213.3900000000001"/>
    <n v="1165.58"/>
    <n v="155.54"/>
    <n v="3313.14"/>
    <n v="3468.68"/>
    <m/>
  </r>
  <r>
    <x v="54"/>
    <x v="4"/>
    <n v="2022"/>
    <n v="2"/>
    <s v="Feb"/>
    <x v="28"/>
    <n v="11"/>
    <x v="1"/>
    <n v="15.6"/>
    <n v="21.26"/>
    <n v="185.3"/>
    <n v="0.11"/>
    <n v="222.16"/>
    <n v="222.27"/>
    <m/>
  </r>
  <r>
    <x v="54"/>
    <x v="4"/>
    <n v="2022"/>
    <n v="2"/>
    <s v="Feb"/>
    <x v="29"/>
    <n v="33"/>
    <x v="1"/>
    <n v="1907.21"/>
    <n v="2525.0100000000002"/>
    <n v="2299.17"/>
    <n v="661.81"/>
    <n v="6731.39"/>
    <n v="7393.2"/>
    <m/>
  </r>
  <r>
    <x v="54"/>
    <x v="4"/>
    <n v="2022"/>
    <n v="2"/>
    <s v="Feb"/>
    <x v="30"/>
    <n v="36"/>
    <x v="1"/>
    <n v="979.77"/>
    <n v="1283.76"/>
    <n v="1219.45"/>
    <n v="630.20000000000005"/>
    <n v="3482.98"/>
    <n v="4113.18"/>
    <m/>
  </r>
  <r>
    <x v="54"/>
    <x v="4"/>
    <n v="2022"/>
    <n v="2"/>
    <s v="Feb"/>
    <x v="31"/>
    <n v="16"/>
    <x v="1"/>
    <n v="25.01"/>
    <n v="31.95"/>
    <n v="8.8800000000000008"/>
    <n v="0.23"/>
    <n v="65.84"/>
    <n v="66.069999999999993"/>
    <m/>
  </r>
  <r>
    <x v="54"/>
    <x v="4"/>
    <n v="2022"/>
    <n v="2"/>
    <s v="Feb"/>
    <x v="32"/>
    <n v="9"/>
    <x v="1"/>
    <n v="1465.09"/>
    <n v="2022.52"/>
    <n v="1754"/>
    <n v="1277.04"/>
    <n v="5241.6099999999997"/>
    <n v="6518.65"/>
    <m/>
  </r>
  <r>
    <x v="54"/>
    <x v="4"/>
    <n v="2022"/>
    <n v="2"/>
    <s v="Feb"/>
    <x v="33"/>
    <n v="5"/>
    <x v="1"/>
    <n v="226.34"/>
    <n v="332.38"/>
    <n v="613.26"/>
    <n v="3.63"/>
    <n v="1171.98"/>
    <n v="1175.6099999999999"/>
    <m/>
  </r>
  <r>
    <x v="54"/>
    <x v="4"/>
    <n v="2022"/>
    <n v="2"/>
    <s v="Feb"/>
    <x v="34"/>
    <n v="19"/>
    <x v="1"/>
    <n v="1302.8900000000001"/>
    <n v="1644.41"/>
    <n v="1103.17"/>
    <n v="363.96"/>
    <n v="4050.47"/>
    <n v="4414.43"/>
    <m/>
  </r>
  <r>
    <x v="55"/>
    <x v="4"/>
    <n v="2022"/>
    <n v="3"/>
    <s v="Mar"/>
    <x v="0"/>
    <n v="35"/>
    <x v="0"/>
    <n v="10.42"/>
    <n v="14.17"/>
    <n v="2.27"/>
    <n v="0.04"/>
    <n v="26.86"/>
    <n v="26.9"/>
    <m/>
  </r>
  <r>
    <x v="55"/>
    <x v="4"/>
    <n v="2022"/>
    <n v="3"/>
    <s v="Mar"/>
    <x v="1"/>
    <n v="28"/>
    <x v="1"/>
    <n v="776.83"/>
    <n v="1006.23"/>
    <n v="1092.0899999999999"/>
    <n v="299.3"/>
    <n v="2875.15"/>
    <n v="3174.45"/>
    <m/>
  </r>
  <r>
    <x v="55"/>
    <x v="4"/>
    <n v="2022"/>
    <n v="3"/>
    <s v="Mar"/>
    <x v="2"/>
    <n v="12"/>
    <x v="1"/>
    <n v="42.46"/>
    <n v="51.18"/>
    <n v="11.21"/>
    <n v="0.14000000000000001"/>
    <n v="104.85"/>
    <n v="104.99"/>
    <m/>
  </r>
  <r>
    <x v="55"/>
    <x v="4"/>
    <n v="2022"/>
    <n v="3"/>
    <s v="Mar"/>
    <x v="3"/>
    <n v="18"/>
    <x v="1"/>
    <n v="345.94"/>
    <n v="445.56"/>
    <n v="285.95"/>
    <n v="37.15"/>
    <n v="1077.45"/>
    <n v="1114.5999999999999"/>
    <m/>
  </r>
  <r>
    <x v="55"/>
    <x v="4"/>
    <n v="2022"/>
    <n v="3"/>
    <s v="Mar"/>
    <x v="4"/>
    <n v="10"/>
    <x v="1"/>
    <n v="377.01"/>
    <n v="579.54999999999995"/>
    <n v="170.81"/>
    <n v="220.53"/>
    <n v="1127.3699999999999"/>
    <n v="1347.9"/>
    <m/>
  </r>
  <r>
    <x v="55"/>
    <x v="4"/>
    <n v="2022"/>
    <n v="3"/>
    <s v="Mar"/>
    <x v="5"/>
    <n v="4"/>
    <x v="0"/>
    <n v="33.909999999999997"/>
    <n v="43.75"/>
    <n v="105.71"/>
    <n v="0.38"/>
    <n v="183.37"/>
    <n v="183.75"/>
    <m/>
  </r>
  <r>
    <x v="55"/>
    <x v="4"/>
    <n v="2022"/>
    <n v="3"/>
    <s v="Mar"/>
    <x v="6"/>
    <n v="22"/>
    <x v="1"/>
    <n v="544.67999999999995"/>
    <n v="638.92999999999995"/>
    <n v="923.94"/>
    <n v="612.55999999999995"/>
    <n v="2107.5500000000002"/>
    <n v="2720.11"/>
    <m/>
  </r>
  <r>
    <x v="55"/>
    <x v="4"/>
    <n v="2022"/>
    <n v="3"/>
    <s v="Mar"/>
    <x v="7"/>
    <n v="38"/>
    <x v="0"/>
    <n v="40.07"/>
    <n v="50.85"/>
    <n v="192.18"/>
    <n v="0.68"/>
    <n v="283.10000000000002"/>
    <n v="283.77999999999997"/>
    <m/>
  </r>
  <r>
    <x v="55"/>
    <x v="4"/>
    <n v="2022"/>
    <n v="3"/>
    <s v="Mar"/>
    <x v="8"/>
    <n v="7"/>
    <x v="0"/>
    <n v="817.25"/>
    <n v="985.54"/>
    <n v="2204.14"/>
    <n v="104.79"/>
    <n v="4006.93"/>
    <n v="4111.72"/>
    <m/>
  </r>
  <r>
    <x v="55"/>
    <x v="4"/>
    <n v="2022"/>
    <n v="3"/>
    <s v="Mar"/>
    <x v="9"/>
    <n v="30"/>
    <x v="1"/>
    <n v="107.22"/>
    <n v="143.84"/>
    <n v="132.99"/>
    <n v="1.9"/>
    <n v="384.05"/>
    <n v="385.95"/>
    <m/>
  </r>
  <r>
    <x v="55"/>
    <x v="4"/>
    <n v="2022"/>
    <n v="3"/>
    <s v="Mar"/>
    <x v="10"/>
    <n v="24"/>
    <x v="1"/>
    <n v="2563.0100000000002"/>
    <n v="3080.66"/>
    <n v="3112.9"/>
    <n v="401.1"/>
    <n v="8756.57"/>
    <n v="9157.67"/>
    <m/>
  </r>
  <r>
    <x v="55"/>
    <x v="4"/>
    <n v="2022"/>
    <n v="3"/>
    <s v="Mar"/>
    <x v="11"/>
    <n v="6"/>
    <x v="1"/>
    <n v="1057.5999999999999"/>
    <n v="1403.64"/>
    <n v="3751.21"/>
    <n v="441.08"/>
    <n v="6212.45"/>
    <n v="6653.53"/>
    <m/>
  </r>
  <r>
    <x v="55"/>
    <x v="4"/>
    <n v="2022"/>
    <n v="3"/>
    <s v="Mar"/>
    <x v="12"/>
    <n v="2"/>
    <x v="1"/>
    <n v="122.83"/>
    <n v="163.5"/>
    <n v="396.68"/>
    <n v="0.89"/>
    <n v="683.01"/>
    <n v="683.9"/>
    <m/>
  </r>
  <r>
    <x v="55"/>
    <x v="4"/>
    <n v="2022"/>
    <n v="3"/>
    <s v="Mar"/>
    <x v="13"/>
    <n v="1"/>
    <x v="0"/>
    <n v="112.42"/>
    <n v="166.71"/>
    <n v="85.65"/>
    <n v="3.62"/>
    <n v="364.78"/>
    <n v="368.4"/>
    <m/>
  </r>
  <r>
    <x v="55"/>
    <x v="4"/>
    <n v="2022"/>
    <n v="3"/>
    <s v="Mar"/>
    <x v="14"/>
    <n v="20"/>
    <x v="1"/>
    <n v="524.67999999999995"/>
    <n v="661.51"/>
    <n v="881.98"/>
    <n v="481.79"/>
    <n v="2068.17"/>
    <n v="2549.96"/>
    <m/>
  </r>
  <r>
    <x v="55"/>
    <x v="4"/>
    <n v="2022"/>
    <n v="3"/>
    <s v="Mar"/>
    <x v="15"/>
    <n v="29"/>
    <x v="1"/>
    <n v="2202.46"/>
    <n v="2688.59"/>
    <n v="3088.67"/>
    <n v="770.4"/>
    <n v="7979.72"/>
    <n v="8750.1200000000008"/>
    <m/>
  </r>
  <r>
    <x v="55"/>
    <x v="4"/>
    <n v="2022"/>
    <n v="3"/>
    <s v="Mar"/>
    <x v="16"/>
    <n v="32"/>
    <x v="1"/>
    <n v="694.9"/>
    <n v="923.53"/>
    <n v="467.8"/>
    <n v="2.98"/>
    <n v="2086.23"/>
    <n v="2089.21"/>
    <m/>
  </r>
  <r>
    <x v="55"/>
    <x v="4"/>
    <n v="2022"/>
    <n v="3"/>
    <s v="Mar"/>
    <x v="35"/>
    <n v="37"/>
    <x v="0"/>
    <n v="9.44"/>
    <n v="11.33"/>
    <n v="2.72"/>
    <n v="0"/>
    <n v="23.49"/>
    <n v="23.49"/>
    <m/>
  </r>
  <r>
    <x v="55"/>
    <x v="4"/>
    <n v="2022"/>
    <n v="3"/>
    <s v="Mar"/>
    <x v="17"/>
    <n v="31"/>
    <x v="0"/>
    <n v="0.93"/>
    <n v="0.94"/>
    <n v="0.21"/>
    <n v="0"/>
    <n v="2.08"/>
    <n v="2.08"/>
    <m/>
  </r>
  <r>
    <x v="55"/>
    <x v="4"/>
    <n v="2022"/>
    <n v="3"/>
    <s v="Mar"/>
    <x v="18"/>
    <n v="23"/>
    <x v="1"/>
    <n v="713.28"/>
    <n v="911.32"/>
    <n v="785.03"/>
    <n v="525.51"/>
    <n v="2409.63"/>
    <n v="2935.14"/>
    <m/>
  </r>
  <r>
    <x v="55"/>
    <x v="4"/>
    <n v="2022"/>
    <n v="3"/>
    <s v="Mar"/>
    <x v="19"/>
    <n v="27"/>
    <x v="1"/>
    <n v="5803.34"/>
    <n v="6658.66"/>
    <n v="6467.73"/>
    <n v="1375.48"/>
    <n v="18929.73"/>
    <n v="20305.21"/>
    <m/>
  </r>
  <r>
    <x v="55"/>
    <x v="4"/>
    <n v="2022"/>
    <n v="3"/>
    <s v="Mar"/>
    <x v="20"/>
    <n v="14"/>
    <x v="1"/>
    <n v="22.18"/>
    <n v="32.82"/>
    <n v="4.3600000000000003"/>
    <n v="0.28000000000000003"/>
    <n v="59.36"/>
    <n v="59.64"/>
    <m/>
  </r>
  <r>
    <x v="55"/>
    <x v="4"/>
    <n v="2022"/>
    <n v="3"/>
    <s v="Mar"/>
    <x v="21"/>
    <n v="17"/>
    <x v="1"/>
    <n v="28.52"/>
    <n v="36.69"/>
    <n v="112.22"/>
    <n v="3.49"/>
    <n v="177.43"/>
    <n v="180.92"/>
    <m/>
  </r>
  <r>
    <x v="55"/>
    <x v="4"/>
    <n v="2022"/>
    <n v="3"/>
    <s v="Mar"/>
    <x v="22"/>
    <n v="15"/>
    <x v="1"/>
    <n v="14.24"/>
    <n v="19.98"/>
    <n v="2.54"/>
    <n v="0.01"/>
    <n v="36.76"/>
    <n v="36.770000000000003"/>
    <m/>
  </r>
  <r>
    <x v="55"/>
    <x v="4"/>
    <n v="2022"/>
    <n v="3"/>
    <s v="Mar"/>
    <x v="23"/>
    <n v="13"/>
    <x v="1"/>
    <n v="12.75"/>
    <n v="17.29"/>
    <n v="8.5"/>
    <n v="4.1399999999999997"/>
    <n v="38.54"/>
    <n v="42.68"/>
    <m/>
  </r>
  <r>
    <x v="55"/>
    <x v="4"/>
    <n v="2022"/>
    <n v="3"/>
    <s v="Mar"/>
    <x v="24"/>
    <n v="21"/>
    <x v="1"/>
    <n v="1109.8499999999999"/>
    <n v="1351.25"/>
    <n v="1003.47"/>
    <n v="660.09"/>
    <n v="3464.57"/>
    <n v="4124.66"/>
    <m/>
  </r>
  <r>
    <x v="55"/>
    <x v="4"/>
    <n v="2022"/>
    <n v="3"/>
    <s v="Mar"/>
    <x v="25"/>
    <n v="34"/>
    <x v="0"/>
    <n v="26.1"/>
    <n v="32.840000000000003"/>
    <n v="103.98"/>
    <n v="0.42"/>
    <n v="162.91999999999999"/>
    <n v="163.34"/>
    <m/>
  </r>
  <r>
    <x v="55"/>
    <x v="4"/>
    <n v="2022"/>
    <n v="3"/>
    <s v="Mar"/>
    <x v="26"/>
    <n v="3"/>
    <x v="1"/>
    <n v="412.6"/>
    <n v="596.47"/>
    <n v="545.33000000000004"/>
    <n v="17.47"/>
    <n v="1554.4"/>
    <n v="1571.87"/>
    <m/>
  </r>
  <r>
    <x v="55"/>
    <x v="4"/>
    <n v="2022"/>
    <n v="3"/>
    <s v="Mar"/>
    <x v="27"/>
    <n v="8"/>
    <x v="1"/>
    <n v="953.69"/>
    <n v="1247.73"/>
    <n v="1219.47"/>
    <n v="166.6"/>
    <n v="3420.89"/>
    <n v="3587.49"/>
    <m/>
  </r>
  <r>
    <x v="55"/>
    <x v="4"/>
    <n v="2022"/>
    <n v="3"/>
    <s v="Mar"/>
    <x v="28"/>
    <n v="11"/>
    <x v="1"/>
    <n v="15.14"/>
    <n v="19.23"/>
    <n v="195.57"/>
    <n v="0.02"/>
    <n v="229.94"/>
    <n v="229.96"/>
    <m/>
  </r>
  <r>
    <x v="55"/>
    <x v="4"/>
    <n v="2022"/>
    <n v="3"/>
    <s v="Mar"/>
    <x v="29"/>
    <n v="33"/>
    <x v="1"/>
    <n v="2081.36"/>
    <n v="2768.83"/>
    <n v="2572.77"/>
    <n v="599.57000000000005"/>
    <n v="7422.96"/>
    <n v="8022.53"/>
    <m/>
  </r>
  <r>
    <x v="55"/>
    <x v="4"/>
    <n v="2022"/>
    <n v="3"/>
    <s v="Mar"/>
    <x v="30"/>
    <n v="36"/>
    <x v="1"/>
    <n v="1083.77"/>
    <n v="1419.98"/>
    <n v="1246.01"/>
    <n v="492.38"/>
    <n v="3749.76"/>
    <n v="4242.1400000000003"/>
    <m/>
  </r>
  <r>
    <x v="55"/>
    <x v="4"/>
    <n v="2022"/>
    <n v="3"/>
    <s v="Mar"/>
    <x v="31"/>
    <n v="16"/>
    <x v="1"/>
    <n v="31.37"/>
    <n v="39.369999999999997"/>
    <n v="11.19"/>
    <n v="0.12"/>
    <n v="81.93"/>
    <n v="82.05"/>
    <m/>
  </r>
  <r>
    <x v="55"/>
    <x v="4"/>
    <n v="2022"/>
    <n v="3"/>
    <s v="Mar"/>
    <x v="32"/>
    <n v="9"/>
    <x v="1"/>
    <n v="1552.93"/>
    <n v="2167.9499999999998"/>
    <n v="1988.9"/>
    <n v="909.98"/>
    <n v="5709.78"/>
    <n v="6619.76"/>
    <m/>
  </r>
  <r>
    <x v="55"/>
    <x v="4"/>
    <n v="2022"/>
    <n v="3"/>
    <s v="Mar"/>
    <x v="33"/>
    <n v="5"/>
    <x v="1"/>
    <n v="221.13"/>
    <n v="327.54000000000002"/>
    <n v="697.51"/>
    <n v="9.15"/>
    <n v="1246.18"/>
    <n v="1255.33"/>
    <m/>
  </r>
  <r>
    <x v="55"/>
    <x v="4"/>
    <n v="2022"/>
    <n v="3"/>
    <s v="Mar"/>
    <x v="34"/>
    <n v="19"/>
    <x v="1"/>
    <n v="1353.23"/>
    <n v="1656.69"/>
    <n v="1169.8"/>
    <n v="291.92"/>
    <n v="4179.72"/>
    <n v="4471.6400000000003"/>
    <m/>
  </r>
  <r>
    <x v="56"/>
    <x v="5"/>
    <n v="2022"/>
    <n v="4"/>
    <s v="Apr"/>
    <x v="0"/>
    <n v="35"/>
    <x v="0"/>
    <n v="37.380000000000003"/>
    <n v="42.84"/>
    <n v="7.12"/>
    <n v="0.08"/>
    <n v="87.34"/>
    <n v="87.42"/>
    <m/>
  </r>
  <r>
    <x v="56"/>
    <x v="5"/>
    <n v="2022"/>
    <n v="4"/>
    <s v="Apr"/>
    <x v="1"/>
    <n v="28"/>
    <x v="1"/>
    <n v="1002.93"/>
    <n v="1294.48"/>
    <n v="1388.74"/>
    <n v="380.97"/>
    <n v="3686.15"/>
    <n v="4067.12"/>
    <m/>
  </r>
  <r>
    <x v="56"/>
    <x v="5"/>
    <n v="2022"/>
    <n v="4"/>
    <s v="Apr"/>
    <x v="2"/>
    <n v="12"/>
    <x v="1"/>
    <n v="79.97"/>
    <n v="93.2"/>
    <n v="22.82"/>
    <n v="0.22"/>
    <n v="195.99"/>
    <n v="196.21"/>
    <m/>
  </r>
  <r>
    <x v="56"/>
    <x v="5"/>
    <n v="2022"/>
    <n v="4"/>
    <s v="Apr"/>
    <x v="3"/>
    <n v="18"/>
    <x v="1"/>
    <n v="429.75"/>
    <n v="553.30999999999995"/>
    <n v="295.52"/>
    <n v="33.94"/>
    <n v="1278.58"/>
    <n v="1312.52"/>
    <m/>
  </r>
  <r>
    <x v="56"/>
    <x v="5"/>
    <n v="2022"/>
    <n v="4"/>
    <s v="Apr"/>
    <x v="4"/>
    <n v="10"/>
    <x v="1"/>
    <n v="456.79"/>
    <n v="767.19"/>
    <n v="179.25"/>
    <n v="67.400000000000006"/>
    <n v="1403.23"/>
    <n v="1470.63"/>
    <m/>
  </r>
  <r>
    <x v="56"/>
    <x v="5"/>
    <n v="2022"/>
    <n v="4"/>
    <s v="Apr"/>
    <x v="5"/>
    <n v="4"/>
    <x v="0"/>
    <n v="44.92"/>
    <n v="60.8"/>
    <n v="140.72999999999999"/>
    <n v="2.1800000000000002"/>
    <n v="246.45"/>
    <n v="248.63"/>
    <m/>
  </r>
  <r>
    <x v="56"/>
    <x v="5"/>
    <n v="2022"/>
    <n v="4"/>
    <s v="Apr"/>
    <x v="6"/>
    <n v="22"/>
    <x v="1"/>
    <n v="665.61"/>
    <n v="787.74"/>
    <n v="865.32"/>
    <n v="658.58"/>
    <n v="2318.67"/>
    <n v="2977.25"/>
    <m/>
  </r>
  <r>
    <x v="56"/>
    <x v="5"/>
    <n v="2022"/>
    <n v="4"/>
    <s v="Apr"/>
    <x v="7"/>
    <n v="38"/>
    <x v="0"/>
    <n v="46.55"/>
    <n v="59.1"/>
    <n v="273.83"/>
    <n v="1.27"/>
    <n v="379.48"/>
    <n v="380.75"/>
    <m/>
  </r>
  <r>
    <x v="56"/>
    <x v="5"/>
    <n v="2022"/>
    <n v="4"/>
    <s v="Apr"/>
    <x v="8"/>
    <n v="7"/>
    <x v="0"/>
    <n v="1324.21"/>
    <n v="1578.8"/>
    <n v="2903.97"/>
    <n v="63.8"/>
    <n v="5806.98"/>
    <n v="5870.78"/>
    <m/>
  </r>
  <r>
    <x v="56"/>
    <x v="5"/>
    <n v="2022"/>
    <n v="4"/>
    <s v="Apr"/>
    <x v="9"/>
    <n v="30"/>
    <x v="1"/>
    <n v="134.01"/>
    <n v="183.7"/>
    <n v="148.97999999999999"/>
    <n v="3.09"/>
    <n v="466.69"/>
    <n v="469.78"/>
    <m/>
  </r>
  <r>
    <x v="56"/>
    <x v="5"/>
    <n v="2022"/>
    <n v="4"/>
    <s v="Apr"/>
    <x v="10"/>
    <n v="24"/>
    <x v="1"/>
    <n v="3303.49"/>
    <n v="3901.62"/>
    <n v="3578.04"/>
    <n v="480.97"/>
    <n v="10783.15"/>
    <n v="11264.12"/>
    <m/>
  </r>
  <r>
    <x v="56"/>
    <x v="5"/>
    <n v="2022"/>
    <n v="4"/>
    <s v="Apr"/>
    <x v="11"/>
    <n v="6"/>
    <x v="1"/>
    <n v="1317.87"/>
    <n v="1717.8"/>
    <n v="4665.07"/>
    <n v="496.62"/>
    <n v="7700.74"/>
    <n v="8197.36"/>
    <m/>
  </r>
  <r>
    <x v="56"/>
    <x v="5"/>
    <n v="2022"/>
    <n v="4"/>
    <s v="Apr"/>
    <x v="12"/>
    <n v="2"/>
    <x v="1"/>
    <n v="166.56"/>
    <n v="225.66"/>
    <n v="423.14"/>
    <n v="2.0099999999999998"/>
    <n v="815.36"/>
    <n v="817.37"/>
    <m/>
  </r>
  <r>
    <x v="56"/>
    <x v="5"/>
    <n v="2022"/>
    <n v="4"/>
    <s v="Apr"/>
    <x v="13"/>
    <n v="1"/>
    <x v="0"/>
    <n v="176.26"/>
    <n v="273.36"/>
    <n v="104.21"/>
    <n v="6.03"/>
    <n v="553.83000000000004"/>
    <n v="559.86"/>
    <m/>
  </r>
  <r>
    <x v="56"/>
    <x v="5"/>
    <n v="2022"/>
    <n v="4"/>
    <s v="Apr"/>
    <x v="14"/>
    <n v="20"/>
    <x v="1"/>
    <n v="573.46"/>
    <n v="773.85"/>
    <n v="1226.79"/>
    <n v="525.98"/>
    <n v="2574.1"/>
    <n v="3100.08"/>
    <m/>
  </r>
  <r>
    <x v="56"/>
    <x v="5"/>
    <n v="2022"/>
    <n v="4"/>
    <s v="Apr"/>
    <x v="15"/>
    <n v="29"/>
    <x v="1"/>
    <n v="2859.52"/>
    <n v="3520.29"/>
    <n v="4354.76"/>
    <n v="1085.43"/>
    <n v="10734.57"/>
    <n v="11820"/>
    <m/>
  </r>
  <r>
    <x v="56"/>
    <x v="5"/>
    <n v="2022"/>
    <n v="4"/>
    <s v="Apr"/>
    <x v="16"/>
    <n v="32"/>
    <x v="1"/>
    <n v="844.33"/>
    <n v="1153.07"/>
    <n v="686.4"/>
    <n v="5.21"/>
    <n v="2683.8"/>
    <n v="2689.01"/>
    <m/>
  </r>
  <r>
    <x v="56"/>
    <x v="5"/>
    <n v="2022"/>
    <n v="4"/>
    <s v="Apr"/>
    <x v="35"/>
    <n v="37"/>
    <x v="0"/>
    <n v="19.09"/>
    <n v="23.34"/>
    <n v="4.51"/>
    <n v="0.24"/>
    <n v="46.94"/>
    <n v="47.18"/>
    <m/>
  </r>
  <r>
    <x v="56"/>
    <x v="5"/>
    <n v="2022"/>
    <n v="4"/>
    <s v="Apr"/>
    <x v="17"/>
    <n v="31"/>
    <x v="0"/>
    <n v="1.19"/>
    <n v="1.77"/>
    <n v="0.08"/>
    <n v="0"/>
    <n v="3.04"/>
    <n v="3.04"/>
    <m/>
  </r>
  <r>
    <x v="56"/>
    <x v="5"/>
    <n v="2022"/>
    <n v="4"/>
    <s v="Apr"/>
    <x v="18"/>
    <n v="23"/>
    <x v="1"/>
    <n v="850.2"/>
    <n v="1102.1199999999999"/>
    <n v="876.76"/>
    <n v="510.31"/>
    <n v="2829.08"/>
    <n v="3339.39"/>
    <m/>
  </r>
  <r>
    <x v="56"/>
    <x v="5"/>
    <n v="2022"/>
    <n v="4"/>
    <s v="Apr"/>
    <x v="19"/>
    <n v="27"/>
    <x v="1"/>
    <n v="7305.65"/>
    <n v="8573"/>
    <n v="9884.7000000000007"/>
    <n v="1731.29"/>
    <n v="25763.35"/>
    <n v="27494.639999999999"/>
    <m/>
  </r>
  <r>
    <x v="56"/>
    <x v="5"/>
    <n v="2022"/>
    <n v="4"/>
    <s v="Apr"/>
    <x v="20"/>
    <n v="14"/>
    <x v="1"/>
    <n v="25.9"/>
    <n v="35.67"/>
    <n v="6.8"/>
    <n v="0.6"/>
    <n v="68.37"/>
    <n v="68.97"/>
    <m/>
  </r>
  <r>
    <x v="56"/>
    <x v="5"/>
    <n v="2022"/>
    <n v="4"/>
    <s v="Apr"/>
    <x v="21"/>
    <n v="17"/>
    <x v="1"/>
    <n v="48.83"/>
    <n v="58.17"/>
    <n v="117.66"/>
    <n v="2.04"/>
    <n v="224.66"/>
    <n v="226.7"/>
    <m/>
  </r>
  <r>
    <x v="56"/>
    <x v="5"/>
    <n v="2022"/>
    <n v="4"/>
    <s v="Apr"/>
    <x v="22"/>
    <n v="15"/>
    <x v="1"/>
    <n v="17.28"/>
    <n v="24.49"/>
    <n v="4.4800000000000004"/>
    <n v="0.09"/>
    <n v="46.25"/>
    <n v="46.34"/>
    <m/>
  </r>
  <r>
    <x v="56"/>
    <x v="5"/>
    <n v="2022"/>
    <n v="4"/>
    <s v="Apr"/>
    <x v="23"/>
    <n v="13"/>
    <x v="1"/>
    <n v="22.22"/>
    <n v="28.29"/>
    <n v="12.03"/>
    <n v="5.5"/>
    <n v="62.54"/>
    <n v="68.040000000000006"/>
    <m/>
  </r>
  <r>
    <x v="56"/>
    <x v="5"/>
    <n v="2022"/>
    <n v="4"/>
    <s v="Apr"/>
    <x v="24"/>
    <n v="21"/>
    <x v="1"/>
    <n v="1381"/>
    <n v="1714.78"/>
    <n v="1092.05"/>
    <n v="722.4"/>
    <n v="4187.83"/>
    <n v="4910.2299999999996"/>
    <m/>
  </r>
  <r>
    <x v="56"/>
    <x v="5"/>
    <n v="2022"/>
    <n v="4"/>
    <s v="Apr"/>
    <x v="25"/>
    <n v="34"/>
    <x v="0"/>
    <n v="27.92"/>
    <n v="44.95"/>
    <n v="132.30000000000001"/>
    <n v="0.59"/>
    <n v="205.17"/>
    <n v="205.76"/>
    <m/>
  </r>
  <r>
    <x v="56"/>
    <x v="5"/>
    <n v="2022"/>
    <n v="4"/>
    <s v="Apr"/>
    <x v="26"/>
    <n v="3"/>
    <x v="1"/>
    <n v="531.03"/>
    <n v="783.04"/>
    <n v="649.65"/>
    <n v="30.27"/>
    <n v="1963.72"/>
    <n v="1993.99"/>
    <m/>
  </r>
  <r>
    <x v="56"/>
    <x v="5"/>
    <n v="2022"/>
    <n v="4"/>
    <s v="Apr"/>
    <x v="27"/>
    <n v="8"/>
    <x v="1"/>
    <n v="1309.4100000000001"/>
    <n v="1670.42"/>
    <n v="1412.38"/>
    <n v="155"/>
    <n v="4392.21"/>
    <n v="4547.21"/>
    <m/>
  </r>
  <r>
    <x v="56"/>
    <x v="5"/>
    <n v="2022"/>
    <n v="4"/>
    <s v="Apr"/>
    <x v="28"/>
    <n v="11"/>
    <x v="1"/>
    <n v="31.68"/>
    <n v="48.38"/>
    <n v="183.65"/>
    <n v="0.11"/>
    <n v="263.70999999999998"/>
    <n v="263.82"/>
    <m/>
  </r>
  <r>
    <x v="56"/>
    <x v="5"/>
    <n v="2022"/>
    <n v="4"/>
    <s v="Apr"/>
    <x v="29"/>
    <n v="33"/>
    <x v="1"/>
    <n v="2595.96"/>
    <n v="3440.26"/>
    <n v="2924.95"/>
    <n v="762.98"/>
    <n v="8961.17"/>
    <n v="9724.15"/>
    <m/>
  </r>
  <r>
    <x v="56"/>
    <x v="5"/>
    <n v="2022"/>
    <n v="4"/>
    <s v="Apr"/>
    <x v="30"/>
    <n v="36"/>
    <x v="1"/>
    <n v="1271.06"/>
    <n v="1662.97"/>
    <n v="1524.18"/>
    <n v="497.15"/>
    <n v="4458.21"/>
    <n v="4955.3599999999997"/>
    <m/>
  </r>
  <r>
    <x v="56"/>
    <x v="5"/>
    <n v="2022"/>
    <n v="4"/>
    <s v="Apr"/>
    <x v="31"/>
    <n v="16"/>
    <x v="1"/>
    <n v="40.630000000000003"/>
    <n v="53.61"/>
    <n v="12.04"/>
    <n v="0.57999999999999996"/>
    <n v="106.28"/>
    <n v="106.86"/>
    <m/>
  </r>
  <r>
    <x v="56"/>
    <x v="5"/>
    <n v="2022"/>
    <n v="4"/>
    <s v="Apr"/>
    <x v="32"/>
    <n v="9"/>
    <x v="1"/>
    <n v="2038.59"/>
    <n v="2781.78"/>
    <n v="2542.98"/>
    <n v="1170.76"/>
    <n v="7363.35"/>
    <n v="8534.11"/>
    <m/>
  </r>
  <r>
    <x v="56"/>
    <x v="5"/>
    <n v="2022"/>
    <n v="4"/>
    <s v="Apr"/>
    <x v="33"/>
    <n v="5"/>
    <x v="1"/>
    <n v="426.27"/>
    <n v="584.84"/>
    <n v="863.93"/>
    <n v="11.55"/>
    <n v="1875.04"/>
    <n v="1886.59"/>
    <m/>
  </r>
  <r>
    <x v="56"/>
    <x v="5"/>
    <n v="2022"/>
    <n v="4"/>
    <s v="Apr"/>
    <x v="34"/>
    <n v="19"/>
    <x v="1"/>
    <n v="1734.28"/>
    <n v="2155.35"/>
    <n v="1377.17"/>
    <n v="377.04"/>
    <n v="5266.8"/>
    <n v="5643.84"/>
    <m/>
  </r>
  <r>
    <x v="57"/>
    <x v="5"/>
    <n v="2022"/>
    <n v="5"/>
    <s v="May"/>
    <x v="0"/>
    <n v="35"/>
    <x v="0"/>
    <n v="8.48"/>
    <n v="11.66"/>
    <n v="4.17"/>
    <n v="0.02"/>
    <n v="24.31"/>
    <n v="24.33"/>
    <m/>
  </r>
  <r>
    <x v="57"/>
    <x v="5"/>
    <n v="2022"/>
    <n v="5"/>
    <s v="May"/>
    <x v="1"/>
    <n v="28"/>
    <x v="1"/>
    <n v="742.18"/>
    <n v="972.51"/>
    <n v="945.11"/>
    <n v="386.9"/>
    <n v="2659.8"/>
    <n v="3046.7"/>
    <m/>
  </r>
  <r>
    <x v="57"/>
    <x v="5"/>
    <n v="2022"/>
    <n v="5"/>
    <s v="May"/>
    <x v="2"/>
    <n v="12"/>
    <x v="1"/>
    <n v="31.52"/>
    <n v="41.17"/>
    <n v="8.82"/>
    <n v="0.12"/>
    <n v="81.510000000000005"/>
    <n v="81.63"/>
    <m/>
  </r>
  <r>
    <x v="57"/>
    <x v="5"/>
    <n v="2022"/>
    <n v="5"/>
    <s v="May"/>
    <x v="3"/>
    <n v="18"/>
    <x v="1"/>
    <n v="304.76"/>
    <n v="414.38"/>
    <n v="300.08"/>
    <n v="42.96"/>
    <n v="1019.22"/>
    <n v="1062.18"/>
    <m/>
  </r>
  <r>
    <x v="57"/>
    <x v="5"/>
    <n v="2022"/>
    <n v="5"/>
    <s v="May"/>
    <x v="4"/>
    <n v="10"/>
    <x v="1"/>
    <n v="313.8"/>
    <n v="546.19000000000005"/>
    <n v="149.81"/>
    <n v="167.77"/>
    <n v="1009.8"/>
    <n v="1177.57"/>
    <m/>
  </r>
  <r>
    <x v="57"/>
    <x v="5"/>
    <n v="2022"/>
    <n v="5"/>
    <s v="May"/>
    <x v="5"/>
    <n v="4"/>
    <x v="0"/>
    <n v="32.270000000000003"/>
    <n v="43.39"/>
    <n v="86.68"/>
    <n v="4.7699999999999996"/>
    <n v="162.34"/>
    <n v="167.11"/>
    <m/>
  </r>
  <r>
    <x v="57"/>
    <x v="5"/>
    <n v="2022"/>
    <n v="5"/>
    <s v="May"/>
    <x v="6"/>
    <n v="22"/>
    <x v="1"/>
    <n v="508.34"/>
    <n v="604.47"/>
    <n v="938.4"/>
    <n v="576.21"/>
    <n v="2051.21"/>
    <n v="2627.42"/>
    <m/>
  </r>
  <r>
    <x v="57"/>
    <x v="5"/>
    <n v="2022"/>
    <n v="5"/>
    <s v="May"/>
    <x v="7"/>
    <n v="38"/>
    <x v="0"/>
    <n v="43.21"/>
    <n v="55.26"/>
    <n v="199.69"/>
    <n v="2.2599999999999998"/>
    <n v="298.16000000000003"/>
    <n v="300.42"/>
    <m/>
  </r>
  <r>
    <x v="57"/>
    <x v="5"/>
    <n v="2022"/>
    <n v="5"/>
    <s v="May"/>
    <x v="8"/>
    <n v="7"/>
    <x v="0"/>
    <n v="798.73"/>
    <n v="996.34"/>
    <n v="2217.87"/>
    <n v="100.55"/>
    <n v="4012.94"/>
    <n v="4113.49"/>
    <m/>
  </r>
  <r>
    <x v="57"/>
    <x v="5"/>
    <n v="2022"/>
    <n v="5"/>
    <s v="May"/>
    <x v="9"/>
    <n v="30"/>
    <x v="1"/>
    <n v="125.94"/>
    <n v="167.24"/>
    <n v="163.47999999999999"/>
    <n v="4.13"/>
    <n v="456.66"/>
    <n v="460.79"/>
    <m/>
  </r>
  <r>
    <x v="57"/>
    <x v="5"/>
    <n v="2022"/>
    <n v="5"/>
    <s v="May"/>
    <x v="10"/>
    <n v="24"/>
    <x v="1"/>
    <n v="2634.17"/>
    <n v="3097.14"/>
    <n v="3053.15"/>
    <n v="536.88"/>
    <n v="8784.4599999999991"/>
    <n v="9321.34"/>
    <m/>
  </r>
  <r>
    <x v="57"/>
    <x v="5"/>
    <n v="2022"/>
    <n v="5"/>
    <s v="May"/>
    <x v="11"/>
    <n v="6"/>
    <x v="1"/>
    <n v="1106.4000000000001"/>
    <n v="1483.91"/>
    <n v="3523.21"/>
    <n v="549.66"/>
    <n v="6113.52"/>
    <n v="6663.18"/>
    <m/>
  </r>
  <r>
    <x v="57"/>
    <x v="5"/>
    <n v="2022"/>
    <n v="5"/>
    <s v="May"/>
    <x v="12"/>
    <n v="2"/>
    <x v="1"/>
    <n v="119.49"/>
    <n v="171.72"/>
    <n v="447.74"/>
    <n v="1.89"/>
    <n v="738.95"/>
    <n v="740.84"/>
    <m/>
  </r>
  <r>
    <x v="57"/>
    <x v="5"/>
    <n v="2022"/>
    <n v="5"/>
    <s v="May"/>
    <x v="13"/>
    <n v="1"/>
    <x v="0"/>
    <n v="103.41"/>
    <n v="165.49"/>
    <n v="93.95"/>
    <n v="8.7899999999999991"/>
    <n v="362.85"/>
    <n v="371.64"/>
    <m/>
  </r>
  <r>
    <x v="57"/>
    <x v="5"/>
    <n v="2022"/>
    <n v="5"/>
    <s v="May"/>
    <x v="14"/>
    <n v="20"/>
    <x v="1"/>
    <n v="443.82"/>
    <n v="607.97"/>
    <n v="963.42"/>
    <n v="452.86"/>
    <n v="2015.21"/>
    <n v="2468.0700000000002"/>
    <m/>
  </r>
  <r>
    <x v="57"/>
    <x v="5"/>
    <n v="2022"/>
    <n v="5"/>
    <s v="May"/>
    <x v="15"/>
    <n v="29"/>
    <x v="1"/>
    <n v="2111.77"/>
    <n v="2658.02"/>
    <n v="3408.4"/>
    <n v="1053.8499999999999"/>
    <n v="8178.19"/>
    <n v="9232.0400000000009"/>
    <m/>
  </r>
  <r>
    <x v="57"/>
    <x v="5"/>
    <n v="2022"/>
    <n v="5"/>
    <s v="May"/>
    <x v="16"/>
    <n v="32"/>
    <x v="1"/>
    <n v="697.48"/>
    <n v="952.62"/>
    <n v="411.4"/>
    <n v="2.56"/>
    <n v="2061.5"/>
    <n v="2064.06"/>
    <m/>
  </r>
  <r>
    <x v="57"/>
    <x v="5"/>
    <n v="2022"/>
    <n v="5"/>
    <s v="May"/>
    <x v="35"/>
    <n v="37"/>
    <x v="0"/>
    <n v="4.1500000000000004"/>
    <n v="6.66"/>
    <n v="1.49"/>
    <n v="0.13"/>
    <n v="12.3"/>
    <n v="12.43"/>
    <m/>
  </r>
  <r>
    <x v="57"/>
    <x v="5"/>
    <n v="2022"/>
    <n v="5"/>
    <s v="May"/>
    <x v="17"/>
    <n v="31"/>
    <x v="0"/>
    <n v="0.31"/>
    <n v="0.33"/>
    <n v="0.03"/>
    <n v="0"/>
    <n v="0.67"/>
    <n v="0.67"/>
    <m/>
  </r>
  <r>
    <x v="57"/>
    <x v="5"/>
    <n v="2022"/>
    <n v="5"/>
    <s v="May"/>
    <x v="18"/>
    <n v="23"/>
    <x v="1"/>
    <n v="603.24"/>
    <n v="833.01"/>
    <n v="752.36"/>
    <n v="557.87"/>
    <n v="2188.61"/>
    <n v="2746.48"/>
    <m/>
  </r>
  <r>
    <x v="57"/>
    <x v="5"/>
    <n v="2022"/>
    <n v="5"/>
    <s v="May"/>
    <x v="19"/>
    <n v="27"/>
    <x v="1"/>
    <n v="5650.29"/>
    <n v="6607.17"/>
    <n v="6530.69"/>
    <n v="1524.63"/>
    <n v="18788.150000000001"/>
    <n v="20312.78"/>
    <m/>
  </r>
  <r>
    <x v="57"/>
    <x v="5"/>
    <n v="2022"/>
    <n v="5"/>
    <s v="May"/>
    <x v="20"/>
    <n v="14"/>
    <x v="1"/>
    <n v="17.45"/>
    <n v="25.94"/>
    <n v="3.86"/>
    <n v="0.21"/>
    <n v="47.25"/>
    <n v="47.46"/>
    <m/>
  </r>
  <r>
    <x v="57"/>
    <x v="5"/>
    <n v="2022"/>
    <n v="5"/>
    <s v="May"/>
    <x v="21"/>
    <n v="17"/>
    <x v="1"/>
    <n v="29.89"/>
    <n v="38.21"/>
    <n v="103.77"/>
    <n v="2.59"/>
    <n v="171.87"/>
    <n v="174.46"/>
    <m/>
  </r>
  <r>
    <x v="57"/>
    <x v="5"/>
    <n v="2022"/>
    <n v="5"/>
    <s v="May"/>
    <x v="22"/>
    <n v="15"/>
    <x v="1"/>
    <n v="8.84"/>
    <n v="14.38"/>
    <n v="1.77"/>
    <n v="0.01"/>
    <n v="24.99"/>
    <n v="25"/>
    <m/>
  </r>
  <r>
    <x v="57"/>
    <x v="5"/>
    <n v="2022"/>
    <n v="5"/>
    <s v="May"/>
    <x v="23"/>
    <n v="13"/>
    <x v="1"/>
    <n v="14.96"/>
    <n v="18.55"/>
    <n v="11.24"/>
    <n v="4.38"/>
    <n v="44.75"/>
    <n v="49.13"/>
    <m/>
  </r>
  <r>
    <x v="57"/>
    <x v="5"/>
    <n v="2022"/>
    <n v="5"/>
    <s v="May"/>
    <x v="24"/>
    <n v="21"/>
    <x v="1"/>
    <n v="978.25"/>
    <n v="1174.02"/>
    <n v="1105.51"/>
    <n v="697.97"/>
    <n v="3257.78"/>
    <n v="3955.75"/>
    <m/>
  </r>
  <r>
    <x v="57"/>
    <x v="5"/>
    <n v="2022"/>
    <n v="5"/>
    <s v="May"/>
    <x v="25"/>
    <n v="34"/>
    <x v="0"/>
    <n v="21.84"/>
    <n v="33.31"/>
    <n v="125.56"/>
    <n v="0.41"/>
    <n v="180.71"/>
    <n v="181.12"/>
    <m/>
  </r>
  <r>
    <x v="57"/>
    <x v="5"/>
    <n v="2022"/>
    <n v="5"/>
    <s v="May"/>
    <x v="26"/>
    <n v="3"/>
    <x v="1"/>
    <n v="428.02"/>
    <n v="639.19000000000005"/>
    <n v="725.1"/>
    <n v="40.58"/>
    <n v="1792.31"/>
    <n v="1832.89"/>
    <m/>
  </r>
  <r>
    <x v="57"/>
    <x v="5"/>
    <n v="2022"/>
    <n v="5"/>
    <s v="May"/>
    <x v="27"/>
    <n v="8"/>
    <x v="1"/>
    <n v="953.06"/>
    <n v="1256.93"/>
    <n v="1438.99"/>
    <n v="139.93"/>
    <n v="3648.98"/>
    <n v="3788.91"/>
    <m/>
  </r>
  <r>
    <x v="57"/>
    <x v="5"/>
    <n v="2022"/>
    <n v="5"/>
    <s v="May"/>
    <x v="28"/>
    <n v="11"/>
    <x v="1"/>
    <n v="17.399999999999999"/>
    <n v="22.85"/>
    <n v="238.21"/>
    <n v="0.18"/>
    <n v="278.45999999999998"/>
    <n v="278.64"/>
    <m/>
  </r>
  <r>
    <x v="57"/>
    <x v="5"/>
    <n v="2022"/>
    <n v="5"/>
    <s v="May"/>
    <x v="29"/>
    <n v="33"/>
    <x v="1"/>
    <n v="2056.6999999999998"/>
    <n v="2720.28"/>
    <n v="2488.5"/>
    <n v="644.37"/>
    <n v="7265.48"/>
    <n v="7909.85"/>
    <m/>
  </r>
  <r>
    <x v="57"/>
    <x v="5"/>
    <n v="2022"/>
    <n v="5"/>
    <s v="May"/>
    <x v="30"/>
    <n v="36"/>
    <x v="1"/>
    <n v="942.49"/>
    <n v="1244.99"/>
    <n v="1250.8900000000001"/>
    <n v="543.29999999999995"/>
    <n v="3438.37"/>
    <n v="3981.67"/>
    <m/>
  </r>
  <r>
    <x v="57"/>
    <x v="5"/>
    <n v="2022"/>
    <n v="5"/>
    <s v="May"/>
    <x v="31"/>
    <n v="16"/>
    <x v="1"/>
    <n v="23.44"/>
    <n v="33.840000000000003"/>
    <n v="7.8"/>
    <n v="0.25"/>
    <n v="65.08"/>
    <n v="65.33"/>
    <m/>
  </r>
  <r>
    <x v="57"/>
    <x v="5"/>
    <n v="2022"/>
    <n v="5"/>
    <s v="May"/>
    <x v="32"/>
    <n v="9"/>
    <x v="1"/>
    <n v="1494.83"/>
    <n v="2188.8000000000002"/>
    <n v="1869.99"/>
    <n v="1116.43"/>
    <n v="5553.62"/>
    <n v="6670.05"/>
    <m/>
  </r>
  <r>
    <x v="57"/>
    <x v="5"/>
    <n v="2022"/>
    <n v="5"/>
    <s v="May"/>
    <x v="33"/>
    <n v="5"/>
    <x v="1"/>
    <n v="257.42"/>
    <n v="358.22"/>
    <n v="680.9"/>
    <n v="12.07"/>
    <n v="1296.54"/>
    <n v="1308.6099999999999"/>
    <m/>
  </r>
  <r>
    <x v="57"/>
    <x v="5"/>
    <n v="2022"/>
    <n v="5"/>
    <s v="May"/>
    <x v="34"/>
    <n v="19"/>
    <x v="1"/>
    <n v="1396.91"/>
    <n v="1782.84"/>
    <n v="1322.24"/>
    <n v="393.8"/>
    <n v="4501.99"/>
    <n v="4895.79"/>
    <m/>
  </r>
  <r>
    <x v="58"/>
    <x v="5"/>
    <n v="2022"/>
    <n v="6"/>
    <s v="Jun"/>
    <x v="0"/>
    <n v="35"/>
    <x v="0"/>
    <n v="7.9"/>
    <n v="11.12"/>
    <n v="3.32"/>
    <n v="0.02"/>
    <n v="22.34"/>
    <n v="22.36"/>
    <m/>
  </r>
  <r>
    <x v="58"/>
    <x v="5"/>
    <n v="2022"/>
    <n v="6"/>
    <s v="Jun"/>
    <x v="1"/>
    <n v="28"/>
    <x v="1"/>
    <n v="739.75"/>
    <n v="965.12"/>
    <n v="1026.83"/>
    <n v="254.81"/>
    <n v="2731.7"/>
    <n v="2986.51"/>
    <m/>
  </r>
  <r>
    <x v="58"/>
    <x v="5"/>
    <n v="2022"/>
    <n v="6"/>
    <s v="Jun"/>
    <x v="2"/>
    <n v="12"/>
    <x v="1"/>
    <n v="19.55"/>
    <n v="28.08"/>
    <n v="10.71"/>
    <n v="0.18"/>
    <n v="58.34"/>
    <n v="58.52"/>
    <m/>
  </r>
  <r>
    <x v="58"/>
    <x v="5"/>
    <n v="2022"/>
    <n v="6"/>
    <s v="Jun"/>
    <x v="3"/>
    <n v="18"/>
    <x v="1"/>
    <n v="288.73"/>
    <n v="376.74"/>
    <n v="265.02999999999997"/>
    <n v="41.57"/>
    <n v="930.5"/>
    <n v="972.07"/>
    <m/>
  </r>
  <r>
    <x v="58"/>
    <x v="5"/>
    <n v="2022"/>
    <n v="6"/>
    <s v="Jun"/>
    <x v="4"/>
    <n v="10"/>
    <x v="1"/>
    <n v="314.79000000000002"/>
    <n v="541.69000000000005"/>
    <n v="187.93"/>
    <n v="187.65"/>
    <n v="1044.4100000000001"/>
    <n v="1232.06"/>
    <m/>
  </r>
  <r>
    <x v="58"/>
    <x v="5"/>
    <n v="2022"/>
    <n v="6"/>
    <s v="Jun"/>
    <x v="5"/>
    <n v="4"/>
    <x v="0"/>
    <n v="31.9"/>
    <n v="44.71"/>
    <n v="92.04"/>
    <n v="1.04"/>
    <n v="168.65"/>
    <n v="169.69"/>
    <m/>
  </r>
  <r>
    <x v="58"/>
    <x v="5"/>
    <n v="2022"/>
    <n v="6"/>
    <s v="Jun"/>
    <x v="6"/>
    <n v="22"/>
    <x v="1"/>
    <n v="533.74"/>
    <n v="628.26"/>
    <n v="977"/>
    <n v="635.41"/>
    <n v="2139"/>
    <n v="2774.41"/>
    <m/>
  </r>
  <r>
    <x v="58"/>
    <x v="5"/>
    <n v="2022"/>
    <n v="6"/>
    <s v="Jun"/>
    <x v="7"/>
    <n v="38"/>
    <x v="0"/>
    <n v="55.74"/>
    <n v="67.260000000000005"/>
    <n v="225.55"/>
    <n v="1.41"/>
    <n v="348.55"/>
    <n v="349.96"/>
    <m/>
  </r>
  <r>
    <x v="58"/>
    <x v="5"/>
    <n v="2022"/>
    <n v="6"/>
    <s v="Jun"/>
    <x v="8"/>
    <n v="7"/>
    <x v="0"/>
    <n v="852.92"/>
    <n v="1018.51"/>
    <n v="2359.73"/>
    <n v="82.19"/>
    <n v="4231.16"/>
    <n v="4313.3500000000004"/>
    <m/>
  </r>
  <r>
    <x v="58"/>
    <x v="5"/>
    <n v="2022"/>
    <n v="6"/>
    <s v="Jun"/>
    <x v="9"/>
    <n v="30"/>
    <x v="1"/>
    <n v="109.79"/>
    <n v="154.19999999999999"/>
    <n v="160.44999999999999"/>
    <n v="4.2"/>
    <n v="424.44"/>
    <n v="428.64"/>
    <m/>
  </r>
  <r>
    <x v="58"/>
    <x v="5"/>
    <n v="2022"/>
    <n v="6"/>
    <s v="Jun"/>
    <x v="10"/>
    <n v="24"/>
    <x v="1"/>
    <n v="2454.92"/>
    <n v="2967.56"/>
    <n v="3252.83"/>
    <n v="531.27"/>
    <n v="8675.31"/>
    <n v="9206.58"/>
    <m/>
  </r>
  <r>
    <x v="58"/>
    <x v="5"/>
    <n v="2022"/>
    <n v="6"/>
    <s v="Jun"/>
    <x v="11"/>
    <n v="6"/>
    <x v="1"/>
    <n v="1141.32"/>
    <n v="1487.39"/>
    <n v="3577.48"/>
    <n v="507.7"/>
    <n v="6206.19"/>
    <n v="6713.89"/>
    <m/>
  </r>
  <r>
    <x v="58"/>
    <x v="5"/>
    <n v="2022"/>
    <n v="6"/>
    <s v="Jun"/>
    <x v="12"/>
    <n v="2"/>
    <x v="1"/>
    <n v="126.5"/>
    <n v="186.86"/>
    <n v="377.58"/>
    <n v="2.2000000000000002"/>
    <n v="690.94"/>
    <n v="693.14"/>
    <m/>
  </r>
  <r>
    <x v="58"/>
    <x v="5"/>
    <n v="2022"/>
    <n v="6"/>
    <s v="Jun"/>
    <x v="13"/>
    <n v="1"/>
    <x v="0"/>
    <n v="96.38"/>
    <n v="162.32"/>
    <n v="103.27"/>
    <n v="9.86"/>
    <n v="361.97"/>
    <n v="371.83"/>
    <m/>
  </r>
  <r>
    <x v="58"/>
    <x v="5"/>
    <n v="2022"/>
    <n v="6"/>
    <s v="Jun"/>
    <x v="14"/>
    <n v="20"/>
    <x v="1"/>
    <n v="408.77"/>
    <n v="577.79"/>
    <n v="824.36"/>
    <n v="504.23"/>
    <n v="1810.92"/>
    <n v="2315.15"/>
    <m/>
  </r>
  <r>
    <x v="58"/>
    <x v="5"/>
    <n v="2022"/>
    <n v="6"/>
    <s v="Jun"/>
    <x v="15"/>
    <n v="29"/>
    <x v="1"/>
    <n v="2069.87"/>
    <n v="2589.9"/>
    <n v="3241.16"/>
    <n v="943.96"/>
    <n v="7900.93"/>
    <n v="8844.89"/>
    <m/>
  </r>
  <r>
    <x v="58"/>
    <x v="5"/>
    <n v="2022"/>
    <n v="6"/>
    <s v="Jun"/>
    <x v="16"/>
    <n v="32"/>
    <x v="1"/>
    <n v="730.7"/>
    <n v="981.77"/>
    <n v="442.2"/>
    <n v="6.23"/>
    <n v="2154.67"/>
    <n v="2160.9"/>
    <m/>
  </r>
  <r>
    <x v="58"/>
    <x v="5"/>
    <n v="2022"/>
    <n v="6"/>
    <s v="Jun"/>
    <x v="35"/>
    <n v="37"/>
    <x v="0"/>
    <n v="4.3899999999999997"/>
    <n v="6.25"/>
    <n v="2.56"/>
    <n v="0.01"/>
    <n v="13.2"/>
    <n v="13.21"/>
    <m/>
  </r>
  <r>
    <x v="58"/>
    <x v="5"/>
    <n v="2022"/>
    <n v="6"/>
    <s v="Jun"/>
    <x v="17"/>
    <n v="31"/>
    <x v="0"/>
    <n v="0.15"/>
    <n v="0.41"/>
    <n v="0.08"/>
    <n v="0"/>
    <n v="0.64"/>
    <n v="0.64"/>
    <m/>
  </r>
  <r>
    <x v="58"/>
    <x v="5"/>
    <n v="2022"/>
    <n v="6"/>
    <s v="Jun"/>
    <x v="18"/>
    <n v="23"/>
    <x v="1"/>
    <n v="583.13"/>
    <n v="809.89"/>
    <n v="808.68"/>
    <n v="635.66"/>
    <n v="2201.6999999999998"/>
    <n v="2837.36"/>
    <m/>
  </r>
  <r>
    <x v="58"/>
    <x v="5"/>
    <n v="2022"/>
    <n v="6"/>
    <s v="Jun"/>
    <x v="19"/>
    <n v="27"/>
    <x v="1"/>
    <n v="6184.24"/>
    <n v="7409.87"/>
    <n v="7108.14"/>
    <n v="1639.17"/>
    <n v="20702.25"/>
    <n v="22341.42"/>
    <m/>
  </r>
  <r>
    <x v="58"/>
    <x v="5"/>
    <n v="2022"/>
    <n v="6"/>
    <s v="Jun"/>
    <x v="20"/>
    <n v="14"/>
    <x v="1"/>
    <n v="14.62"/>
    <n v="20.68"/>
    <n v="3.43"/>
    <n v="0.06"/>
    <n v="38.729999999999997"/>
    <n v="38.79"/>
    <m/>
  </r>
  <r>
    <x v="58"/>
    <x v="5"/>
    <n v="2022"/>
    <n v="6"/>
    <s v="Jun"/>
    <x v="21"/>
    <n v="17"/>
    <x v="1"/>
    <n v="25.48"/>
    <n v="30.62"/>
    <n v="91.82"/>
    <n v="4.67"/>
    <n v="147.91999999999999"/>
    <n v="152.59"/>
    <m/>
  </r>
  <r>
    <x v="58"/>
    <x v="5"/>
    <n v="2022"/>
    <n v="6"/>
    <s v="Jun"/>
    <x v="22"/>
    <n v="15"/>
    <x v="1"/>
    <n v="8.7100000000000009"/>
    <n v="14.31"/>
    <n v="2.75"/>
    <n v="0.08"/>
    <n v="25.77"/>
    <n v="25.85"/>
    <m/>
  </r>
  <r>
    <x v="58"/>
    <x v="5"/>
    <n v="2022"/>
    <n v="6"/>
    <s v="Jun"/>
    <x v="23"/>
    <n v="13"/>
    <x v="1"/>
    <n v="10.11"/>
    <n v="13.45"/>
    <n v="7.74"/>
    <n v="2.2799999999999998"/>
    <n v="31.3"/>
    <n v="33.58"/>
    <m/>
  </r>
  <r>
    <x v="58"/>
    <x v="5"/>
    <n v="2022"/>
    <n v="6"/>
    <s v="Jun"/>
    <x v="24"/>
    <n v="21"/>
    <x v="1"/>
    <n v="1063.33"/>
    <n v="1247.6300000000001"/>
    <n v="847.93"/>
    <n v="806.39"/>
    <n v="3158.89"/>
    <n v="3965.28"/>
    <m/>
  </r>
  <r>
    <x v="58"/>
    <x v="5"/>
    <n v="2022"/>
    <n v="6"/>
    <s v="Jun"/>
    <x v="25"/>
    <n v="34"/>
    <x v="0"/>
    <n v="24.61"/>
    <n v="37.94"/>
    <n v="119.72"/>
    <n v="0.18"/>
    <n v="182.27"/>
    <n v="182.45"/>
    <m/>
  </r>
  <r>
    <x v="58"/>
    <x v="5"/>
    <n v="2022"/>
    <n v="6"/>
    <s v="Jun"/>
    <x v="26"/>
    <n v="3"/>
    <x v="1"/>
    <n v="394.77"/>
    <n v="610.41999999999996"/>
    <n v="639.04999999999995"/>
    <n v="38.26"/>
    <n v="1644.24"/>
    <n v="1682.5"/>
    <m/>
  </r>
  <r>
    <x v="58"/>
    <x v="5"/>
    <n v="2022"/>
    <n v="6"/>
    <s v="Jun"/>
    <x v="27"/>
    <n v="8"/>
    <x v="1"/>
    <n v="851.44"/>
    <n v="1161.8499999999999"/>
    <n v="1201.76"/>
    <n v="170.91"/>
    <n v="3215.05"/>
    <n v="3385.96"/>
    <m/>
  </r>
  <r>
    <x v="58"/>
    <x v="5"/>
    <n v="2022"/>
    <n v="6"/>
    <s v="Jun"/>
    <x v="28"/>
    <n v="11"/>
    <x v="1"/>
    <n v="15.47"/>
    <n v="20.03"/>
    <n v="220.79"/>
    <n v="0.08"/>
    <n v="256.29000000000002"/>
    <n v="256.37"/>
    <m/>
  </r>
  <r>
    <x v="58"/>
    <x v="5"/>
    <n v="2022"/>
    <n v="6"/>
    <s v="Jun"/>
    <x v="29"/>
    <n v="33"/>
    <x v="1"/>
    <n v="2042.37"/>
    <n v="2682.24"/>
    <n v="2623.9"/>
    <n v="678.74"/>
    <n v="7348.51"/>
    <n v="8027.25"/>
    <m/>
  </r>
  <r>
    <x v="58"/>
    <x v="5"/>
    <n v="2022"/>
    <n v="6"/>
    <s v="Jun"/>
    <x v="30"/>
    <n v="36"/>
    <x v="1"/>
    <n v="932.8"/>
    <n v="1241.44"/>
    <n v="1143.25"/>
    <n v="583.97"/>
    <n v="3317.49"/>
    <n v="3901.46"/>
    <m/>
  </r>
  <r>
    <x v="58"/>
    <x v="5"/>
    <n v="2022"/>
    <n v="6"/>
    <s v="Jun"/>
    <x v="31"/>
    <n v="16"/>
    <x v="1"/>
    <n v="20.75"/>
    <n v="28"/>
    <n v="13.84"/>
    <n v="0.4"/>
    <n v="62.59"/>
    <n v="62.99"/>
    <m/>
  </r>
  <r>
    <x v="58"/>
    <x v="5"/>
    <n v="2022"/>
    <n v="6"/>
    <s v="Jun"/>
    <x v="32"/>
    <n v="9"/>
    <x v="1"/>
    <n v="1601.09"/>
    <n v="2271.7800000000002"/>
    <n v="1785.04"/>
    <n v="1176.5999999999999"/>
    <n v="5657.91"/>
    <n v="6834.51"/>
    <m/>
  </r>
  <r>
    <x v="58"/>
    <x v="5"/>
    <n v="2022"/>
    <n v="6"/>
    <s v="Jun"/>
    <x v="33"/>
    <n v="5"/>
    <x v="1"/>
    <n v="257.79000000000002"/>
    <n v="369.99"/>
    <n v="642.75"/>
    <n v="10.39"/>
    <n v="1270.53"/>
    <n v="1280.92"/>
    <m/>
  </r>
  <r>
    <x v="58"/>
    <x v="5"/>
    <n v="2022"/>
    <n v="6"/>
    <s v="Jun"/>
    <x v="34"/>
    <n v="19"/>
    <x v="1"/>
    <n v="1280.52"/>
    <n v="1630.56"/>
    <n v="1061.55"/>
    <n v="358.77"/>
    <n v="3972.63"/>
    <n v="4331.3999999999996"/>
    <m/>
  </r>
  <r>
    <x v="59"/>
    <x v="5"/>
    <n v="2022"/>
    <n v="7"/>
    <s v="Jul"/>
    <x v="0"/>
    <n v="35"/>
    <x v="0"/>
    <n v="8.31"/>
    <n v="11.47"/>
    <n v="3.5"/>
    <n v="0.13"/>
    <n v="23.28"/>
    <n v="23.41"/>
    <m/>
  </r>
  <r>
    <x v="59"/>
    <x v="5"/>
    <n v="2022"/>
    <n v="7"/>
    <s v="Jul"/>
    <x v="1"/>
    <n v="28"/>
    <x v="1"/>
    <n v="829.8"/>
    <n v="1081.57"/>
    <n v="1170.92"/>
    <n v="326.67"/>
    <n v="3082.29"/>
    <n v="3408.96"/>
    <m/>
  </r>
  <r>
    <x v="59"/>
    <x v="5"/>
    <n v="2022"/>
    <n v="7"/>
    <s v="Jul"/>
    <x v="2"/>
    <n v="12"/>
    <x v="1"/>
    <n v="22.58"/>
    <n v="29.44"/>
    <n v="13.13"/>
    <n v="0.26"/>
    <n v="65.150000000000006"/>
    <n v="65.41"/>
    <m/>
  </r>
  <r>
    <x v="59"/>
    <x v="5"/>
    <n v="2022"/>
    <n v="7"/>
    <s v="Jul"/>
    <x v="3"/>
    <n v="18"/>
    <x v="1"/>
    <n v="294.02999999999997"/>
    <n v="382.34"/>
    <n v="302.37"/>
    <n v="61.75"/>
    <n v="978.74"/>
    <n v="1040.49"/>
    <m/>
  </r>
  <r>
    <x v="59"/>
    <x v="5"/>
    <n v="2022"/>
    <n v="7"/>
    <s v="Jul"/>
    <x v="4"/>
    <n v="10"/>
    <x v="1"/>
    <n v="336.69"/>
    <n v="584.55999999999995"/>
    <n v="166.7"/>
    <n v="175.6"/>
    <n v="1087.95"/>
    <n v="1263.55"/>
    <m/>
  </r>
  <r>
    <x v="59"/>
    <x v="5"/>
    <n v="2022"/>
    <n v="7"/>
    <s v="Jul"/>
    <x v="5"/>
    <n v="4"/>
    <x v="0"/>
    <n v="35.99"/>
    <n v="48.47"/>
    <n v="90.78"/>
    <n v="0.65"/>
    <n v="175.24"/>
    <n v="175.89"/>
    <m/>
  </r>
  <r>
    <x v="59"/>
    <x v="5"/>
    <n v="2022"/>
    <n v="7"/>
    <s v="Jul"/>
    <x v="6"/>
    <n v="22"/>
    <x v="1"/>
    <n v="540.49"/>
    <n v="636.53"/>
    <n v="926.77"/>
    <n v="591.16999999999996"/>
    <n v="2103.79"/>
    <n v="2694.96"/>
    <m/>
  </r>
  <r>
    <x v="59"/>
    <x v="5"/>
    <n v="2022"/>
    <n v="7"/>
    <s v="Jul"/>
    <x v="7"/>
    <n v="38"/>
    <x v="0"/>
    <n v="38.5"/>
    <n v="51.09"/>
    <n v="222.94"/>
    <n v="0.99"/>
    <n v="312.52999999999997"/>
    <n v="313.52"/>
    <m/>
  </r>
  <r>
    <x v="59"/>
    <x v="5"/>
    <n v="2022"/>
    <n v="7"/>
    <s v="Jul"/>
    <x v="8"/>
    <n v="7"/>
    <x v="0"/>
    <n v="875.79"/>
    <n v="1045.8900000000001"/>
    <n v="2328.36"/>
    <n v="77.28"/>
    <n v="4250.04"/>
    <n v="4327.32"/>
    <m/>
  </r>
  <r>
    <x v="59"/>
    <x v="5"/>
    <n v="2022"/>
    <n v="7"/>
    <s v="Jul"/>
    <x v="9"/>
    <n v="30"/>
    <x v="1"/>
    <n v="112.94"/>
    <n v="153.19"/>
    <n v="162.91999999999999"/>
    <n v="3.44"/>
    <n v="429.05"/>
    <n v="432.49"/>
    <m/>
  </r>
  <r>
    <x v="59"/>
    <x v="5"/>
    <n v="2022"/>
    <n v="7"/>
    <s v="Jul"/>
    <x v="10"/>
    <n v="24"/>
    <x v="1"/>
    <n v="2527"/>
    <n v="3036.04"/>
    <n v="3085.08"/>
    <n v="534.42999999999995"/>
    <n v="8648.1200000000008"/>
    <n v="9182.5499999999993"/>
    <m/>
  </r>
  <r>
    <x v="59"/>
    <x v="5"/>
    <n v="2022"/>
    <n v="7"/>
    <s v="Jul"/>
    <x v="11"/>
    <n v="6"/>
    <x v="1"/>
    <n v="1152.27"/>
    <n v="1505.96"/>
    <n v="3650.84"/>
    <n v="481.71"/>
    <n v="6309.07"/>
    <n v="6790.78"/>
    <m/>
  </r>
  <r>
    <x v="59"/>
    <x v="5"/>
    <n v="2022"/>
    <n v="7"/>
    <s v="Jul"/>
    <x v="12"/>
    <n v="2"/>
    <x v="1"/>
    <n v="136.82"/>
    <n v="198.67"/>
    <n v="407.92"/>
    <n v="2.2599999999999998"/>
    <n v="743.41"/>
    <n v="745.67"/>
    <m/>
  </r>
  <r>
    <x v="59"/>
    <x v="5"/>
    <n v="2022"/>
    <n v="7"/>
    <s v="Jul"/>
    <x v="13"/>
    <n v="1"/>
    <x v="0"/>
    <n v="117.96"/>
    <n v="185.39"/>
    <n v="118.78"/>
    <n v="8.82"/>
    <n v="422.13"/>
    <n v="430.95"/>
    <m/>
  </r>
  <r>
    <x v="59"/>
    <x v="5"/>
    <n v="2022"/>
    <n v="7"/>
    <s v="Jul"/>
    <x v="14"/>
    <n v="20"/>
    <x v="1"/>
    <n v="444.86"/>
    <n v="553.78"/>
    <n v="992.97"/>
    <n v="522.12"/>
    <n v="1991.61"/>
    <n v="2513.73"/>
    <m/>
  </r>
  <r>
    <x v="59"/>
    <x v="5"/>
    <n v="2022"/>
    <n v="7"/>
    <s v="Jul"/>
    <x v="15"/>
    <n v="29"/>
    <x v="1"/>
    <n v="2233.33"/>
    <n v="2808.12"/>
    <n v="3543.11"/>
    <n v="1210.04"/>
    <n v="8584.56"/>
    <n v="9794.6"/>
    <m/>
  </r>
  <r>
    <x v="59"/>
    <x v="5"/>
    <n v="2022"/>
    <n v="7"/>
    <s v="Jul"/>
    <x v="16"/>
    <n v="32"/>
    <x v="1"/>
    <n v="742.78"/>
    <n v="1000.18"/>
    <n v="410.71"/>
    <n v="7.56"/>
    <n v="2153.67"/>
    <n v="2161.23"/>
    <m/>
  </r>
  <r>
    <x v="59"/>
    <x v="5"/>
    <n v="2022"/>
    <n v="7"/>
    <s v="Jul"/>
    <x v="35"/>
    <n v="37"/>
    <x v="0"/>
    <n v="6.93"/>
    <n v="9.14"/>
    <n v="3.88"/>
    <n v="0.04"/>
    <n v="19.95"/>
    <n v="19.989999999999998"/>
    <m/>
  </r>
  <r>
    <x v="59"/>
    <x v="5"/>
    <n v="2022"/>
    <n v="7"/>
    <s v="Jul"/>
    <x v="17"/>
    <n v="31"/>
    <x v="0"/>
    <n v="0.7"/>
    <n v="0.89"/>
    <n v="0.03"/>
    <n v="0"/>
    <n v="1.62"/>
    <n v="1.62"/>
    <m/>
  </r>
  <r>
    <x v="59"/>
    <x v="5"/>
    <n v="2022"/>
    <n v="7"/>
    <s v="Jul"/>
    <x v="18"/>
    <n v="23"/>
    <x v="1"/>
    <n v="661.46"/>
    <n v="902.21"/>
    <n v="828.16"/>
    <n v="574.19000000000005"/>
    <n v="2391.83"/>
    <n v="2966.02"/>
    <m/>
  </r>
  <r>
    <x v="59"/>
    <x v="5"/>
    <n v="2022"/>
    <n v="7"/>
    <s v="Jul"/>
    <x v="19"/>
    <n v="27"/>
    <x v="1"/>
    <n v="5524.67"/>
    <n v="6578.04"/>
    <n v="8248.5400000000009"/>
    <n v="1777.46"/>
    <n v="20351.25"/>
    <n v="22128.71"/>
    <m/>
  </r>
  <r>
    <x v="59"/>
    <x v="5"/>
    <n v="2022"/>
    <n v="7"/>
    <s v="Jul"/>
    <x v="20"/>
    <n v="14"/>
    <x v="1"/>
    <n v="16.899999999999999"/>
    <n v="23.74"/>
    <n v="4.18"/>
    <n v="0.19"/>
    <n v="44.82"/>
    <n v="45.01"/>
    <m/>
  </r>
  <r>
    <x v="59"/>
    <x v="5"/>
    <n v="2022"/>
    <n v="7"/>
    <s v="Jul"/>
    <x v="21"/>
    <n v="17"/>
    <x v="1"/>
    <n v="25.3"/>
    <n v="31.81"/>
    <n v="80.12"/>
    <n v="1.1000000000000001"/>
    <n v="137.22999999999999"/>
    <n v="138.33000000000001"/>
    <m/>
  </r>
  <r>
    <x v="59"/>
    <x v="5"/>
    <n v="2022"/>
    <n v="7"/>
    <s v="Jul"/>
    <x v="22"/>
    <n v="15"/>
    <x v="1"/>
    <n v="9.89"/>
    <n v="13.72"/>
    <n v="2.96"/>
    <n v="0.03"/>
    <n v="26.57"/>
    <n v="26.6"/>
    <m/>
  </r>
  <r>
    <x v="59"/>
    <x v="5"/>
    <n v="2022"/>
    <n v="7"/>
    <s v="Jul"/>
    <x v="23"/>
    <n v="13"/>
    <x v="1"/>
    <n v="10.86"/>
    <n v="13.64"/>
    <n v="12.06"/>
    <n v="5.09"/>
    <n v="36.56"/>
    <n v="41.65"/>
    <m/>
  </r>
  <r>
    <x v="59"/>
    <x v="5"/>
    <n v="2022"/>
    <n v="7"/>
    <s v="Jul"/>
    <x v="24"/>
    <n v="21"/>
    <x v="1"/>
    <n v="959.04"/>
    <n v="1111.69"/>
    <n v="872.98"/>
    <n v="707.9"/>
    <n v="2943.71"/>
    <n v="3651.61"/>
    <m/>
  </r>
  <r>
    <x v="59"/>
    <x v="5"/>
    <n v="2022"/>
    <n v="7"/>
    <s v="Jul"/>
    <x v="25"/>
    <n v="34"/>
    <x v="0"/>
    <n v="25.27"/>
    <n v="39.11"/>
    <n v="133.49"/>
    <n v="0.52"/>
    <n v="197.87"/>
    <n v="198.39"/>
    <m/>
  </r>
  <r>
    <x v="59"/>
    <x v="5"/>
    <n v="2022"/>
    <n v="7"/>
    <s v="Jul"/>
    <x v="26"/>
    <n v="3"/>
    <x v="1"/>
    <n v="430.97"/>
    <n v="641.42999999999995"/>
    <n v="626.46"/>
    <n v="34.6"/>
    <n v="1698.86"/>
    <n v="1733.46"/>
    <m/>
  </r>
  <r>
    <x v="59"/>
    <x v="5"/>
    <n v="2022"/>
    <n v="7"/>
    <s v="Jul"/>
    <x v="27"/>
    <n v="8"/>
    <x v="1"/>
    <n v="934.24"/>
    <n v="1243.01"/>
    <n v="1351.15"/>
    <n v="142.76"/>
    <n v="3528.4"/>
    <n v="3671.16"/>
    <m/>
  </r>
  <r>
    <x v="59"/>
    <x v="5"/>
    <n v="2022"/>
    <n v="7"/>
    <s v="Jul"/>
    <x v="28"/>
    <n v="11"/>
    <x v="1"/>
    <n v="15.59"/>
    <n v="21.98"/>
    <n v="211.29"/>
    <n v="0.02"/>
    <n v="248.86"/>
    <n v="248.88"/>
    <m/>
  </r>
  <r>
    <x v="59"/>
    <x v="5"/>
    <n v="2022"/>
    <n v="7"/>
    <s v="Jul"/>
    <x v="29"/>
    <n v="33"/>
    <x v="1"/>
    <n v="2189.61"/>
    <n v="2947.07"/>
    <n v="2643.33"/>
    <n v="669.3"/>
    <n v="7780.01"/>
    <n v="8449.31"/>
    <m/>
  </r>
  <r>
    <x v="59"/>
    <x v="5"/>
    <n v="2022"/>
    <n v="7"/>
    <s v="Jul"/>
    <x v="30"/>
    <n v="36"/>
    <x v="1"/>
    <n v="1234.98"/>
    <n v="1562.39"/>
    <n v="1275.93"/>
    <n v="474.16"/>
    <n v="4073.3"/>
    <n v="4547.46"/>
    <m/>
  </r>
  <r>
    <x v="59"/>
    <x v="5"/>
    <n v="2022"/>
    <n v="7"/>
    <s v="Jul"/>
    <x v="31"/>
    <n v="16"/>
    <x v="1"/>
    <n v="23.83"/>
    <n v="32.590000000000003"/>
    <n v="6.95"/>
    <n v="0.1"/>
    <n v="63.37"/>
    <n v="63.47"/>
    <m/>
  </r>
  <r>
    <x v="59"/>
    <x v="5"/>
    <n v="2022"/>
    <n v="7"/>
    <s v="Jul"/>
    <x v="32"/>
    <n v="9"/>
    <x v="1"/>
    <n v="1652.9"/>
    <n v="2257.86"/>
    <n v="1980.46"/>
    <n v="1182.8"/>
    <n v="5891.22"/>
    <n v="7074.02"/>
    <m/>
  </r>
  <r>
    <x v="59"/>
    <x v="5"/>
    <n v="2022"/>
    <n v="7"/>
    <s v="Jul"/>
    <x v="33"/>
    <n v="5"/>
    <x v="1"/>
    <n v="269.02"/>
    <n v="389.22"/>
    <n v="722.23"/>
    <n v="9.43"/>
    <n v="1380.47"/>
    <n v="1389.9"/>
    <m/>
  </r>
  <r>
    <x v="59"/>
    <x v="5"/>
    <n v="2022"/>
    <n v="7"/>
    <s v="Jul"/>
    <x v="34"/>
    <n v="19"/>
    <x v="1"/>
    <n v="1301.46"/>
    <n v="1663.87"/>
    <n v="1135.51"/>
    <n v="340.39"/>
    <n v="4100.84"/>
    <n v="4441.2299999999996"/>
    <m/>
  </r>
  <r>
    <x v="60"/>
    <x v="5"/>
    <n v="2022"/>
    <n v="8"/>
    <s v="Aug"/>
    <x v="0"/>
    <n v="35"/>
    <x v="0"/>
    <n v="5.0199999999999996"/>
    <n v="8.06"/>
    <n v="2.65"/>
    <n v="0.01"/>
    <n v="15.73"/>
    <n v="15.74"/>
    <m/>
  </r>
  <r>
    <x v="60"/>
    <x v="5"/>
    <n v="2022"/>
    <n v="8"/>
    <s v="Aug"/>
    <x v="1"/>
    <n v="28"/>
    <x v="1"/>
    <n v="765.97"/>
    <n v="996.86"/>
    <n v="1133.78"/>
    <n v="275.95"/>
    <n v="2896.61"/>
    <n v="3172.56"/>
    <m/>
  </r>
  <r>
    <x v="60"/>
    <x v="5"/>
    <n v="2022"/>
    <n v="8"/>
    <s v="Aug"/>
    <x v="2"/>
    <n v="12"/>
    <x v="1"/>
    <n v="21.57"/>
    <n v="28.55"/>
    <n v="9.02"/>
    <n v="0.16"/>
    <n v="59.14"/>
    <n v="59.3"/>
    <m/>
  </r>
  <r>
    <x v="60"/>
    <x v="5"/>
    <n v="2022"/>
    <n v="8"/>
    <s v="Aug"/>
    <x v="3"/>
    <n v="18"/>
    <x v="1"/>
    <n v="323.19"/>
    <n v="411.13"/>
    <n v="269.13"/>
    <n v="51.72"/>
    <n v="1003.45"/>
    <n v="1055.17"/>
    <m/>
  </r>
  <r>
    <x v="60"/>
    <x v="5"/>
    <n v="2022"/>
    <n v="8"/>
    <s v="Aug"/>
    <x v="4"/>
    <n v="10"/>
    <x v="1"/>
    <n v="371.52"/>
    <n v="573.79999999999995"/>
    <n v="181.49"/>
    <n v="143.79"/>
    <n v="1126.81"/>
    <n v="1270.5999999999999"/>
    <m/>
  </r>
  <r>
    <x v="60"/>
    <x v="5"/>
    <n v="2022"/>
    <n v="8"/>
    <s v="Aug"/>
    <x v="5"/>
    <n v="4"/>
    <x v="0"/>
    <n v="35.6"/>
    <n v="46.48"/>
    <n v="96.58"/>
    <n v="0.41"/>
    <n v="178.66"/>
    <n v="179.07"/>
    <m/>
  </r>
  <r>
    <x v="60"/>
    <x v="5"/>
    <n v="2022"/>
    <n v="8"/>
    <s v="Aug"/>
    <x v="6"/>
    <n v="22"/>
    <x v="1"/>
    <n v="480.02"/>
    <n v="558.45000000000005"/>
    <n v="869.19"/>
    <n v="533.96"/>
    <n v="1907.66"/>
    <n v="2441.62"/>
    <m/>
  </r>
  <r>
    <x v="60"/>
    <x v="5"/>
    <n v="2022"/>
    <n v="8"/>
    <s v="Aug"/>
    <x v="7"/>
    <n v="38"/>
    <x v="0"/>
    <n v="39.299999999999997"/>
    <n v="50.09"/>
    <n v="220.66"/>
    <n v="0.93"/>
    <n v="310.05"/>
    <n v="310.98"/>
    <m/>
  </r>
  <r>
    <x v="60"/>
    <x v="5"/>
    <n v="2022"/>
    <n v="8"/>
    <s v="Aug"/>
    <x v="8"/>
    <n v="7"/>
    <x v="0"/>
    <n v="897.52"/>
    <n v="1045.26"/>
    <n v="2321.63"/>
    <n v="84.14"/>
    <n v="4264.41"/>
    <n v="4348.55"/>
    <m/>
  </r>
  <r>
    <x v="60"/>
    <x v="5"/>
    <n v="2022"/>
    <n v="8"/>
    <s v="Aug"/>
    <x v="9"/>
    <n v="30"/>
    <x v="1"/>
    <n v="105.03"/>
    <n v="139.59"/>
    <n v="129.56"/>
    <n v="1.32"/>
    <n v="374.18"/>
    <n v="375.5"/>
    <m/>
  </r>
  <r>
    <x v="60"/>
    <x v="5"/>
    <n v="2022"/>
    <n v="8"/>
    <s v="Aug"/>
    <x v="10"/>
    <n v="24"/>
    <x v="1"/>
    <n v="2346.33"/>
    <n v="2818"/>
    <n v="3017.91"/>
    <n v="502.05"/>
    <n v="8182.24"/>
    <n v="8684.2900000000009"/>
    <m/>
  </r>
  <r>
    <x v="60"/>
    <x v="5"/>
    <n v="2022"/>
    <n v="8"/>
    <s v="Aug"/>
    <x v="11"/>
    <n v="6"/>
    <x v="1"/>
    <n v="1102.8"/>
    <n v="1466.71"/>
    <n v="3677.51"/>
    <n v="524.54"/>
    <n v="6247.02"/>
    <n v="6771.56"/>
    <m/>
  </r>
  <r>
    <x v="60"/>
    <x v="5"/>
    <n v="2022"/>
    <n v="8"/>
    <s v="Aug"/>
    <x v="12"/>
    <n v="2"/>
    <x v="1"/>
    <n v="135.6"/>
    <n v="183.85"/>
    <n v="387.2"/>
    <n v="1.93"/>
    <n v="706.65"/>
    <n v="708.58"/>
    <m/>
  </r>
  <r>
    <x v="60"/>
    <x v="5"/>
    <n v="2022"/>
    <n v="8"/>
    <s v="Aug"/>
    <x v="13"/>
    <n v="1"/>
    <x v="0"/>
    <n v="112.98"/>
    <n v="178.47"/>
    <n v="133.96"/>
    <n v="8.35"/>
    <n v="425.41"/>
    <n v="433.76"/>
    <m/>
  </r>
  <r>
    <x v="60"/>
    <x v="5"/>
    <n v="2022"/>
    <n v="8"/>
    <s v="Aug"/>
    <x v="14"/>
    <n v="20"/>
    <x v="1"/>
    <n v="442.67"/>
    <n v="566.52"/>
    <n v="1104.19"/>
    <n v="482.04"/>
    <n v="2113.38"/>
    <n v="2595.42"/>
    <m/>
  </r>
  <r>
    <x v="60"/>
    <x v="5"/>
    <n v="2022"/>
    <n v="8"/>
    <s v="Aug"/>
    <x v="15"/>
    <n v="29"/>
    <x v="1"/>
    <n v="2297.13"/>
    <n v="2840.9"/>
    <n v="3451.11"/>
    <n v="993.86"/>
    <n v="8589.14"/>
    <n v="9583"/>
    <m/>
  </r>
  <r>
    <x v="60"/>
    <x v="5"/>
    <n v="2022"/>
    <n v="8"/>
    <s v="Aug"/>
    <x v="16"/>
    <n v="32"/>
    <x v="1"/>
    <n v="706.88"/>
    <n v="910.94"/>
    <n v="414.92"/>
    <n v="2.96"/>
    <n v="2032.74"/>
    <n v="2035.7"/>
    <m/>
  </r>
  <r>
    <x v="60"/>
    <x v="5"/>
    <n v="2022"/>
    <n v="8"/>
    <s v="Aug"/>
    <x v="35"/>
    <n v="37"/>
    <x v="0"/>
    <n v="6.55"/>
    <n v="8.98"/>
    <n v="3.6"/>
    <n v="0.03"/>
    <n v="19.13"/>
    <n v="19.16"/>
    <m/>
  </r>
  <r>
    <x v="60"/>
    <x v="5"/>
    <n v="2022"/>
    <n v="8"/>
    <s v="Aug"/>
    <x v="17"/>
    <n v="31"/>
    <x v="0"/>
    <n v="0.15"/>
    <n v="0.16"/>
    <n v="0.05"/>
    <n v="0"/>
    <n v="0.36"/>
    <n v="0.36"/>
    <m/>
  </r>
  <r>
    <x v="60"/>
    <x v="5"/>
    <n v="2022"/>
    <n v="8"/>
    <s v="Aug"/>
    <x v="18"/>
    <n v="23"/>
    <x v="1"/>
    <n v="615.21"/>
    <n v="805.1"/>
    <n v="775.36"/>
    <n v="618.59"/>
    <n v="2195.67"/>
    <n v="2814.26"/>
    <m/>
  </r>
  <r>
    <x v="60"/>
    <x v="5"/>
    <n v="2022"/>
    <n v="8"/>
    <s v="Aug"/>
    <x v="19"/>
    <n v="27"/>
    <x v="1"/>
    <n v="5211.34"/>
    <n v="6071.41"/>
    <n v="6162.5"/>
    <n v="1417.57"/>
    <n v="17445.25"/>
    <n v="18862.82"/>
    <m/>
  </r>
  <r>
    <x v="60"/>
    <x v="5"/>
    <n v="2022"/>
    <n v="8"/>
    <s v="Aug"/>
    <x v="20"/>
    <n v="14"/>
    <x v="1"/>
    <n v="12.12"/>
    <n v="17.54"/>
    <n v="4.84"/>
    <n v="0.04"/>
    <n v="34.5"/>
    <n v="34.54"/>
    <m/>
  </r>
  <r>
    <x v="60"/>
    <x v="5"/>
    <n v="2022"/>
    <n v="8"/>
    <s v="Aug"/>
    <x v="21"/>
    <n v="17"/>
    <x v="1"/>
    <n v="26.59"/>
    <n v="31.82"/>
    <n v="88.18"/>
    <n v="0.78"/>
    <n v="146.59"/>
    <n v="147.37"/>
    <m/>
  </r>
  <r>
    <x v="60"/>
    <x v="5"/>
    <n v="2022"/>
    <n v="8"/>
    <s v="Aug"/>
    <x v="22"/>
    <n v="15"/>
    <x v="1"/>
    <n v="10.78"/>
    <n v="14.29"/>
    <n v="3.19"/>
    <n v="0.05"/>
    <n v="28.26"/>
    <n v="28.31"/>
    <m/>
  </r>
  <r>
    <x v="60"/>
    <x v="5"/>
    <n v="2022"/>
    <n v="8"/>
    <s v="Aug"/>
    <x v="23"/>
    <n v="13"/>
    <x v="1"/>
    <n v="10.79"/>
    <n v="13.34"/>
    <n v="10.130000000000001"/>
    <n v="3.46"/>
    <n v="34.26"/>
    <n v="37.72"/>
    <m/>
  </r>
  <r>
    <x v="60"/>
    <x v="5"/>
    <n v="2022"/>
    <n v="8"/>
    <s v="Aug"/>
    <x v="24"/>
    <n v="21"/>
    <x v="1"/>
    <n v="871.95"/>
    <n v="1019.81"/>
    <n v="1252.07"/>
    <n v="740.07"/>
    <n v="3143.83"/>
    <n v="3883.9"/>
    <m/>
  </r>
  <r>
    <x v="60"/>
    <x v="5"/>
    <n v="2022"/>
    <n v="8"/>
    <s v="Aug"/>
    <x v="25"/>
    <n v="34"/>
    <x v="0"/>
    <n v="26.09"/>
    <n v="37.53"/>
    <n v="136.44999999999999"/>
    <n v="0.15"/>
    <n v="200.07"/>
    <n v="200.22"/>
    <m/>
  </r>
  <r>
    <x v="60"/>
    <x v="5"/>
    <n v="2022"/>
    <n v="8"/>
    <s v="Aug"/>
    <x v="26"/>
    <n v="3"/>
    <x v="1"/>
    <n v="379.88"/>
    <n v="573.92999999999995"/>
    <n v="672.14"/>
    <n v="25.54"/>
    <n v="1625.95"/>
    <n v="1651.49"/>
    <m/>
  </r>
  <r>
    <x v="60"/>
    <x v="5"/>
    <n v="2022"/>
    <n v="8"/>
    <s v="Aug"/>
    <x v="27"/>
    <n v="8"/>
    <x v="1"/>
    <n v="860.14"/>
    <n v="1123.27"/>
    <n v="1249.5899999999999"/>
    <n v="108.11"/>
    <n v="3233"/>
    <n v="3341.11"/>
    <m/>
  </r>
  <r>
    <x v="60"/>
    <x v="5"/>
    <n v="2022"/>
    <n v="8"/>
    <s v="Aug"/>
    <x v="28"/>
    <n v="11"/>
    <x v="1"/>
    <n v="14.11"/>
    <n v="18.88"/>
    <n v="213.9"/>
    <n v="0.01"/>
    <n v="246.89"/>
    <n v="246.9"/>
    <m/>
  </r>
  <r>
    <x v="60"/>
    <x v="5"/>
    <n v="2022"/>
    <n v="8"/>
    <s v="Aug"/>
    <x v="29"/>
    <n v="33"/>
    <x v="1"/>
    <n v="2240.0500000000002"/>
    <n v="2956.35"/>
    <n v="2411.6"/>
    <n v="778.3"/>
    <n v="7608"/>
    <n v="8386.2999999999993"/>
    <m/>
  </r>
  <r>
    <x v="60"/>
    <x v="5"/>
    <n v="2022"/>
    <n v="8"/>
    <s v="Aug"/>
    <x v="30"/>
    <n v="36"/>
    <x v="1"/>
    <n v="894.78"/>
    <n v="1182.75"/>
    <n v="1269.5999999999999"/>
    <n v="523.89"/>
    <n v="3347.13"/>
    <n v="3871.02"/>
    <m/>
  </r>
  <r>
    <x v="60"/>
    <x v="5"/>
    <n v="2022"/>
    <n v="8"/>
    <s v="Aug"/>
    <x v="31"/>
    <n v="16"/>
    <x v="1"/>
    <n v="20.58"/>
    <n v="26.59"/>
    <n v="8.43"/>
    <n v="0.22"/>
    <n v="55.6"/>
    <n v="55.82"/>
    <m/>
  </r>
  <r>
    <x v="60"/>
    <x v="5"/>
    <n v="2022"/>
    <n v="8"/>
    <s v="Aug"/>
    <x v="32"/>
    <n v="9"/>
    <x v="1"/>
    <n v="1587.81"/>
    <n v="2136.96"/>
    <n v="2008.59"/>
    <n v="1048.01"/>
    <n v="5733.36"/>
    <n v="6781.37"/>
    <m/>
  </r>
  <r>
    <x v="60"/>
    <x v="5"/>
    <n v="2022"/>
    <n v="8"/>
    <s v="Aug"/>
    <x v="33"/>
    <n v="5"/>
    <x v="1"/>
    <n v="223.87"/>
    <n v="335.35"/>
    <n v="527.01"/>
    <n v="7.98"/>
    <n v="1086.23"/>
    <n v="1094.21"/>
    <m/>
  </r>
  <r>
    <x v="60"/>
    <x v="5"/>
    <n v="2022"/>
    <n v="8"/>
    <s v="Aug"/>
    <x v="34"/>
    <n v="19"/>
    <x v="1"/>
    <n v="1500.93"/>
    <n v="1739.51"/>
    <n v="1089.3499999999999"/>
    <n v="269.75"/>
    <n v="4329.79"/>
    <n v="4599.54"/>
    <m/>
  </r>
  <r>
    <x v="61"/>
    <x v="5"/>
    <n v="2022"/>
    <n v="9"/>
    <s v="Sep"/>
    <x v="0"/>
    <n v="35"/>
    <x v="0"/>
    <n v="13.32"/>
    <n v="15.81"/>
    <n v="3.67"/>
    <n v="0.31"/>
    <n v="32.799999999999997"/>
    <n v="33.11"/>
    <m/>
  </r>
  <r>
    <x v="61"/>
    <x v="5"/>
    <n v="2022"/>
    <n v="9"/>
    <s v="Sep"/>
    <x v="1"/>
    <n v="28"/>
    <x v="1"/>
    <n v="758.91"/>
    <n v="987.76"/>
    <n v="1106.97"/>
    <n v="277.88"/>
    <n v="2853.64"/>
    <n v="3131.52"/>
    <m/>
  </r>
  <r>
    <x v="61"/>
    <x v="5"/>
    <n v="2022"/>
    <n v="9"/>
    <s v="Sep"/>
    <x v="2"/>
    <n v="12"/>
    <x v="1"/>
    <n v="21.55"/>
    <n v="32.549999999999997"/>
    <n v="9.6300000000000008"/>
    <n v="0.18"/>
    <n v="63.73"/>
    <n v="63.91"/>
    <m/>
  </r>
  <r>
    <x v="61"/>
    <x v="5"/>
    <n v="2022"/>
    <n v="9"/>
    <s v="Sep"/>
    <x v="3"/>
    <n v="18"/>
    <x v="1"/>
    <n v="334.97"/>
    <n v="424.41"/>
    <n v="362.08"/>
    <n v="35.369999999999997"/>
    <n v="1121.46"/>
    <n v="1156.83"/>
    <m/>
  </r>
  <r>
    <x v="61"/>
    <x v="5"/>
    <n v="2022"/>
    <n v="9"/>
    <s v="Sep"/>
    <x v="4"/>
    <n v="10"/>
    <x v="1"/>
    <n v="341.37"/>
    <n v="554.04999999999995"/>
    <n v="382.82"/>
    <n v="187.69"/>
    <n v="1278.24"/>
    <n v="1465.93"/>
    <m/>
  </r>
  <r>
    <x v="61"/>
    <x v="5"/>
    <n v="2022"/>
    <n v="9"/>
    <s v="Sep"/>
    <x v="5"/>
    <n v="4"/>
    <x v="0"/>
    <n v="42.38"/>
    <n v="56.07"/>
    <n v="106.61"/>
    <n v="1.01"/>
    <n v="205.06"/>
    <n v="206.07"/>
    <m/>
  </r>
  <r>
    <x v="61"/>
    <x v="5"/>
    <n v="2022"/>
    <n v="9"/>
    <s v="Sep"/>
    <x v="6"/>
    <n v="22"/>
    <x v="1"/>
    <n v="434.54"/>
    <n v="504.73"/>
    <n v="841.15"/>
    <n v="488.71"/>
    <n v="1780.42"/>
    <n v="2269.13"/>
    <m/>
  </r>
  <r>
    <x v="61"/>
    <x v="5"/>
    <n v="2022"/>
    <n v="9"/>
    <s v="Sep"/>
    <x v="7"/>
    <n v="38"/>
    <x v="0"/>
    <n v="38.68"/>
    <n v="47.51"/>
    <n v="225.28"/>
    <n v="0.48"/>
    <n v="311.47000000000003"/>
    <n v="311.95"/>
    <m/>
  </r>
  <r>
    <x v="61"/>
    <x v="5"/>
    <n v="2022"/>
    <n v="9"/>
    <s v="Sep"/>
    <x v="8"/>
    <n v="7"/>
    <x v="0"/>
    <n v="1031.6400000000001"/>
    <n v="1187.2"/>
    <n v="2447.73"/>
    <n v="74.8"/>
    <n v="4666.57"/>
    <n v="4741.37"/>
    <m/>
  </r>
  <r>
    <x v="61"/>
    <x v="5"/>
    <n v="2022"/>
    <n v="9"/>
    <s v="Sep"/>
    <x v="9"/>
    <n v="30"/>
    <x v="1"/>
    <n v="119.79"/>
    <n v="158.79"/>
    <n v="148.51"/>
    <n v="2.39"/>
    <n v="427.09"/>
    <n v="429.48"/>
    <m/>
  </r>
  <r>
    <x v="61"/>
    <x v="5"/>
    <n v="2022"/>
    <n v="9"/>
    <s v="Sep"/>
    <x v="10"/>
    <n v="24"/>
    <x v="1"/>
    <n v="2329.4"/>
    <n v="2808.04"/>
    <n v="3356.73"/>
    <n v="525.89"/>
    <n v="8494.17"/>
    <n v="9020.06"/>
    <m/>
  </r>
  <r>
    <x v="61"/>
    <x v="5"/>
    <n v="2022"/>
    <n v="9"/>
    <s v="Sep"/>
    <x v="11"/>
    <n v="6"/>
    <x v="1"/>
    <n v="1065.74"/>
    <n v="1383.34"/>
    <n v="4444.38"/>
    <n v="509.53"/>
    <n v="6893.46"/>
    <n v="7402.99"/>
    <m/>
  </r>
  <r>
    <x v="61"/>
    <x v="5"/>
    <n v="2022"/>
    <n v="9"/>
    <s v="Sep"/>
    <x v="12"/>
    <n v="2"/>
    <x v="1"/>
    <n v="127.55"/>
    <n v="183.09"/>
    <n v="400.85"/>
    <n v="0.99"/>
    <n v="711.49"/>
    <n v="712.48"/>
    <m/>
  </r>
  <r>
    <x v="61"/>
    <x v="5"/>
    <n v="2022"/>
    <n v="9"/>
    <s v="Sep"/>
    <x v="13"/>
    <n v="1"/>
    <x v="0"/>
    <n v="106.75"/>
    <n v="172.95"/>
    <n v="141.94999999999999"/>
    <n v="6.12"/>
    <n v="421.65"/>
    <n v="427.77"/>
    <m/>
  </r>
  <r>
    <x v="61"/>
    <x v="5"/>
    <n v="2022"/>
    <n v="9"/>
    <s v="Sep"/>
    <x v="14"/>
    <n v="20"/>
    <x v="1"/>
    <n v="442.79"/>
    <n v="580.78"/>
    <n v="1035.93"/>
    <n v="403.2"/>
    <n v="2059.5"/>
    <n v="2462.6999999999998"/>
    <m/>
  </r>
  <r>
    <x v="61"/>
    <x v="5"/>
    <n v="2022"/>
    <n v="9"/>
    <s v="Sep"/>
    <x v="15"/>
    <n v="29"/>
    <x v="1"/>
    <n v="2230.65"/>
    <n v="2778.74"/>
    <n v="3706.5"/>
    <n v="1044.58"/>
    <n v="8715.89"/>
    <n v="9760.4699999999993"/>
    <m/>
  </r>
  <r>
    <x v="61"/>
    <x v="5"/>
    <n v="2022"/>
    <n v="9"/>
    <s v="Sep"/>
    <x v="16"/>
    <n v="32"/>
    <x v="1"/>
    <n v="767.25"/>
    <n v="1015.12"/>
    <n v="460.25"/>
    <n v="3.35"/>
    <n v="2242.62"/>
    <n v="2245.9699999999998"/>
    <m/>
  </r>
  <r>
    <x v="61"/>
    <x v="5"/>
    <n v="2022"/>
    <n v="9"/>
    <s v="Sep"/>
    <x v="35"/>
    <n v="37"/>
    <x v="0"/>
    <n v="6.76"/>
    <n v="8.76"/>
    <n v="3.79"/>
    <n v="0"/>
    <n v="19.309999999999999"/>
    <n v="19.309999999999999"/>
    <m/>
  </r>
  <r>
    <x v="61"/>
    <x v="5"/>
    <n v="2022"/>
    <n v="9"/>
    <s v="Sep"/>
    <x v="17"/>
    <n v="31"/>
    <x v="0"/>
    <n v="1.4"/>
    <n v="1.41"/>
    <n v="0.11"/>
    <n v="0"/>
    <n v="2.92"/>
    <n v="2.92"/>
    <m/>
  </r>
  <r>
    <x v="61"/>
    <x v="5"/>
    <n v="2022"/>
    <n v="9"/>
    <s v="Sep"/>
    <x v="18"/>
    <n v="23"/>
    <x v="1"/>
    <n v="599.53"/>
    <n v="769.13"/>
    <n v="753.42"/>
    <n v="589.1"/>
    <n v="2122.08"/>
    <n v="2711.18"/>
    <m/>
  </r>
  <r>
    <x v="61"/>
    <x v="5"/>
    <n v="2022"/>
    <n v="9"/>
    <s v="Sep"/>
    <x v="19"/>
    <n v="27"/>
    <x v="1"/>
    <n v="5794.85"/>
    <n v="6803.36"/>
    <n v="7247.78"/>
    <n v="1556.84"/>
    <n v="19845.990000000002"/>
    <n v="21402.83"/>
    <m/>
  </r>
  <r>
    <x v="61"/>
    <x v="5"/>
    <n v="2022"/>
    <n v="9"/>
    <s v="Sep"/>
    <x v="20"/>
    <n v="14"/>
    <x v="1"/>
    <n v="14.24"/>
    <n v="18.940000000000001"/>
    <n v="5.26"/>
    <n v="0.03"/>
    <n v="38.44"/>
    <n v="38.47"/>
    <m/>
  </r>
  <r>
    <x v="61"/>
    <x v="5"/>
    <n v="2022"/>
    <n v="9"/>
    <s v="Sep"/>
    <x v="21"/>
    <n v="17"/>
    <x v="1"/>
    <n v="30.61"/>
    <n v="36.130000000000003"/>
    <n v="93.49"/>
    <n v="0.85"/>
    <n v="160.22999999999999"/>
    <n v="161.08000000000001"/>
    <m/>
  </r>
  <r>
    <x v="61"/>
    <x v="5"/>
    <n v="2022"/>
    <n v="9"/>
    <s v="Sep"/>
    <x v="22"/>
    <n v="15"/>
    <x v="1"/>
    <n v="9.1300000000000008"/>
    <n v="12"/>
    <n v="2.76"/>
    <n v="0.04"/>
    <n v="23.89"/>
    <n v="23.93"/>
    <m/>
  </r>
  <r>
    <x v="61"/>
    <x v="5"/>
    <n v="2022"/>
    <n v="9"/>
    <s v="Sep"/>
    <x v="23"/>
    <n v="13"/>
    <x v="1"/>
    <n v="17.3"/>
    <n v="21.17"/>
    <n v="7.96"/>
    <n v="2.68"/>
    <n v="46.43"/>
    <n v="49.11"/>
    <m/>
  </r>
  <r>
    <x v="61"/>
    <x v="5"/>
    <n v="2022"/>
    <n v="9"/>
    <s v="Sep"/>
    <x v="24"/>
    <n v="21"/>
    <x v="1"/>
    <n v="770.86"/>
    <n v="938.18"/>
    <n v="1337.61"/>
    <n v="718.52"/>
    <n v="3046.65"/>
    <n v="3765.17"/>
    <m/>
  </r>
  <r>
    <x v="61"/>
    <x v="5"/>
    <n v="2022"/>
    <n v="9"/>
    <s v="Sep"/>
    <x v="25"/>
    <n v="34"/>
    <x v="0"/>
    <n v="25.7"/>
    <n v="39.69"/>
    <n v="122.22"/>
    <n v="0.82"/>
    <n v="187.61"/>
    <n v="188.43"/>
    <m/>
  </r>
  <r>
    <x v="61"/>
    <x v="5"/>
    <n v="2022"/>
    <n v="9"/>
    <s v="Sep"/>
    <x v="26"/>
    <n v="3"/>
    <x v="1"/>
    <n v="392.67"/>
    <n v="597.88"/>
    <n v="691.23"/>
    <n v="28.31"/>
    <n v="1681.78"/>
    <n v="1710.09"/>
    <m/>
  </r>
  <r>
    <x v="61"/>
    <x v="5"/>
    <n v="2022"/>
    <n v="9"/>
    <s v="Sep"/>
    <x v="27"/>
    <n v="8"/>
    <x v="1"/>
    <n v="861.06"/>
    <n v="1141.3599999999999"/>
    <n v="1189.6600000000001"/>
    <n v="114.44"/>
    <n v="3192.08"/>
    <n v="3306.52"/>
    <m/>
  </r>
  <r>
    <x v="61"/>
    <x v="5"/>
    <n v="2022"/>
    <n v="9"/>
    <s v="Sep"/>
    <x v="28"/>
    <n v="11"/>
    <x v="1"/>
    <n v="14.68"/>
    <n v="20.5"/>
    <n v="249.51"/>
    <n v="0.05"/>
    <n v="284.69"/>
    <n v="284.74"/>
    <m/>
  </r>
  <r>
    <x v="61"/>
    <x v="5"/>
    <n v="2022"/>
    <n v="9"/>
    <s v="Sep"/>
    <x v="29"/>
    <n v="33"/>
    <x v="1"/>
    <n v="2251.2199999999998"/>
    <n v="2965.31"/>
    <n v="2782.02"/>
    <n v="638.16"/>
    <n v="7998.55"/>
    <n v="8636.7099999999991"/>
    <m/>
  </r>
  <r>
    <x v="61"/>
    <x v="5"/>
    <n v="2022"/>
    <n v="9"/>
    <s v="Sep"/>
    <x v="30"/>
    <n v="36"/>
    <x v="1"/>
    <n v="975.62"/>
    <n v="1289.17"/>
    <n v="1139.9000000000001"/>
    <n v="510.06"/>
    <n v="3404.69"/>
    <n v="3914.75"/>
    <m/>
  </r>
  <r>
    <x v="61"/>
    <x v="5"/>
    <n v="2022"/>
    <n v="9"/>
    <s v="Sep"/>
    <x v="31"/>
    <n v="16"/>
    <x v="1"/>
    <n v="24.12"/>
    <n v="31.5"/>
    <n v="8.93"/>
    <n v="0.22"/>
    <n v="64.55"/>
    <n v="64.77"/>
    <m/>
  </r>
  <r>
    <x v="61"/>
    <x v="5"/>
    <n v="2022"/>
    <n v="9"/>
    <s v="Sep"/>
    <x v="32"/>
    <n v="9"/>
    <x v="1"/>
    <n v="1539.94"/>
    <n v="2073.87"/>
    <n v="2222.7399999999998"/>
    <n v="1167.77"/>
    <n v="5836.55"/>
    <n v="7004.32"/>
    <m/>
  </r>
  <r>
    <x v="61"/>
    <x v="5"/>
    <n v="2022"/>
    <n v="9"/>
    <s v="Sep"/>
    <x v="33"/>
    <n v="5"/>
    <x v="1"/>
    <n v="237.84"/>
    <n v="362.87"/>
    <n v="688.88"/>
    <n v="10.78"/>
    <n v="1289.5899999999999"/>
    <n v="1300.3699999999999"/>
    <m/>
  </r>
  <r>
    <x v="61"/>
    <x v="5"/>
    <n v="2022"/>
    <n v="9"/>
    <s v="Sep"/>
    <x v="34"/>
    <n v="19"/>
    <x v="1"/>
    <n v="1488.67"/>
    <n v="1778.42"/>
    <n v="1156.8499999999999"/>
    <n v="380.39"/>
    <n v="4423.9399999999996"/>
    <n v="4804.33"/>
    <m/>
  </r>
  <r>
    <x v="62"/>
    <x v="5"/>
    <n v="2022"/>
    <n v="10"/>
    <s v="Oct"/>
    <x v="0"/>
    <n v="35"/>
    <x v="0"/>
    <n v="7.9"/>
    <n v="11.05"/>
    <n v="4.45"/>
    <n v="0.01"/>
    <n v="23.4"/>
    <n v="23.41"/>
    <m/>
  </r>
  <r>
    <x v="62"/>
    <x v="5"/>
    <n v="2022"/>
    <n v="10"/>
    <s v="Oct"/>
    <x v="1"/>
    <n v="28"/>
    <x v="1"/>
    <n v="793.83"/>
    <n v="1049.08"/>
    <n v="1421.34"/>
    <n v="315.04000000000002"/>
    <n v="3264.25"/>
    <n v="3579.29"/>
    <m/>
  </r>
  <r>
    <x v="62"/>
    <x v="5"/>
    <n v="2022"/>
    <n v="10"/>
    <s v="Oct"/>
    <x v="2"/>
    <n v="12"/>
    <x v="1"/>
    <n v="22.76"/>
    <n v="29.28"/>
    <n v="12.57"/>
    <n v="0.22"/>
    <n v="64.61"/>
    <n v="64.83"/>
    <m/>
  </r>
  <r>
    <x v="62"/>
    <x v="5"/>
    <n v="2022"/>
    <n v="10"/>
    <s v="Oct"/>
    <x v="3"/>
    <n v="18"/>
    <x v="1"/>
    <n v="323.26"/>
    <n v="424.73"/>
    <n v="425.01"/>
    <n v="70.95"/>
    <n v="1173"/>
    <n v="1243.95"/>
    <m/>
  </r>
  <r>
    <x v="62"/>
    <x v="5"/>
    <n v="2022"/>
    <n v="10"/>
    <s v="Oct"/>
    <x v="4"/>
    <n v="10"/>
    <x v="1"/>
    <n v="328.06"/>
    <n v="542.11"/>
    <n v="302.52"/>
    <n v="171.48"/>
    <n v="1172.69"/>
    <n v="1344.17"/>
    <m/>
  </r>
  <r>
    <x v="62"/>
    <x v="5"/>
    <n v="2022"/>
    <n v="10"/>
    <s v="Oct"/>
    <x v="5"/>
    <n v="4"/>
    <x v="0"/>
    <n v="40.28"/>
    <n v="51.2"/>
    <n v="109.59"/>
    <n v="1.43"/>
    <n v="201.07"/>
    <n v="202.5"/>
    <m/>
  </r>
  <r>
    <x v="62"/>
    <x v="5"/>
    <n v="2022"/>
    <n v="10"/>
    <s v="Oct"/>
    <x v="6"/>
    <n v="22"/>
    <x v="1"/>
    <n v="478.98"/>
    <n v="565.20000000000005"/>
    <n v="834.59"/>
    <n v="449.61"/>
    <n v="1878.77"/>
    <n v="2328.38"/>
    <m/>
  </r>
  <r>
    <x v="62"/>
    <x v="5"/>
    <n v="2022"/>
    <n v="10"/>
    <s v="Oct"/>
    <x v="7"/>
    <n v="38"/>
    <x v="0"/>
    <n v="37.65"/>
    <n v="50.88"/>
    <n v="190.11"/>
    <n v="0.26"/>
    <n v="278.64"/>
    <n v="278.89999999999998"/>
    <m/>
  </r>
  <r>
    <x v="62"/>
    <x v="5"/>
    <n v="2022"/>
    <n v="10"/>
    <s v="Oct"/>
    <x v="8"/>
    <n v="7"/>
    <x v="0"/>
    <n v="920.54"/>
    <n v="1127.58"/>
    <n v="2537.85"/>
    <n v="84.47"/>
    <n v="4585.97"/>
    <n v="4670.4399999999996"/>
    <m/>
  </r>
  <r>
    <x v="62"/>
    <x v="5"/>
    <n v="2022"/>
    <n v="10"/>
    <s v="Oct"/>
    <x v="9"/>
    <n v="30"/>
    <x v="1"/>
    <n v="112.31"/>
    <n v="154.31"/>
    <n v="149.6"/>
    <n v="3.34"/>
    <n v="416.22"/>
    <n v="419.56"/>
    <m/>
  </r>
  <r>
    <x v="62"/>
    <x v="5"/>
    <n v="2022"/>
    <n v="10"/>
    <s v="Oct"/>
    <x v="10"/>
    <n v="24"/>
    <x v="1"/>
    <n v="2451.3200000000002"/>
    <n v="3015.26"/>
    <n v="3461.02"/>
    <n v="541.47"/>
    <n v="8927.6"/>
    <n v="9469.07"/>
    <m/>
  </r>
  <r>
    <x v="62"/>
    <x v="5"/>
    <n v="2022"/>
    <n v="10"/>
    <s v="Oct"/>
    <x v="11"/>
    <n v="6"/>
    <x v="1"/>
    <n v="1190.42"/>
    <n v="1611.92"/>
    <n v="4332.7"/>
    <n v="526.53"/>
    <n v="7135.04"/>
    <n v="7661.57"/>
    <m/>
  </r>
  <r>
    <x v="62"/>
    <x v="5"/>
    <n v="2022"/>
    <n v="10"/>
    <s v="Oct"/>
    <x v="12"/>
    <n v="2"/>
    <x v="1"/>
    <n v="133"/>
    <n v="190.77"/>
    <n v="457.53"/>
    <n v="2.74"/>
    <n v="781.3"/>
    <n v="784.04"/>
    <m/>
  </r>
  <r>
    <x v="62"/>
    <x v="5"/>
    <n v="2022"/>
    <n v="10"/>
    <s v="Oct"/>
    <x v="13"/>
    <n v="1"/>
    <x v="0"/>
    <n v="114.89"/>
    <n v="179.99"/>
    <n v="126.07"/>
    <n v="4.3600000000000003"/>
    <n v="420.95"/>
    <n v="425.31"/>
    <m/>
  </r>
  <r>
    <x v="62"/>
    <x v="5"/>
    <n v="2022"/>
    <n v="10"/>
    <s v="Oct"/>
    <x v="14"/>
    <n v="20"/>
    <x v="1"/>
    <n v="507.23"/>
    <n v="668.79"/>
    <n v="942.51"/>
    <n v="381.3"/>
    <n v="2118.5300000000002"/>
    <n v="2499.83"/>
    <m/>
  </r>
  <r>
    <x v="62"/>
    <x v="5"/>
    <n v="2022"/>
    <n v="10"/>
    <s v="Oct"/>
    <x v="15"/>
    <n v="29"/>
    <x v="1"/>
    <n v="2342.9"/>
    <n v="2968.77"/>
    <n v="4453.47"/>
    <n v="1231.2"/>
    <n v="9765.14"/>
    <n v="10996.34"/>
    <m/>
  </r>
  <r>
    <x v="62"/>
    <x v="5"/>
    <n v="2022"/>
    <n v="10"/>
    <s v="Oct"/>
    <x v="16"/>
    <n v="32"/>
    <x v="1"/>
    <n v="777.96"/>
    <n v="1002.27"/>
    <n v="695.68"/>
    <n v="9.17"/>
    <n v="2475.91"/>
    <n v="2485.08"/>
    <m/>
  </r>
  <r>
    <x v="62"/>
    <x v="5"/>
    <n v="2022"/>
    <n v="10"/>
    <s v="Oct"/>
    <x v="35"/>
    <n v="37"/>
    <x v="0"/>
    <n v="11.25"/>
    <n v="18.27"/>
    <n v="3.82"/>
    <n v="0.11"/>
    <n v="33.340000000000003"/>
    <n v="33.450000000000003"/>
    <m/>
  </r>
  <r>
    <x v="62"/>
    <x v="5"/>
    <n v="2022"/>
    <n v="10"/>
    <s v="Oct"/>
    <x v="17"/>
    <n v="31"/>
    <x v="0"/>
    <n v="0.47"/>
    <n v="1.03"/>
    <n v="0.85"/>
    <n v="0"/>
    <n v="2.35"/>
    <n v="2.35"/>
    <m/>
  </r>
  <r>
    <x v="62"/>
    <x v="5"/>
    <n v="2022"/>
    <n v="10"/>
    <s v="Oct"/>
    <x v="18"/>
    <n v="23"/>
    <x v="1"/>
    <n v="634.98"/>
    <n v="840.68"/>
    <n v="900.19"/>
    <n v="544.34"/>
    <n v="2375.85"/>
    <n v="2920.19"/>
    <m/>
  </r>
  <r>
    <x v="62"/>
    <x v="5"/>
    <n v="2022"/>
    <n v="10"/>
    <s v="Oct"/>
    <x v="19"/>
    <n v="27"/>
    <x v="1"/>
    <n v="5761.79"/>
    <n v="6827.22"/>
    <n v="8805.3799999999992"/>
    <n v="1642.86"/>
    <n v="21394.39"/>
    <n v="23037.25"/>
    <m/>
  </r>
  <r>
    <x v="62"/>
    <x v="5"/>
    <n v="2022"/>
    <n v="10"/>
    <s v="Oct"/>
    <x v="20"/>
    <n v="14"/>
    <x v="1"/>
    <n v="18.559999999999999"/>
    <n v="23.33"/>
    <n v="7.47"/>
    <n v="0.14000000000000001"/>
    <n v="49.36"/>
    <n v="49.5"/>
    <m/>
  </r>
  <r>
    <x v="62"/>
    <x v="5"/>
    <n v="2022"/>
    <n v="10"/>
    <s v="Oct"/>
    <x v="21"/>
    <n v="17"/>
    <x v="1"/>
    <n v="34.54"/>
    <n v="38.28"/>
    <n v="89.59"/>
    <n v="1.46"/>
    <n v="162.41"/>
    <n v="163.87"/>
    <m/>
  </r>
  <r>
    <x v="62"/>
    <x v="5"/>
    <n v="2022"/>
    <n v="10"/>
    <s v="Oct"/>
    <x v="22"/>
    <n v="15"/>
    <x v="1"/>
    <n v="8.58"/>
    <n v="11.88"/>
    <n v="3.99"/>
    <n v="0.02"/>
    <n v="24.45"/>
    <n v="24.47"/>
    <m/>
  </r>
  <r>
    <x v="62"/>
    <x v="5"/>
    <n v="2022"/>
    <n v="10"/>
    <s v="Oct"/>
    <x v="23"/>
    <n v="13"/>
    <x v="1"/>
    <n v="14.2"/>
    <n v="16.27"/>
    <n v="11.44"/>
    <n v="1.36"/>
    <n v="41.91"/>
    <n v="43.27"/>
    <m/>
  </r>
  <r>
    <x v="62"/>
    <x v="5"/>
    <n v="2022"/>
    <n v="10"/>
    <s v="Oct"/>
    <x v="24"/>
    <n v="21"/>
    <x v="1"/>
    <n v="856.48"/>
    <n v="1058.48"/>
    <n v="1139.5899999999999"/>
    <n v="714.89"/>
    <n v="3054.55"/>
    <n v="3769.44"/>
    <m/>
  </r>
  <r>
    <x v="62"/>
    <x v="5"/>
    <n v="2022"/>
    <n v="10"/>
    <s v="Oct"/>
    <x v="25"/>
    <n v="34"/>
    <x v="0"/>
    <n v="25.38"/>
    <n v="38.32"/>
    <n v="139.38"/>
    <n v="0.63"/>
    <n v="203.08"/>
    <n v="203.71"/>
    <m/>
  </r>
  <r>
    <x v="62"/>
    <x v="5"/>
    <n v="2022"/>
    <n v="10"/>
    <s v="Oct"/>
    <x v="26"/>
    <n v="3"/>
    <x v="1"/>
    <n v="405.42"/>
    <n v="610.62"/>
    <n v="714.47"/>
    <n v="29.3"/>
    <n v="1730.51"/>
    <n v="1759.81"/>
    <m/>
  </r>
  <r>
    <x v="62"/>
    <x v="5"/>
    <n v="2022"/>
    <n v="10"/>
    <s v="Oct"/>
    <x v="27"/>
    <n v="8"/>
    <x v="1"/>
    <n v="915.86"/>
    <n v="1235.1199999999999"/>
    <n v="1493.92"/>
    <n v="116.13"/>
    <n v="3644.9"/>
    <n v="3761.03"/>
    <m/>
  </r>
  <r>
    <x v="62"/>
    <x v="5"/>
    <n v="2022"/>
    <n v="10"/>
    <s v="Oct"/>
    <x v="28"/>
    <n v="11"/>
    <x v="1"/>
    <n v="21.56"/>
    <n v="26.35"/>
    <n v="217.27"/>
    <n v="0.02"/>
    <n v="265.18"/>
    <n v="265.2"/>
    <m/>
  </r>
  <r>
    <x v="62"/>
    <x v="5"/>
    <n v="2022"/>
    <n v="10"/>
    <s v="Oct"/>
    <x v="29"/>
    <n v="33"/>
    <x v="1"/>
    <n v="2328.64"/>
    <n v="3124.26"/>
    <n v="3366.18"/>
    <n v="720.62"/>
    <n v="8819.08"/>
    <n v="9539.7000000000007"/>
    <m/>
  </r>
  <r>
    <x v="62"/>
    <x v="5"/>
    <n v="2022"/>
    <n v="10"/>
    <s v="Oct"/>
    <x v="30"/>
    <n v="36"/>
    <x v="1"/>
    <n v="990.42"/>
    <n v="1353.92"/>
    <n v="1413.3"/>
    <n v="526.39"/>
    <n v="3757.64"/>
    <n v="4284.03"/>
    <m/>
  </r>
  <r>
    <x v="62"/>
    <x v="5"/>
    <n v="2022"/>
    <n v="10"/>
    <s v="Oct"/>
    <x v="31"/>
    <n v="16"/>
    <x v="1"/>
    <n v="27.66"/>
    <n v="36.06"/>
    <n v="12.05"/>
    <n v="0.45"/>
    <n v="75.77"/>
    <n v="76.22"/>
    <m/>
  </r>
  <r>
    <x v="62"/>
    <x v="5"/>
    <n v="2022"/>
    <n v="10"/>
    <s v="Oct"/>
    <x v="32"/>
    <n v="9"/>
    <x v="1"/>
    <n v="1530.5"/>
    <n v="2136.75"/>
    <n v="2944.71"/>
    <n v="1226.76"/>
    <n v="6611.96"/>
    <n v="7838.72"/>
    <m/>
  </r>
  <r>
    <x v="62"/>
    <x v="5"/>
    <n v="2022"/>
    <n v="10"/>
    <s v="Oct"/>
    <x v="33"/>
    <n v="5"/>
    <x v="1"/>
    <n v="280.58999999999997"/>
    <n v="404.58"/>
    <n v="918.38"/>
    <n v="9.06"/>
    <n v="1603.55"/>
    <n v="1612.61"/>
    <m/>
  </r>
  <r>
    <x v="62"/>
    <x v="5"/>
    <n v="2022"/>
    <n v="10"/>
    <s v="Oct"/>
    <x v="34"/>
    <n v="19"/>
    <x v="1"/>
    <n v="1575.46"/>
    <n v="1931.53"/>
    <n v="1507.6"/>
    <n v="352.11"/>
    <n v="5014.59"/>
    <n v="5366.7"/>
    <m/>
  </r>
  <r>
    <x v="63"/>
    <x v="5"/>
    <n v="2022"/>
    <n v="11"/>
    <s v="Nov"/>
    <x v="0"/>
    <n v="35"/>
    <x v="0"/>
    <n v="8.1199999999999992"/>
    <n v="10.54"/>
    <n v="3.89"/>
    <n v="0.03"/>
    <n v="22.55"/>
    <n v="22.58"/>
    <m/>
  </r>
  <r>
    <x v="63"/>
    <x v="5"/>
    <n v="2022"/>
    <n v="11"/>
    <s v="Nov"/>
    <x v="1"/>
    <n v="28"/>
    <x v="1"/>
    <n v="741.27"/>
    <n v="978.05"/>
    <n v="1127.1199999999999"/>
    <n v="287.11"/>
    <n v="2846.44"/>
    <n v="3133.55"/>
    <m/>
  </r>
  <r>
    <x v="63"/>
    <x v="5"/>
    <n v="2022"/>
    <n v="11"/>
    <s v="Nov"/>
    <x v="2"/>
    <n v="12"/>
    <x v="1"/>
    <n v="22.34"/>
    <n v="29.12"/>
    <n v="10.81"/>
    <n v="0.13"/>
    <n v="62.27"/>
    <n v="62.4"/>
    <m/>
  </r>
  <r>
    <x v="63"/>
    <x v="5"/>
    <n v="2022"/>
    <n v="11"/>
    <s v="Nov"/>
    <x v="3"/>
    <n v="18"/>
    <x v="1"/>
    <n v="302.45999999999998"/>
    <n v="391.7"/>
    <n v="343.61"/>
    <n v="42.72"/>
    <n v="1037.77"/>
    <n v="1080.49"/>
    <m/>
  </r>
  <r>
    <x v="63"/>
    <x v="5"/>
    <n v="2022"/>
    <n v="11"/>
    <s v="Nov"/>
    <x v="4"/>
    <n v="10"/>
    <x v="1"/>
    <n v="378.25"/>
    <n v="605.03"/>
    <n v="163.53"/>
    <n v="169.78"/>
    <n v="1146.81"/>
    <n v="1316.59"/>
    <m/>
  </r>
  <r>
    <x v="63"/>
    <x v="5"/>
    <n v="2022"/>
    <n v="11"/>
    <s v="Nov"/>
    <x v="5"/>
    <n v="4"/>
    <x v="0"/>
    <n v="35.03"/>
    <n v="49.97"/>
    <n v="89.35"/>
    <n v="0.8"/>
    <n v="174.35"/>
    <n v="175.15"/>
    <m/>
  </r>
  <r>
    <x v="63"/>
    <x v="5"/>
    <n v="2022"/>
    <n v="11"/>
    <s v="Nov"/>
    <x v="6"/>
    <n v="22"/>
    <x v="1"/>
    <n v="462.02"/>
    <n v="552.64"/>
    <n v="910.16"/>
    <n v="523.65"/>
    <n v="1924.82"/>
    <n v="2448.4699999999998"/>
    <m/>
  </r>
  <r>
    <x v="63"/>
    <x v="5"/>
    <n v="2022"/>
    <n v="11"/>
    <s v="Nov"/>
    <x v="7"/>
    <n v="38"/>
    <x v="0"/>
    <n v="36.130000000000003"/>
    <n v="46.26"/>
    <n v="221.22"/>
    <n v="0.93"/>
    <n v="303.61"/>
    <n v="304.54000000000002"/>
    <m/>
  </r>
  <r>
    <x v="63"/>
    <x v="5"/>
    <n v="2022"/>
    <n v="11"/>
    <s v="Nov"/>
    <x v="8"/>
    <n v="7"/>
    <x v="0"/>
    <n v="930.95"/>
    <n v="1127.43"/>
    <n v="2429.5300000000002"/>
    <n v="77.66"/>
    <n v="4487.91"/>
    <n v="4565.57"/>
    <m/>
  </r>
  <r>
    <x v="63"/>
    <x v="5"/>
    <n v="2022"/>
    <n v="11"/>
    <s v="Nov"/>
    <x v="9"/>
    <n v="30"/>
    <x v="1"/>
    <n v="120.32"/>
    <n v="160.91999999999999"/>
    <n v="163.37"/>
    <n v="2.73"/>
    <n v="444.61"/>
    <n v="447.34"/>
    <m/>
  </r>
  <r>
    <x v="63"/>
    <x v="5"/>
    <n v="2022"/>
    <n v="11"/>
    <s v="Nov"/>
    <x v="10"/>
    <n v="24"/>
    <x v="1"/>
    <n v="2583.1"/>
    <n v="3109.07"/>
    <n v="3056.62"/>
    <n v="584.61"/>
    <n v="8748.7900000000009"/>
    <n v="9333.4"/>
    <m/>
  </r>
  <r>
    <x v="63"/>
    <x v="5"/>
    <n v="2022"/>
    <n v="11"/>
    <s v="Nov"/>
    <x v="11"/>
    <n v="6"/>
    <x v="1"/>
    <n v="1045.69"/>
    <n v="1395.03"/>
    <n v="3880.31"/>
    <n v="448.2"/>
    <n v="6321.03"/>
    <n v="6769.23"/>
    <m/>
  </r>
  <r>
    <x v="63"/>
    <x v="5"/>
    <n v="2022"/>
    <n v="11"/>
    <s v="Nov"/>
    <x v="12"/>
    <n v="2"/>
    <x v="1"/>
    <n v="141.84"/>
    <n v="206.79"/>
    <n v="322.52"/>
    <n v="1.22"/>
    <n v="671.15"/>
    <n v="672.37"/>
    <m/>
  </r>
  <r>
    <x v="63"/>
    <x v="5"/>
    <n v="2022"/>
    <n v="11"/>
    <s v="Nov"/>
    <x v="13"/>
    <n v="1"/>
    <x v="0"/>
    <n v="129.44999999999999"/>
    <n v="194.92"/>
    <n v="102.13"/>
    <n v="3.07"/>
    <n v="426.5"/>
    <n v="429.57"/>
    <m/>
  </r>
  <r>
    <x v="63"/>
    <x v="5"/>
    <n v="2022"/>
    <n v="11"/>
    <s v="Nov"/>
    <x v="14"/>
    <n v="20"/>
    <x v="1"/>
    <n v="442.81"/>
    <n v="617.62"/>
    <n v="1064.19"/>
    <n v="426.19"/>
    <n v="2124.62"/>
    <n v="2550.81"/>
    <m/>
  </r>
  <r>
    <x v="63"/>
    <x v="5"/>
    <n v="2022"/>
    <n v="11"/>
    <s v="Nov"/>
    <x v="15"/>
    <n v="29"/>
    <x v="1"/>
    <n v="2241.31"/>
    <n v="2861.04"/>
    <n v="3958.75"/>
    <n v="1177.3599999999999"/>
    <n v="9061.1"/>
    <n v="10238.459999999999"/>
    <m/>
  </r>
  <r>
    <x v="63"/>
    <x v="5"/>
    <n v="2022"/>
    <n v="11"/>
    <s v="Nov"/>
    <x v="16"/>
    <n v="32"/>
    <x v="1"/>
    <n v="761.22"/>
    <n v="989.25"/>
    <n v="337.56"/>
    <n v="6.05"/>
    <n v="2088.0300000000002"/>
    <n v="2094.08"/>
    <m/>
  </r>
  <r>
    <x v="63"/>
    <x v="5"/>
    <n v="2022"/>
    <n v="11"/>
    <s v="Nov"/>
    <x v="35"/>
    <n v="37"/>
    <x v="0"/>
    <n v="17.84"/>
    <n v="29.26"/>
    <n v="2.76"/>
    <n v="0.09"/>
    <n v="49.86"/>
    <n v="49.95"/>
    <m/>
  </r>
  <r>
    <x v="63"/>
    <x v="5"/>
    <n v="2022"/>
    <n v="11"/>
    <s v="Nov"/>
    <x v="17"/>
    <n v="31"/>
    <x v="0"/>
    <n v="0.13"/>
    <n v="0.18"/>
    <n v="0.17"/>
    <n v="0"/>
    <n v="0.48"/>
    <n v="0.48"/>
    <m/>
  </r>
  <r>
    <x v="63"/>
    <x v="5"/>
    <n v="2022"/>
    <n v="11"/>
    <s v="Nov"/>
    <x v="18"/>
    <n v="23"/>
    <x v="1"/>
    <n v="706.66"/>
    <n v="916.86"/>
    <n v="707.39"/>
    <n v="558.80999999999995"/>
    <n v="2330.91"/>
    <n v="2889.72"/>
    <m/>
  </r>
  <r>
    <x v="63"/>
    <x v="5"/>
    <n v="2022"/>
    <n v="11"/>
    <s v="Nov"/>
    <x v="19"/>
    <n v="27"/>
    <x v="1"/>
    <n v="5828.63"/>
    <n v="6780.17"/>
    <n v="7289.38"/>
    <n v="1712.33"/>
    <n v="19898.18"/>
    <n v="21610.51"/>
    <m/>
  </r>
  <r>
    <x v="63"/>
    <x v="5"/>
    <n v="2022"/>
    <n v="11"/>
    <s v="Nov"/>
    <x v="20"/>
    <n v="14"/>
    <x v="1"/>
    <n v="16.760000000000002"/>
    <n v="24.6"/>
    <n v="9.0399999999999991"/>
    <n v="0.04"/>
    <n v="50.4"/>
    <n v="50.44"/>
    <m/>
  </r>
  <r>
    <x v="63"/>
    <x v="5"/>
    <n v="2022"/>
    <n v="11"/>
    <s v="Nov"/>
    <x v="21"/>
    <n v="17"/>
    <x v="1"/>
    <n v="27.44"/>
    <n v="33.28"/>
    <n v="100.03"/>
    <n v="1.05"/>
    <n v="160.75"/>
    <n v="161.80000000000001"/>
    <m/>
  </r>
  <r>
    <x v="63"/>
    <x v="5"/>
    <n v="2022"/>
    <n v="11"/>
    <s v="Nov"/>
    <x v="22"/>
    <n v="15"/>
    <x v="1"/>
    <n v="8.35"/>
    <n v="12.11"/>
    <n v="3.32"/>
    <n v="0.01"/>
    <n v="23.78"/>
    <n v="23.79"/>
    <m/>
  </r>
  <r>
    <x v="63"/>
    <x v="5"/>
    <n v="2022"/>
    <n v="11"/>
    <s v="Nov"/>
    <x v="23"/>
    <n v="13"/>
    <x v="1"/>
    <n v="10.3"/>
    <n v="13.27"/>
    <n v="8.08"/>
    <n v="1.85"/>
    <n v="31.65"/>
    <n v="33.5"/>
    <m/>
  </r>
  <r>
    <x v="63"/>
    <x v="5"/>
    <n v="2022"/>
    <n v="11"/>
    <s v="Nov"/>
    <x v="24"/>
    <n v="21"/>
    <x v="1"/>
    <n v="845.79"/>
    <n v="1014.82"/>
    <n v="1577.15"/>
    <n v="724.5"/>
    <n v="3437.76"/>
    <n v="4162.26"/>
    <m/>
  </r>
  <r>
    <x v="63"/>
    <x v="5"/>
    <n v="2022"/>
    <n v="11"/>
    <s v="Nov"/>
    <x v="25"/>
    <n v="34"/>
    <x v="0"/>
    <n v="24.05"/>
    <n v="37.590000000000003"/>
    <n v="147.29"/>
    <n v="0.43"/>
    <n v="208.93"/>
    <n v="209.36"/>
    <m/>
  </r>
  <r>
    <x v="63"/>
    <x v="5"/>
    <n v="2022"/>
    <n v="11"/>
    <s v="Nov"/>
    <x v="26"/>
    <n v="3"/>
    <x v="1"/>
    <n v="394.48"/>
    <n v="645.91"/>
    <n v="610.61"/>
    <n v="18.23"/>
    <n v="1651"/>
    <n v="1669.23"/>
    <m/>
  </r>
  <r>
    <x v="63"/>
    <x v="5"/>
    <n v="2022"/>
    <n v="11"/>
    <s v="Nov"/>
    <x v="27"/>
    <n v="8"/>
    <x v="1"/>
    <n v="996.05"/>
    <n v="1314.23"/>
    <n v="1183.48"/>
    <n v="124.68"/>
    <n v="3493.76"/>
    <n v="3618.44"/>
    <m/>
  </r>
  <r>
    <x v="63"/>
    <x v="5"/>
    <n v="2022"/>
    <n v="11"/>
    <s v="Nov"/>
    <x v="28"/>
    <n v="11"/>
    <x v="1"/>
    <n v="17.8"/>
    <n v="22.7"/>
    <n v="168.79"/>
    <n v="0.13"/>
    <n v="209.29"/>
    <n v="209.42"/>
    <m/>
  </r>
  <r>
    <x v="63"/>
    <x v="5"/>
    <n v="2022"/>
    <n v="11"/>
    <s v="Nov"/>
    <x v="29"/>
    <n v="33"/>
    <x v="1"/>
    <n v="2252.19"/>
    <n v="2966.23"/>
    <n v="2655.55"/>
    <n v="677.47"/>
    <n v="7873.97"/>
    <n v="8551.44"/>
    <m/>
  </r>
  <r>
    <x v="63"/>
    <x v="5"/>
    <n v="2022"/>
    <n v="11"/>
    <s v="Nov"/>
    <x v="30"/>
    <n v="36"/>
    <x v="1"/>
    <n v="1030.5999999999999"/>
    <n v="1388.3"/>
    <n v="1286.5999999999999"/>
    <n v="522.54"/>
    <n v="3705.5"/>
    <n v="4228.04"/>
    <m/>
  </r>
  <r>
    <x v="63"/>
    <x v="5"/>
    <n v="2022"/>
    <n v="11"/>
    <s v="Nov"/>
    <x v="31"/>
    <n v="16"/>
    <x v="1"/>
    <n v="22.64"/>
    <n v="29.59"/>
    <n v="7.11"/>
    <n v="0.27"/>
    <n v="59.34"/>
    <n v="59.61"/>
    <m/>
  </r>
  <r>
    <x v="63"/>
    <x v="5"/>
    <n v="2022"/>
    <n v="11"/>
    <s v="Nov"/>
    <x v="32"/>
    <n v="9"/>
    <x v="1"/>
    <n v="1533.66"/>
    <n v="2076.16"/>
    <n v="2444.21"/>
    <n v="1200.45"/>
    <n v="6054.03"/>
    <n v="7254.48"/>
    <m/>
  </r>
  <r>
    <x v="63"/>
    <x v="5"/>
    <n v="2022"/>
    <n v="11"/>
    <s v="Nov"/>
    <x v="33"/>
    <n v="5"/>
    <x v="1"/>
    <n v="243.52"/>
    <n v="387.54"/>
    <n v="639.08000000000004"/>
    <n v="9.89"/>
    <n v="1270.1400000000001"/>
    <n v="1280.03"/>
    <m/>
  </r>
  <r>
    <x v="63"/>
    <x v="5"/>
    <n v="2022"/>
    <n v="11"/>
    <s v="Nov"/>
    <x v="34"/>
    <n v="19"/>
    <x v="1"/>
    <n v="1312.8"/>
    <n v="1615.48"/>
    <n v="1132.22"/>
    <n v="310.95999999999998"/>
    <n v="4060.5"/>
    <n v="4371.46"/>
    <m/>
  </r>
  <r>
    <x v="64"/>
    <x v="5"/>
    <n v="2022"/>
    <n v="12"/>
    <s v="Dec"/>
    <x v="0"/>
    <n v="35"/>
    <x v="0"/>
    <n v="7.23"/>
    <n v="10.66"/>
    <n v="3.08"/>
    <n v="7.0000000000000007E-2"/>
    <n v="20.97"/>
    <n v="21.04"/>
    <m/>
  </r>
  <r>
    <x v="64"/>
    <x v="5"/>
    <n v="2022"/>
    <n v="12"/>
    <s v="Dec"/>
    <x v="1"/>
    <n v="28"/>
    <x v="1"/>
    <n v="756.99"/>
    <n v="972.23"/>
    <n v="1162.8599999999999"/>
    <n v="290.33"/>
    <n v="2892.08"/>
    <n v="3182.41"/>
    <m/>
  </r>
  <r>
    <x v="64"/>
    <x v="5"/>
    <n v="2022"/>
    <n v="12"/>
    <s v="Dec"/>
    <x v="2"/>
    <n v="12"/>
    <x v="1"/>
    <n v="24.61"/>
    <n v="32.32"/>
    <n v="10.26"/>
    <n v="0.03"/>
    <n v="67.19"/>
    <n v="67.22"/>
    <m/>
  </r>
  <r>
    <x v="64"/>
    <x v="5"/>
    <n v="2022"/>
    <n v="12"/>
    <s v="Dec"/>
    <x v="3"/>
    <n v="18"/>
    <x v="1"/>
    <n v="324.05"/>
    <n v="405.78"/>
    <n v="366.37"/>
    <n v="53.86"/>
    <n v="1096.2"/>
    <n v="1150.06"/>
    <m/>
  </r>
  <r>
    <x v="64"/>
    <x v="5"/>
    <n v="2022"/>
    <n v="12"/>
    <s v="Dec"/>
    <x v="4"/>
    <n v="10"/>
    <x v="1"/>
    <n v="358.84"/>
    <n v="592.73"/>
    <n v="169.85"/>
    <n v="187.8"/>
    <n v="1121.42"/>
    <n v="1309.22"/>
    <m/>
  </r>
  <r>
    <x v="64"/>
    <x v="5"/>
    <n v="2022"/>
    <n v="12"/>
    <s v="Dec"/>
    <x v="5"/>
    <n v="4"/>
    <x v="0"/>
    <n v="37.369999999999997"/>
    <n v="50.02"/>
    <n v="129.82"/>
    <n v="0.39"/>
    <n v="217.21"/>
    <n v="217.6"/>
    <m/>
  </r>
  <r>
    <x v="64"/>
    <x v="5"/>
    <n v="2022"/>
    <n v="12"/>
    <s v="Dec"/>
    <x v="6"/>
    <n v="22"/>
    <x v="1"/>
    <n v="512"/>
    <n v="588.23"/>
    <n v="897.89"/>
    <n v="587.24"/>
    <n v="1998.12"/>
    <n v="2585.36"/>
    <m/>
  </r>
  <r>
    <x v="64"/>
    <x v="5"/>
    <n v="2022"/>
    <n v="12"/>
    <s v="Dec"/>
    <x v="7"/>
    <n v="38"/>
    <x v="0"/>
    <n v="42.98"/>
    <n v="51.43"/>
    <n v="223.03"/>
    <n v="0.1"/>
    <n v="317.44"/>
    <n v="317.54000000000002"/>
    <m/>
  </r>
  <r>
    <x v="64"/>
    <x v="5"/>
    <n v="2022"/>
    <n v="12"/>
    <s v="Dec"/>
    <x v="8"/>
    <n v="7"/>
    <x v="0"/>
    <n v="859.02"/>
    <n v="1040.19"/>
    <n v="2420.66"/>
    <n v="80.849999999999994"/>
    <n v="4319.87"/>
    <n v="4400.72"/>
    <m/>
  </r>
  <r>
    <x v="64"/>
    <x v="5"/>
    <n v="2022"/>
    <n v="12"/>
    <s v="Dec"/>
    <x v="9"/>
    <n v="30"/>
    <x v="1"/>
    <n v="125.81"/>
    <n v="162.79"/>
    <n v="168.83"/>
    <n v="2.71"/>
    <n v="457.43"/>
    <n v="460.14"/>
    <m/>
  </r>
  <r>
    <x v="64"/>
    <x v="5"/>
    <n v="2022"/>
    <n v="12"/>
    <s v="Dec"/>
    <x v="10"/>
    <n v="24"/>
    <x v="1"/>
    <n v="2574.0700000000002"/>
    <n v="3067.59"/>
    <n v="2971.47"/>
    <n v="625.19000000000005"/>
    <n v="8613.1299999999992"/>
    <n v="9238.32"/>
    <m/>
  </r>
  <r>
    <x v="64"/>
    <x v="5"/>
    <n v="2022"/>
    <n v="12"/>
    <s v="Dec"/>
    <x v="11"/>
    <n v="6"/>
    <x v="1"/>
    <n v="1032.6199999999999"/>
    <n v="1371.52"/>
    <n v="3758.63"/>
    <n v="515.21"/>
    <n v="6162.77"/>
    <n v="6677.98"/>
    <m/>
  </r>
  <r>
    <x v="64"/>
    <x v="5"/>
    <n v="2022"/>
    <n v="12"/>
    <s v="Dec"/>
    <x v="12"/>
    <n v="2"/>
    <x v="1"/>
    <n v="129.96"/>
    <n v="183.35"/>
    <n v="394.39"/>
    <n v="0.63"/>
    <n v="707.7"/>
    <n v="708.33"/>
    <m/>
  </r>
  <r>
    <x v="64"/>
    <x v="5"/>
    <n v="2022"/>
    <n v="12"/>
    <s v="Dec"/>
    <x v="13"/>
    <n v="1"/>
    <x v="0"/>
    <n v="125.12"/>
    <n v="185.86"/>
    <n v="97.18"/>
    <n v="1.44"/>
    <n v="408.16"/>
    <n v="409.6"/>
    <m/>
  </r>
  <r>
    <x v="64"/>
    <x v="5"/>
    <n v="2022"/>
    <n v="12"/>
    <s v="Dec"/>
    <x v="14"/>
    <n v="20"/>
    <x v="1"/>
    <n v="473.71"/>
    <n v="615"/>
    <n v="951.43"/>
    <n v="495.54"/>
    <n v="2040.14"/>
    <n v="2535.6799999999998"/>
    <m/>
  </r>
  <r>
    <x v="64"/>
    <x v="5"/>
    <n v="2022"/>
    <n v="12"/>
    <s v="Dec"/>
    <x v="15"/>
    <n v="29"/>
    <x v="1"/>
    <n v="2374.13"/>
    <n v="2950.47"/>
    <n v="3607.08"/>
    <n v="1128.8900000000001"/>
    <n v="8931.68"/>
    <n v="10060.57"/>
    <m/>
  </r>
  <r>
    <x v="64"/>
    <x v="5"/>
    <n v="2022"/>
    <n v="12"/>
    <s v="Dec"/>
    <x v="16"/>
    <n v="32"/>
    <x v="1"/>
    <n v="752.52"/>
    <n v="1005.39"/>
    <n v="417.15"/>
    <n v="10.28"/>
    <n v="2175.06"/>
    <n v="2185.34"/>
    <m/>
  </r>
  <r>
    <x v="64"/>
    <x v="5"/>
    <n v="2022"/>
    <n v="12"/>
    <s v="Dec"/>
    <x v="35"/>
    <n v="37"/>
    <x v="0"/>
    <n v="9.9600000000000009"/>
    <n v="12.68"/>
    <n v="2.79"/>
    <n v="0.08"/>
    <n v="25.43"/>
    <n v="25.51"/>
    <m/>
  </r>
  <r>
    <x v="64"/>
    <x v="5"/>
    <n v="2022"/>
    <n v="12"/>
    <s v="Dec"/>
    <x v="17"/>
    <n v="31"/>
    <x v="0"/>
    <n v="0.41"/>
    <n v="0.45"/>
    <n v="0.06"/>
    <n v="0"/>
    <n v="0.92"/>
    <n v="0.92"/>
    <m/>
  </r>
  <r>
    <x v="64"/>
    <x v="5"/>
    <n v="2022"/>
    <n v="12"/>
    <s v="Dec"/>
    <x v="18"/>
    <n v="23"/>
    <x v="1"/>
    <n v="733.4"/>
    <n v="911.41"/>
    <n v="824.79"/>
    <n v="608.95000000000005"/>
    <n v="2469.6"/>
    <n v="3078.55"/>
    <m/>
  </r>
  <r>
    <x v="64"/>
    <x v="5"/>
    <n v="2022"/>
    <n v="12"/>
    <s v="Dec"/>
    <x v="19"/>
    <n v="27"/>
    <x v="1"/>
    <n v="6472.84"/>
    <n v="7519.13"/>
    <n v="7894.07"/>
    <n v="1712.07"/>
    <n v="21886.04"/>
    <n v="23598.11"/>
    <m/>
  </r>
  <r>
    <x v="64"/>
    <x v="5"/>
    <n v="2022"/>
    <n v="12"/>
    <s v="Dec"/>
    <x v="20"/>
    <n v="14"/>
    <x v="1"/>
    <n v="16.16"/>
    <n v="25.39"/>
    <n v="4.08"/>
    <n v="0.03"/>
    <n v="45.63"/>
    <n v="45.66"/>
    <m/>
  </r>
  <r>
    <x v="64"/>
    <x v="5"/>
    <n v="2022"/>
    <n v="12"/>
    <s v="Dec"/>
    <x v="21"/>
    <n v="17"/>
    <x v="1"/>
    <n v="32.47"/>
    <n v="40.99"/>
    <n v="96.41"/>
    <n v="1.51"/>
    <n v="169.87"/>
    <n v="171.38"/>
    <m/>
  </r>
  <r>
    <x v="64"/>
    <x v="5"/>
    <n v="2022"/>
    <n v="12"/>
    <s v="Dec"/>
    <x v="22"/>
    <n v="15"/>
    <x v="1"/>
    <n v="7.66"/>
    <n v="12.94"/>
    <n v="2.11"/>
    <n v="0.04"/>
    <n v="22.71"/>
    <n v="22.75"/>
    <m/>
  </r>
  <r>
    <x v="64"/>
    <x v="5"/>
    <n v="2022"/>
    <n v="12"/>
    <s v="Dec"/>
    <x v="23"/>
    <n v="13"/>
    <x v="1"/>
    <n v="14.73"/>
    <n v="20.09"/>
    <n v="6.4"/>
    <n v="2.4900000000000002"/>
    <n v="41.22"/>
    <n v="43.71"/>
    <m/>
  </r>
  <r>
    <x v="64"/>
    <x v="5"/>
    <n v="2022"/>
    <n v="12"/>
    <s v="Dec"/>
    <x v="24"/>
    <n v="21"/>
    <x v="1"/>
    <n v="856.46"/>
    <n v="1033.3599999999999"/>
    <n v="1212.43"/>
    <n v="752.04"/>
    <n v="3102.25"/>
    <n v="3854.29"/>
    <m/>
  </r>
  <r>
    <x v="64"/>
    <x v="5"/>
    <n v="2022"/>
    <n v="12"/>
    <s v="Dec"/>
    <x v="25"/>
    <n v="34"/>
    <x v="0"/>
    <n v="23.78"/>
    <n v="35.700000000000003"/>
    <n v="131.65"/>
    <n v="0.57999999999999996"/>
    <n v="191.13"/>
    <n v="191.71"/>
    <m/>
  </r>
  <r>
    <x v="64"/>
    <x v="5"/>
    <n v="2022"/>
    <n v="12"/>
    <s v="Dec"/>
    <x v="26"/>
    <n v="3"/>
    <x v="1"/>
    <n v="430.71"/>
    <n v="616.71"/>
    <n v="672.17"/>
    <n v="14.65"/>
    <n v="1719.59"/>
    <n v="1734.24"/>
    <m/>
  </r>
  <r>
    <x v="64"/>
    <x v="5"/>
    <n v="2022"/>
    <n v="12"/>
    <s v="Dec"/>
    <x v="27"/>
    <n v="8"/>
    <x v="1"/>
    <n v="1043.8900000000001"/>
    <n v="1336.98"/>
    <n v="1302.5899999999999"/>
    <n v="105.36"/>
    <n v="3683.46"/>
    <n v="3788.82"/>
    <m/>
  </r>
  <r>
    <x v="64"/>
    <x v="5"/>
    <n v="2022"/>
    <n v="12"/>
    <s v="Dec"/>
    <x v="28"/>
    <n v="11"/>
    <x v="1"/>
    <n v="15.58"/>
    <n v="19.670000000000002"/>
    <n v="255.01"/>
    <n v="0.05"/>
    <n v="290.26"/>
    <n v="290.31"/>
    <m/>
  </r>
  <r>
    <x v="64"/>
    <x v="5"/>
    <n v="2022"/>
    <n v="12"/>
    <s v="Dec"/>
    <x v="29"/>
    <n v="33"/>
    <x v="1"/>
    <n v="2225.1"/>
    <n v="2854.59"/>
    <n v="2599.9699999999998"/>
    <n v="644.59"/>
    <n v="7679.66"/>
    <n v="8324.25"/>
    <m/>
  </r>
  <r>
    <x v="64"/>
    <x v="5"/>
    <n v="2022"/>
    <n v="12"/>
    <s v="Dec"/>
    <x v="30"/>
    <n v="36"/>
    <x v="1"/>
    <n v="1052.69"/>
    <n v="1361.11"/>
    <n v="1214.74"/>
    <n v="549.36"/>
    <n v="3628.54"/>
    <n v="4177.8999999999996"/>
    <m/>
  </r>
  <r>
    <x v="64"/>
    <x v="5"/>
    <n v="2022"/>
    <n v="12"/>
    <s v="Dec"/>
    <x v="31"/>
    <n v="16"/>
    <x v="1"/>
    <n v="30.81"/>
    <n v="38.72"/>
    <n v="8.15"/>
    <n v="0.04"/>
    <n v="77.680000000000007"/>
    <n v="77.72"/>
    <m/>
  </r>
  <r>
    <x v="64"/>
    <x v="5"/>
    <n v="2022"/>
    <n v="12"/>
    <s v="Dec"/>
    <x v="32"/>
    <n v="9"/>
    <x v="1"/>
    <n v="1587.5"/>
    <n v="2174.1"/>
    <n v="2036.29"/>
    <n v="1380.51"/>
    <n v="5797.89"/>
    <n v="7178.4"/>
    <m/>
  </r>
  <r>
    <x v="64"/>
    <x v="5"/>
    <n v="2022"/>
    <n v="12"/>
    <s v="Dec"/>
    <x v="33"/>
    <n v="5"/>
    <x v="1"/>
    <n v="250.66"/>
    <n v="375.65"/>
    <n v="616.83000000000004"/>
    <n v="9.36"/>
    <n v="1243.1400000000001"/>
    <n v="1252.5"/>
    <m/>
  </r>
  <r>
    <x v="64"/>
    <x v="5"/>
    <n v="2022"/>
    <n v="12"/>
    <s v="Dec"/>
    <x v="34"/>
    <n v="19"/>
    <x v="1"/>
    <n v="1380.44"/>
    <n v="1661.28"/>
    <n v="1148.25"/>
    <n v="392.84"/>
    <n v="4189.97"/>
    <n v="4582.8100000000004"/>
    <m/>
  </r>
  <r>
    <x v="65"/>
    <x v="5"/>
    <n v="2023"/>
    <n v="1"/>
    <s v="Jan"/>
    <x v="0"/>
    <n v="35"/>
    <x v="0"/>
    <n v="9.76"/>
    <n v="16.239999999999998"/>
    <n v="5.5"/>
    <n v="0.05"/>
    <n v="31.5"/>
    <n v="31.55"/>
    <m/>
  </r>
  <r>
    <x v="65"/>
    <x v="5"/>
    <n v="2023"/>
    <n v="1"/>
    <s v="Jan"/>
    <x v="1"/>
    <n v="28"/>
    <x v="1"/>
    <n v="840.83"/>
    <n v="1133.24"/>
    <n v="1277.8800000000001"/>
    <n v="182.71"/>
    <n v="3251.95"/>
    <n v="3434.66"/>
    <m/>
  </r>
  <r>
    <x v="65"/>
    <x v="5"/>
    <n v="2023"/>
    <n v="1"/>
    <s v="Jan"/>
    <x v="2"/>
    <n v="12"/>
    <x v="1"/>
    <n v="29.79"/>
    <n v="38.799999999999997"/>
    <n v="12.28"/>
    <n v="0.11"/>
    <n v="80.87"/>
    <n v="80.98"/>
    <m/>
  </r>
  <r>
    <x v="65"/>
    <x v="5"/>
    <n v="2023"/>
    <n v="1"/>
    <s v="Jan"/>
    <x v="3"/>
    <n v="18"/>
    <x v="1"/>
    <n v="353.03"/>
    <n v="484.5"/>
    <n v="342.71"/>
    <n v="65.510000000000005"/>
    <n v="1180.24"/>
    <n v="1245.75"/>
    <m/>
  </r>
  <r>
    <x v="65"/>
    <x v="5"/>
    <n v="2023"/>
    <n v="1"/>
    <s v="Jan"/>
    <x v="4"/>
    <n v="10"/>
    <x v="1"/>
    <n v="427.89"/>
    <n v="702.78"/>
    <n v="161.84"/>
    <n v="161.26"/>
    <n v="1292.51"/>
    <n v="1453.77"/>
    <m/>
  </r>
  <r>
    <x v="65"/>
    <x v="5"/>
    <n v="2023"/>
    <n v="1"/>
    <s v="Jan"/>
    <x v="5"/>
    <n v="4"/>
    <x v="0"/>
    <n v="45.77"/>
    <n v="75.28"/>
    <n v="104.27"/>
    <n v="8.3699999999999992"/>
    <n v="225.32"/>
    <n v="233.69"/>
    <m/>
  </r>
  <r>
    <x v="65"/>
    <x v="5"/>
    <n v="2023"/>
    <n v="1"/>
    <s v="Jan"/>
    <x v="6"/>
    <n v="22"/>
    <x v="1"/>
    <n v="572.16999999999996"/>
    <n v="680.9"/>
    <n v="871.48"/>
    <n v="670.91"/>
    <n v="2124.5500000000002"/>
    <n v="2795.46"/>
    <m/>
  </r>
  <r>
    <x v="65"/>
    <x v="5"/>
    <n v="2023"/>
    <n v="1"/>
    <s v="Jan"/>
    <x v="7"/>
    <n v="38"/>
    <x v="0"/>
    <n v="39.08"/>
    <n v="49.56"/>
    <n v="222.95"/>
    <n v="1.22"/>
    <n v="311.58999999999997"/>
    <n v="312.81"/>
    <m/>
  </r>
  <r>
    <x v="65"/>
    <x v="5"/>
    <n v="2023"/>
    <n v="1"/>
    <s v="Jan"/>
    <x v="8"/>
    <n v="7"/>
    <x v="0"/>
    <n v="996.45"/>
    <n v="1248.21"/>
    <n v="2534.77"/>
    <n v="102.98"/>
    <n v="4779.43"/>
    <n v="4882.41"/>
    <m/>
  </r>
  <r>
    <x v="65"/>
    <x v="5"/>
    <n v="2023"/>
    <n v="1"/>
    <s v="Jan"/>
    <x v="9"/>
    <n v="30"/>
    <x v="1"/>
    <n v="158.29"/>
    <n v="214.46"/>
    <n v="212.02"/>
    <n v="4.82"/>
    <n v="584.77"/>
    <n v="589.59"/>
    <m/>
  </r>
  <r>
    <x v="65"/>
    <x v="5"/>
    <n v="2023"/>
    <n v="1"/>
    <s v="Jan"/>
    <x v="10"/>
    <n v="24"/>
    <x v="1"/>
    <n v="2768.12"/>
    <n v="3328.03"/>
    <n v="3262"/>
    <n v="650.48"/>
    <n v="9358.15"/>
    <n v="10008.629999999999"/>
    <m/>
  </r>
  <r>
    <x v="65"/>
    <x v="5"/>
    <n v="2023"/>
    <n v="1"/>
    <s v="Jan"/>
    <x v="11"/>
    <n v="6"/>
    <x v="1"/>
    <n v="1183.4100000000001"/>
    <n v="1559.12"/>
    <n v="4681"/>
    <n v="506.4"/>
    <n v="7423.53"/>
    <n v="7929.93"/>
    <m/>
  </r>
  <r>
    <x v="65"/>
    <x v="5"/>
    <n v="2023"/>
    <n v="1"/>
    <s v="Jan"/>
    <x v="12"/>
    <n v="2"/>
    <x v="1"/>
    <n v="150.15"/>
    <n v="218.31"/>
    <n v="394.33"/>
    <n v="2.33"/>
    <n v="762.79"/>
    <n v="765.12"/>
    <m/>
  </r>
  <r>
    <x v="65"/>
    <x v="5"/>
    <n v="2023"/>
    <n v="1"/>
    <s v="Jan"/>
    <x v="13"/>
    <n v="1"/>
    <x v="0"/>
    <n v="148.56"/>
    <n v="234.33"/>
    <n v="87.9"/>
    <n v="3.61"/>
    <n v="470.79"/>
    <n v="474.4"/>
    <m/>
  </r>
  <r>
    <x v="65"/>
    <x v="5"/>
    <n v="2023"/>
    <n v="1"/>
    <s v="Jan"/>
    <x v="14"/>
    <n v="20"/>
    <x v="1"/>
    <n v="549.34"/>
    <n v="714.53"/>
    <n v="1136.28"/>
    <n v="532.22"/>
    <n v="2400.15"/>
    <n v="2932.37"/>
    <m/>
  </r>
  <r>
    <x v="65"/>
    <x v="5"/>
    <n v="2023"/>
    <n v="1"/>
    <s v="Jan"/>
    <x v="15"/>
    <n v="29"/>
    <x v="1"/>
    <n v="2641.77"/>
    <n v="3282.91"/>
    <n v="4374.1499999999996"/>
    <n v="1023.19"/>
    <n v="10298.83"/>
    <n v="11322.02"/>
    <m/>
  </r>
  <r>
    <x v="65"/>
    <x v="5"/>
    <n v="2023"/>
    <n v="1"/>
    <s v="Jan"/>
    <x v="16"/>
    <n v="32"/>
    <x v="1"/>
    <n v="879.32"/>
    <n v="1184.3499999999999"/>
    <n v="490.13"/>
    <n v="16.600000000000001"/>
    <n v="2553.8000000000002"/>
    <n v="2570.4"/>
    <m/>
  </r>
  <r>
    <x v="65"/>
    <x v="5"/>
    <n v="2023"/>
    <n v="1"/>
    <s v="Jan"/>
    <x v="35"/>
    <n v="37"/>
    <x v="0"/>
    <n v="17.059999999999999"/>
    <n v="23.87"/>
    <n v="5.09"/>
    <n v="7.0000000000000007E-2"/>
    <n v="46.02"/>
    <n v="46.09"/>
    <m/>
  </r>
  <r>
    <x v="65"/>
    <x v="5"/>
    <n v="2023"/>
    <n v="1"/>
    <s v="Jan"/>
    <x v="17"/>
    <n v="31"/>
    <x v="0"/>
    <n v="0.59"/>
    <n v="0.62"/>
    <n v="0.97"/>
    <n v="0"/>
    <n v="2.1800000000000002"/>
    <n v="2.1800000000000002"/>
    <m/>
  </r>
  <r>
    <x v="65"/>
    <x v="5"/>
    <n v="2023"/>
    <n v="1"/>
    <s v="Jan"/>
    <x v="18"/>
    <n v="23"/>
    <x v="1"/>
    <n v="816.84"/>
    <n v="1029.33"/>
    <n v="907.28"/>
    <n v="594.30999999999995"/>
    <n v="2753.45"/>
    <n v="3347.76"/>
    <m/>
  </r>
  <r>
    <x v="65"/>
    <x v="5"/>
    <n v="2023"/>
    <n v="1"/>
    <s v="Jan"/>
    <x v="19"/>
    <n v="27"/>
    <x v="1"/>
    <n v="6454.59"/>
    <n v="7420.48"/>
    <n v="8831.81"/>
    <n v="1805.72"/>
    <n v="22706.880000000001"/>
    <n v="24512.6"/>
    <m/>
  </r>
  <r>
    <x v="65"/>
    <x v="5"/>
    <n v="2023"/>
    <n v="1"/>
    <s v="Jan"/>
    <x v="20"/>
    <n v="14"/>
    <x v="1"/>
    <n v="24.94"/>
    <n v="37.08"/>
    <n v="4.49"/>
    <n v="0.54"/>
    <n v="66.510000000000005"/>
    <n v="67.05"/>
    <m/>
  </r>
  <r>
    <x v="65"/>
    <x v="5"/>
    <n v="2023"/>
    <n v="1"/>
    <s v="Jan"/>
    <x v="21"/>
    <n v="17"/>
    <x v="1"/>
    <n v="40.86"/>
    <n v="52.32"/>
    <n v="92.17"/>
    <n v="1.87"/>
    <n v="185.35"/>
    <n v="187.22"/>
    <m/>
  </r>
  <r>
    <x v="65"/>
    <x v="5"/>
    <n v="2023"/>
    <n v="1"/>
    <s v="Jan"/>
    <x v="22"/>
    <n v="15"/>
    <x v="1"/>
    <n v="14.33"/>
    <n v="26.28"/>
    <n v="2.91"/>
    <n v="0.16"/>
    <n v="43.52"/>
    <n v="43.68"/>
    <m/>
  </r>
  <r>
    <x v="65"/>
    <x v="5"/>
    <n v="2023"/>
    <n v="1"/>
    <s v="Jan"/>
    <x v="23"/>
    <n v="13"/>
    <x v="1"/>
    <n v="19.27"/>
    <n v="23.29"/>
    <n v="9.18"/>
    <n v="3.45"/>
    <n v="51.74"/>
    <n v="55.19"/>
    <m/>
  </r>
  <r>
    <x v="65"/>
    <x v="5"/>
    <n v="2023"/>
    <n v="1"/>
    <s v="Jan"/>
    <x v="24"/>
    <n v="21"/>
    <x v="1"/>
    <n v="1056.42"/>
    <n v="1260.3399999999999"/>
    <n v="1163.6600000000001"/>
    <n v="775.17"/>
    <n v="3480.42"/>
    <n v="4255.59"/>
    <m/>
  </r>
  <r>
    <x v="65"/>
    <x v="5"/>
    <n v="2023"/>
    <n v="1"/>
    <s v="Jan"/>
    <x v="25"/>
    <n v="34"/>
    <x v="0"/>
    <n v="26.99"/>
    <n v="42.24"/>
    <n v="148.15"/>
    <n v="2.82"/>
    <n v="217.38"/>
    <n v="220.2"/>
    <m/>
  </r>
  <r>
    <x v="65"/>
    <x v="5"/>
    <n v="2023"/>
    <n v="1"/>
    <s v="Jan"/>
    <x v="26"/>
    <n v="3"/>
    <x v="1"/>
    <n v="440.95"/>
    <n v="714.18"/>
    <n v="612.46"/>
    <n v="28.1"/>
    <n v="1767.59"/>
    <n v="1795.69"/>
    <m/>
  </r>
  <r>
    <x v="65"/>
    <x v="5"/>
    <n v="2023"/>
    <n v="1"/>
    <s v="Jan"/>
    <x v="27"/>
    <n v="8"/>
    <x v="1"/>
    <n v="1135.72"/>
    <n v="1483.88"/>
    <n v="1418.04"/>
    <n v="116.8"/>
    <n v="4037.64"/>
    <n v="4154.4399999999996"/>
    <m/>
  </r>
  <r>
    <x v="65"/>
    <x v="5"/>
    <n v="2023"/>
    <n v="1"/>
    <s v="Jan"/>
    <x v="28"/>
    <n v="11"/>
    <x v="1"/>
    <n v="18.75"/>
    <n v="24.93"/>
    <n v="240.14"/>
    <n v="0.18"/>
    <n v="283.82"/>
    <n v="284"/>
    <m/>
  </r>
  <r>
    <x v="65"/>
    <x v="5"/>
    <n v="2023"/>
    <n v="1"/>
    <s v="Jan"/>
    <x v="29"/>
    <n v="33"/>
    <x v="1"/>
    <n v="2365.1799999999998"/>
    <n v="3110.61"/>
    <n v="2755.18"/>
    <n v="578.23"/>
    <n v="8230.9699999999993"/>
    <n v="8809.2000000000007"/>
    <m/>
  </r>
  <r>
    <x v="65"/>
    <x v="5"/>
    <n v="2023"/>
    <n v="1"/>
    <s v="Jan"/>
    <x v="30"/>
    <n v="36"/>
    <x v="1"/>
    <n v="1159.52"/>
    <n v="1576.56"/>
    <n v="1427.89"/>
    <n v="577.04"/>
    <n v="4163.97"/>
    <n v="4741.01"/>
    <m/>
  </r>
  <r>
    <x v="65"/>
    <x v="5"/>
    <n v="2023"/>
    <n v="1"/>
    <s v="Jan"/>
    <x v="31"/>
    <n v="16"/>
    <x v="1"/>
    <n v="31.63"/>
    <n v="39.92"/>
    <n v="9.11"/>
    <n v="0.31"/>
    <n v="80.66"/>
    <n v="80.97"/>
    <m/>
  </r>
  <r>
    <x v="65"/>
    <x v="5"/>
    <n v="2023"/>
    <n v="1"/>
    <s v="Jan"/>
    <x v="32"/>
    <n v="9"/>
    <x v="1"/>
    <n v="1802.4"/>
    <n v="2522.0100000000002"/>
    <n v="2339.7600000000002"/>
    <n v="1091.22"/>
    <n v="6664.17"/>
    <n v="7755.39"/>
    <m/>
  </r>
  <r>
    <x v="65"/>
    <x v="5"/>
    <n v="2023"/>
    <n v="1"/>
    <s v="Jan"/>
    <x v="33"/>
    <n v="5"/>
    <x v="1"/>
    <n v="291.87"/>
    <n v="412.56"/>
    <n v="795.47"/>
    <n v="11.04"/>
    <n v="1499.9"/>
    <n v="1510.94"/>
    <m/>
  </r>
  <r>
    <x v="65"/>
    <x v="5"/>
    <n v="2023"/>
    <n v="1"/>
    <s v="Jan"/>
    <x v="34"/>
    <n v="19"/>
    <x v="1"/>
    <n v="1527.82"/>
    <n v="1863.85"/>
    <n v="1239.4000000000001"/>
    <n v="343.61"/>
    <n v="4631.07"/>
    <n v="4974.68"/>
    <m/>
  </r>
  <r>
    <x v="66"/>
    <x v="5"/>
    <n v="2023"/>
    <n v="2"/>
    <s v="Feb"/>
    <x v="0"/>
    <n v="35"/>
    <x v="0"/>
    <n v="11.23"/>
    <n v="15.35"/>
    <n v="3.99"/>
    <n v="0.12"/>
    <n v="30.57"/>
    <n v="30.69"/>
    <m/>
  </r>
  <r>
    <x v="66"/>
    <x v="5"/>
    <n v="2023"/>
    <n v="2"/>
    <s v="Feb"/>
    <x v="1"/>
    <n v="28"/>
    <x v="1"/>
    <n v="792.12"/>
    <n v="1030.71"/>
    <n v="1249.3599999999999"/>
    <n v="485.15"/>
    <n v="3072.19"/>
    <n v="3557.34"/>
    <m/>
  </r>
  <r>
    <x v="66"/>
    <x v="5"/>
    <n v="2023"/>
    <n v="2"/>
    <s v="Feb"/>
    <x v="2"/>
    <n v="12"/>
    <x v="1"/>
    <n v="29.07"/>
    <n v="39.71"/>
    <n v="9.09"/>
    <n v="0.15"/>
    <n v="77.87"/>
    <n v="78.02"/>
    <m/>
  </r>
  <r>
    <x v="66"/>
    <x v="5"/>
    <n v="2023"/>
    <n v="2"/>
    <s v="Feb"/>
    <x v="3"/>
    <n v="18"/>
    <x v="1"/>
    <n v="334.16"/>
    <n v="424.74"/>
    <n v="283.85000000000002"/>
    <n v="67.78"/>
    <n v="1042.75"/>
    <n v="1110.53"/>
    <m/>
  </r>
  <r>
    <x v="66"/>
    <x v="5"/>
    <n v="2023"/>
    <n v="2"/>
    <s v="Feb"/>
    <x v="4"/>
    <n v="10"/>
    <x v="1"/>
    <n v="444.99"/>
    <n v="668.09"/>
    <n v="191.3"/>
    <n v="194.94"/>
    <n v="1304.3800000000001"/>
    <n v="1499.32"/>
    <m/>
  </r>
  <r>
    <x v="66"/>
    <x v="5"/>
    <n v="2023"/>
    <n v="2"/>
    <s v="Feb"/>
    <x v="5"/>
    <n v="4"/>
    <x v="0"/>
    <n v="39.159999999999997"/>
    <n v="50.81"/>
    <n v="97.32"/>
    <n v="0.44"/>
    <n v="187.29"/>
    <n v="187.73"/>
    <m/>
  </r>
  <r>
    <x v="66"/>
    <x v="5"/>
    <n v="2023"/>
    <n v="2"/>
    <s v="Feb"/>
    <x v="6"/>
    <n v="22"/>
    <x v="1"/>
    <n v="539.96"/>
    <n v="657.77"/>
    <n v="1122.82"/>
    <n v="688.71"/>
    <n v="2320.5500000000002"/>
    <n v="3009.26"/>
    <m/>
  </r>
  <r>
    <x v="66"/>
    <x v="5"/>
    <n v="2023"/>
    <n v="2"/>
    <s v="Feb"/>
    <x v="7"/>
    <n v="38"/>
    <x v="0"/>
    <n v="40.65"/>
    <n v="52.24"/>
    <n v="190.07"/>
    <n v="0.39"/>
    <n v="282.95999999999998"/>
    <n v="283.35000000000002"/>
    <m/>
  </r>
  <r>
    <x v="66"/>
    <x v="5"/>
    <n v="2023"/>
    <n v="2"/>
    <s v="Feb"/>
    <x v="8"/>
    <n v="7"/>
    <x v="0"/>
    <n v="899.5"/>
    <n v="1088.49"/>
    <n v="2690.04"/>
    <n v="91.02"/>
    <n v="4678.03"/>
    <n v="4769.05"/>
    <m/>
  </r>
  <r>
    <x v="66"/>
    <x v="5"/>
    <n v="2023"/>
    <n v="2"/>
    <s v="Feb"/>
    <x v="9"/>
    <n v="30"/>
    <x v="1"/>
    <n v="140.62"/>
    <n v="180.31"/>
    <n v="168.32"/>
    <n v="3.31"/>
    <n v="489.25"/>
    <n v="492.56"/>
    <m/>
  </r>
  <r>
    <x v="66"/>
    <x v="5"/>
    <n v="2023"/>
    <n v="2"/>
    <s v="Feb"/>
    <x v="10"/>
    <n v="24"/>
    <x v="1"/>
    <n v="2658.26"/>
    <n v="3215.75"/>
    <n v="3034.4"/>
    <n v="665.87"/>
    <n v="8908.41"/>
    <n v="9574.2800000000007"/>
    <m/>
  </r>
  <r>
    <x v="66"/>
    <x v="5"/>
    <n v="2023"/>
    <n v="2"/>
    <s v="Feb"/>
    <x v="11"/>
    <n v="6"/>
    <x v="1"/>
    <n v="1161.3800000000001"/>
    <n v="1564.05"/>
    <n v="4075.09"/>
    <n v="509.06"/>
    <n v="6800.52"/>
    <n v="7309.58"/>
    <m/>
  </r>
  <r>
    <x v="66"/>
    <x v="5"/>
    <n v="2023"/>
    <n v="2"/>
    <s v="Feb"/>
    <x v="12"/>
    <n v="2"/>
    <x v="1"/>
    <n v="150.59"/>
    <n v="200.61"/>
    <n v="338.65"/>
    <n v="0.9"/>
    <n v="689.85"/>
    <n v="690.75"/>
    <m/>
  </r>
  <r>
    <x v="66"/>
    <x v="5"/>
    <n v="2023"/>
    <n v="2"/>
    <s v="Feb"/>
    <x v="13"/>
    <n v="1"/>
    <x v="0"/>
    <n v="143.46"/>
    <n v="199.82"/>
    <n v="88.53"/>
    <n v="2.42"/>
    <n v="431.81"/>
    <n v="434.23"/>
    <m/>
  </r>
  <r>
    <x v="66"/>
    <x v="5"/>
    <n v="2023"/>
    <n v="2"/>
    <s v="Feb"/>
    <x v="14"/>
    <n v="20"/>
    <x v="1"/>
    <n v="562.29999999999995"/>
    <n v="757.06"/>
    <n v="1098.22"/>
    <n v="544.22"/>
    <n v="2417.58"/>
    <n v="2961.8"/>
    <m/>
  </r>
  <r>
    <x v="66"/>
    <x v="5"/>
    <n v="2023"/>
    <n v="2"/>
    <s v="Feb"/>
    <x v="15"/>
    <n v="29"/>
    <x v="1"/>
    <n v="2451.5500000000002"/>
    <n v="3042.81"/>
    <n v="3940.93"/>
    <n v="1373.87"/>
    <n v="9435.2900000000009"/>
    <n v="10809.16"/>
    <m/>
  </r>
  <r>
    <x v="66"/>
    <x v="5"/>
    <n v="2023"/>
    <n v="2"/>
    <s v="Feb"/>
    <x v="16"/>
    <n v="32"/>
    <x v="1"/>
    <n v="807.48"/>
    <n v="1051.55"/>
    <n v="464.58"/>
    <n v="2.0699999999999998"/>
    <n v="2323.61"/>
    <n v="2325.6799999999998"/>
    <m/>
  </r>
  <r>
    <x v="66"/>
    <x v="5"/>
    <n v="2023"/>
    <n v="2"/>
    <s v="Feb"/>
    <x v="35"/>
    <n v="37"/>
    <x v="0"/>
    <n v="9.7799999999999994"/>
    <n v="12.58"/>
    <n v="1.82"/>
    <n v="0.04"/>
    <n v="24.18"/>
    <n v="24.22"/>
    <m/>
  </r>
  <r>
    <x v="66"/>
    <x v="5"/>
    <n v="2023"/>
    <n v="2"/>
    <s v="Feb"/>
    <x v="17"/>
    <n v="31"/>
    <x v="0"/>
    <n v="1.33"/>
    <n v="1.37"/>
    <n v="0.28999999999999998"/>
    <n v="0"/>
    <n v="2.99"/>
    <n v="2.99"/>
    <m/>
  </r>
  <r>
    <x v="66"/>
    <x v="5"/>
    <n v="2023"/>
    <n v="2"/>
    <s v="Feb"/>
    <x v="18"/>
    <n v="23"/>
    <x v="1"/>
    <n v="792.85"/>
    <n v="973.62"/>
    <n v="818.25"/>
    <n v="649.82000000000005"/>
    <n v="2584.7199999999998"/>
    <n v="3234.54"/>
    <m/>
  </r>
  <r>
    <x v="66"/>
    <x v="5"/>
    <n v="2023"/>
    <n v="2"/>
    <s v="Feb"/>
    <x v="19"/>
    <n v="27"/>
    <x v="1"/>
    <n v="6204.49"/>
    <n v="7319.61"/>
    <n v="7072"/>
    <n v="1753.31"/>
    <n v="20596.099999999999"/>
    <n v="22349.41"/>
    <m/>
  </r>
  <r>
    <x v="66"/>
    <x v="5"/>
    <n v="2023"/>
    <n v="2"/>
    <s v="Feb"/>
    <x v="20"/>
    <n v="14"/>
    <x v="1"/>
    <n v="23.59"/>
    <n v="34.770000000000003"/>
    <n v="5.33"/>
    <n v="0.03"/>
    <n v="63.69"/>
    <n v="63.72"/>
    <m/>
  </r>
  <r>
    <x v="66"/>
    <x v="5"/>
    <n v="2023"/>
    <n v="2"/>
    <s v="Feb"/>
    <x v="21"/>
    <n v="17"/>
    <x v="1"/>
    <n v="33.39"/>
    <n v="43.86"/>
    <n v="111.15"/>
    <n v="0.87"/>
    <n v="188.4"/>
    <n v="189.27"/>
    <m/>
  </r>
  <r>
    <x v="66"/>
    <x v="5"/>
    <n v="2023"/>
    <n v="2"/>
    <s v="Feb"/>
    <x v="22"/>
    <n v="15"/>
    <x v="1"/>
    <n v="20.92"/>
    <n v="33.01"/>
    <n v="3.62"/>
    <n v="0.03"/>
    <n v="57.55"/>
    <n v="57.58"/>
    <m/>
  </r>
  <r>
    <x v="66"/>
    <x v="5"/>
    <n v="2023"/>
    <n v="2"/>
    <s v="Feb"/>
    <x v="23"/>
    <n v="13"/>
    <x v="1"/>
    <n v="13.66"/>
    <n v="21.89"/>
    <n v="13.01"/>
    <n v="5.1100000000000003"/>
    <n v="48.56"/>
    <n v="53.67"/>
    <m/>
  </r>
  <r>
    <x v="66"/>
    <x v="5"/>
    <n v="2023"/>
    <n v="2"/>
    <s v="Feb"/>
    <x v="24"/>
    <n v="21"/>
    <x v="1"/>
    <n v="1012.89"/>
    <n v="1205.8900000000001"/>
    <n v="1508.96"/>
    <n v="791.61"/>
    <n v="3727.74"/>
    <n v="4519.3500000000004"/>
    <m/>
  </r>
  <r>
    <x v="66"/>
    <x v="5"/>
    <n v="2023"/>
    <n v="2"/>
    <s v="Feb"/>
    <x v="25"/>
    <n v="34"/>
    <x v="0"/>
    <n v="26.44"/>
    <n v="39.72"/>
    <n v="121.94"/>
    <n v="0.04"/>
    <n v="188.1"/>
    <n v="188.14"/>
    <m/>
  </r>
  <r>
    <x v="66"/>
    <x v="5"/>
    <n v="2023"/>
    <n v="2"/>
    <s v="Feb"/>
    <x v="26"/>
    <n v="3"/>
    <x v="1"/>
    <n v="394.03"/>
    <n v="589.44000000000005"/>
    <n v="648.72"/>
    <n v="18.78"/>
    <n v="1632.19"/>
    <n v="1650.97"/>
    <m/>
  </r>
  <r>
    <x v="66"/>
    <x v="5"/>
    <n v="2023"/>
    <n v="2"/>
    <s v="Feb"/>
    <x v="27"/>
    <n v="8"/>
    <x v="1"/>
    <n v="1019.07"/>
    <n v="1260.3"/>
    <n v="1559.16"/>
    <n v="101.99"/>
    <n v="3838.53"/>
    <n v="3940.52"/>
    <m/>
  </r>
  <r>
    <x v="66"/>
    <x v="5"/>
    <n v="2023"/>
    <n v="2"/>
    <s v="Feb"/>
    <x v="28"/>
    <n v="11"/>
    <x v="1"/>
    <n v="21.61"/>
    <n v="27.33"/>
    <n v="216.04"/>
    <n v="0.06"/>
    <n v="264.98"/>
    <n v="265.04000000000002"/>
    <m/>
  </r>
  <r>
    <x v="66"/>
    <x v="5"/>
    <n v="2023"/>
    <n v="2"/>
    <s v="Feb"/>
    <x v="29"/>
    <n v="33"/>
    <x v="1"/>
    <n v="2346.19"/>
    <n v="3161.86"/>
    <n v="2581.5"/>
    <n v="684.37"/>
    <n v="8089.55"/>
    <n v="8773.92"/>
    <m/>
  </r>
  <r>
    <x v="66"/>
    <x v="5"/>
    <n v="2023"/>
    <n v="2"/>
    <s v="Feb"/>
    <x v="30"/>
    <n v="36"/>
    <x v="1"/>
    <n v="1088.6300000000001"/>
    <n v="1429.93"/>
    <n v="1306.8499999999999"/>
    <n v="598.52"/>
    <n v="3825.41"/>
    <n v="4423.93"/>
    <m/>
  </r>
  <r>
    <x v="66"/>
    <x v="5"/>
    <n v="2023"/>
    <n v="2"/>
    <s v="Feb"/>
    <x v="31"/>
    <n v="16"/>
    <x v="1"/>
    <n v="30.22"/>
    <n v="39.200000000000003"/>
    <n v="9.74"/>
    <n v="0.15"/>
    <n v="79.16"/>
    <n v="79.31"/>
    <m/>
  </r>
  <r>
    <x v="66"/>
    <x v="5"/>
    <n v="2023"/>
    <n v="2"/>
    <s v="Feb"/>
    <x v="32"/>
    <n v="9"/>
    <x v="1"/>
    <n v="1645.73"/>
    <n v="2280.25"/>
    <n v="2033.08"/>
    <n v="1471.94"/>
    <n v="5959.06"/>
    <n v="7431"/>
    <m/>
  </r>
  <r>
    <x v="66"/>
    <x v="5"/>
    <n v="2023"/>
    <n v="2"/>
    <s v="Feb"/>
    <x v="33"/>
    <n v="5"/>
    <x v="1"/>
    <n v="261.42"/>
    <n v="384.24"/>
    <n v="749.66"/>
    <n v="10.039999999999999"/>
    <n v="1395.32"/>
    <n v="1405.36"/>
    <m/>
  </r>
  <r>
    <x v="66"/>
    <x v="5"/>
    <n v="2023"/>
    <n v="2"/>
    <s v="Feb"/>
    <x v="34"/>
    <n v="19"/>
    <x v="1"/>
    <n v="1503.7"/>
    <n v="1803.19"/>
    <n v="1226.98"/>
    <n v="421.55"/>
    <n v="4533.87"/>
    <n v="4955.42"/>
    <m/>
  </r>
  <r>
    <x v="67"/>
    <x v="5"/>
    <n v="2023"/>
    <n v="3"/>
    <s v="Mar"/>
    <x v="0"/>
    <n v="35"/>
    <x v="0"/>
    <n v="14.05"/>
    <n v="18.57"/>
    <n v="4.59"/>
    <n v="0.16"/>
    <n v="37.21"/>
    <n v="37.369999999999997"/>
    <m/>
  </r>
  <r>
    <x v="67"/>
    <x v="5"/>
    <n v="2023"/>
    <n v="3"/>
    <s v="Mar"/>
    <x v="1"/>
    <n v="28"/>
    <x v="1"/>
    <n v="820.2"/>
    <n v="1080.18"/>
    <n v="1301.1500000000001"/>
    <n v="330.31"/>
    <n v="3201.53"/>
    <n v="3531.84"/>
    <m/>
  </r>
  <r>
    <x v="67"/>
    <x v="5"/>
    <n v="2023"/>
    <n v="3"/>
    <s v="Mar"/>
    <x v="2"/>
    <n v="12"/>
    <x v="1"/>
    <n v="59.8"/>
    <n v="71.97"/>
    <n v="12.23"/>
    <n v="0.44"/>
    <n v="144"/>
    <n v="144.44"/>
    <m/>
  </r>
  <r>
    <x v="67"/>
    <x v="5"/>
    <n v="2023"/>
    <n v="3"/>
    <s v="Mar"/>
    <x v="3"/>
    <n v="18"/>
    <x v="1"/>
    <n v="388.43"/>
    <n v="486.32"/>
    <n v="345.59"/>
    <n v="59.99"/>
    <n v="1220.3399999999999"/>
    <n v="1280.33"/>
    <m/>
  </r>
  <r>
    <x v="67"/>
    <x v="5"/>
    <n v="2023"/>
    <n v="3"/>
    <s v="Mar"/>
    <x v="4"/>
    <n v="10"/>
    <x v="1"/>
    <n v="480.13"/>
    <n v="865.22"/>
    <n v="209.13"/>
    <n v="189.61"/>
    <n v="1554.48"/>
    <n v="1744.09"/>
    <m/>
  </r>
  <r>
    <x v="67"/>
    <x v="5"/>
    <n v="2023"/>
    <n v="3"/>
    <s v="Mar"/>
    <x v="5"/>
    <n v="4"/>
    <x v="0"/>
    <n v="40.36"/>
    <n v="51.67"/>
    <n v="109.59"/>
    <n v="0.67"/>
    <n v="201.62"/>
    <n v="202.29"/>
    <m/>
  </r>
  <r>
    <x v="67"/>
    <x v="5"/>
    <n v="2023"/>
    <n v="3"/>
    <s v="Mar"/>
    <x v="6"/>
    <n v="22"/>
    <x v="1"/>
    <n v="590.21"/>
    <n v="723.72"/>
    <n v="1066.31"/>
    <n v="636.47"/>
    <n v="2380.2399999999998"/>
    <n v="3016.71"/>
    <m/>
  </r>
  <r>
    <x v="67"/>
    <x v="5"/>
    <n v="2023"/>
    <n v="3"/>
    <s v="Mar"/>
    <x v="7"/>
    <n v="38"/>
    <x v="0"/>
    <n v="44.18"/>
    <n v="56.66"/>
    <n v="207.91"/>
    <n v="0.34"/>
    <n v="308.75"/>
    <n v="309.08999999999997"/>
    <m/>
  </r>
  <r>
    <x v="67"/>
    <x v="5"/>
    <n v="2023"/>
    <n v="3"/>
    <s v="Mar"/>
    <x v="8"/>
    <n v="7"/>
    <x v="0"/>
    <n v="935.59"/>
    <n v="1115.01"/>
    <n v="2686.29"/>
    <n v="103.31"/>
    <n v="4736.8900000000003"/>
    <n v="4840.2"/>
    <m/>
  </r>
  <r>
    <x v="67"/>
    <x v="5"/>
    <n v="2023"/>
    <n v="3"/>
    <s v="Mar"/>
    <x v="9"/>
    <n v="30"/>
    <x v="1"/>
    <n v="143.75"/>
    <n v="188.93"/>
    <n v="178.56"/>
    <n v="3.35"/>
    <n v="511.24"/>
    <n v="514.59"/>
    <m/>
  </r>
  <r>
    <x v="67"/>
    <x v="5"/>
    <n v="2023"/>
    <n v="3"/>
    <s v="Mar"/>
    <x v="10"/>
    <n v="24"/>
    <x v="1"/>
    <n v="2774.52"/>
    <n v="3437.6"/>
    <n v="3219.06"/>
    <n v="487.66"/>
    <n v="9431.18"/>
    <n v="9918.84"/>
    <m/>
  </r>
  <r>
    <x v="67"/>
    <x v="5"/>
    <n v="2023"/>
    <n v="3"/>
    <s v="Mar"/>
    <x v="11"/>
    <n v="6"/>
    <x v="1"/>
    <n v="1229.6300000000001"/>
    <n v="1595.9"/>
    <n v="4498.75"/>
    <n v="455.84"/>
    <n v="7324.28"/>
    <n v="7780.12"/>
    <m/>
  </r>
  <r>
    <x v="67"/>
    <x v="5"/>
    <n v="2023"/>
    <n v="3"/>
    <s v="Mar"/>
    <x v="12"/>
    <n v="2"/>
    <x v="1"/>
    <n v="151.27000000000001"/>
    <n v="196.33"/>
    <n v="390.6"/>
    <n v="1.17"/>
    <n v="738.2"/>
    <n v="739.37"/>
    <m/>
  </r>
  <r>
    <x v="67"/>
    <x v="5"/>
    <n v="2023"/>
    <n v="3"/>
    <s v="Mar"/>
    <x v="13"/>
    <n v="1"/>
    <x v="0"/>
    <n v="157.21"/>
    <n v="216.7"/>
    <n v="97.93"/>
    <n v="4.95"/>
    <n v="471.84"/>
    <n v="476.79"/>
    <m/>
  </r>
  <r>
    <x v="67"/>
    <x v="5"/>
    <n v="2023"/>
    <n v="3"/>
    <s v="Mar"/>
    <x v="14"/>
    <n v="20"/>
    <x v="1"/>
    <n v="588.13"/>
    <n v="779.68"/>
    <n v="1213.5"/>
    <n v="502.11"/>
    <n v="2581.31"/>
    <n v="3083.42"/>
    <m/>
  </r>
  <r>
    <x v="67"/>
    <x v="5"/>
    <n v="2023"/>
    <n v="3"/>
    <s v="Mar"/>
    <x v="15"/>
    <n v="29"/>
    <x v="1"/>
    <n v="2594.1999999999998"/>
    <n v="3127.52"/>
    <n v="3562.23"/>
    <n v="1076.1400000000001"/>
    <n v="9283.9500000000007"/>
    <n v="10360.09"/>
    <m/>
  </r>
  <r>
    <x v="67"/>
    <x v="5"/>
    <n v="2023"/>
    <n v="3"/>
    <s v="Mar"/>
    <x v="16"/>
    <n v="32"/>
    <x v="1"/>
    <n v="810.65"/>
    <n v="1064.1500000000001"/>
    <n v="476.1"/>
    <n v="3.01"/>
    <n v="2350.9"/>
    <n v="2353.91"/>
    <m/>
  </r>
  <r>
    <x v="67"/>
    <x v="5"/>
    <n v="2023"/>
    <n v="3"/>
    <s v="Mar"/>
    <x v="35"/>
    <n v="37"/>
    <x v="0"/>
    <n v="8.68"/>
    <n v="11.49"/>
    <n v="2.36"/>
    <n v="0.09"/>
    <n v="22.53"/>
    <n v="22.62"/>
    <m/>
  </r>
  <r>
    <x v="67"/>
    <x v="5"/>
    <n v="2023"/>
    <n v="3"/>
    <s v="Mar"/>
    <x v="17"/>
    <n v="31"/>
    <x v="0"/>
    <n v="1.22"/>
    <n v="1.27"/>
    <n v="0.22"/>
    <n v="0"/>
    <n v="2.71"/>
    <n v="2.71"/>
    <m/>
  </r>
  <r>
    <x v="67"/>
    <x v="5"/>
    <n v="2023"/>
    <n v="3"/>
    <s v="Mar"/>
    <x v="18"/>
    <n v="23"/>
    <x v="1"/>
    <n v="830.32"/>
    <n v="1043.19"/>
    <n v="908.88"/>
    <n v="563.9"/>
    <n v="2782.39"/>
    <n v="3346.29"/>
    <m/>
  </r>
  <r>
    <x v="67"/>
    <x v="5"/>
    <n v="2023"/>
    <n v="3"/>
    <s v="Mar"/>
    <x v="19"/>
    <n v="27"/>
    <x v="1"/>
    <n v="6486.49"/>
    <n v="7622.28"/>
    <n v="6952.14"/>
    <n v="1634"/>
    <n v="21060.91"/>
    <n v="22694.91"/>
    <m/>
  </r>
  <r>
    <x v="67"/>
    <x v="5"/>
    <n v="2023"/>
    <n v="3"/>
    <s v="Mar"/>
    <x v="20"/>
    <n v="14"/>
    <x v="1"/>
    <n v="24.79"/>
    <n v="32.94"/>
    <n v="6.89"/>
    <n v="0.61"/>
    <n v="64.62"/>
    <n v="65.23"/>
    <m/>
  </r>
  <r>
    <x v="67"/>
    <x v="5"/>
    <n v="2023"/>
    <n v="3"/>
    <s v="Mar"/>
    <x v="21"/>
    <n v="17"/>
    <x v="1"/>
    <n v="41.46"/>
    <n v="53.68"/>
    <n v="106.03"/>
    <n v="0.59"/>
    <n v="201.17"/>
    <n v="201.76"/>
    <m/>
  </r>
  <r>
    <x v="67"/>
    <x v="5"/>
    <n v="2023"/>
    <n v="3"/>
    <s v="Mar"/>
    <x v="22"/>
    <n v="15"/>
    <x v="1"/>
    <n v="26.18"/>
    <n v="40.36"/>
    <n v="3.69"/>
    <n v="0.06"/>
    <n v="70.23"/>
    <n v="70.290000000000006"/>
    <m/>
  </r>
  <r>
    <x v="67"/>
    <x v="5"/>
    <n v="2023"/>
    <n v="3"/>
    <s v="Mar"/>
    <x v="23"/>
    <n v="13"/>
    <x v="1"/>
    <n v="16.88"/>
    <n v="24.57"/>
    <n v="9.91"/>
    <n v="6.3"/>
    <n v="51.36"/>
    <n v="57.66"/>
    <m/>
  </r>
  <r>
    <x v="67"/>
    <x v="5"/>
    <n v="2023"/>
    <n v="3"/>
    <s v="Mar"/>
    <x v="24"/>
    <n v="21"/>
    <x v="1"/>
    <n v="1146.1500000000001"/>
    <n v="1432.38"/>
    <n v="1447.91"/>
    <n v="722.58"/>
    <n v="4026.44"/>
    <n v="4749.0200000000004"/>
    <m/>
  </r>
  <r>
    <x v="67"/>
    <x v="5"/>
    <n v="2023"/>
    <n v="3"/>
    <s v="Mar"/>
    <x v="25"/>
    <n v="34"/>
    <x v="0"/>
    <n v="25.14"/>
    <n v="36.840000000000003"/>
    <n v="140.66"/>
    <n v="1.19"/>
    <n v="202.64"/>
    <n v="203.83"/>
    <m/>
  </r>
  <r>
    <x v="67"/>
    <x v="5"/>
    <n v="2023"/>
    <n v="3"/>
    <s v="Mar"/>
    <x v="26"/>
    <n v="3"/>
    <x v="1"/>
    <n v="435.12"/>
    <n v="637.58000000000004"/>
    <n v="629.09"/>
    <n v="33.049999999999997"/>
    <n v="1701.79"/>
    <n v="1734.84"/>
    <m/>
  </r>
  <r>
    <x v="67"/>
    <x v="5"/>
    <n v="2023"/>
    <n v="3"/>
    <s v="Mar"/>
    <x v="27"/>
    <n v="8"/>
    <x v="1"/>
    <n v="1104.17"/>
    <n v="1409.02"/>
    <n v="1536.58"/>
    <n v="104.49"/>
    <n v="4049.77"/>
    <n v="4154.26"/>
    <m/>
  </r>
  <r>
    <x v="67"/>
    <x v="5"/>
    <n v="2023"/>
    <n v="3"/>
    <s v="Mar"/>
    <x v="28"/>
    <n v="11"/>
    <x v="1"/>
    <n v="19.62"/>
    <n v="27.89"/>
    <n v="214.86"/>
    <n v="0.05"/>
    <n v="262.37"/>
    <n v="262.42"/>
    <m/>
  </r>
  <r>
    <x v="67"/>
    <x v="5"/>
    <n v="2023"/>
    <n v="3"/>
    <s v="Mar"/>
    <x v="29"/>
    <n v="33"/>
    <x v="1"/>
    <n v="2467.7399999999998"/>
    <n v="3424.06"/>
    <n v="2779.24"/>
    <n v="574.12"/>
    <n v="8671.0400000000009"/>
    <n v="9245.16"/>
    <m/>
  </r>
  <r>
    <x v="67"/>
    <x v="5"/>
    <n v="2023"/>
    <n v="3"/>
    <s v="Mar"/>
    <x v="30"/>
    <n v="36"/>
    <x v="1"/>
    <n v="1267.97"/>
    <n v="1583.09"/>
    <n v="1378.89"/>
    <n v="574.19000000000005"/>
    <n v="4229.95"/>
    <n v="4804.1400000000003"/>
    <m/>
  </r>
  <r>
    <x v="67"/>
    <x v="5"/>
    <n v="2023"/>
    <n v="3"/>
    <s v="Mar"/>
    <x v="31"/>
    <n v="16"/>
    <x v="1"/>
    <n v="36.33"/>
    <n v="45.02"/>
    <n v="9.0299999999999994"/>
    <n v="0.05"/>
    <n v="90.38"/>
    <n v="90.43"/>
    <m/>
  </r>
  <r>
    <x v="67"/>
    <x v="5"/>
    <n v="2023"/>
    <n v="3"/>
    <s v="Mar"/>
    <x v="32"/>
    <n v="9"/>
    <x v="1"/>
    <n v="1793.78"/>
    <n v="2465.8000000000002"/>
    <n v="2351.29"/>
    <n v="1002.59"/>
    <n v="6610.87"/>
    <n v="7613.46"/>
    <m/>
  </r>
  <r>
    <x v="67"/>
    <x v="5"/>
    <n v="2023"/>
    <n v="3"/>
    <s v="Mar"/>
    <x v="33"/>
    <n v="5"/>
    <x v="1"/>
    <n v="314.95999999999998"/>
    <n v="422.11"/>
    <n v="774.12"/>
    <n v="11.99"/>
    <n v="1511.19"/>
    <n v="1523.18"/>
    <m/>
  </r>
  <r>
    <x v="67"/>
    <x v="5"/>
    <n v="2023"/>
    <n v="3"/>
    <s v="Mar"/>
    <x v="34"/>
    <n v="19"/>
    <x v="1"/>
    <n v="1651.82"/>
    <n v="1888.56"/>
    <n v="1242.3599999999999"/>
    <n v="309.64"/>
    <n v="4782.74"/>
    <n v="5092.38"/>
    <m/>
  </r>
  <r>
    <x v="68"/>
    <x v="6"/>
    <n v="2023"/>
    <n v="4"/>
    <s v="Apr"/>
    <x v="0"/>
    <n v="35"/>
    <x v="0"/>
    <n v="39.409999999999997"/>
    <n v="46.41"/>
    <n v="6.02"/>
    <n v="0.09"/>
    <n v="91.84"/>
    <n v="91.93"/>
    <m/>
  </r>
  <r>
    <x v="68"/>
    <x v="6"/>
    <n v="2023"/>
    <n v="4"/>
    <s v="Apr"/>
    <x v="1"/>
    <n v="28"/>
    <x v="1"/>
    <n v="1059.28"/>
    <n v="1348.09"/>
    <n v="1667.68"/>
    <n v="254.33"/>
    <n v="4075.05"/>
    <n v="4329.38"/>
    <m/>
  </r>
  <r>
    <x v="68"/>
    <x v="6"/>
    <n v="2023"/>
    <n v="4"/>
    <s v="Apr"/>
    <x v="2"/>
    <n v="12"/>
    <x v="1"/>
    <n v="100.84"/>
    <n v="122.08"/>
    <n v="15.12"/>
    <n v="0.33"/>
    <n v="238.04"/>
    <n v="238.37"/>
    <m/>
  </r>
  <r>
    <x v="68"/>
    <x v="6"/>
    <n v="2023"/>
    <n v="4"/>
    <s v="Apr"/>
    <x v="3"/>
    <n v="18"/>
    <x v="1"/>
    <n v="480.53"/>
    <n v="607.72"/>
    <n v="360.27"/>
    <n v="64.290000000000006"/>
    <n v="1448.52"/>
    <n v="1512.81"/>
    <m/>
  </r>
  <r>
    <x v="68"/>
    <x v="6"/>
    <n v="2023"/>
    <n v="4"/>
    <s v="Apr"/>
    <x v="4"/>
    <n v="10"/>
    <x v="1"/>
    <n v="495.98"/>
    <n v="796.14"/>
    <n v="209.28"/>
    <n v="123.81"/>
    <n v="1501.4"/>
    <n v="1625.21"/>
    <m/>
  </r>
  <r>
    <x v="68"/>
    <x v="6"/>
    <n v="2023"/>
    <n v="4"/>
    <s v="Apr"/>
    <x v="5"/>
    <n v="4"/>
    <x v="0"/>
    <n v="46.5"/>
    <n v="62.83"/>
    <n v="143.44"/>
    <n v="1.83"/>
    <n v="252.77"/>
    <n v="254.6"/>
    <m/>
  </r>
  <r>
    <x v="68"/>
    <x v="6"/>
    <n v="2023"/>
    <n v="4"/>
    <s v="Apr"/>
    <x v="6"/>
    <n v="22"/>
    <x v="1"/>
    <n v="757.91"/>
    <n v="879.53"/>
    <n v="1183.1400000000001"/>
    <n v="687.46"/>
    <n v="2820.58"/>
    <n v="3508.04"/>
    <m/>
  </r>
  <r>
    <x v="68"/>
    <x v="6"/>
    <n v="2023"/>
    <n v="4"/>
    <s v="Apr"/>
    <x v="7"/>
    <n v="38"/>
    <x v="0"/>
    <n v="46"/>
    <n v="61.59"/>
    <n v="290.42"/>
    <n v="0.86"/>
    <n v="398.01"/>
    <n v="398.87"/>
    <m/>
  </r>
  <r>
    <x v="68"/>
    <x v="6"/>
    <n v="2023"/>
    <n v="4"/>
    <s v="Apr"/>
    <x v="8"/>
    <n v="7"/>
    <x v="0"/>
    <n v="1358.48"/>
    <n v="1637.88"/>
    <n v="3240.97"/>
    <n v="83.05"/>
    <n v="6237.33"/>
    <n v="6320.38"/>
    <m/>
  </r>
  <r>
    <x v="68"/>
    <x v="6"/>
    <n v="2023"/>
    <n v="4"/>
    <s v="Apr"/>
    <x v="9"/>
    <n v="30"/>
    <x v="1"/>
    <n v="177.24"/>
    <n v="236.84"/>
    <n v="201.01"/>
    <n v="4.51"/>
    <n v="615.09"/>
    <n v="619.6"/>
    <m/>
  </r>
  <r>
    <x v="68"/>
    <x v="6"/>
    <n v="2023"/>
    <n v="4"/>
    <s v="Apr"/>
    <x v="10"/>
    <n v="24"/>
    <x v="1"/>
    <n v="3436.53"/>
    <n v="4064.5"/>
    <n v="3555.91"/>
    <n v="664.43"/>
    <n v="11056.94"/>
    <n v="11721.37"/>
    <m/>
  </r>
  <r>
    <x v="68"/>
    <x v="6"/>
    <n v="2023"/>
    <n v="4"/>
    <s v="Apr"/>
    <x v="11"/>
    <n v="6"/>
    <x v="1"/>
    <n v="1424.32"/>
    <n v="1871.45"/>
    <n v="6228.45"/>
    <n v="511.19"/>
    <n v="9524.2199999999993"/>
    <n v="10035.41"/>
    <m/>
  </r>
  <r>
    <x v="68"/>
    <x v="6"/>
    <n v="2023"/>
    <n v="4"/>
    <s v="Apr"/>
    <x v="12"/>
    <n v="2"/>
    <x v="1"/>
    <n v="213.6"/>
    <n v="301.06"/>
    <n v="439.84"/>
    <n v="2.2400000000000002"/>
    <n v="954.5"/>
    <n v="956.74"/>
    <m/>
  </r>
  <r>
    <x v="68"/>
    <x v="6"/>
    <n v="2023"/>
    <n v="4"/>
    <s v="Apr"/>
    <x v="13"/>
    <n v="1"/>
    <x v="0"/>
    <n v="285.02"/>
    <n v="394.05"/>
    <n v="116.08"/>
    <n v="8.33"/>
    <n v="795.15"/>
    <n v="803.48"/>
    <m/>
  </r>
  <r>
    <x v="68"/>
    <x v="6"/>
    <n v="2023"/>
    <n v="4"/>
    <s v="Apr"/>
    <x v="14"/>
    <n v="20"/>
    <x v="1"/>
    <n v="707.01"/>
    <n v="951.5"/>
    <n v="1450.81"/>
    <n v="591.91"/>
    <n v="3109.32"/>
    <n v="3701.23"/>
    <m/>
  </r>
  <r>
    <x v="68"/>
    <x v="6"/>
    <n v="2023"/>
    <n v="4"/>
    <s v="Apr"/>
    <x v="15"/>
    <n v="29"/>
    <x v="1"/>
    <n v="3578.49"/>
    <n v="4298.32"/>
    <n v="5277.34"/>
    <n v="1439.14"/>
    <n v="13154.15"/>
    <n v="14593.29"/>
    <m/>
  </r>
  <r>
    <x v="68"/>
    <x v="6"/>
    <n v="2023"/>
    <n v="4"/>
    <s v="Apr"/>
    <x v="16"/>
    <n v="32"/>
    <x v="1"/>
    <n v="1023.57"/>
    <n v="1365.59"/>
    <n v="607.29"/>
    <n v="13.57"/>
    <n v="2996.45"/>
    <n v="3010.02"/>
    <m/>
  </r>
  <r>
    <x v="68"/>
    <x v="6"/>
    <n v="2023"/>
    <n v="4"/>
    <s v="Apr"/>
    <x v="35"/>
    <n v="37"/>
    <x v="0"/>
    <n v="28.26"/>
    <n v="33.51"/>
    <n v="5.81"/>
    <n v="0.04"/>
    <n v="67.58"/>
    <n v="67.62"/>
    <m/>
  </r>
  <r>
    <x v="68"/>
    <x v="6"/>
    <n v="2023"/>
    <n v="4"/>
    <s v="Apr"/>
    <x v="17"/>
    <n v="31"/>
    <x v="0"/>
    <n v="0.91"/>
    <n v="1.07"/>
    <n v="0.84"/>
    <n v="0"/>
    <n v="2.82"/>
    <n v="2.82"/>
    <m/>
  </r>
  <r>
    <x v="68"/>
    <x v="6"/>
    <n v="2023"/>
    <n v="4"/>
    <s v="Apr"/>
    <x v="18"/>
    <n v="23"/>
    <x v="1"/>
    <n v="1004.45"/>
    <n v="1286.6199999999999"/>
    <n v="1322.22"/>
    <n v="653.75"/>
    <n v="3613.29"/>
    <n v="4267.04"/>
    <m/>
  </r>
  <r>
    <x v="68"/>
    <x v="6"/>
    <n v="2023"/>
    <n v="4"/>
    <s v="Apr"/>
    <x v="19"/>
    <n v="27"/>
    <x v="1"/>
    <n v="9002.02"/>
    <n v="10391.91"/>
    <n v="11917.68"/>
    <n v="1884.15"/>
    <n v="31311.61"/>
    <n v="33195.760000000002"/>
    <m/>
  </r>
  <r>
    <x v="68"/>
    <x v="6"/>
    <n v="2023"/>
    <n v="4"/>
    <s v="Apr"/>
    <x v="20"/>
    <n v="14"/>
    <x v="1"/>
    <n v="34.270000000000003"/>
    <n v="49.85"/>
    <n v="6.32"/>
    <n v="0.28000000000000003"/>
    <n v="90.44"/>
    <n v="90.72"/>
    <m/>
  </r>
  <r>
    <x v="68"/>
    <x v="6"/>
    <n v="2023"/>
    <n v="4"/>
    <s v="Apr"/>
    <x v="21"/>
    <n v="17"/>
    <x v="1"/>
    <n v="51.14"/>
    <n v="69.48"/>
    <n v="116.72"/>
    <n v="2.08"/>
    <n v="237.34"/>
    <n v="239.42"/>
    <m/>
  </r>
  <r>
    <x v="68"/>
    <x v="6"/>
    <n v="2023"/>
    <n v="4"/>
    <s v="Apr"/>
    <x v="22"/>
    <n v="15"/>
    <x v="1"/>
    <n v="25.38"/>
    <n v="40.78"/>
    <n v="4.7"/>
    <n v="7.0000000000000007E-2"/>
    <n v="70.86"/>
    <n v="70.930000000000007"/>
    <m/>
  </r>
  <r>
    <x v="68"/>
    <x v="6"/>
    <n v="2023"/>
    <n v="4"/>
    <s v="Apr"/>
    <x v="23"/>
    <n v="13"/>
    <x v="1"/>
    <n v="27.97"/>
    <n v="35.65"/>
    <n v="15.33"/>
    <n v="9.15"/>
    <n v="78.95"/>
    <n v="88.1"/>
    <m/>
  </r>
  <r>
    <x v="68"/>
    <x v="6"/>
    <n v="2023"/>
    <n v="4"/>
    <s v="Apr"/>
    <x v="24"/>
    <n v="21"/>
    <x v="1"/>
    <n v="1400.05"/>
    <n v="1659.57"/>
    <n v="1195.53"/>
    <n v="780.59"/>
    <n v="4255.1499999999996"/>
    <n v="5035.74"/>
    <m/>
  </r>
  <r>
    <x v="68"/>
    <x v="6"/>
    <n v="2023"/>
    <n v="4"/>
    <s v="Apr"/>
    <x v="25"/>
    <n v="34"/>
    <x v="0"/>
    <n v="28.07"/>
    <n v="42.41"/>
    <n v="147.32"/>
    <n v="0.19"/>
    <n v="217.8"/>
    <n v="217.99"/>
    <m/>
  </r>
  <r>
    <x v="68"/>
    <x v="6"/>
    <n v="2023"/>
    <n v="4"/>
    <s v="Apr"/>
    <x v="26"/>
    <n v="3"/>
    <x v="1"/>
    <n v="594.65"/>
    <n v="860.42"/>
    <n v="816.16"/>
    <n v="45.02"/>
    <n v="2271.23"/>
    <n v="2316.25"/>
    <m/>
  </r>
  <r>
    <x v="68"/>
    <x v="6"/>
    <n v="2023"/>
    <n v="4"/>
    <s v="Apr"/>
    <x v="27"/>
    <n v="8"/>
    <x v="1"/>
    <n v="1372.32"/>
    <n v="1741.02"/>
    <n v="1525.78"/>
    <n v="146.22999999999999"/>
    <n v="4639.12"/>
    <n v="4785.3500000000004"/>
    <m/>
  </r>
  <r>
    <x v="68"/>
    <x v="6"/>
    <n v="2023"/>
    <n v="4"/>
    <s v="Apr"/>
    <x v="28"/>
    <n v="11"/>
    <x v="1"/>
    <n v="78.760000000000005"/>
    <n v="110.17"/>
    <n v="236.94"/>
    <n v="0.12"/>
    <n v="425.87"/>
    <n v="425.99"/>
    <m/>
  </r>
  <r>
    <x v="68"/>
    <x v="6"/>
    <n v="2023"/>
    <n v="4"/>
    <s v="Apr"/>
    <x v="29"/>
    <n v="33"/>
    <x v="1"/>
    <n v="3157.72"/>
    <n v="3682.12"/>
    <n v="3821.2"/>
    <n v="897.78"/>
    <n v="10661.04"/>
    <n v="11558.82"/>
    <m/>
  </r>
  <r>
    <x v="68"/>
    <x v="6"/>
    <n v="2023"/>
    <n v="4"/>
    <s v="Apr"/>
    <x v="30"/>
    <n v="36"/>
    <x v="1"/>
    <n v="1417.89"/>
    <n v="1822.98"/>
    <n v="1838.37"/>
    <n v="543.14"/>
    <n v="5079.24"/>
    <n v="5622.38"/>
    <m/>
  </r>
  <r>
    <x v="68"/>
    <x v="6"/>
    <n v="2023"/>
    <n v="4"/>
    <s v="Apr"/>
    <x v="31"/>
    <n v="16"/>
    <x v="1"/>
    <n v="49.43"/>
    <n v="69.95"/>
    <n v="13.53"/>
    <n v="0.47"/>
    <n v="132.91"/>
    <n v="133.38"/>
    <m/>
  </r>
  <r>
    <x v="68"/>
    <x v="6"/>
    <n v="2023"/>
    <n v="4"/>
    <s v="Apr"/>
    <x v="32"/>
    <n v="9"/>
    <x v="1"/>
    <n v="2586.6799999999998"/>
    <n v="3476.02"/>
    <n v="2987.57"/>
    <n v="1270.18"/>
    <n v="9050.27"/>
    <n v="10320.450000000001"/>
    <m/>
  </r>
  <r>
    <x v="68"/>
    <x v="6"/>
    <n v="2023"/>
    <n v="4"/>
    <s v="Apr"/>
    <x v="33"/>
    <n v="5"/>
    <x v="1"/>
    <n v="387.32"/>
    <n v="554.33000000000004"/>
    <n v="1191.8399999999999"/>
    <n v="14.94"/>
    <n v="2133.4899999999998"/>
    <n v="2148.4299999999998"/>
    <m/>
  </r>
  <r>
    <x v="68"/>
    <x v="6"/>
    <n v="2023"/>
    <n v="4"/>
    <s v="Apr"/>
    <x v="34"/>
    <n v="19"/>
    <x v="1"/>
    <n v="1949.47"/>
    <n v="2416.36"/>
    <n v="1657.01"/>
    <n v="424.4"/>
    <n v="6022.84"/>
    <n v="6447.24"/>
    <m/>
  </r>
  <r>
    <x v="69"/>
    <x v="6"/>
    <n v="2023"/>
    <n v="5"/>
    <s v="May"/>
    <x v="0"/>
    <n v="35"/>
    <x v="0"/>
    <n v="11.82"/>
    <n v="15.15"/>
    <n v="3.3"/>
    <n v="0.64"/>
    <n v="30.27"/>
    <n v="30.91"/>
    <m/>
  </r>
  <r>
    <x v="69"/>
    <x v="6"/>
    <n v="2023"/>
    <n v="5"/>
    <s v="May"/>
    <x v="1"/>
    <n v="28"/>
    <x v="1"/>
    <n v="801.16"/>
    <n v="1048.17"/>
    <n v="1210.76"/>
    <n v="313.11"/>
    <n v="3060.09"/>
    <n v="3373.2"/>
    <m/>
  </r>
  <r>
    <x v="69"/>
    <x v="6"/>
    <n v="2023"/>
    <n v="5"/>
    <s v="May"/>
    <x v="2"/>
    <n v="12"/>
    <x v="1"/>
    <n v="49.56"/>
    <n v="60.13"/>
    <n v="10.36"/>
    <n v="0.24"/>
    <n v="120.05"/>
    <n v="120.29"/>
    <m/>
  </r>
  <r>
    <x v="69"/>
    <x v="6"/>
    <n v="2023"/>
    <n v="5"/>
    <s v="May"/>
    <x v="3"/>
    <n v="18"/>
    <x v="1"/>
    <n v="356.19"/>
    <n v="487.5"/>
    <n v="322.41000000000003"/>
    <n v="51.05"/>
    <n v="1166.0999999999999"/>
    <n v="1217.1500000000001"/>
    <m/>
  </r>
  <r>
    <x v="69"/>
    <x v="6"/>
    <n v="2023"/>
    <n v="5"/>
    <s v="May"/>
    <x v="4"/>
    <n v="10"/>
    <x v="1"/>
    <n v="365.17"/>
    <n v="623.01"/>
    <n v="175.35"/>
    <n v="202.36"/>
    <n v="1163.53"/>
    <n v="1365.89"/>
    <m/>
  </r>
  <r>
    <x v="69"/>
    <x v="6"/>
    <n v="2023"/>
    <n v="5"/>
    <s v="May"/>
    <x v="5"/>
    <n v="4"/>
    <x v="0"/>
    <n v="36.950000000000003"/>
    <n v="48.26"/>
    <n v="171.78"/>
    <n v="2.37"/>
    <n v="256.99"/>
    <n v="259.36"/>
    <m/>
  </r>
  <r>
    <x v="69"/>
    <x v="6"/>
    <n v="2023"/>
    <n v="5"/>
    <s v="May"/>
    <x v="6"/>
    <n v="22"/>
    <x v="1"/>
    <n v="471.03"/>
    <n v="582.57000000000005"/>
    <n v="821.4"/>
    <n v="649.79"/>
    <n v="1875"/>
    <n v="2524.79"/>
    <m/>
  </r>
  <r>
    <x v="69"/>
    <x v="6"/>
    <n v="2023"/>
    <n v="5"/>
    <s v="May"/>
    <x v="7"/>
    <n v="38"/>
    <x v="0"/>
    <n v="35.85"/>
    <n v="47.04"/>
    <n v="239.82"/>
    <n v="1.3"/>
    <n v="322.70999999999998"/>
    <n v="324.01"/>
    <m/>
  </r>
  <r>
    <x v="69"/>
    <x v="6"/>
    <n v="2023"/>
    <n v="5"/>
    <s v="May"/>
    <x v="8"/>
    <n v="7"/>
    <x v="0"/>
    <n v="1117.48"/>
    <n v="1295.06"/>
    <n v="2622.68"/>
    <n v="112.22"/>
    <n v="5035.22"/>
    <n v="5147.4399999999996"/>
    <m/>
  </r>
  <r>
    <x v="69"/>
    <x v="6"/>
    <n v="2023"/>
    <n v="5"/>
    <s v="May"/>
    <x v="9"/>
    <n v="30"/>
    <x v="1"/>
    <n v="136.32"/>
    <n v="182.47"/>
    <n v="200.55"/>
    <n v="3.49"/>
    <n v="519.34"/>
    <n v="522.83000000000004"/>
    <m/>
  </r>
  <r>
    <x v="69"/>
    <x v="6"/>
    <n v="2023"/>
    <n v="5"/>
    <s v="May"/>
    <x v="10"/>
    <n v="24"/>
    <x v="1"/>
    <n v="2729.13"/>
    <n v="3371.18"/>
    <n v="3025.07"/>
    <n v="674.5"/>
    <n v="9125.3799999999992"/>
    <n v="9799.8799999999992"/>
    <m/>
  </r>
  <r>
    <x v="69"/>
    <x v="6"/>
    <n v="2023"/>
    <n v="5"/>
    <s v="May"/>
    <x v="11"/>
    <n v="6"/>
    <x v="1"/>
    <n v="1227.5"/>
    <n v="1543.74"/>
    <n v="4053.2"/>
    <n v="425.5"/>
    <n v="6824.44"/>
    <n v="7249.94"/>
    <m/>
  </r>
  <r>
    <x v="69"/>
    <x v="6"/>
    <n v="2023"/>
    <n v="5"/>
    <s v="May"/>
    <x v="12"/>
    <n v="2"/>
    <x v="1"/>
    <n v="138.72"/>
    <n v="188.75"/>
    <n v="499.13"/>
    <n v="1.85"/>
    <n v="826.6"/>
    <n v="828.45"/>
    <m/>
  </r>
  <r>
    <x v="69"/>
    <x v="6"/>
    <n v="2023"/>
    <n v="5"/>
    <s v="May"/>
    <x v="13"/>
    <n v="1"/>
    <x v="0"/>
    <n v="114.27"/>
    <n v="178.17"/>
    <n v="119.75"/>
    <n v="9.65"/>
    <n v="412.19"/>
    <n v="421.84"/>
    <m/>
  </r>
  <r>
    <x v="69"/>
    <x v="6"/>
    <n v="2023"/>
    <n v="5"/>
    <s v="May"/>
    <x v="14"/>
    <n v="20"/>
    <x v="1"/>
    <n v="434.03"/>
    <n v="653.44000000000005"/>
    <n v="904.45"/>
    <n v="592.44000000000005"/>
    <n v="1991.92"/>
    <n v="2584.36"/>
    <m/>
  </r>
  <r>
    <x v="69"/>
    <x v="6"/>
    <n v="2023"/>
    <n v="5"/>
    <s v="May"/>
    <x v="15"/>
    <n v="29"/>
    <x v="1"/>
    <n v="2462.85"/>
    <n v="3022.24"/>
    <n v="3582.08"/>
    <n v="1249.57"/>
    <n v="9067.17"/>
    <n v="10316.74"/>
    <m/>
  </r>
  <r>
    <x v="69"/>
    <x v="6"/>
    <n v="2023"/>
    <n v="5"/>
    <s v="May"/>
    <x v="16"/>
    <n v="32"/>
    <x v="1"/>
    <n v="802.24"/>
    <n v="1040.19"/>
    <n v="451.68"/>
    <n v="3.32"/>
    <n v="2294.11"/>
    <n v="2297.4299999999998"/>
    <m/>
  </r>
  <r>
    <x v="69"/>
    <x v="6"/>
    <n v="2023"/>
    <n v="5"/>
    <s v="May"/>
    <x v="35"/>
    <n v="37"/>
    <x v="0"/>
    <n v="11.12"/>
    <n v="13.72"/>
    <n v="1.53"/>
    <n v="0.05"/>
    <n v="26.37"/>
    <n v="26.42"/>
    <m/>
  </r>
  <r>
    <x v="69"/>
    <x v="6"/>
    <n v="2023"/>
    <n v="5"/>
    <s v="May"/>
    <x v="17"/>
    <n v="31"/>
    <x v="0"/>
    <n v="7.0000000000000007E-2"/>
    <n v="0.09"/>
    <n v="1.92"/>
    <n v="0"/>
    <n v="2.08"/>
    <n v="2.08"/>
    <m/>
  </r>
  <r>
    <x v="69"/>
    <x v="6"/>
    <n v="2023"/>
    <n v="5"/>
    <s v="May"/>
    <x v="18"/>
    <n v="23"/>
    <x v="1"/>
    <n v="764.11"/>
    <n v="987.45"/>
    <n v="947.92"/>
    <n v="681.89"/>
    <n v="2699.48"/>
    <n v="3381.37"/>
    <m/>
  </r>
  <r>
    <x v="69"/>
    <x v="6"/>
    <n v="2023"/>
    <n v="5"/>
    <s v="May"/>
    <x v="19"/>
    <n v="27"/>
    <x v="1"/>
    <n v="6480.71"/>
    <n v="7620.58"/>
    <n v="7620.23"/>
    <n v="1814.91"/>
    <n v="21721.52"/>
    <n v="23536.43"/>
    <m/>
  </r>
  <r>
    <x v="69"/>
    <x v="6"/>
    <n v="2023"/>
    <n v="5"/>
    <s v="May"/>
    <x v="20"/>
    <n v="14"/>
    <x v="1"/>
    <n v="13.33"/>
    <n v="23.45"/>
    <n v="2.4500000000000002"/>
    <n v="0.2"/>
    <n v="39.229999999999997"/>
    <n v="39.43"/>
    <m/>
  </r>
  <r>
    <x v="69"/>
    <x v="6"/>
    <n v="2023"/>
    <n v="5"/>
    <s v="May"/>
    <x v="21"/>
    <n v="17"/>
    <x v="1"/>
    <n v="42.55"/>
    <n v="55.6"/>
    <n v="113.41"/>
    <n v="2.74"/>
    <n v="211.56"/>
    <n v="214.3"/>
    <m/>
  </r>
  <r>
    <x v="69"/>
    <x v="6"/>
    <n v="2023"/>
    <n v="5"/>
    <s v="May"/>
    <x v="22"/>
    <n v="15"/>
    <x v="1"/>
    <n v="13.72"/>
    <n v="20.89"/>
    <n v="3.38"/>
    <n v="0.03"/>
    <n v="37.99"/>
    <n v="38.020000000000003"/>
    <m/>
  </r>
  <r>
    <x v="69"/>
    <x v="6"/>
    <n v="2023"/>
    <n v="5"/>
    <s v="May"/>
    <x v="23"/>
    <n v="13"/>
    <x v="1"/>
    <n v="15.44"/>
    <n v="21.15"/>
    <n v="10.76"/>
    <n v="4.6399999999999997"/>
    <n v="47.35"/>
    <n v="51.99"/>
    <m/>
  </r>
  <r>
    <x v="69"/>
    <x v="6"/>
    <n v="2023"/>
    <n v="5"/>
    <s v="May"/>
    <x v="24"/>
    <n v="21"/>
    <x v="1"/>
    <n v="1029.25"/>
    <n v="1254.92"/>
    <n v="1337.55"/>
    <n v="776.01"/>
    <n v="3621.72"/>
    <n v="4397.7299999999996"/>
    <m/>
  </r>
  <r>
    <x v="69"/>
    <x v="6"/>
    <n v="2023"/>
    <n v="5"/>
    <s v="May"/>
    <x v="25"/>
    <n v="34"/>
    <x v="0"/>
    <n v="23.75"/>
    <n v="36.04"/>
    <n v="142.41"/>
    <n v="0.1"/>
    <n v="202.2"/>
    <n v="202.3"/>
    <m/>
  </r>
  <r>
    <x v="69"/>
    <x v="6"/>
    <n v="2023"/>
    <n v="5"/>
    <s v="May"/>
    <x v="26"/>
    <n v="3"/>
    <x v="1"/>
    <n v="406.31"/>
    <n v="638.02"/>
    <n v="663.11"/>
    <n v="37.04"/>
    <n v="1707.44"/>
    <n v="1744.48"/>
    <m/>
  </r>
  <r>
    <x v="69"/>
    <x v="6"/>
    <n v="2023"/>
    <n v="5"/>
    <s v="May"/>
    <x v="27"/>
    <n v="8"/>
    <x v="1"/>
    <n v="1077.56"/>
    <n v="1385.88"/>
    <n v="1337.91"/>
    <n v="122.23"/>
    <n v="3801.35"/>
    <n v="3923.58"/>
    <m/>
  </r>
  <r>
    <x v="69"/>
    <x v="6"/>
    <n v="2023"/>
    <n v="5"/>
    <s v="May"/>
    <x v="28"/>
    <n v="11"/>
    <x v="1"/>
    <n v="25.83"/>
    <n v="30.59"/>
    <n v="277.95999999999998"/>
    <n v="0.04"/>
    <n v="334.38"/>
    <n v="334.42"/>
    <m/>
  </r>
  <r>
    <x v="69"/>
    <x v="6"/>
    <n v="2023"/>
    <n v="5"/>
    <s v="May"/>
    <x v="29"/>
    <n v="33"/>
    <x v="1"/>
    <n v="2398.4899999999998"/>
    <n v="3101.15"/>
    <n v="2783.83"/>
    <n v="669.3"/>
    <n v="8283.4699999999993"/>
    <n v="8952.77"/>
    <m/>
  </r>
  <r>
    <x v="69"/>
    <x v="6"/>
    <n v="2023"/>
    <n v="5"/>
    <s v="May"/>
    <x v="30"/>
    <n v="36"/>
    <x v="1"/>
    <n v="1104.21"/>
    <n v="1448.15"/>
    <n v="1391.22"/>
    <n v="563.02"/>
    <n v="3943.58"/>
    <n v="4506.6000000000004"/>
    <m/>
  </r>
  <r>
    <x v="69"/>
    <x v="6"/>
    <n v="2023"/>
    <n v="5"/>
    <s v="May"/>
    <x v="31"/>
    <n v="16"/>
    <x v="1"/>
    <n v="27.76"/>
    <n v="39.549999999999997"/>
    <n v="7.04"/>
    <n v="0.32"/>
    <n v="74.349999999999994"/>
    <n v="74.67"/>
    <m/>
  </r>
  <r>
    <x v="69"/>
    <x v="6"/>
    <n v="2023"/>
    <n v="5"/>
    <s v="May"/>
    <x v="32"/>
    <n v="9"/>
    <x v="1"/>
    <n v="1744.59"/>
    <n v="2383.89"/>
    <n v="2270.8000000000002"/>
    <n v="1069.08"/>
    <n v="6399.28"/>
    <n v="7468.36"/>
    <m/>
  </r>
  <r>
    <x v="69"/>
    <x v="6"/>
    <n v="2023"/>
    <n v="5"/>
    <s v="May"/>
    <x v="33"/>
    <n v="5"/>
    <x v="1"/>
    <n v="307.39999999999998"/>
    <n v="411.49"/>
    <n v="702.97"/>
    <n v="9.32"/>
    <n v="1421.86"/>
    <n v="1431.18"/>
    <m/>
  </r>
  <r>
    <x v="69"/>
    <x v="6"/>
    <n v="2023"/>
    <n v="5"/>
    <s v="May"/>
    <x v="34"/>
    <n v="19"/>
    <x v="1"/>
    <n v="1625.34"/>
    <n v="1952.4"/>
    <n v="1197.47"/>
    <n v="387.08"/>
    <n v="4775.21"/>
    <n v="5162.29"/>
    <m/>
  </r>
  <r>
    <x v="70"/>
    <x v="6"/>
    <n v="2023"/>
    <n v="6"/>
    <s v="Jun"/>
    <x v="0"/>
    <n v="35"/>
    <x v="0"/>
    <n v="11.49"/>
    <n v="16.21"/>
    <n v="8.15"/>
    <n v="0.13"/>
    <n v="35.85"/>
    <n v="35.979999999999997"/>
    <m/>
  </r>
  <r>
    <x v="70"/>
    <x v="6"/>
    <n v="2023"/>
    <n v="6"/>
    <s v="Jun"/>
    <x v="1"/>
    <n v="28"/>
    <x v="1"/>
    <n v="943.38"/>
    <n v="1187.6400000000001"/>
    <n v="1120.49"/>
    <n v="225.91"/>
    <n v="3251.51"/>
    <n v="3477.42"/>
    <m/>
  </r>
  <r>
    <x v="70"/>
    <x v="6"/>
    <n v="2023"/>
    <n v="6"/>
    <s v="Jun"/>
    <x v="2"/>
    <n v="12"/>
    <x v="1"/>
    <n v="35.46"/>
    <n v="46.61"/>
    <n v="8.49"/>
    <n v="0.05"/>
    <n v="90.56"/>
    <n v="90.61"/>
    <m/>
  </r>
  <r>
    <x v="70"/>
    <x v="6"/>
    <n v="2023"/>
    <n v="6"/>
    <s v="Jun"/>
    <x v="3"/>
    <n v="18"/>
    <x v="1"/>
    <n v="390.44"/>
    <n v="471.72"/>
    <n v="294.57"/>
    <n v="56.32"/>
    <n v="1156.73"/>
    <n v="1213.05"/>
    <m/>
  </r>
  <r>
    <x v="70"/>
    <x v="6"/>
    <n v="2023"/>
    <n v="6"/>
    <s v="Jun"/>
    <x v="4"/>
    <n v="10"/>
    <x v="1"/>
    <n v="419.22"/>
    <n v="653.73"/>
    <n v="179.64"/>
    <n v="184.47"/>
    <n v="1252.5899999999999"/>
    <n v="1437.06"/>
    <m/>
  </r>
  <r>
    <x v="70"/>
    <x v="6"/>
    <n v="2023"/>
    <n v="6"/>
    <s v="Jun"/>
    <x v="5"/>
    <n v="4"/>
    <x v="0"/>
    <n v="50.51"/>
    <n v="64.25"/>
    <n v="111.55"/>
    <n v="0.76"/>
    <n v="226.31"/>
    <n v="227.07"/>
    <m/>
  </r>
  <r>
    <x v="70"/>
    <x v="6"/>
    <n v="2023"/>
    <n v="6"/>
    <s v="Jun"/>
    <x v="6"/>
    <n v="22"/>
    <x v="1"/>
    <n v="606.54999999999995"/>
    <n v="706.2"/>
    <n v="1030.82"/>
    <n v="668.47"/>
    <n v="2343.5700000000002"/>
    <n v="3012.04"/>
    <m/>
  </r>
  <r>
    <x v="70"/>
    <x v="6"/>
    <n v="2023"/>
    <n v="6"/>
    <s v="Jun"/>
    <x v="7"/>
    <n v="38"/>
    <x v="0"/>
    <n v="41.21"/>
    <n v="52.59"/>
    <n v="245.16"/>
    <n v="1.06"/>
    <n v="338.96"/>
    <n v="340.02"/>
    <m/>
  </r>
  <r>
    <x v="70"/>
    <x v="6"/>
    <n v="2023"/>
    <n v="6"/>
    <s v="Jun"/>
    <x v="8"/>
    <n v="7"/>
    <x v="0"/>
    <n v="990.07"/>
    <n v="1161.8599999999999"/>
    <n v="2489.6799999999998"/>
    <n v="102.51"/>
    <n v="4641.6099999999997"/>
    <n v="4744.12"/>
    <m/>
  </r>
  <r>
    <x v="70"/>
    <x v="6"/>
    <n v="2023"/>
    <n v="6"/>
    <s v="Jun"/>
    <x v="9"/>
    <n v="30"/>
    <x v="1"/>
    <n v="139.11000000000001"/>
    <n v="178.46"/>
    <n v="158.63"/>
    <n v="4.24"/>
    <n v="476.2"/>
    <n v="480.44"/>
    <m/>
  </r>
  <r>
    <x v="70"/>
    <x v="6"/>
    <n v="2023"/>
    <n v="6"/>
    <s v="Jun"/>
    <x v="10"/>
    <n v="24"/>
    <x v="1"/>
    <n v="2808.4"/>
    <n v="3500.3"/>
    <n v="3134.63"/>
    <n v="676.38"/>
    <n v="9443.33"/>
    <n v="10119.709999999999"/>
    <m/>
  </r>
  <r>
    <x v="70"/>
    <x v="6"/>
    <n v="2023"/>
    <n v="6"/>
    <s v="Jun"/>
    <x v="11"/>
    <n v="6"/>
    <x v="1"/>
    <n v="1329.12"/>
    <n v="1694.81"/>
    <n v="4427.96"/>
    <n v="536.29999999999995"/>
    <n v="7451.89"/>
    <n v="7988.19"/>
    <m/>
  </r>
  <r>
    <x v="70"/>
    <x v="6"/>
    <n v="2023"/>
    <n v="6"/>
    <s v="Jun"/>
    <x v="12"/>
    <n v="2"/>
    <x v="1"/>
    <n v="165.04"/>
    <n v="225.72"/>
    <n v="446.91"/>
    <n v="2.94"/>
    <n v="837.67"/>
    <n v="840.61"/>
    <m/>
  </r>
  <r>
    <x v="70"/>
    <x v="6"/>
    <n v="2023"/>
    <n v="6"/>
    <s v="Jun"/>
    <x v="13"/>
    <n v="1"/>
    <x v="0"/>
    <n v="194.37"/>
    <n v="256.92"/>
    <n v="125.42"/>
    <n v="11.97"/>
    <n v="576.71"/>
    <n v="588.67999999999995"/>
    <m/>
  </r>
  <r>
    <x v="70"/>
    <x v="6"/>
    <n v="2023"/>
    <n v="6"/>
    <s v="Jun"/>
    <x v="14"/>
    <n v="20"/>
    <x v="1"/>
    <n v="524.08000000000004"/>
    <n v="696.62"/>
    <n v="1036.28"/>
    <n v="573.23"/>
    <n v="2256.98"/>
    <n v="2830.21"/>
    <m/>
  </r>
  <r>
    <x v="70"/>
    <x v="6"/>
    <n v="2023"/>
    <n v="6"/>
    <s v="Jun"/>
    <x v="15"/>
    <n v="29"/>
    <x v="1"/>
    <n v="2568.52"/>
    <n v="3098.19"/>
    <n v="4143.6000000000004"/>
    <n v="1382.89"/>
    <n v="9810.31"/>
    <n v="11193.2"/>
    <m/>
  </r>
  <r>
    <x v="70"/>
    <x v="6"/>
    <n v="2023"/>
    <n v="6"/>
    <s v="Jun"/>
    <x v="16"/>
    <n v="32"/>
    <x v="1"/>
    <n v="1029.68"/>
    <n v="1284.25"/>
    <n v="407.81"/>
    <n v="3.35"/>
    <n v="2721.74"/>
    <n v="2725.09"/>
    <m/>
  </r>
  <r>
    <x v="70"/>
    <x v="6"/>
    <n v="2023"/>
    <n v="6"/>
    <s v="Jun"/>
    <x v="35"/>
    <n v="37"/>
    <x v="0"/>
    <n v="5.5"/>
    <n v="6.72"/>
    <n v="2.34"/>
    <n v="0"/>
    <n v="14.56"/>
    <n v="14.56"/>
    <m/>
  </r>
  <r>
    <x v="70"/>
    <x v="6"/>
    <n v="2023"/>
    <n v="6"/>
    <s v="Jun"/>
    <x v="17"/>
    <n v="31"/>
    <x v="0"/>
    <n v="10.51"/>
    <n v="10.59"/>
    <n v="0.76"/>
    <n v="0"/>
    <n v="21.86"/>
    <n v="21.86"/>
    <m/>
  </r>
  <r>
    <x v="70"/>
    <x v="6"/>
    <n v="2023"/>
    <n v="6"/>
    <s v="Jun"/>
    <x v="18"/>
    <n v="23"/>
    <x v="1"/>
    <n v="820.65"/>
    <n v="1037.27"/>
    <n v="889.85"/>
    <n v="637.44000000000005"/>
    <n v="2747.77"/>
    <n v="3385.21"/>
    <m/>
  </r>
  <r>
    <x v="70"/>
    <x v="6"/>
    <n v="2023"/>
    <n v="6"/>
    <s v="Jun"/>
    <x v="19"/>
    <n v="27"/>
    <x v="1"/>
    <n v="7381.73"/>
    <n v="8453.56"/>
    <n v="8436.17"/>
    <n v="1827.32"/>
    <n v="24271.46"/>
    <n v="26098.78"/>
    <m/>
  </r>
  <r>
    <x v="70"/>
    <x v="6"/>
    <n v="2023"/>
    <n v="6"/>
    <s v="Jun"/>
    <x v="20"/>
    <n v="14"/>
    <x v="1"/>
    <n v="25"/>
    <n v="31.53"/>
    <n v="3.83"/>
    <n v="0"/>
    <n v="60.36"/>
    <n v="60.36"/>
    <m/>
  </r>
  <r>
    <x v="70"/>
    <x v="6"/>
    <n v="2023"/>
    <n v="6"/>
    <s v="Jun"/>
    <x v="21"/>
    <n v="17"/>
    <x v="1"/>
    <n v="36.79"/>
    <n v="44.02"/>
    <n v="111.31"/>
    <n v="2.0299999999999998"/>
    <n v="192.12"/>
    <n v="194.15"/>
    <m/>
  </r>
  <r>
    <x v="70"/>
    <x v="6"/>
    <n v="2023"/>
    <n v="6"/>
    <s v="Jun"/>
    <x v="22"/>
    <n v="15"/>
    <x v="1"/>
    <n v="19.64"/>
    <n v="31.45"/>
    <n v="4.2300000000000004"/>
    <n v="0.05"/>
    <n v="55.32"/>
    <n v="55.37"/>
    <m/>
  </r>
  <r>
    <x v="70"/>
    <x v="6"/>
    <n v="2023"/>
    <n v="6"/>
    <s v="Jun"/>
    <x v="23"/>
    <n v="13"/>
    <x v="1"/>
    <n v="30.69"/>
    <n v="33.840000000000003"/>
    <n v="10.47"/>
    <n v="4.2"/>
    <n v="75"/>
    <n v="79.2"/>
    <m/>
  </r>
  <r>
    <x v="70"/>
    <x v="6"/>
    <n v="2023"/>
    <n v="6"/>
    <s v="Jun"/>
    <x v="24"/>
    <n v="21"/>
    <x v="1"/>
    <n v="1130.1400000000001"/>
    <n v="1322.65"/>
    <n v="1122.3900000000001"/>
    <n v="804.79"/>
    <n v="3575.18"/>
    <n v="4379.97"/>
    <m/>
  </r>
  <r>
    <x v="70"/>
    <x v="6"/>
    <n v="2023"/>
    <n v="6"/>
    <s v="Jun"/>
    <x v="25"/>
    <n v="34"/>
    <x v="0"/>
    <n v="25.96"/>
    <n v="41.11"/>
    <n v="143.1"/>
    <n v="0.21"/>
    <n v="210.17"/>
    <n v="210.38"/>
    <m/>
  </r>
  <r>
    <x v="70"/>
    <x v="6"/>
    <n v="2023"/>
    <n v="6"/>
    <s v="Jun"/>
    <x v="26"/>
    <n v="3"/>
    <x v="1"/>
    <n v="505.12"/>
    <n v="726.45"/>
    <n v="694.14"/>
    <n v="40.22"/>
    <n v="1925.71"/>
    <n v="1965.93"/>
    <m/>
  </r>
  <r>
    <x v="70"/>
    <x v="6"/>
    <n v="2023"/>
    <n v="6"/>
    <s v="Jun"/>
    <x v="27"/>
    <n v="8"/>
    <x v="1"/>
    <n v="1100.47"/>
    <n v="1394.85"/>
    <n v="1271.81"/>
    <n v="124.87"/>
    <n v="3767.13"/>
    <n v="3892"/>
    <m/>
  </r>
  <r>
    <x v="70"/>
    <x v="6"/>
    <n v="2023"/>
    <n v="6"/>
    <s v="Jun"/>
    <x v="28"/>
    <n v="11"/>
    <x v="1"/>
    <n v="20.7"/>
    <n v="25.27"/>
    <n v="241.49"/>
    <n v="0.05"/>
    <n v="287.45999999999998"/>
    <n v="287.51"/>
    <m/>
  </r>
  <r>
    <x v="70"/>
    <x v="6"/>
    <n v="2023"/>
    <n v="6"/>
    <s v="Jun"/>
    <x v="29"/>
    <n v="33"/>
    <x v="1"/>
    <n v="2574.6"/>
    <n v="3253.75"/>
    <n v="3052.98"/>
    <n v="719.31"/>
    <n v="8881.33"/>
    <n v="9600.64"/>
    <m/>
  </r>
  <r>
    <x v="70"/>
    <x v="6"/>
    <n v="2023"/>
    <n v="6"/>
    <s v="Jun"/>
    <x v="30"/>
    <n v="36"/>
    <x v="1"/>
    <n v="1242.1199999999999"/>
    <n v="1575.13"/>
    <n v="1326.67"/>
    <n v="537.47"/>
    <n v="4143.92"/>
    <n v="4681.3900000000003"/>
    <m/>
  </r>
  <r>
    <x v="70"/>
    <x v="6"/>
    <n v="2023"/>
    <n v="6"/>
    <s v="Jun"/>
    <x v="31"/>
    <n v="16"/>
    <x v="1"/>
    <n v="29.19"/>
    <n v="38.54"/>
    <n v="7.35"/>
    <n v="0.08"/>
    <n v="75.08"/>
    <n v="75.16"/>
    <m/>
  </r>
  <r>
    <x v="70"/>
    <x v="6"/>
    <n v="2023"/>
    <n v="6"/>
    <s v="Jun"/>
    <x v="32"/>
    <n v="9"/>
    <x v="1"/>
    <n v="1869.7"/>
    <n v="2562.73"/>
    <n v="2308.25"/>
    <n v="1363.47"/>
    <n v="6740.68"/>
    <n v="8104.15"/>
    <m/>
  </r>
  <r>
    <x v="70"/>
    <x v="6"/>
    <n v="2023"/>
    <n v="6"/>
    <s v="Jun"/>
    <x v="33"/>
    <n v="5"/>
    <x v="1"/>
    <n v="327.37"/>
    <n v="438.6"/>
    <n v="745.08"/>
    <n v="11.5"/>
    <n v="1511.05"/>
    <n v="1522.55"/>
    <m/>
  </r>
  <r>
    <x v="70"/>
    <x v="6"/>
    <n v="2023"/>
    <n v="6"/>
    <s v="Jun"/>
    <x v="34"/>
    <n v="19"/>
    <x v="1"/>
    <n v="1594.03"/>
    <n v="1943.64"/>
    <n v="1148.19"/>
    <n v="368.01"/>
    <n v="4685.8599999999997"/>
    <n v="5053.87"/>
    <m/>
  </r>
  <r>
    <x v="71"/>
    <x v="6"/>
    <n v="2023"/>
    <n v="7"/>
    <s v="Jul"/>
    <x v="0"/>
    <n v="35"/>
    <x v="0"/>
    <n v="7.41"/>
    <n v="11.18"/>
    <n v="12.11"/>
    <n v="0.1"/>
    <n v="30.7"/>
    <n v="30.8"/>
    <m/>
  </r>
  <r>
    <x v="71"/>
    <x v="6"/>
    <n v="2023"/>
    <n v="7"/>
    <s v="Jul"/>
    <x v="1"/>
    <n v="28"/>
    <x v="1"/>
    <n v="899.4"/>
    <n v="1198.6099999999999"/>
    <n v="1254.72"/>
    <n v="240.68"/>
    <n v="3352.73"/>
    <n v="3593.41"/>
    <m/>
  </r>
  <r>
    <x v="71"/>
    <x v="6"/>
    <n v="2023"/>
    <n v="7"/>
    <s v="Jul"/>
    <x v="2"/>
    <n v="12"/>
    <x v="1"/>
    <n v="28.3"/>
    <n v="37.08"/>
    <n v="8.25"/>
    <n v="0.06"/>
    <n v="73.63"/>
    <n v="73.69"/>
    <m/>
  </r>
  <r>
    <x v="71"/>
    <x v="6"/>
    <n v="2023"/>
    <n v="7"/>
    <s v="Jul"/>
    <x v="3"/>
    <n v="18"/>
    <x v="1"/>
    <n v="360.69"/>
    <n v="450.52"/>
    <n v="299.64999999999998"/>
    <n v="71.900000000000006"/>
    <n v="1110.8599999999999"/>
    <n v="1182.76"/>
    <m/>
  </r>
  <r>
    <x v="71"/>
    <x v="6"/>
    <n v="2023"/>
    <n v="7"/>
    <s v="Jul"/>
    <x v="4"/>
    <n v="10"/>
    <x v="1"/>
    <n v="410.38"/>
    <n v="717.86"/>
    <n v="181.51"/>
    <n v="178.06"/>
    <n v="1309.75"/>
    <n v="1487.81"/>
    <m/>
  </r>
  <r>
    <x v="71"/>
    <x v="6"/>
    <n v="2023"/>
    <n v="7"/>
    <s v="Jul"/>
    <x v="5"/>
    <n v="4"/>
    <x v="0"/>
    <n v="41.23"/>
    <n v="56.72"/>
    <n v="118.26"/>
    <n v="0.86"/>
    <n v="216.21"/>
    <n v="217.07"/>
    <m/>
  </r>
  <r>
    <x v="71"/>
    <x v="6"/>
    <n v="2023"/>
    <n v="7"/>
    <s v="Jul"/>
    <x v="6"/>
    <n v="22"/>
    <x v="1"/>
    <n v="516"/>
    <n v="627.30999999999995"/>
    <n v="1017.76"/>
    <n v="643.51"/>
    <n v="2161.0700000000002"/>
    <n v="2804.58"/>
    <m/>
  </r>
  <r>
    <x v="71"/>
    <x v="6"/>
    <n v="2023"/>
    <n v="7"/>
    <s v="Jul"/>
    <x v="7"/>
    <n v="38"/>
    <x v="0"/>
    <n v="44.48"/>
    <n v="56.17"/>
    <n v="253.21"/>
    <n v="0.28000000000000003"/>
    <n v="353.86"/>
    <n v="354.14"/>
    <m/>
  </r>
  <r>
    <x v="71"/>
    <x v="6"/>
    <n v="2023"/>
    <n v="7"/>
    <s v="Jul"/>
    <x v="8"/>
    <n v="7"/>
    <x v="0"/>
    <n v="1029.98"/>
    <n v="1221.42"/>
    <n v="3053.18"/>
    <n v="100.8"/>
    <n v="5304.58"/>
    <n v="5405.38"/>
    <m/>
  </r>
  <r>
    <x v="71"/>
    <x v="6"/>
    <n v="2023"/>
    <n v="7"/>
    <s v="Jul"/>
    <x v="9"/>
    <n v="30"/>
    <x v="1"/>
    <n v="131.03"/>
    <n v="173.21"/>
    <n v="219.81"/>
    <n v="3.68"/>
    <n v="524.04999999999995"/>
    <n v="527.73"/>
    <m/>
  </r>
  <r>
    <x v="71"/>
    <x v="6"/>
    <n v="2023"/>
    <n v="7"/>
    <s v="Jul"/>
    <x v="10"/>
    <n v="24"/>
    <x v="1"/>
    <n v="2679.04"/>
    <n v="3292.7"/>
    <n v="3184.55"/>
    <n v="631.04"/>
    <n v="9156.2900000000009"/>
    <n v="9787.33"/>
    <m/>
  </r>
  <r>
    <x v="71"/>
    <x v="6"/>
    <n v="2023"/>
    <n v="7"/>
    <s v="Jul"/>
    <x v="11"/>
    <n v="6"/>
    <x v="1"/>
    <n v="1222.74"/>
    <n v="1609.86"/>
    <n v="4571.32"/>
    <n v="549.03"/>
    <n v="7403.92"/>
    <n v="7952.95"/>
    <m/>
  </r>
  <r>
    <x v="71"/>
    <x v="6"/>
    <n v="2023"/>
    <n v="7"/>
    <s v="Jul"/>
    <x v="12"/>
    <n v="2"/>
    <x v="1"/>
    <n v="162.58000000000001"/>
    <n v="232.94"/>
    <n v="518.77"/>
    <n v="2.56"/>
    <n v="914.29"/>
    <n v="916.85"/>
    <m/>
  </r>
  <r>
    <x v="71"/>
    <x v="6"/>
    <n v="2023"/>
    <n v="7"/>
    <s v="Jul"/>
    <x v="13"/>
    <n v="1"/>
    <x v="0"/>
    <n v="162.69"/>
    <n v="234"/>
    <n v="141.35"/>
    <n v="10.98"/>
    <n v="538.04"/>
    <n v="549.02"/>
    <m/>
  </r>
  <r>
    <x v="71"/>
    <x v="6"/>
    <n v="2023"/>
    <n v="7"/>
    <s v="Jul"/>
    <x v="14"/>
    <n v="20"/>
    <x v="1"/>
    <n v="538.84"/>
    <n v="721.04"/>
    <n v="1016.77"/>
    <n v="581.9"/>
    <n v="2276.65"/>
    <n v="2858.55"/>
    <m/>
  </r>
  <r>
    <x v="71"/>
    <x v="6"/>
    <n v="2023"/>
    <n v="7"/>
    <s v="Jul"/>
    <x v="15"/>
    <n v="29"/>
    <x v="1"/>
    <n v="2574.96"/>
    <n v="3181.08"/>
    <n v="4300.3"/>
    <n v="1449.12"/>
    <n v="10056.34"/>
    <n v="11505.46"/>
    <m/>
  </r>
  <r>
    <x v="71"/>
    <x v="6"/>
    <n v="2023"/>
    <n v="7"/>
    <s v="Jul"/>
    <x v="16"/>
    <n v="32"/>
    <x v="1"/>
    <n v="846.91"/>
    <n v="1093.31"/>
    <n v="438.67"/>
    <n v="2.34"/>
    <n v="2378.89"/>
    <n v="2381.23"/>
    <m/>
  </r>
  <r>
    <x v="71"/>
    <x v="6"/>
    <n v="2023"/>
    <n v="7"/>
    <s v="Jul"/>
    <x v="35"/>
    <n v="37"/>
    <x v="0"/>
    <n v="8.4700000000000006"/>
    <n v="11"/>
    <n v="3.1"/>
    <n v="0.03"/>
    <n v="22.57"/>
    <n v="22.6"/>
    <m/>
  </r>
  <r>
    <x v="71"/>
    <x v="6"/>
    <n v="2023"/>
    <n v="7"/>
    <s v="Jul"/>
    <x v="17"/>
    <n v="31"/>
    <x v="0"/>
    <n v="0.67"/>
    <n v="1.5"/>
    <n v="0.18"/>
    <n v="0"/>
    <n v="2.35"/>
    <n v="2.35"/>
    <m/>
  </r>
  <r>
    <x v="71"/>
    <x v="6"/>
    <n v="2023"/>
    <n v="7"/>
    <s v="Jul"/>
    <x v="18"/>
    <n v="23"/>
    <x v="1"/>
    <n v="794.89"/>
    <n v="1044.94"/>
    <n v="900.37"/>
    <n v="584.85"/>
    <n v="2740.2"/>
    <n v="3325.05"/>
    <m/>
  </r>
  <r>
    <x v="71"/>
    <x v="6"/>
    <n v="2023"/>
    <n v="7"/>
    <s v="Jul"/>
    <x v="19"/>
    <n v="27"/>
    <x v="1"/>
    <n v="6795.84"/>
    <n v="7957.64"/>
    <n v="9499.49"/>
    <n v="1811.06"/>
    <n v="24252.97"/>
    <n v="26064.03"/>
    <m/>
  </r>
  <r>
    <x v="71"/>
    <x v="6"/>
    <n v="2023"/>
    <n v="7"/>
    <s v="Jul"/>
    <x v="20"/>
    <n v="14"/>
    <x v="1"/>
    <n v="15.65"/>
    <n v="22.53"/>
    <n v="3.82"/>
    <n v="0.04"/>
    <n v="42"/>
    <n v="42.04"/>
    <m/>
  </r>
  <r>
    <x v="71"/>
    <x v="6"/>
    <n v="2023"/>
    <n v="7"/>
    <s v="Jul"/>
    <x v="21"/>
    <n v="17"/>
    <x v="1"/>
    <n v="44.42"/>
    <n v="50.42"/>
    <n v="80.23"/>
    <n v="0.28999999999999998"/>
    <n v="175.07"/>
    <n v="175.36"/>
    <m/>
  </r>
  <r>
    <x v="71"/>
    <x v="6"/>
    <n v="2023"/>
    <n v="7"/>
    <s v="Jul"/>
    <x v="22"/>
    <n v="15"/>
    <x v="1"/>
    <n v="14.07"/>
    <n v="22.03"/>
    <n v="2.97"/>
    <n v="7.0000000000000007E-2"/>
    <n v="39.07"/>
    <n v="39.14"/>
    <m/>
  </r>
  <r>
    <x v="71"/>
    <x v="6"/>
    <n v="2023"/>
    <n v="7"/>
    <s v="Jul"/>
    <x v="23"/>
    <n v="13"/>
    <x v="1"/>
    <n v="13.83"/>
    <n v="18.190000000000001"/>
    <n v="7.99"/>
    <n v="2.94"/>
    <n v="40.01"/>
    <n v="42.95"/>
    <m/>
  </r>
  <r>
    <x v="71"/>
    <x v="6"/>
    <n v="2023"/>
    <n v="7"/>
    <s v="Jul"/>
    <x v="24"/>
    <n v="21"/>
    <x v="1"/>
    <n v="1096.55"/>
    <n v="1300.33"/>
    <n v="1094.5899999999999"/>
    <n v="753.93"/>
    <n v="3491.47"/>
    <n v="4245.3999999999996"/>
    <m/>
  </r>
  <r>
    <x v="71"/>
    <x v="6"/>
    <n v="2023"/>
    <n v="7"/>
    <s v="Jul"/>
    <x v="25"/>
    <n v="34"/>
    <x v="0"/>
    <n v="27.18"/>
    <n v="41.35"/>
    <n v="146.75"/>
    <n v="0.27"/>
    <n v="215.28"/>
    <n v="215.55"/>
    <m/>
  </r>
  <r>
    <x v="71"/>
    <x v="6"/>
    <n v="2023"/>
    <n v="7"/>
    <s v="Jul"/>
    <x v="26"/>
    <n v="3"/>
    <x v="1"/>
    <n v="489.38"/>
    <n v="727.31"/>
    <n v="739.82"/>
    <n v="43.9"/>
    <n v="1956.51"/>
    <n v="2000.41"/>
    <m/>
  </r>
  <r>
    <x v="71"/>
    <x v="6"/>
    <n v="2023"/>
    <n v="7"/>
    <s v="Jul"/>
    <x v="27"/>
    <n v="8"/>
    <x v="1"/>
    <n v="1088.6300000000001"/>
    <n v="1380.13"/>
    <n v="1408.09"/>
    <n v="111.14"/>
    <n v="3876.85"/>
    <n v="3987.99"/>
    <m/>
  </r>
  <r>
    <x v="71"/>
    <x v="6"/>
    <n v="2023"/>
    <n v="7"/>
    <s v="Jul"/>
    <x v="28"/>
    <n v="11"/>
    <x v="1"/>
    <n v="21.94"/>
    <n v="29.51"/>
    <n v="262.42"/>
    <n v="0.1"/>
    <n v="313.87"/>
    <n v="313.97000000000003"/>
    <m/>
  </r>
  <r>
    <x v="71"/>
    <x v="6"/>
    <n v="2023"/>
    <n v="7"/>
    <s v="Jul"/>
    <x v="29"/>
    <n v="33"/>
    <x v="1"/>
    <n v="2568.41"/>
    <n v="3300"/>
    <n v="3377.73"/>
    <n v="775.72"/>
    <n v="9246.14"/>
    <n v="10021.86"/>
    <m/>
  </r>
  <r>
    <x v="71"/>
    <x v="6"/>
    <n v="2023"/>
    <n v="7"/>
    <s v="Jul"/>
    <x v="30"/>
    <n v="36"/>
    <x v="1"/>
    <n v="1210.5"/>
    <n v="1623.48"/>
    <n v="1453.15"/>
    <n v="561.91"/>
    <n v="4287.13"/>
    <n v="4849.04"/>
    <m/>
  </r>
  <r>
    <x v="71"/>
    <x v="6"/>
    <n v="2023"/>
    <n v="7"/>
    <s v="Jul"/>
    <x v="31"/>
    <n v="16"/>
    <x v="1"/>
    <n v="31.03"/>
    <n v="39.53"/>
    <n v="6.97"/>
    <n v="0.56999999999999995"/>
    <n v="77.53"/>
    <n v="78.099999999999994"/>
    <m/>
  </r>
  <r>
    <x v="71"/>
    <x v="6"/>
    <n v="2023"/>
    <n v="7"/>
    <s v="Jul"/>
    <x v="32"/>
    <n v="9"/>
    <x v="1"/>
    <n v="1995.75"/>
    <n v="2750.54"/>
    <n v="2608.52"/>
    <n v="1447.22"/>
    <n v="7354.81"/>
    <n v="8802.0300000000007"/>
    <m/>
  </r>
  <r>
    <x v="71"/>
    <x v="6"/>
    <n v="2023"/>
    <n v="7"/>
    <s v="Jul"/>
    <x v="33"/>
    <n v="5"/>
    <x v="1"/>
    <n v="318.27999999999997"/>
    <n v="415.18"/>
    <n v="863.17"/>
    <n v="10.49"/>
    <n v="1596.63"/>
    <n v="1607.12"/>
    <m/>
  </r>
  <r>
    <x v="71"/>
    <x v="6"/>
    <n v="2023"/>
    <n v="7"/>
    <s v="Jul"/>
    <x v="34"/>
    <n v="19"/>
    <x v="1"/>
    <n v="1570.54"/>
    <n v="1952.69"/>
    <n v="1236.96"/>
    <n v="367.65"/>
    <n v="4760.1899999999996"/>
    <n v="5127.84"/>
    <m/>
  </r>
  <r>
    <x v="72"/>
    <x v="6"/>
    <n v="2023"/>
    <n v="8"/>
    <s v="Aug"/>
    <x v="0"/>
    <n v="35"/>
    <x v="0"/>
    <n v="6.9"/>
    <n v="10.18"/>
    <n v="4.12"/>
    <n v="0.03"/>
    <n v="21.2"/>
    <n v="21.23"/>
    <m/>
  </r>
  <r>
    <x v="72"/>
    <x v="6"/>
    <n v="2023"/>
    <n v="8"/>
    <s v="Aug"/>
    <x v="1"/>
    <n v="28"/>
    <x v="1"/>
    <n v="860.78"/>
    <n v="1122.3"/>
    <n v="1196.49"/>
    <n v="299.14999999999998"/>
    <n v="3179.57"/>
    <n v="3478.72"/>
    <m/>
  </r>
  <r>
    <x v="72"/>
    <x v="6"/>
    <n v="2023"/>
    <n v="8"/>
    <s v="Aug"/>
    <x v="2"/>
    <n v="12"/>
    <x v="1"/>
    <n v="30.8"/>
    <n v="39.700000000000003"/>
    <n v="11.88"/>
    <n v="0.04"/>
    <n v="82.38"/>
    <n v="82.42"/>
    <m/>
  </r>
  <r>
    <x v="72"/>
    <x v="6"/>
    <n v="2023"/>
    <n v="8"/>
    <s v="Aug"/>
    <x v="3"/>
    <n v="18"/>
    <x v="1"/>
    <n v="350.41"/>
    <n v="440.19"/>
    <n v="305.5"/>
    <n v="51.43"/>
    <n v="1096.0999999999999"/>
    <n v="1147.53"/>
    <m/>
  </r>
  <r>
    <x v="72"/>
    <x v="6"/>
    <n v="2023"/>
    <n v="8"/>
    <s v="Aug"/>
    <x v="4"/>
    <n v="10"/>
    <x v="1"/>
    <n v="395.43"/>
    <n v="653.58000000000004"/>
    <n v="175.97"/>
    <n v="153.80000000000001"/>
    <n v="1224.98"/>
    <n v="1378.78"/>
    <m/>
  </r>
  <r>
    <x v="72"/>
    <x v="6"/>
    <n v="2023"/>
    <n v="8"/>
    <s v="Aug"/>
    <x v="5"/>
    <n v="4"/>
    <x v="0"/>
    <n v="37.83"/>
    <n v="51.46"/>
    <n v="101.76"/>
    <n v="1.36"/>
    <n v="191.05"/>
    <n v="192.41"/>
    <m/>
  </r>
  <r>
    <x v="72"/>
    <x v="6"/>
    <n v="2023"/>
    <n v="8"/>
    <s v="Aug"/>
    <x v="6"/>
    <n v="22"/>
    <x v="1"/>
    <n v="604.91"/>
    <n v="709.86"/>
    <n v="938.64"/>
    <n v="642.49"/>
    <n v="2253.41"/>
    <n v="2895.9"/>
    <m/>
  </r>
  <r>
    <x v="72"/>
    <x v="6"/>
    <n v="2023"/>
    <n v="8"/>
    <s v="Aug"/>
    <x v="7"/>
    <n v="38"/>
    <x v="0"/>
    <n v="39.19"/>
    <n v="50.75"/>
    <n v="233.03"/>
    <n v="1.56"/>
    <n v="322.97000000000003"/>
    <n v="324.52999999999997"/>
    <m/>
  </r>
  <r>
    <x v="72"/>
    <x v="6"/>
    <n v="2023"/>
    <n v="8"/>
    <s v="Aug"/>
    <x v="8"/>
    <n v="7"/>
    <x v="0"/>
    <n v="939.32"/>
    <n v="1113.4000000000001"/>
    <n v="2471.29"/>
    <n v="95.49"/>
    <n v="4524.01"/>
    <n v="4619.5"/>
    <m/>
  </r>
  <r>
    <x v="72"/>
    <x v="6"/>
    <n v="2023"/>
    <n v="8"/>
    <s v="Aug"/>
    <x v="9"/>
    <n v="30"/>
    <x v="1"/>
    <n v="137.74"/>
    <n v="173.71"/>
    <n v="195.88"/>
    <n v="1.69"/>
    <n v="507.33"/>
    <n v="509.02"/>
    <m/>
  </r>
  <r>
    <x v="72"/>
    <x v="6"/>
    <n v="2023"/>
    <n v="8"/>
    <s v="Aug"/>
    <x v="10"/>
    <n v="24"/>
    <x v="1"/>
    <n v="2617.37"/>
    <n v="3210.74"/>
    <n v="3288.57"/>
    <n v="648.08000000000004"/>
    <n v="9116.68"/>
    <n v="9764.76"/>
    <m/>
  </r>
  <r>
    <x v="72"/>
    <x v="6"/>
    <n v="2023"/>
    <n v="8"/>
    <s v="Aug"/>
    <x v="11"/>
    <n v="6"/>
    <x v="1"/>
    <n v="1209.92"/>
    <n v="1584.52"/>
    <n v="4199.0200000000004"/>
    <n v="672.05"/>
    <n v="6993.46"/>
    <n v="7665.51"/>
    <m/>
  </r>
  <r>
    <x v="72"/>
    <x v="6"/>
    <n v="2023"/>
    <n v="8"/>
    <s v="Aug"/>
    <x v="12"/>
    <n v="2"/>
    <x v="1"/>
    <n v="132.33000000000001"/>
    <n v="181.75"/>
    <n v="409.73"/>
    <n v="1.35"/>
    <n v="723.81"/>
    <n v="725.16"/>
    <m/>
  </r>
  <r>
    <x v="72"/>
    <x v="6"/>
    <n v="2023"/>
    <n v="8"/>
    <s v="Aug"/>
    <x v="13"/>
    <n v="1"/>
    <x v="0"/>
    <n v="146.52000000000001"/>
    <n v="220.48"/>
    <n v="146.06"/>
    <n v="10.029999999999999"/>
    <n v="513.05999999999995"/>
    <n v="523.09"/>
    <m/>
  </r>
  <r>
    <x v="72"/>
    <x v="6"/>
    <n v="2023"/>
    <n v="8"/>
    <s v="Aug"/>
    <x v="14"/>
    <n v="20"/>
    <x v="1"/>
    <n v="523.4"/>
    <n v="801.7"/>
    <n v="829"/>
    <n v="566.73"/>
    <n v="2154.1"/>
    <n v="2720.83"/>
    <m/>
  </r>
  <r>
    <x v="72"/>
    <x v="6"/>
    <n v="2023"/>
    <n v="8"/>
    <s v="Aug"/>
    <x v="15"/>
    <n v="29"/>
    <x v="1"/>
    <n v="2479.8000000000002"/>
    <n v="3028.57"/>
    <n v="4193.21"/>
    <n v="1414.19"/>
    <n v="9701.58"/>
    <n v="11115.77"/>
    <m/>
  </r>
  <r>
    <x v="72"/>
    <x v="6"/>
    <n v="2023"/>
    <n v="8"/>
    <s v="Aug"/>
    <x v="16"/>
    <n v="32"/>
    <x v="1"/>
    <n v="825.5"/>
    <n v="1035.4000000000001"/>
    <n v="443"/>
    <n v="2.0699999999999998"/>
    <n v="2303.9"/>
    <n v="2305.9699999999998"/>
    <m/>
  </r>
  <r>
    <x v="72"/>
    <x v="6"/>
    <n v="2023"/>
    <n v="8"/>
    <s v="Aug"/>
    <x v="35"/>
    <n v="37"/>
    <x v="0"/>
    <n v="9.6"/>
    <n v="14.35"/>
    <n v="2.67"/>
    <n v="0.05"/>
    <n v="26.62"/>
    <n v="26.67"/>
    <m/>
  </r>
  <r>
    <x v="72"/>
    <x v="6"/>
    <n v="2023"/>
    <n v="8"/>
    <s v="Aug"/>
    <x v="17"/>
    <n v="31"/>
    <x v="0"/>
    <n v="0.5"/>
    <n v="0.45"/>
    <n v="2.4900000000000002"/>
    <n v="0"/>
    <n v="3.44"/>
    <n v="3.44"/>
    <m/>
  </r>
  <r>
    <x v="72"/>
    <x v="6"/>
    <n v="2023"/>
    <n v="8"/>
    <s v="Aug"/>
    <x v="18"/>
    <n v="23"/>
    <x v="1"/>
    <n v="765.04"/>
    <n v="978.04"/>
    <n v="734.06"/>
    <n v="586.74"/>
    <n v="2477.14"/>
    <n v="3063.88"/>
    <m/>
  </r>
  <r>
    <x v="72"/>
    <x v="6"/>
    <n v="2023"/>
    <n v="8"/>
    <s v="Aug"/>
    <x v="19"/>
    <n v="27"/>
    <x v="1"/>
    <n v="6236.95"/>
    <n v="7629.5"/>
    <n v="7580.58"/>
    <n v="1835.44"/>
    <n v="21447.03"/>
    <n v="23282.47"/>
    <m/>
  </r>
  <r>
    <x v="72"/>
    <x v="6"/>
    <n v="2023"/>
    <n v="8"/>
    <s v="Aug"/>
    <x v="20"/>
    <n v="14"/>
    <x v="1"/>
    <n v="13.97"/>
    <n v="20.64"/>
    <n v="5.2"/>
    <n v="0.53"/>
    <n v="39.81"/>
    <n v="40.340000000000003"/>
    <m/>
  </r>
  <r>
    <x v="72"/>
    <x v="6"/>
    <n v="2023"/>
    <n v="8"/>
    <s v="Aug"/>
    <x v="21"/>
    <n v="17"/>
    <x v="1"/>
    <n v="42.84"/>
    <n v="49.95"/>
    <n v="88.45"/>
    <n v="7.43"/>
    <n v="181.24"/>
    <n v="188.67"/>
    <m/>
  </r>
  <r>
    <x v="72"/>
    <x v="6"/>
    <n v="2023"/>
    <n v="8"/>
    <s v="Aug"/>
    <x v="22"/>
    <n v="15"/>
    <x v="1"/>
    <n v="11.67"/>
    <n v="17.28"/>
    <n v="2.91"/>
    <n v="0.05"/>
    <n v="31.86"/>
    <n v="31.91"/>
    <m/>
  </r>
  <r>
    <x v="72"/>
    <x v="6"/>
    <n v="2023"/>
    <n v="8"/>
    <s v="Aug"/>
    <x v="23"/>
    <n v="13"/>
    <x v="1"/>
    <n v="18.899999999999999"/>
    <n v="22.62"/>
    <n v="7.65"/>
    <n v="2.3199999999999998"/>
    <n v="49.17"/>
    <n v="51.49"/>
    <m/>
  </r>
  <r>
    <x v="72"/>
    <x v="6"/>
    <n v="2023"/>
    <n v="8"/>
    <s v="Aug"/>
    <x v="24"/>
    <n v="21"/>
    <x v="1"/>
    <n v="1153.31"/>
    <n v="1332.99"/>
    <n v="1205.2"/>
    <n v="716.77"/>
    <n v="3691.5"/>
    <n v="4408.2700000000004"/>
    <m/>
  </r>
  <r>
    <x v="72"/>
    <x v="6"/>
    <n v="2023"/>
    <n v="8"/>
    <s v="Aug"/>
    <x v="25"/>
    <n v="34"/>
    <x v="0"/>
    <n v="27.67"/>
    <n v="43.35"/>
    <n v="159.9"/>
    <n v="0.33"/>
    <n v="230.92"/>
    <n v="231.25"/>
    <m/>
  </r>
  <r>
    <x v="72"/>
    <x v="6"/>
    <n v="2023"/>
    <n v="8"/>
    <s v="Aug"/>
    <x v="26"/>
    <n v="3"/>
    <x v="1"/>
    <n v="419.86"/>
    <n v="602.96"/>
    <n v="758.99"/>
    <n v="30.95"/>
    <n v="1781.81"/>
    <n v="1812.76"/>
    <m/>
  </r>
  <r>
    <x v="72"/>
    <x v="6"/>
    <n v="2023"/>
    <n v="8"/>
    <s v="Aug"/>
    <x v="27"/>
    <n v="8"/>
    <x v="1"/>
    <n v="1011.96"/>
    <n v="1264.81"/>
    <n v="1250.22"/>
    <n v="99.33"/>
    <n v="3526.99"/>
    <n v="3626.32"/>
    <m/>
  </r>
  <r>
    <x v="72"/>
    <x v="6"/>
    <n v="2023"/>
    <n v="8"/>
    <s v="Aug"/>
    <x v="28"/>
    <n v="11"/>
    <x v="1"/>
    <n v="25.52"/>
    <n v="41.79"/>
    <n v="252.16"/>
    <n v="0.02"/>
    <n v="319.47000000000003"/>
    <n v="319.49"/>
    <m/>
  </r>
  <r>
    <x v="72"/>
    <x v="6"/>
    <n v="2023"/>
    <n v="8"/>
    <s v="Aug"/>
    <x v="29"/>
    <n v="33"/>
    <x v="1"/>
    <n v="2564.81"/>
    <n v="3300.84"/>
    <n v="2887.98"/>
    <n v="721.1"/>
    <n v="8753.6299999999992"/>
    <n v="9474.73"/>
    <m/>
  </r>
  <r>
    <x v="72"/>
    <x v="6"/>
    <n v="2023"/>
    <n v="8"/>
    <s v="Aug"/>
    <x v="30"/>
    <n v="36"/>
    <x v="1"/>
    <n v="1108.72"/>
    <n v="1439.46"/>
    <n v="1369"/>
    <n v="475.56"/>
    <n v="3917.18"/>
    <n v="4392.74"/>
    <m/>
  </r>
  <r>
    <x v="72"/>
    <x v="6"/>
    <n v="2023"/>
    <n v="8"/>
    <s v="Aug"/>
    <x v="31"/>
    <n v="16"/>
    <x v="1"/>
    <n v="26.99"/>
    <n v="35.840000000000003"/>
    <n v="15.37"/>
    <n v="0.04"/>
    <n v="78.2"/>
    <n v="78.239999999999995"/>
    <m/>
  </r>
  <r>
    <x v="72"/>
    <x v="6"/>
    <n v="2023"/>
    <n v="8"/>
    <s v="Aug"/>
    <x v="32"/>
    <n v="9"/>
    <x v="1"/>
    <n v="1765.56"/>
    <n v="2378.42"/>
    <n v="2059.48"/>
    <n v="1265.01"/>
    <n v="6203.46"/>
    <n v="7468.47"/>
    <m/>
  </r>
  <r>
    <x v="72"/>
    <x v="6"/>
    <n v="2023"/>
    <n v="8"/>
    <s v="Aug"/>
    <x v="33"/>
    <n v="5"/>
    <x v="1"/>
    <n v="309.16000000000003"/>
    <n v="382.06"/>
    <n v="653.02"/>
    <n v="8.68"/>
    <n v="1344.24"/>
    <n v="1352.92"/>
    <m/>
  </r>
  <r>
    <x v="72"/>
    <x v="6"/>
    <n v="2023"/>
    <n v="8"/>
    <s v="Aug"/>
    <x v="34"/>
    <n v="19"/>
    <x v="1"/>
    <n v="1468.83"/>
    <n v="1797.06"/>
    <n v="1166.79"/>
    <n v="367.33"/>
    <n v="4432.68"/>
    <n v="4800.01"/>
    <m/>
  </r>
  <r>
    <x v="73"/>
    <x v="6"/>
    <n v="2023"/>
    <n v="9"/>
    <s v="Sep"/>
    <x v="0"/>
    <n v="35"/>
    <x v="0"/>
    <n v="7.6"/>
    <n v="12.02"/>
    <n v="3.52"/>
    <n v="0.2"/>
    <n v="23.14"/>
    <n v="23.34"/>
    <m/>
  </r>
  <r>
    <x v="73"/>
    <x v="6"/>
    <n v="2023"/>
    <n v="9"/>
    <s v="Sep"/>
    <x v="1"/>
    <n v="28"/>
    <x v="1"/>
    <n v="864.83"/>
    <n v="1123.06"/>
    <n v="1357.77"/>
    <n v="312.19"/>
    <n v="3345.66"/>
    <n v="3657.85"/>
    <m/>
  </r>
  <r>
    <x v="73"/>
    <x v="6"/>
    <n v="2023"/>
    <n v="9"/>
    <s v="Sep"/>
    <x v="2"/>
    <n v="12"/>
    <x v="1"/>
    <n v="30.56"/>
    <n v="37.01"/>
    <n v="13.56"/>
    <n v="0.04"/>
    <n v="81.13"/>
    <n v="81.17"/>
    <m/>
  </r>
  <r>
    <x v="73"/>
    <x v="6"/>
    <n v="2023"/>
    <n v="9"/>
    <s v="Sep"/>
    <x v="3"/>
    <n v="18"/>
    <x v="1"/>
    <n v="361.25"/>
    <n v="448.69"/>
    <n v="311.43"/>
    <n v="53.42"/>
    <n v="1121.3699999999999"/>
    <n v="1174.79"/>
    <m/>
  </r>
  <r>
    <x v="73"/>
    <x v="6"/>
    <n v="2023"/>
    <n v="9"/>
    <s v="Sep"/>
    <x v="4"/>
    <n v="10"/>
    <x v="1"/>
    <n v="383.83"/>
    <n v="647.26"/>
    <n v="175.88"/>
    <n v="189.69"/>
    <n v="1206.97"/>
    <n v="1396.66"/>
    <m/>
  </r>
  <r>
    <x v="73"/>
    <x v="6"/>
    <n v="2023"/>
    <n v="9"/>
    <s v="Sep"/>
    <x v="5"/>
    <n v="4"/>
    <x v="0"/>
    <n v="41.25"/>
    <n v="51.74"/>
    <n v="124.82"/>
    <n v="1.25"/>
    <n v="217.81"/>
    <n v="219.06"/>
    <m/>
  </r>
  <r>
    <x v="73"/>
    <x v="6"/>
    <n v="2023"/>
    <n v="9"/>
    <s v="Sep"/>
    <x v="6"/>
    <n v="22"/>
    <x v="1"/>
    <n v="540.97"/>
    <n v="630.91"/>
    <n v="916.16"/>
    <n v="595.63"/>
    <n v="2088.04"/>
    <n v="2683.67"/>
    <m/>
  </r>
  <r>
    <x v="73"/>
    <x v="6"/>
    <n v="2023"/>
    <n v="9"/>
    <s v="Sep"/>
    <x v="7"/>
    <n v="38"/>
    <x v="0"/>
    <n v="37.340000000000003"/>
    <n v="46.81"/>
    <n v="265.35000000000002"/>
    <n v="0.64"/>
    <n v="349.5"/>
    <n v="350.14"/>
    <m/>
  </r>
  <r>
    <x v="73"/>
    <x v="6"/>
    <n v="2023"/>
    <n v="9"/>
    <s v="Sep"/>
    <x v="8"/>
    <n v="7"/>
    <x v="0"/>
    <n v="1040.6099999999999"/>
    <n v="1209.07"/>
    <n v="2490.1999999999998"/>
    <n v="108.67"/>
    <n v="4739.88"/>
    <n v="4848.55"/>
    <m/>
  </r>
  <r>
    <x v="73"/>
    <x v="6"/>
    <n v="2023"/>
    <n v="9"/>
    <s v="Sep"/>
    <x v="9"/>
    <n v="30"/>
    <x v="1"/>
    <n v="127.65"/>
    <n v="164.59"/>
    <n v="201.73"/>
    <n v="2.97"/>
    <n v="493.97"/>
    <n v="496.94"/>
    <m/>
  </r>
  <r>
    <x v="73"/>
    <x v="6"/>
    <n v="2023"/>
    <n v="9"/>
    <s v="Sep"/>
    <x v="10"/>
    <n v="24"/>
    <x v="1"/>
    <n v="2735.32"/>
    <n v="3399.91"/>
    <n v="3296.54"/>
    <n v="697.27"/>
    <n v="9431.77"/>
    <n v="10129.040000000001"/>
    <m/>
  </r>
  <r>
    <x v="73"/>
    <x v="6"/>
    <n v="2023"/>
    <n v="9"/>
    <s v="Sep"/>
    <x v="11"/>
    <n v="6"/>
    <x v="1"/>
    <n v="1187.6300000000001"/>
    <n v="1559.34"/>
    <n v="4645.4799999999996"/>
    <n v="616.53"/>
    <n v="7392.45"/>
    <n v="8008.98"/>
    <m/>
  </r>
  <r>
    <x v="73"/>
    <x v="6"/>
    <n v="2023"/>
    <n v="9"/>
    <s v="Sep"/>
    <x v="12"/>
    <n v="2"/>
    <x v="1"/>
    <n v="136.28"/>
    <n v="183.62"/>
    <n v="461.66"/>
    <n v="2.0099999999999998"/>
    <n v="781.56"/>
    <n v="783.57"/>
    <m/>
  </r>
  <r>
    <x v="73"/>
    <x v="6"/>
    <n v="2023"/>
    <n v="9"/>
    <s v="Sep"/>
    <x v="13"/>
    <n v="1"/>
    <x v="0"/>
    <n v="162.28"/>
    <n v="231.32"/>
    <n v="161.05000000000001"/>
    <n v="8.73"/>
    <n v="554.65"/>
    <n v="563.38"/>
    <m/>
  </r>
  <r>
    <x v="73"/>
    <x v="6"/>
    <n v="2023"/>
    <n v="9"/>
    <s v="Sep"/>
    <x v="14"/>
    <n v="20"/>
    <x v="1"/>
    <n v="452.34"/>
    <n v="637.25"/>
    <n v="985.7"/>
    <n v="548.15"/>
    <n v="2075.29"/>
    <n v="2623.44"/>
    <m/>
  </r>
  <r>
    <x v="73"/>
    <x v="6"/>
    <n v="2023"/>
    <n v="9"/>
    <s v="Sep"/>
    <x v="15"/>
    <n v="29"/>
    <x v="1"/>
    <n v="2613.67"/>
    <n v="3468.48"/>
    <n v="4322.8999999999996"/>
    <n v="1288.02"/>
    <n v="10405.049999999999"/>
    <n v="11693.07"/>
    <m/>
  </r>
  <r>
    <x v="73"/>
    <x v="6"/>
    <n v="2023"/>
    <n v="9"/>
    <s v="Sep"/>
    <x v="16"/>
    <n v="32"/>
    <x v="1"/>
    <n v="873.38"/>
    <n v="1167.48"/>
    <n v="460.94"/>
    <n v="3.21"/>
    <n v="2501.8000000000002"/>
    <n v="2505.0100000000002"/>
    <m/>
  </r>
  <r>
    <x v="73"/>
    <x v="6"/>
    <n v="2023"/>
    <n v="9"/>
    <s v="Sep"/>
    <x v="35"/>
    <n v="37"/>
    <x v="0"/>
    <n v="13.1"/>
    <n v="18.39"/>
    <n v="3.38"/>
    <n v="0.11"/>
    <n v="34.869999999999997"/>
    <n v="34.979999999999997"/>
    <m/>
  </r>
  <r>
    <x v="73"/>
    <x v="6"/>
    <n v="2023"/>
    <n v="9"/>
    <s v="Sep"/>
    <x v="17"/>
    <n v="31"/>
    <x v="0"/>
    <n v="0.65"/>
    <n v="0.78"/>
    <n v="0.17"/>
    <n v="0"/>
    <n v="1.6"/>
    <n v="1.6"/>
    <m/>
  </r>
  <r>
    <x v="73"/>
    <x v="6"/>
    <n v="2023"/>
    <n v="9"/>
    <s v="Sep"/>
    <x v="18"/>
    <n v="23"/>
    <x v="1"/>
    <n v="788.13"/>
    <n v="989.23"/>
    <n v="722.77"/>
    <n v="617.54"/>
    <n v="2500.13"/>
    <n v="3117.67"/>
    <m/>
  </r>
  <r>
    <x v="73"/>
    <x v="6"/>
    <n v="2023"/>
    <n v="9"/>
    <s v="Sep"/>
    <x v="19"/>
    <n v="27"/>
    <x v="1"/>
    <n v="6841.3"/>
    <n v="8008.83"/>
    <n v="8479.33"/>
    <n v="1807.11"/>
    <n v="23329.46"/>
    <n v="25136.57"/>
    <m/>
  </r>
  <r>
    <x v="73"/>
    <x v="6"/>
    <n v="2023"/>
    <n v="9"/>
    <s v="Sep"/>
    <x v="20"/>
    <n v="14"/>
    <x v="1"/>
    <n v="23.47"/>
    <n v="29.23"/>
    <n v="3.57"/>
    <n v="0.13"/>
    <n v="56.27"/>
    <n v="56.4"/>
    <m/>
  </r>
  <r>
    <x v="73"/>
    <x v="6"/>
    <n v="2023"/>
    <n v="9"/>
    <s v="Sep"/>
    <x v="21"/>
    <n v="17"/>
    <x v="1"/>
    <n v="34.909999999999997"/>
    <n v="41.48"/>
    <n v="85.48"/>
    <n v="2.9"/>
    <n v="161.87"/>
    <n v="164.77"/>
    <m/>
  </r>
  <r>
    <x v="73"/>
    <x v="6"/>
    <n v="2023"/>
    <n v="9"/>
    <s v="Sep"/>
    <x v="22"/>
    <n v="15"/>
    <x v="1"/>
    <n v="9.89"/>
    <n v="14.78"/>
    <n v="2.69"/>
    <n v="0.03"/>
    <n v="27.36"/>
    <n v="27.39"/>
    <m/>
  </r>
  <r>
    <x v="73"/>
    <x v="6"/>
    <n v="2023"/>
    <n v="9"/>
    <s v="Sep"/>
    <x v="23"/>
    <n v="13"/>
    <x v="1"/>
    <n v="15.06"/>
    <n v="23.26"/>
    <n v="9.51"/>
    <n v="3.75"/>
    <n v="47.83"/>
    <n v="51.58"/>
    <m/>
  </r>
  <r>
    <x v="73"/>
    <x v="6"/>
    <n v="2023"/>
    <n v="9"/>
    <s v="Sep"/>
    <x v="24"/>
    <n v="21"/>
    <x v="1"/>
    <n v="1010.47"/>
    <n v="1197.3699999999999"/>
    <n v="1301.31"/>
    <n v="739.97"/>
    <n v="3509.15"/>
    <n v="4249.12"/>
    <m/>
  </r>
  <r>
    <x v="73"/>
    <x v="6"/>
    <n v="2023"/>
    <n v="9"/>
    <s v="Sep"/>
    <x v="25"/>
    <n v="34"/>
    <x v="0"/>
    <n v="26.26"/>
    <n v="41.32"/>
    <n v="127.97"/>
    <n v="1.87"/>
    <n v="195.55"/>
    <n v="197.42"/>
    <m/>
  </r>
  <r>
    <x v="73"/>
    <x v="6"/>
    <n v="2023"/>
    <n v="9"/>
    <s v="Sep"/>
    <x v="26"/>
    <n v="3"/>
    <x v="1"/>
    <n v="444.81"/>
    <n v="661.17"/>
    <n v="725.66"/>
    <n v="33.92"/>
    <n v="1831.64"/>
    <n v="1865.56"/>
    <m/>
  </r>
  <r>
    <x v="73"/>
    <x v="6"/>
    <n v="2023"/>
    <n v="9"/>
    <s v="Sep"/>
    <x v="27"/>
    <n v="8"/>
    <x v="1"/>
    <n v="1046.2"/>
    <n v="1321.4"/>
    <n v="1346.26"/>
    <n v="155.27000000000001"/>
    <n v="3713.86"/>
    <n v="3869.13"/>
    <m/>
  </r>
  <r>
    <x v="73"/>
    <x v="6"/>
    <n v="2023"/>
    <n v="9"/>
    <s v="Sep"/>
    <x v="28"/>
    <n v="11"/>
    <x v="1"/>
    <n v="25.05"/>
    <n v="29.34"/>
    <n v="260.3"/>
    <n v="0.03"/>
    <n v="314.69"/>
    <n v="314.72000000000003"/>
    <m/>
  </r>
  <r>
    <x v="73"/>
    <x v="6"/>
    <n v="2023"/>
    <n v="9"/>
    <s v="Sep"/>
    <x v="29"/>
    <n v="33"/>
    <x v="1"/>
    <n v="2689.9"/>
    <n v="3520.58"/>
    <n v="3486.41"/>
    <n v="784.57"/>
    <n v="9696.89"/>
    <n v="10481.459999999999"/>
    <m/>
  </r>
  <r>
    <x v="73"/>
    <x v="6"/>
    <n v="2023"/>
    <n v="9"/>
    <s v="Sep"/>
    <x v="30"/>
    <n v="36"/>
    <x v="1"/>
    <n v="1503.13"/>
    <n v="1880.52"/>
    <n v="1330.61"/>
    <n v="511.5"/>
    <n v="4714.26"/>
    <n v="5225.76"/>
    <m/>
  </r>
  <r>
    <x v="73"/>
    <x v="6"/>
    <n v="2023"/>
    <n v="9"/>
    <s v="Sep"/>
    <x v="31"/>
    <n v="16"/>
    <x v="1"/>
    <n v="26.96"/>
    <n v="34.770000000000003"/>
    <n v="11.24"/>
    <n v="0.33"/>
    <n v="72.97"/>
    <n v="73.3"/>
    <m/>
  </r>
  <r>
    <x v="73"/>
    <x v="6"/>
    <n v="2023"/>
    <n v="9"/>
    <s v="Sep"/>
    <x v="32"/>
    <n v="9"/>
    <x v="1"/>
    <n v="1862.38"/>
    <n v="2517.5500000000002"/>
    <n v="2143.0300000000002"/>
    <n v="1321.48"/>
    <n v="6522.96"/>
    <n v="7844.44"/>
    <m/>
  </r>
  <r>
    <x v="73"/>
    <x v="6"/>
    <n v="2023"/>
    <n v="9"/>
    <s v="Sep"/>
    <x v="33"/>
    <n v="5"/>
    <x v="1"/>
    <n v="268.33999999999997"/>
    <n v="387.27"/>
    <n v="725.58"/>
    <n v="11.17"/>
    <n v="1381.19"/>
    <n v="1392.36"/>
    <m/>
  </r>
  <r>
    <x v="73"/>
    <x v="6"/>
    <n v="2023"/>
    <n v="9"/>
    <s v="Sep"/>
    <x v="34"/>
    <n v="19"/>
    <x v="1"/>
    <n v="1572.17"/>
    <n v="1897.96"/>
    <n v="1157.8499999999999"/>
    <n v="312.49"/>
    <n v="4627.9799999999996"/>
    <n v="4940.47"/>
    <m/>
  </r>
  <r>
    <x v="74"/>
    <x v="6"/>
    <n v="2023"/>
    <n v="10"/>
    <s v="Oct"/>
    <x v="0"/>
    <n v="35"/>
    <x v="0"/>
    <n v="10.65"/>
    <n v="13.83"/>
    <n v="4.12"/>
    <n v="0.04"/>
    <n v="28.6"/>
    <n v="28.64"/>
    <m/>
  </r>
  <r>
    <x v="74"/>
    <x v="6"/>
    <n v="2023"/>
    <n v="10"/>
    <s v="Oct"/>
    <x v="1"/>
    <n v="28"/>
    <x v="1"/>
    <n v="812.35"/>
    <n v="1099.69"/>
    <n v="1178.76"/>
    <n v="312.45999999999998"/>
    <n v="3090.8"/>
    <n v="3403.26"/>
    <m/>
  </r>
  <r>
    <x v="74"/>
    <x v="6"/>
    <n v="2023"/>
    <n v="10"/>
    <s v="Oct"/>
    <x v="2"/>
    <n v="12"/>
    <x v="1"/>
    <n v="28.01"/>
    <n v="35.869999999999997"/>
    <n v="22.53"/>
    <n v="0.1"/>
    <n v="86.41"/>
    <n v="86.51"/>
    <m/>
  </r>
  <r>
    <x v="74"/>
    <x v="6"/>
    <n v="2023"/>
    <n v="10"/>
    <s v="Oct"/>
    <x v="3"/>
    <n v="18"/>
    <x v="1"/>
    <n v="409.08"/>
    <n v="521.61"/>
    <n v="316.86"/>
    <n v="65.37"/>
    <n v="1247.55"/>
    <n v="1312.92"/>
    <m/>
  </r>
  <r>
    <x v="74"/>
    <x v="6"/>
    <n v="2023"/>
    <n v="10"/>
    <s v="Oct"/>
    <x v="4"/>
    <n v="10"/>
    <x v="1"/>
    <n v="380.28"/>
    <n v="639.26"/>
    <n v="190.9"/>
    <n v="195.87"/>
    <n v="1210.44"/>
    <n v="1406.31"/>
    <m/>
  </r>
  <r>
    <x v="74"/>
    <x v="6"/>
    <n v="2023"/>
    <n v="10"/>
    <s v="Oct"/>
    <x v="5"/>
    <n v="4"/>
    <x v="0"/>
    <n v="42.45"/>
    <n v="53.7"/>
    <n v="112.06"/>
    <n v="1.66"/>
    <n v="208.21"/>
    <n v="209.87"/>
    <m/>
  </r>
  <r>
    <x v="74"/>
    <x v="6"/>
    <n v="2023"/>
    <n v="10"/>
    <s v="Oct"/>
    <x v="6"/>
    <n v="22"/>
    <x v="1"/>
    <n v="531.34"/>
    <n v="636.66"/>
    <n v="966.89"/>
    <n v="546.48"/>
    <n v="2134.89"/>
    <n v="2681.37"/>
    <m/>
  </r>
  <r>
    <x v="74"/>
    <x v="6"/>
    <n v="2023"/>
    <n v="10"/>
    <s v="Oct"/>
    <x v="7"/>
    <n v="38"/>
    <x v="0"/>
    <n v="42.55"/>
    <n v="56.56"/>
    <n v="273.85000000000002"/>
    <n v="0.28000000000000003"/>
    <n v="372.96"/>
    <n v="373.24"/>
    <m/>
  </r>
  <r>
    <x v="74"/>
    <x v="6"/>
    <n v="2023"/>
    <n v="10"/>
    <s v="Oct"/>
    <x v="8"/>
    <n v="7"/>
    <x v="0"/>
    <n v="1209.78"/>
    <n v="1425.11"/>
    <n v="5006.97"/>
    <n v="111.68"/>
    <n v="7641.86"/>
    <n v="7753.54"/>
    <m/>
  </r>
  <r>
    <x v="74"/>
    <x v="6"/>
    <n v="2023"/>
    <n v="10"/>
    <s v="Oct"/>
    <x v="9"/>
    <n v="30"/>
    <x v="1"/>
    <n v="156.24"/>
    <n v="197.55"/>
    <n v="172.67"/>
    <n v="3.47"/>
    <n v="526.46"/>
    <n v="529.92999999999995"/>
    <m/>
  </r>
  <r>
    <x v="74"/>
    <x v="6"/>
    <n v="2023"/>
    <n v="10"/>
    <s v="Oct"/>
    <x v="10"/>
    <n v="24"/>
    <x v="1"/>
    <n v="2616.16"/>
    <n v="3165.53"/>
    <n v="3289.85"/>
    <n v="658.64"/>
    <n v="9071.5400000000009"/>
    <n v="9730.18"/>
    <m/>
  </r>
  <r>
    <x v="74"/>
    <x v="6"/>
    <n v="2023"/>
    <n v="10"/>
    <s v="Oct"/>
    <x v="11"/>
    <n v="6"/>
    <x v="1"/>
    <n v="1338.39"/>
    <n v="1772.88"/>
    <n v="4907.34"/>
    <n v="697.23"/>
    <n v="8018.61"/>
    <n v="8715.84"/>
    <m/>
  </r>
  <r>
    <x v="74"/>
    <x v="6"/>
    <n v="2023"/>
    <n v="10"/>
    <s v="Oct"/>
    <x v="12"/>
    <n v="2"/>
    <x v="1"/>
    <n v="176.15"/>
    <n v="231.7"/>
    <n v="476.15"/>
    <n v="1.25"/>
    <n v="884"/>
    <n v="885.25"/>
    <m/>
  </r>
  <r>
    <x v="74"/>
    <x v="6"/>
    <n v="2023"/>
    <n v="10"/>
    <s v="Oct"/>
    <x v="13"/>
    <n v="1"/>
    <x v="0"/>
    <n v="167.86"/>
    <n v="246.67"/>
    <n v="171.27"/>
    <n v="7.35"/>
    <n v="585.79999999999995"/>
    <n v="593.15"/>
    <m/>
  </r>
  <r>
    <x v="74"/>
    <x v="6"/>
    <n v="2023"/>
    <n v="10"/>
    <s v="Oct"/>
    <x v="14"/>
    <n v="20"/>
    <x v="1"/>
    <n v="512.96"/>
    <n v="690.15"/>
    <n v="1164.68"/>
    <n v="518.38"/>
    <n v="2367.79"/>
    <n v="2886.17"/>
    <m/>
  </r>
  <r>
    <x v="74"/>
    <x v="6"/>
    <n v="2023"/>
    <n v="10"/>
    <s v="Oct"/>
    <x v="15"/>
    <n v="29"/>
    <x v="1"/>
    <n v="2611.7800000000002"/>
    <n v="3302.93"/>
    <n v="4559.28"/>
    <n v="1496.61"/>
    <n v="10473.99"/>
    <n v="11970.6"/>
    <m/>
  </r>
  <r>
    <x v="74"/>
    <x v="6"/>
    <n v="2023"/>
    <n v="10"/>
    <s v="Oct"/>
    <x v="16"/>
    <n v="32"/>
    <x v="1"/>
    <n v="836.91"/>
    <n v="1095.8399999999999"/>
    <n v="481.72"/>
    <n v="3.64"/>
    <n v="2414.4699999999998"/>
    <n v="2418.11"/>
    <m/>
  </r>
  <r>
    <x v="74"/>
    <x v="6"/>
    <n v="2023"/>
    <n v="10"/>
    <s v="Oct"/>
    <x v="35"/>
    <n v="37"/>
    <x v="0"/>
    <n v="14.29"/>
    <n v="23.19"/>
    <n v="5.43"/>
    <n v="0.42"/>
    <n v="42.91"/>
    <n v="43.33"/>
    <m/>
  </r>
  <r>
    <x v="74"/>
    <x v="6"/>
    <n v="2023"/>
    <n v="10"/>
    <s v="Oct"/>
    <x v="17"/>
    <n v="31"/>
    <x v="0"/>
    <n v="0.08"/>
    <n v="1.25"/>
    <n v="0.16"/>
    <n v="0"/>
    <n v="1.49"/>
    <n v="1.49"/>
    <m/>
  </r>
  <r>
    <x v="74"/>
    <x v="6"/>
    <n v="2023"/>
    <n v="10"/>
    <s v="Oct"/>
    <x v="18"/>
    <n v="23"/>
    <x v="1"/>
    <n v="828.75"/>
    <n v="1060"/>
    <n v="827.69"/>
    <n v="609.05999999999995"/>
    <n v="2716.44"/>
    <n v="3325.5"/>
    <m/>
  </r>
  <r>
    <x v="74"/>
    <x v="6"/>
    <n v="2023"/>
    <n v="10"/>
    <s v="Oct"/>
    <x v="19"/>
    <n v="27"/>
    <x v="1"/>
    <n v="6817.12"/>
    <n v="7994.85"/>
    <n v="10610.6"/>
    <n v="1886.6"/>
    <n v="25422.57"/>
    <n v="27309.17"/>
    <m/>
  </r>
  <r>
    <x v="74"/>
    <x v="6"/>
    <n v="2023"/>
    <n v="10"/>
    <s v="Oct"/>
    <x v="20"/>
    <n v="14"/>
    <x v="1"/>
    <n v="28.98"/>
    <n v="32.630000000000003"/>
    <n v="7.63"/>
    <n v="0.57999999999999996"/>
    <n v="69.239999999999995"/>
    <n v="69.819999999999993"/>
    <m/>
  </r>
  <r>
    <x v="74"/>
    <x v="6"/>
    <n v="2023"/>
    <n v="10"/>
    <s v="Oct"/>
    <x v="21"/>
    <n v="17"/>
    <x v="1"/>
    <n v="34.229999999999997"/>
    <n v="41.88"/>
    <n v="65.94"/>
    <n v="0.26"/>
    <n v="142.05000000000001"/>
    <n v="142.31"/>
    <m/>
  </r>
  <r>
    <x v="74"/>
    <x v="6"/>
    <n v="2023"/>
    <n v="10"/>
    <s v="Oct"/>
    <x v="22"/>
    <n v="15"/>
    <x v="1"/>
    <n v="14.87"/>
    <n v="20.98"/>
    <n v="3.53"/>
    <n v="0.06"/>
    <n v="39.380000000000003"/>
    <n v="39.44"/>
    <m/>
  </r>
  <r>
    <x v="74"/>
    <x v="6"/>
    <n v="2023"/>
    <n v="10"/>
    <s v="Oct"/>
    <x v="23"/>
    <n v="13"/>
    <x v="1"/>
    <n v="17.989999999999998"/>
    <n v="21.91"/>
    <n v="6.94"/>
    <n v="2.17"/>
    <n v="46.84"/>
    <n v="49.01"/>
    <m/>
  </r>
  <r>
    <x v="74"/>
    <x v="6"/>
    <n v="2023"/>
    <n v="10"/>
    <s v="Oct"/>
    <x v="24"/>
    <n v="21"/>
    <x v="1"/>
    <n v="1051.33"/>
    <n v="1306.47"/>
    <n v="1121.7"/>
    <n v="697.44"/>
    <n v="3479.5"/>
    <n v="4176.9399999999996"/>
    <m/>
  </r>
  <r>
    <x v="74"/>
    <x v="6"/>
    <n v="2023"/>
    <n v="10"/>
    <s v="Oct"/>
    <x v="25"/>
    <n v="34"/>
    <x v="0"/>
    <n v="29"/>
    <n v="41.93"/>
    <n v="139.51"/>
    <n v="1.1299999999999999"/>
    <n v="210.44"/>
    <n v="211.57"/>
    <m/>
  </r>
  <r>
    <x v="74"/>
    <x v="6"/>
    <n v="2023"/>
    <n v="10"/>
    <s v="Oct"/>
    <x v="26"/>
    <n v="3"/>
    <x v="1"/>
    <n v="470.96"/>
    <n v="686.86"/>
    <n v="791.37"/>
    <n v="32.08"/>
    <n v="1949.19"/>
    <n v="1981.27"/>
    <m/>
  </r>
  <r>
    <x v="74"/>
    <x v="6"/>
    <n v="2023"/>
    <n v="10"/>
    <s v="Oct"/>
    <x v="27"/>
    <n v="8"/>
    <x v="1"/>
    <n v="1075.0999999999999"/>
    <n v="1370.52"/>
    <n v="1407.04"/>
    <n v="193.11"/>
    <n v="3852.66"/>
    <n v="4045.77"/>
    <m/>
  </r>
  <r>
    <x v="74"/>
    <x v="6"/>
    <n v="2023"/>
    <n v="10"/>
    <s v="Oct"/>
    <x v="28"/>
    <n v="11"/>
    <x v="1"/>
    <n v="21.97"/>
    <n v="30.75"/>
    <n v="273.35000000000002"/>
    <n v="0.03"/>
    <n v="326.07"/>
    <n v="326.10000000000002"/>
    <m/>
  </r>
  <r>
    <x v="74"/>
    <x v="6"/>
    <n v="2023"/>
    <n v="10"/>
    <s v="Oct"/>
    <x v="29"/>
    <n v="33"/>
    <x v="1"/>
    <n v="2633.13"/>
    <n v="3502.19"/>
    <n v="3844.5"/>
    <n v="781.05"/>
    <n v="9979.82"/>
    <n v="10760.87"/>
    <m/>
  </r>
  <r>
    <x v="74"/>
    <x v="6"/>
    <n v="2023"/>
    <n v="10"/>
    <s v="Oct"/>
    <x v="30"/>
    <n v="36"/>
    <x v="1"/>
    <n v="1213.17"/>
    <n v="1587.59"/>
    <n v="1525.41"/>
    <n v="541.47"/>
    <n v="4326.17"/>
    <n v="4867.6400000000003"/>
    <m/>
  </r>
  <r>
    <x v="74"/>
    <x v="6"/>
    <n v="2023"/>
    <n v="10"/>
    <s v="Oct"/>
    <x v="31"/>
    <n v="16"/>
    <x v="1"/>
    <n v="30.68"/>
    <n v="40.82"/>
    <n v="19.78"/>
    <n v="0.05"/>
    <n v="91.28"/>
    <n v="91.33"/>
    <m/>
  </r>
  <r>
    <x v="74"/>
    <x v="6"/>
    <n v="2023"/>
    <n v="10"/>
    <s v="Oct"/>
    <x v="32"/>
    <n v="9"/>
    <x v="1"/>
    <n v="2052.3200000000002"/>
    <n v="2811.1"/>
    <n v="2677.14"/>
    <n v="1423.89"/>
    <n v="7540.56"/>
    <n v="8964.4500000000007"/>
    <m/>
  </r>
  <r>
    <x v="74"/>
    <x v="6"/>
    <n v="2023"/>
    <n v="10"/>
    <s v="Oct"/>
    <x v="33"/>
    <n v="5"/>
    <x v="1"/>
    <n v="379.42"/>
    <n v="550.34"/>
    <n v="894.56"/>
    <n v="10.1"/>
    <n v="1824.32"/>
    <n v="1834.42"/>
    <m/>
  </r>
  <r>
    <x v="74"/>
    <x v="6"/>
    <n v="2023"/>
    <n v="10"/>
    <s v="Oct"/>
    <x v="34"/>
    <n v="19"/>
    <x v="1"/>
    <n v="1451.71"/>
    <n v="1839.21"/>
    <n v="1200.77"/>
    <n v="361.59"/>
    <n v="4491.6899999999996"/>
    <n v="4853.28"/>
    <m/>
  </r>
  <r>
    <x v="75"/>
    <x v="6"/>
    <n v="2023"/>
    <n v="11"/>
    <s v="Nov"/>
    <x v="0"/>
    <n v="35"/>
    <x v="0"/>
    <n v="11"/>
    <n v="15.31"/>
    <n v="4.58"/>
    <n v="0.14000000000000001"/>
    <n v="30.89"/>
    <n v="31.03"/>
    <m/>
  </r>
  <r>
    <x v="75"/>
    <x v="6"/>
    <n v="2023"/>
    <n v="11"/>
    <s v="Nov"/>
    <x v="1"/>
    <n v="28"/>
    <x v="1"/>
    <n v="830.31"/>
    <n v="1163.05"/>
    <n v="1731.79"/>
    <n v="367.97"/>
    <n v="3725.15"/>
    <n v="4093.12"/>
    <m/>
  </r>
  <r>
    <x v="75"/>
    <x v="6"/>
    <n v="2023"/>
    <n v="11"/>
    <s v="Nov"/>
    <x v="2"/>
    <n v="12"/>
    <x v="1"/>
    <n v="32.409999999999997"/>
    <n v="39.56"/>
    <n v="19.760000000000002"/>
    <n v="0.5"/>
    <n v="91.73"/>
    <n v="92.23"/>
    <m/>
  </r>
  <r>
    <x v="75"/>
    <x v="6"/>
    <n v="2023"/>
    <n v="11"/>
    <s v="Nov"/>
    <x v="3"/>
    <n v="18"/>
    <x v="1"/>
    <n v="365.92"/>
    <n v="457.44"/>
    <n v="331.15"/>
    <n v="77.37"/>
    <n v="1154.51"/>
    <n v="1231.8800000000001"/>
    <m/>
  </r>
  <r>
    <x v="75"/>
    <x v="6"/>
    <n v="2023"/>
    <n v="11"/>
    <s v="Nov"/>
    <x v="4"/>
    <n v="10"/>
    <x v="1"/>
    <n v="395.98"/>
    <n v="645.71"/>
    <n v="211.57"/>
    <n v="135.16"/>
    <n v="1253.26"/>
    <n v="1388.42"/>
    <m/>
  </r>
  <r>
    <x v="75"/>
    <x v="6"/>
    <n v="2023"/>
    <n v="11"/>
    <s v="Nov"/>
    <x v="5"/>
    <n v="4"/>
    <x v="0"/>
    <n v="40.08"/>
    <n v="49.67"/>
    <n v="120.1"/>
    <n v="0.45"/>
    <n v="209.85"/>
    <n v="210.3"/>
    <m/>
  </r>
  <r>
    <x v="75"/>
    <x v="6"/>
    <n v="2023"/>
    <n v="11"/>
    <s v="Nov"/>
    <x v="6"/>
    <n v="22"/>
    <x v="1"/>
    <n v="536.25"/>
    <n v="625.23"/>
    <n v="1124.17"/>
    <n v="650.05999999999995"/>
    <n v="2285.65"/>
    <n v="2935.71"/>
    <m/>
  </r>
  <r>
    <x v="75"/>
    <x v="6"/>
    <n v="2023"/>
    <n v="11"/>
    <s v="Nov"/>
    <x v="7"/>
    <n v="38"/>
    <x v="0"/>
    <n v="41.49"/>
    <n v="54.6"/>
    <n v="236.41"/>
    <n v="0.15"/>
    <n v="332.5"/>
    <n v="332.65"/>
    <m/>
  </r>
  <r>
    <x v="75"/>
    <x v="6"/>
    <n v="2023"/>
    <n v="11"/>
    <s v="Nov"/>
    <x v="8"/>
    <n v="7"/>
    <x v="0"/>
    <n v="1081.54"/>
    <n v="1275.82"/>
    <n v="2880.33"/>
    <n v="109.38"/>
    <n v="5237.6899999999996"/>
    <n v="5347.07"/>
    <m/>
  </r>
  <r>
    <x v="75"/>
    <x v="6"/>
    <n v="2023"/>
    <n v="11"/>
    <s v="Nov"/>
    <x v="9"/>
    <n v="30"/>
    <x v="1"/>
    <n v="140.26"/>
    <n v="180.03"/>
    <n v="180.11"/>
    <n v="2.69"/>
    <n v="500.4"/>
    <n v="503.09"/>
    <m/>
  </r>
  <r>
    <x v="75"/>
    <x v="6"/>
    <n v="2023"/>
    <n v="11"/>
    <s v="Nov"/>
    <x v="10"/>
    <n v="24"/>
    <x v="1"/>
    <n v="2981.72"/>
    <n v="3665.77"/>
    <n v="3475.42"/>
    <n v="730.35"/>
    <n v="10122.91"/>
    <n v="10853.26"/>
    <m/>
  </r>
  <r>
    <x v="75"/>
    <x v="6"/>
    <n v="2023"/>
    <n v="11"/>
    <s v="Nov"/>
    <x v="11"/>
    <n v="6"/>
    <x v="1"/>
    <n v="1415.4"/>
    <n v="1778.52"/>
    <n v="5868.5"/>
    <n v="669.6"/>
    <n v="9062.42"/>
    <n v="9732.02"/>
    <m/>
  </r>
  <r>
    <x v="75"/>
    <x v="6"/>
    <n v="2023"/>
    <n v="11"/>
    <s v="Nov"/>
    <x v="12"/>
    <n v="2"/>
    <x v="1"/>
    <n v="128.63999999999999"/>
    <n v="185.23"/>
    <n v="487.01"/>
    <n v="1.1499999999999999"/>
    <n v="800.88"/>
    <n v="802.03"/>
    <m/>
  </r>
  <r>
    <x v="75"/>
    <x v="6"/>
    <n v="2023"/>
    <n v="11"/>
    <s v="Nov"/>
    <x v="13"/>
    <n v="1"/>
    <x v="0"/>
    <n v="132.65"/>
    <n v="198.39"/>
    <n v="134.83000000000001"/>
    <n v="3.39"/>
    <n v="465.87"/>
    <n v="469.26"/>
    <m/>
  </r>
  <r>
    <x v="75"/>
    <x v="6"/>
    <n v="2023"/>
    <n v="11"/>
    <s v="Nov"/>
    <x v="14"/>
    <n v="20"/>
    <x v="1"/>
    <n v="510.25"/>
    <n v="714.13"/>
    <n v="933.25"/>
    <n v="475.07"/>
    <n v="2157.63"/>
    <n v="2632.7"/>
    <m/>
  </r>
  <r>
    <x v="75"/>
    <x v="6"/>
    <n v="2023"/>
    <n v="11"/>
    <s v="Nov"/>
    <x v="15"/>
    <n v="29"/>
    <x v="1"/>
    <n v="2745.92"/>
    <n v="3312.81"/>
    <n v="4551.3900000000003"/>
    <n v="1360.03"/>
    <n v="10610.12"/>
    <n v="11970.15"/>
    <m/>
  </r>
  <r>
    <x v="75"/>
    <x v="6"/>
    <n v="2023"/>
    <n v="11"/>
    <s v="Nov"/>
    <x v="16"/>
    <n v="32"/>
    <x v="1"/>
    <n v="873.74"/>
    <n v="1089.1500000000001"/>
    <n v="547.94000000000005"/>
    <n v="3.9"/>
    <n v="2510.83"/>
    <n v="2514.73"/>
    <m/>
  </r>
  <r>
    <x v="75"/>
    <x v="6"/>
    <n v="2023"/>
    <n v="11"/>
    <s v="Nov"/>
    <x v="35"/>
    <n v="37"/>
    <x v="0"/>
    <n v="24.54"/>
    <n v="34.06"/>
    <n v="3.67"/>
    <n v="0"/>
    <n v="62.27"/>
    <n v="62.27"/>
    <m/>
  </r>
  <r>
    <x v="75"/>
    <x v="6"/>
    <n v="2023"/>
    <n v="11"/>
    <s v="Nov"/>
    <x v="17"/>
    <n v="31"/>
    <x v="0"/>
    <n v="0.12"/>
    <n v="0.13"/>
    <n v="0.16"/>
    <n v="0"/>
    <n v="0.41"/>
    <n v="0.41"/>
    <m/>
  </r>
  <r>
    <x v="75"/>
    <x v="6"/>
    <n v="2023"/>
    <n v="11"/>
    <s v="Nov"/>
    <x v="18"/>
    <n v="23"/>
    <x v="1"/>
    <n v="881.06"/>
    <n v="1112.17"/>
    <n v="1016.85"/>
    <n v="635.96"/>
    <n v="3010.08"/>
    <n v="3646.04"/>
    <m/>
  </r>
  <r>
    <x v="75"/>
    <x v="6"/>
    <n v="2023"/>
    <n v="11"/>
    <s v="Nov"/>
    <x v="19"/>
    <n v="27"/>
    <x v="1"/>
    <n v="6813.52"/>
    <n v="7925.71"/>
    <n v="8683.4599999999991"/>
    <n v="2162.08"/>
    <n v="23422.69"/>
    <n v="25584.77"/>
    <m/>
  </r>
  <r>
    <x v="75"/>
    <x v="6"/>
    <n v="2023"/>
    <n v="11"/>
    <s v="Nov"/>
    <x v="20"/>
    <n v="14"/>
    <x v="1"/>
    <n v="13.64"/>
    <n v="18.82"/>
    <n v="7.15"/>
    <n v="0.13"/>
    <n v="39.61"/>
    <n v="39.74"/>
    <m/>
  </r>
  <r>
    <x v="75"/>
    <x v="6"/>
    <n v="2023"/>
    <n v="11"/>
    <s v="Nov"/>
    <x v="21"/>
    <n v="17"/>
    <x v="1"/>
    <n v="32.159999999999997"/>
    <n v="41.1"/>
    <n v="87.89"/>
    <n v="1.47"/>
    <n v="161.15"/>
    <n v="162.62"/>
    <m/>
  </r>
  <r>
    <x v="75"/>
    <x v="6"/>
    <n v="2023"/>
    <n v="11"/>
    <s v="Nov"/>
    <x v="22"/>
    <n v="15"/>
    <x v="1"/>
    <n v="9.1999999999999993"/>
    <n v="14.11"/>
    <n v="9.19"/>
    <n v="0.03"/>
    <n v="32.5"/>
    <n v="32.53"/>
    <m/>
  </r>
  <r>
    <x v="75"/>
    <x v="6"/>
    <n v="2023"/>
    <n v="11"/>
    <s v="Nov"/>
    <x v="23"/>
    <n v="13"/>
    <x v="1"/>
    <n v="23.46"/>
    <n v="29.24"/>
    <n v="11.06"/>
    <n v="2.8"/>
    <n v="63.76"/>
    <n v="66.56"/>
    <m/>
  </r>
  <r>
    <x v="75"/>
    <x v="6"/>
    <n v="2023"/>
    <n v="11"/>
    <s v="Nov"/>
    <x v="24"/>
    <n v="21"/>
    <x v="1"/>
    <n v="1080.6600000000001"/>
    <n v="1251.5899999999999"/>
    <n v="1161.06"/>
    <n v="801.77"/>
    <n v="3493.31"/>
    <n v="4295.08"/>
    <m/>
  </r>
  <r>
    <x v="75"/>
    <x v="6"/>
    <n v="2023"/>
    <n v="11"/>
    <s v="Nov"/>
    <x v="25"/>
    <n v="34"/>
    <x v="0"/>
    <n v="28.81"/>
    <n v="42.8"/>
    <n v="155.63"/>
    <n v="1.01"/>
    <n v="227.24"/>
    <n v="228.25"/>
    <m/>
  </r>
  <r>
    <x v="75"/>
    <x v="6"/>
    <n v="2023"/>
    <n v="11"/>
    <s v="Nov"/>
    <x v="26"/>
    <n v="3"/>
    <x v="1"/>
    <n v="502"/>
    <n v="708.39"/>
    <n v="1032.71"/>
    <n v="21.85"/>
    <n v="2243.1"/>
    <n v="2264.9499999999998"/>
    <m/>
  </r>
  <r>
    <x v="75"/>
    <x v="6"/>
    <n v="2023"/>
    <n v="11"/>
    <s v="Nov"/>
    <x v="27"/>
    <n v="8"/>
    <x v="1"/>
    <n v="1161.72"/>
    <n v="1489.09"/>
    <n v="1839.87"/>
    <n v="191.22"/>
    <n v="4490.68"/>
    <n v="4681.8999999999996"/>
    <m/>
  </r>
  <r>
    <x v="75"/>
    <x v="6"/>
    <n v="2023"/>
    <n v="11"/>
    <s v="Nov"/>
    <x v="28"/>
    <n v="11"/>
    <x v="1"/>
    <n v="19.399999999999999"/>
    <n v="23.35"/>
    <n v="190.73"/>
    <n v="0.09"/>
    <n v="233.48"/>
    <n v="233.57"/>
    <m/>
  </r>
  <r>
    <x v="75"/>
    <x v="6"/>
    <n v="2023"/>
    <n v="11"/>
    <s v="Nov"/>
    <x v="29"/>
    <n v="33"/>
    <x v="1"/>
    <n v="2631.64"/>
    <n v="3385.39"/>
    <n v="3593.44"/>
    <n v="644.26"/>
    <n v="9610.4699999999993"/>
    <n v="10254.73"/>
    <m/>
  </r>
  <r>
    <x v="75"/>
    <x v="6"/>
    <n v="2023"/>
    <n v="11"/>
    <s v="Nov"/>
    <x v="30"/>
    <n v="36"/>
    <x v="1"/>
    <n v="1221.71"/>
    <n v="1616.74"/>
    <n v="1630.97"/>
    <n v="516.48"/>
    <n v="4469.42"/>
    <n v="4985.8999999999996"/>
    <m/>
  </r>
  <r>
    <x v="75"/>
    <x v="6"/>
    <n v="2023"/>
    <n v="11"/>
    <s v="Nov"/>
    <x v="31"/>
    <n v="16"/>
    <x v="1"/>
    <n v="27.35"/>
    <n v="35.74"/>
    <n v="19.93"/>
    <n v="0.13"/>
    <n v="83.02"/>
    <n v="83.15"/>
    <m/>
  </r>
  <r>
    <x v="75"/>
    <x v="6"/>
    <n v="2023"/>
    <n v="11"/>
    <s v="Nov"/>
    <x v="32"/>
    <n v="9"/>
    <x v="1"/>
    <n v="1863.64"/>
    <n v="2744.22"/>
    <n v="3029.79"/>
    <n v="1335.51"/>
    <n v="7637.65"/>
    <n v="8973.16"/>
    <m/>
  </r>
  <r>
    <x v="75"/>
    <x v="6"/>
    <n v="2023"/>
    <n v="11"/>
    <s v="Nov"/>
    <x v="33"/>
    <n v="5"/>
    <x v="1"/>
    <n v="313.35000000000002"/>
    <n v="485.55"/>
    <n v="791.52"/>
    <n v="10.210000000000001"/>
    <n v="1590.42"/>
    <n v="1600.63"/>
    <m/>
  </r>
  <r>
    <x v="75"/>
    <x v="6"/>
    <n v="2023"/>
    <n v="11"/>
    <s v="Nov"/>
    <x v="34"/>
    <n v="19"/>
    <x v="1"/>
    <n v="1496.83"/>
    <n v="1800.46"/>
    <n v="1290.8900000000001"/>
    <n v="326.32"/>
    <n v="4588.18"/>
    <n v="4914.5"/>
    <m/>
  </r>
  <r>
    <x v="76"/>
    <x v="6"/>
    <n v="2023"/>
    <n v="12"/>
    <s v="Dec"/>
    <x v="0"/>
    <n v="35"/>
    <x v="0"/>
    <n v="10.37"/>
    <n v="14.24"/>
    <n v="3.67"/>
    <n v="0.04"/>
    <n v="28.28"/>
    <n v="28.32"/>
    <m/>
  </r>
  <r>
    <x v="76"/>
    <x v="6"/>
    <n v="2023"/>
    <n v="12"/>
    <s v="Dec"/>
    <x v="1"/>
    <n v="28"/>
    <x v="1"/>
    <n v="841.26"/>
    <n v="1116.48"/>
    <n v="1267.97"/>
    <n v="319.02999999999997"/>
    <n v="3225.71"/>
    <n v="3544.74"/>
    <m/>
  </r>
  <r>
    <x v="76"/>
    <x v="6"/>
    <n v="2023"/>
    <n v="12"/>
    <s v="Dec"/>
    <x v="2"/>
    <n v="12"/>
    <x v="1"/>
    <n v="38.450000000000003"/>
    <n v="45.85"/>
    <n v="12.17"/>
    <n v="0.21"/>
    <n v="96.47"/>
    <n v="96.68"/>
    <m/>
  </r>
  <r>
    <x v="76"/>
    <x v="6"/>
    <n v="2023"/>
    <n v="12"/>
    <s v="Dec"/>
    <x v="3"/>
    <n v="18"/>
    <x v="1"/>
    <n v="363.84"/>
    <n v="461.04"/>
    <n v="337.54"/>
    <n v="140.53"/>
    <n v="1162.42"/>
    <n v="1302.95"/>
    <m/>
  </r>
  <r>
    <x v="76"/>
    <x v="6"/>
    <n v="2023"/>
    <n v="12"/>
    <s v="Dec"/>
    <x v="4"/>
    <n v="10"/>
    <x v="1"/>
    <n v="404.35"/>
    <n v="690.78"/>
    <n v="202.77"/>
    <n v="189.27"/>
    <n v="1297.9000000000001"/>
    <n v="1487.17"/>
    <m/>
  </r>
  <r>
    <x v="76"/>
    <x v="6"/>
    <n v="2023"/>
    <n v="12"/>
    <s v="Dec"/>
    <x v="5"/>
    <n v="4"/>
    <x v="0"/>
    <n v="42.3"/>
    <n v="56.61"/>
    <n v="181.57"/>
    <n v="0.3"/>
    <n v="280.48"/>
    <n v="280.77999999999997"/>
    <m/>
  </r>
  <r>
    <x v="76"/>
    <x v="6"/>
    <n v="2023"/>
    <n v="12"/>
    <s v="Dec"/>
    <x v="6"/>
    <n v="22"/>
    <x v="1"/>
    <n v="489.65"/>
    <n v="605.82000000000005"/>
    <n v="900.73"/>
    <n v="616.29999999999995"/>
    <n v="1996.2"/>
    <n v="2612.5"/>
    <m/>
  </r>
  <r>
    <x v="76"/>
    <x v="6"/>
    <n v="2023"/>
    <n v="12"/>
    <s v="Dec"/>
    <x v="7"/>
    <n v="38"/>
    <x v="0"/>
    <n v="43.3"/>
    <n v="54.99"/>
    <n v="234.67"/>
    <n v="0.5"/>
    <n v="332.96"/>
    <n v="333.46"/>
    <m/>
  </r>
  <r>
    <x v="76"/>
    <x v="6"/>
    <n v="2023"/>
    <n v="12"/>
    <s v="Dec"/>
    <x v="8"/>
    <n v="7"/>
    <x v="0"/>
    <n v="1012.06"/>
    <n v="1204.79"/>
    <n v="2793.12"/>
    <n v="111.37"/>
    <n v="5009.97"/>
    <n v="5121.34"/>
    <m/>
  </r>
  <r>
    <x v="76"/>
    <x v="6"/>
    <n v="2023"/>
    <n v="12"/>
    <s v="Dec"/>
    <x v="9"/>
    <n v="30"/>
    <x v="1"/>
    <n v="152.22"/>
    <n v="197.72"/>
    <n v="199.85"/>
    <n v="2.86"/>
    <n v="549.79"/>
    <n v="552.65"/>
    <m/>
  </r>
  <r>
    <x v="76"/>
    <x v="6"/>
    <n v="2023"/>
    <n v="12"/>
    <s v="Dec"/>
    <x v="10"/>
    <n v="24"/>
    <x v="1"/>
    <n v="2801.72"/>
    <n v="3357.84"/>
    <n v="3044.73"/>
    <n v="669.96"/>
    <n v="9204.2900000000009"/>
    <n v="9874.25"/>
    <m/>
  </r>
  <r>
    <x v="76"/>
    <x v="6"/>
    <n v="2023"/>
    <n v="12"/>
    <s v="Dec"/>
    <x v="11"/>
    <n v="6"/>
    <x v="1"/>
    <n v="1247.99"/>
    <n v="1577.16"/>
    <n v="4728.68"/>
    <n v="575.72"/>
    <n v="7553.83"/>
    <n v="8129.55"/>
    <m/>
  </r>
  <r>
    <x v="76"/>
    <x v="6"/>
    <n v="2023"/>
    <n v="12"/>
    <s v="Dec"/>
    <x v="12"/>
    <n v="2"/>
    <x v="1"/>
    <n v="141.12"/>
    <n v="198.6"/>
    <n v="403.18"/>
    <n v="1.72"/>
    <n v="742.9"/>
    <n v="744.62"/>
    <m/>
  </r>
  <r>
    <x v="76"/>
    <x v="6"/>
    <n v="2023"/>
    <n v="12"/>
    <s v="Dec"/>
    <x v="13"/>
    <n v="1"/>
    <x v="0"/>
    <n v="156.74"/>
    <n v="228.33"/>
    <n v="105.05"/>
    <n v="2.09"/>
    <n v="490.12"/>
    <n v="492.21"/>
    <m/>
  </r>
  <r>
    <x v="76"/>
    <x v="6"/>
    <n v="2023"/>
    <n v="12"/>
    <s v="Dec"/>
    <x v="14"/>
    <n v="20"/>
    <x v="1"/>
    <n v="493.99"/>
    <n v="678.71"/>
    <n v="858.75"/>
    <n v="600.08000000000004"/>
    <n v="2031.45"/>
    <n v="2631.53"/>
    <m/>
  </r>
  <r>
    <x v="76"/>
    <x v="6"/>
    <n v="2023"/>
    <n v="12"/>
    <s v="Dec"/>
    <x v="15"/>
    <n v="29"/>
    <x v="1"/>
    <n v="2696.45"/>
    <n v="3357.31"/>
    <n v="4371.53"/>
    <n v="1333.48"/>
    <n v="10425.290000000001"/>
    <n v="11758.77"/>
    <m/>
  </r>
  <r>
    <x v="76"/>
    <x v="6"/>
    <n v="2023"/>
    <n v="12"/>
    <s v="Dec"/>
    <x v="16"/>
    <n v="32"/>
    <x v="1"/>
    <n v="865.21"/>
    <n v="1121.53"/>
    <n v="465.73"/>
    <n v="5.19"/>
    <n v="2452.4699999999998"/>
    <n v="2457.66"/>
    <m/>
  </r>
  <r>
    <x v="76"/>
    <x v="6"/>
    <n v="2023"/>
    <n v="12"/>
    <s v="Dec"/>
    <x v="35"/>
    <n v="37"/>
    <x v="0"/>
    <n v="21.71"/>
    <n v="30.74"/>
    <n v="5.21"/>
    <n v="0.13"/>
    <n v="57.66"/>
    <n v="57.79"/>
    <m/>
  </r>
  <r>
    <x v="76"/>
    <x v="6"/>
    <n v="2023"/>
    <n v="12"/>
    <s v="Dec"/>
    <x v="17"/>
    <n v="31"/>
    <x v="0"/>
    <n v="0.72"/>
    <n v="0.93"/>
    <n v="2.12"/>
    <n v="0"/>
    <n v="3.77"/>
    <n v="3.77"/>
    <m/>
  </r>
  <r>
    <x v="76"/>
    <x v="6"/>
    <n v="2023"/>
    <n v="12"/>
    <s v="Dec"/>
    <x v="18"/>
    <n v="23"/>
    <x v="1"/>
    <n v="867.98"/>
    <n v="1110.45"/>
    <n v="792.36"/>
    <n v="652.07000000000005"/>
    <n v="2770.79"/>
    <n v="3422.86"/>
    <m/>
  </r>
  <r>
    <x v="76"/>
    <x v="6"/>
    <n v="2023"/>
    <n v="12"/>
    <s v="Dec"/>
    <x v="19"/>
    <n v="27"/>
    <x v="1"/>
    <n v="7527.61"/>
    <n v="8606.43"/>
    <n v="8655.8700000000008"/>
    <n v="2024.42"/>
    <n v="24789.91"/>
    <n v="26814.33"/>
    <m/>
  </r>
  <r>
    <x v="76"/>
    <x v="6"/>
    <n v="2023"/>
    <n v="12"/>
    <s v="Dec"/>
    <x v="20"/>
    <n v="14"/>
    <x v="1"/>
    <n v="18.53"/>
    <n v="25.12"/>
    <n v="6.2"/>
    <n v="0.05"/>
    <n v="49.85"/>
    <n v="49.9"/>
    <m/>
  </r>
  <r>
    <x v="76"/>
    <x v="6"/>
    <n v="2023"/>
    <n v="12"/>
    <s v="Dec"/>
    <x v="21"/>
    <n v="17"/>
    <x v="1"/>
    <n v="35.07"/>
    <n v="44.48"/>
    <n v="88.93"/>
    <n v="2.8"/>
    <n v="168.48"/>
    <n v="171.28"/>
    <m/>
  </r>
  <r>
    <x v="76"/>
    <x v="6"/>
    <n v="2023"/>
    <n v="12"/>
    <s v="Dec"/>
    <x v="22"/>
    <n v="15"/>
    <x v="1"/>
    <n v="10.02"/>
    <n v="14.7"/>
    <n v="2.02"/>
    <n v="0.1"/>
    <n v="26.74"/>
    <n v="26.84"/>
    <m/>
  </r>
  <r>
    <x v="76"/>
    <x v="6"/>
    <n v="2023"/>
    <n v="12"/>
    <s v="Dec"/>
    <x v="23"/>
    <n v="13"/>
    <x v="1"/>
    <n v="15.46"/>
    <n v="19.760000000000002"/>
    <n v="7.43"/>
    <n v="2.96"/>
    <n v="42.65"/>
    <n v="45.61"/>
    <m/>
  </r>
  <r>
    <x v="76"/>
    <x v="6"/>
    <n v="2023"/>
    <n v="12"/>
    <s v="Dec"/>
    <x v="24"/>
    <n v="21"/>
    <x v="1"/>
    <n v="1071.42"/>
    <n v="1276.83"/>
    <n v="1207.1099999999999"/>
    <n v="796.06"/>
    <n v="3555.36"/>
    <n v="4351.42"/>
    <m/>
  </r>
  <r>
    <x v="76"/>
    <x v="6"/>
    <n v="2023"/>
    <n v="12"/>
    <s v="Dec"/>
    <x v="25"/>
    <n v="34"/>
    <x v="0"/>
    <n v="28.01"/>
    <n v="41.12"/>
    <n v="162.21"/>
    <n v="0.61"/>
    <n v="231.34"/>
    <n v="231.95"/>
    <m/>
  </r>
  <r>
    <x v="76"/>
    <x v="6"/>
    <n v="2023"/>
    <n v="12"/>
    <s v="Dec"/>
    <x v="26"/>
    <n v="3"/>
    <x v="1"/>
    <n v="450.57"/>
    <n v="668.71"/>
    <n v="738.23"/>
    <n v="17.41"/>
    <n v="1857.51"/>
    <n v="1874.92"/>
    <m/>
  </r>
  <r>
    <x v="76"/>
    <x v="6"/>
    <n v="2023"/>
    <n v="12"/>
    <s v="Dec"/>
    <x v="27"/>
    <n v="8"/>
    <x v="1"/>
    <n v="1077.08"/>
    <n v="1384.78"/>
    <n v="1191.1099999999999"/>
    <n v="174.56"/>
    <n v="3652.97"/>
    <n v="3827.53"/>
    <m/>
  </r>
  <r>
    <x v="76"/>
    <x v="6"/>
    <n v="2023"/>
    <n v="12"/>
    <s v="Dec"/>
    <x v="28"/>
    <n v="11"/>
    <x v="1"/>
    <n v="17.32"/>
    <n v="20.48"/>
    <n v="215.86"/>
    <n v="0.01"/>
    <n v="253.66"/>
    <n v="253.67"/>
    <m/>
  </r>
  <r>
    <x v="76"/>
    <x v="6"/>
    <n v="2023"/>
    <n v="12"/>
    <s v="Dec"/>
    <x v="29"/>
    <n v="33"/>
    <x v="1"/>
    <n v="2560.77"/>
    <n v="3283.37"/>
    <n v="3393.7"/>
    <n v="649.72"/>
    <n v="9237.84"/>
    <n v="9887.56"/>
    <m/>
  </r>
  <r>
    <x v="76"/>
    <x v="6"/>
    <n v="2023"/>
    <n v="12"/>
    <s v="Dec"/>
    <x v="30"/>
    <n v="36"/>
    <x v="1"/>
    <n v="1246"/>
    <n v="1584.54"/>
    <n v="1365.19"/>
    <n v="557.16"/>
    <n v="4195.7299999999996"/>
    <n v="4752.8900000000003"/>
    <m/>
  </r>
  <r>
    <x v="76"/>
    <x v="6"/>
    <n v="2023"/>
    <n v="12"/>
    <s v="Dec"/>
    <x v="31"/>
    <n v="16"/>
    <x v="1"/>
    <n v="29.45"/>
    <n v="40.47"/>
    <n v="9.26"/>
    <n v="0.06"/>
    <n v="79.180000000000007"/>
    <n v="79.239999999999995"/>
    <m/>
  </r>
  <r>
    <x v="76"/>
    <x v="6"/>
    <n v="2023"/>
    <n v="12"/>
    <s v="Dec"/>
    <x v="32"/>
    <n v="9"/>
    <x v="1"/>
    <n v="1833.84"/>
    <n v="2539.3200000000002"/>
    <n v="2314.44"/>
    <n v="1323"/>
    <n v="6687.6"/>
    <n v="8010.6"/>
    <m/>
  </r>
  <r>
    <x v="76"/>
    <x v="6"/>
    <n v="2023"/>
    <n v="12"/>
    <s v="Dec"/>
    <x v="33"/>
    <n v="5"/>
    <x v="1"/>
    <n v="294.06"/>
    <n v="421.38"/>
    <n v="744.4"/>
    <n v="9.83"/>
    <n v="1459.84"/>
    <n v="1469.67"/>
    <m/>
  </r>
  <r>
    <x v="76"/>
    <x v="6"/>
    <n v="2023"/>
    <n v="12"/>
    <s v="Dec"/>
    <x v="34"/>
    <n v="19"/>
    <x v="1"/>
    <n v="1519.56"/>
    <n v="1827.76"/>
    <n v="1281.08"/>
    <n v="390.33"/>
    <n v="4628.3999999999996"/>
    <n v="5018.7299999999996"/>
    <m/>
  </r>
  <r>
    <x v="77"/>
    <x v="6"/>
    <n v="2024"/>
    <n v="1"/>
    <s v="Jan"/>
    <x v="0"/>
    <n v="35"/>
    <x v="0"/>
    <n v="12.67"/>
    <n v="16.489999999999998"/>
    <n v="5.29"/>
    <n v="0.05"/>
    <n v="34.450000000000003"/>
    <n v="34.5"/>
    <m/>
  </r>
  <r>
    <x v="77"/>
    <x v="6"/>
    <n v="2024"/>
    <n v="1"/>
    <s v="Jan"/>
    <x v="1"/>
    <n v="28"/>
    <x v="1"/>
    <n v="866.79"/>
    <n v="1143.1199999999999"/>
    <n v="1317.46"/>
    <n v="259.87"/>
    <n v="3327.37"/>
    <n v="3587.24"/>
    <m/>
  </r>
  <r>
    <x v="77"/>
    <x v="6"/>
    <n v="2024"/>
    <n v="1"/>
    <s v="Jan"/>
    <x v="2"/>
    <n v="12"/>
    <x v="1"/>
    <n v="28.83"/>
    <n v="35.79"/>
    <n v="12.18"/>
    <n v="0.09"/>
    <n v="76.8"/>
    <n v="76.89"/>
    <m/>
  </r>
  <r>
    <x v="77"/>
    <x v="6"/>
    <n v="2024"/>
    <n v="1"/>
    <s v="Jan"/>
    <x v="3"/>
    <n v="18"/>
    <x v="1"/>
    <n v="419.28"/>
    <n v="559.80999999999995"/>
    <n v="296.98"/>
    <n v="96.65"/>
    <n v="1276.07"/>
    <n v="1372.72"/>
    <m/>
  </r>
  <r>
    <x v="77"/>
    <x v="6"/>
    <n v="2024"/>
    <n v="1"/>
    <s v="Jan"/>
    <x v="4"/>
    <n v="10"/>
    <x v="1"/>
    <n v="421.19"/>
    <n v="721.14"/>
    <n v="261.39999999999998"/>
    <n v="161.35"/>
    <n v="1403.73"/>
    <n v="1565.08"/>
    <m/>
  </r>
  <r>
    <x v="77"/>
    <x v="6"/>
    <n v="2024"/>
    <n v="1"/>
    <s v="Jan"/>
    <x v="5"/>
    <n v="4"/>
    <x v="0"/>
    <n v="51.96"/>
    <n v="72.16"/>
    <n v="122.36"/>
    <n v="5.09"/>
    <n v="246.48"/>
    <n v="251.57"/>
    <m/>
  </r>
  <r>
    <x v="77"/>
    <x v="6"/>
    <n v="2024"/>
    <n v="1"/>
    <s v="Jan"/>
    <x v="6"/>
    <n v="22"/>
    <x v="1"/>
    <n v="587.4"/>
    <n v="700.6"/>
    <n v="1015.21"/>
    <n v="645.33000000000004"/>
    <n v="2303.21"/>
    <n v="2948.54"/>
    <m/>
  </r>
  <r>
    <x v="77"/>
    <x v="6"/>
    <n v="2024"/>
    <n v="1"/>
    <s v="Jan"/>
    <x v="7"/>
    <n v="38"/>
    <x v="0"/>
    <n v="45.57"/>
    <n v="57.35"/>
    <n v="293.48"/>
    <n v="0.1"/>
    <n v="396.4"/>
    <n v="396.5"/>
    <m/>
  </r>
  <r>
    <x v="77"/>
    <x v="6"/>
    <n v="2024"/>
    <n v="1"/>
    <s v="Jan"/>
    <x v="8"/>
    <n v="7"/>
    <x v="0"/>
    <n v="1151.74"/>
    <n v="1389.93"/>
    <n v="3101.1"/>
    <n v="131.4"/>
    <n v="5642.77"/>
    <n v="5774.17"/>
    <m/>
  </r>
  <r>
    <x v="77"/>
    <x v="6"/>
    <n v="2024"/>
    <n v="1"/>
    <s v="Jan"/>
    <x v="9"/>
    <n v="30"/>
    <x v="1"/>
    <n v="171.97"/>
    <n v="228.97"/>
    <n v="180.58"/>
    <n v="5.37"/>
    <n v="581.52"/>
    <n v="586.89"/>
    <m/>
  </r>
  <r>
    <x v="77"/>
    <x v="6"/>
    <n v="2024"/>
    <n v="1"/>
    <s v="Jan"/>
    <x v="10"/>
    <n v="24"/>
    <x v="1"/>
    <n v="3033.7"/>
    <n v="3627.27"/>
    <n v="3610.59"/>
    <n v="695.9"/>
    <n v="10271.56"/>
    <n v="10967.46"/>
    <m/>
  </r>
  <r>
    <x v="77"/>
    <x v="6"/>
    <n v="2024"/>
    <n v="1"/>
    <s v="Jan"/>
    <x v="11"/>
    <n v="6"/>
    <x v="1"/>
    <n v="1466.22"/>
    <n v="1855.13"/>
    <n v="5719.89"/>
    <n v="580.52"/>
    <n v="9041.24"/>
    <n v="9621.76"/>
    <m/>
  </r>
  <r>
    <x v="77"/>
    <x v="6"/>
    <n v="2024"/>
    <n v="1"/>
    <s v="Jan"/>
    <x v="12"/>
    <n v="2"/>
    <x v="1"/>
    <n v="168.2"/>
    <n v="238.15"/>
    <n v="466.29"/>
    <n v="1.94"/>
    <n v="872.64"/>
    <n v="874.58"/>
    <m/>
  </r>
  <r>
    <x v="77"/>
    <x v="6"/>
    <n v="2024"/>
    <n v="1"/>
    <s v="Jan"/>
    <x v="13"/>
    <n v="1"/>
    <x v="0"/>
    <n v="175.19"/>
    <n v="260.64"/>
    <n v="127.75"/>
    <n v="3.05"/>
    <n v="563.58000000000004"/>
    <n v="566.63"/>
    <m/>
  </r>
  <r>
    <x v="77"/>
    <x v="6"/>
    <n v="2024"/>
    <n v="1"/>
    <s v="Jan"/>
    <x v="14"/>
    <n v="20"/>
    <x v="1"/>
    <n v="504.9"/>
    <n v="682.61"/>
    <n v="1269.6600000000001"/>
    <n v="636.16"/>
    <n v="2457.17"/>
    <n v="3093.33"/>
    <m/>
  </r>
  <r>
    <x v="77"/>
    <x v="6"/>
    <n v="2024"/>
    <n v="1"/>
    <s v="Jan"/>
    <x v="15"/>
    <n v="29"/>
    <x v="1"/>
    <n v="3045.55"/>
    <n v="3715.29"/>
    <n v="5234.6099999999997"/>
    <n v="1324.8"/>
    <n v="11995.45"/>
    <n v="13320.25"/>
    <m/>
  </r>
  <r>
    <x v="77"/>
    <x v="6"/>
    <n v="2024"/>
    <n v="1"/>
    <s v="Jan"/>
    <x v="16"/>
    <n v="32"/>
    <x v="1"/>
    <n v="958.29"/>
    <n v="1285.5899999999999"/>
    <n v="523.97"/>
    <n v="8.52"/>
    <n v="2767.85"/>
    <n v="2776.37"/>
    <m/>
  </r>
  <r>
    <x v="77"/>
    <x v="6"/>
    <n v="2024"/>
    <n v="1"/>
    <s v="Jan"/>
    <x v="35"/>
    <n v="37"/>
    <x v="0"/>
    <n v="18.84"/>
    <n v="26.05"/>
    <n v="4.22"/>
    <n v="7.0000000000000007E-2"/>
    <n v="49.11"/>
    <n v="49.18"/>
    <m/>
  </r>
  <r>
    <x v="77"/>
    <x v="6"/>
    <n v="2024"/>
    <n v="1"/>
    <s v="Jan"/>
    <x v="17"/>
    <n v="31"/>
    <x v="0"/>
    <n v="0.12"/>
    <n v="0.15"/>
    <n v="1.1399999999999999"/>
    <n v="0"/>
    <n v="1.41"/>
    <n v="1.41"/>
    <m/>
  </r>
  <r>
    <x v="77"/>
    <x v="6"/>
    <n v="2024"/>
    <n v="1"/>
    <s v="Jan"/>
    <x v="18"/>
    <n v="23"/>
    <x v="1"/>
    <n v="917.95"/>
    <n v="1152.45"/>
    <n v="989.98"/>
    <n v="633.29999999999995"/>
    <n v="3060.38"/>
    <n v="3693.68"/>
    <m/>
  </r>
  <r>
    <x v="77"/>
    <x v="6"/>
    <n v="2024"/>
    <n v="1"/>
    <s v="Jan"/>
    <x v="19"/>
    <n v="27"/>
    <x v="1"/>
    <n v="7415.45"/>
    <n v="8524.74"/>
    <n v="10330.219999999999"/>
    <n v="2071.5700000000002"/>
    <n v="26270.41"/>
    <n v="28341.98"/>
    <m/>
  </r>
  <r>
    <x v="77"/>
    <x v="6"/>
    <n v="2024"/>
    <n v="1"/>
    <s v="Jan"/>
    <x v="20"/>
    <n v="14"/>
    <x v="1"/>
    <n v="18.16"/>
    <n v="27.83"/>
    <n v="9.8699999999999992"/>
    <n v="0.56000000000000005"/>
    <n v="55.86"/>
    <n v="56.42"/>
    <m/>
  </r>
  <r>
    <x v="77"/>
    <x v="6"/>
    <n v="2024"/>
    <n v="1"/>
    <s v="Jan"/>
    <x v="21"/>
    <n v="17"/>
    <x v="1"/>
    <n v="43.7"/>
    <n v="58.93"/>
    <n v="97.2"/>
    <n v="0.56000000000000005"/>
    <n v="199.83"/>
    <n v="200.39"/>
    <m/>
  </r>
  <r>
    <x v="77"/>
    <x v="6"/>
    <n v="2024"/>
    <n v="1"/>
    <s v="Jan"/>
    <x v="22"/>
    <n v="15"/>
    <x v="1"/>
    <n v="15.09"/>
    <n v="20.69"/>
    <n v="2.85"/>
    <n v="0.05"/>
    <n v="38.630000000000003"/>
    <n v="38.68"/>
    <m/>
  </r>
  <r>
    <x v="77"/>
    <x v="6"/>
    <n v="2024"/>
    <n v="1"/>
    <s v="Jan"/>
    <x v="23"/>
    <n v="13"/>
    <x v="1"/>
    <n v="16.64"/>
    <n v="22.73"/>
    <n v="8.19"/>
    <n v="3.59"/>
    <n v="47.56"/>
    <n v="51.15"/>
    <m/>
  </r>
  <r>
    <x v="77"/>
    <x v="6"/>
    <n v="2024"/>
    <n v="1"/>
    <s v="Jan"/>
    <x v="24"/>
    <n v="21"/>
    <x v="1"/>
    <n v="1186.99"/>
    <n v="1428.72"/>
    <n v="1485.86"/>
    <n v="861.59"/>
    <n v="4101.57"/>
    <n v="4963.16"/>
    <m/>
  </r>
  <r>
    <x v="77"/>
    <x v="6"/>
    <n v="2024"/>
    <n v="1"/>
    <s v="Jan"/>
    <x v="25"/>
    <n v="34"/>
    <x v="0"/>
    <n v="31.45"/>
    <n v="53.7"/>
    <n v="150.21"/>
    <n v="1.93"/>
    <n v="235.36"/>
    <n v="237.29"/>
    <m/>
  </r>
  <r>
    <x v="77"/>
    <x v="6"/>
    <n v="2024"/>
    <n v="1"/>
    <s v="Jan"/>
    <x v="26"/>
    <n v="3"/>
    <x v="1"/>
    <n v="539.02"/>
    <n v="777.29"/>
    <n v="847.71"/>
    <n v="25.07"/>
    <n v="2164.02"/>
    <n v="2189.09"/>
    <m/>
  </r>
  <r>
    <x v="77"/>
    <x v="6"/>
    <n v="2024"/>
    <n v="1"/>
    <s v="Jan"/>
    <x v="27"/>
    <n v="8"/>
    <x v="1"/>
    <n v="1270.8499999999999"/>
    <n v="1601.07"/>
    <n v="1477.37"/>
    <n v="175.88"/>
    <n v="4349.29"/>
    <n v="4525.17"/>
    <m/>
  </r>
  <r>
    <x v="77"/>
    <x v="6"/>
    <n v="2024"/>
    <n v="1"/>
    <s v="Jan"/>
    <x v="28"/>
    <n v="11"/>
    <x v="1"/>
    <n v="19.32"/>
    <n v="22.89"/>
    <n v="252.87"/>
    <n v="0.1"/>
    <n v="295.08"/>
    <n v="295.18"/>
    <m/>
  </r>
  <r>
    <x v="77"/>
    <x v="6"/>
    <n v="2024"/>
    <n v="1"/>
    <s v="Jan"/>
    <x v="29"/>
    <n v="33"/>
    <x v="1"/>
    <n v="2495.15"/>
    <n v="3297.6"/>
    <n v="3165.04"/>
    <n v="648.54"/>
    <n v="8957.7900000000009"/>
    <n v="9606.33"/>
    <m/>
  </r>
  <r>
    <x v="77"/>
    <x v="6"/>
    <n v="2024"/>
    <n v="1"/>
    <s v="Jan"/>
    <x v="30"/>
    <n v="36"/>
    <x v="1"/>
    <n v="1421.84"/>
    <n v="1853.9"/>
    <n v="1580.23"/>
    <n v="592.25"/>
    <n v="4855.97"/>
    <n v="5448.22"/>
    <m/>
  </r>
  <r>
    <x v="77"/>
    <x v="6"/>
    <n v="2024"/>
    <n v="1"/>
    <s v="Jan"/>
    <x v="31"/>
    <n v="16"/>
    <x v="1"/>
    <n v="30.17"/>
    <n v="38.57"/>
    <n v="11.68"/>
    <n v="0.3"/>
    <n v="80.42"/>
    <n v="80.72"/>
    <m/>
  </r>
  <r>
    <x v="77"/>
    <x v="6"/>
    <n v="2024"/>
    <n v="1"/>
    <s v="Jan"/>
    <x v="32"/>
    <n v="9"/>
    <x v="1"/>
    <n v="2096.9499999999998"/>
    <n v="2880.7"/>
    <n v="2432.66"/>
    <n v="1185.31"/>
    <n v="7410.31"/>
    <n v="8595.6200000000008"/>
    <m/>
  </r>
  <r>
    <x v="77"/>
    <x v="6"/>
    <n v="2024"/>
    <n v="1"/>
    <s v="Jan"/>
    <x v="33"/>
    <n v="5"/>
    <x v="1"/>
    <n v="303.5"/>
    <n v="447.97"/>
    <n v="850.48"/>
    <n v="14.51"/>
    <n v="1601.95"/>
    <n v="1616.46"/>
    <m/>
  </r>
  <r>
    <x v="77"/>
    <x v="6"/>
    <n v="2024"/>
    <n v="1"/>
    <s v="Jan"/>
    <x v="34"/>
    <n v="19"/>
    <x v="1"/>
    <n v="1721.71"/>
    <n v="2051.65"/>
    <n v="1290.28"/>
    <n v="401.57"/>
    <n v="5063.6400000000003"/>
    <n v="5465.21"/>
    <m/>
  </r>
  <r>
    <x v="78"/>
    <x v="6"/>
    <n v="2024"/>
    <n v="2"/>
    <s v="Feb"/>
    <x v="0"/>
    <n v="35"/>
    <x v="0"/>
    <n v="15.09"/>
    <n v="19.809999999999999"/>
    <n v="4.04"/>
    <n v="0.23"/>
    <n v="38.94"/>
    <n v="39.17"/>
    <m/>
  </r>
  <r>
    <x v="78"/>
    <x v="6"/>
    <n v="2024"/>
    <n v="2"/>
    <s v="Feb"/>
    <x v="1"/>
    <n v="28"/>
    <x v="1"/>
    <n v="884.63"/>
    <n v="1145.21"/>
    <n v="1400.43"/>
    <n v="247.83"/>
    <n v="3430.27"/>
    <n v="3678.1"/>
    <m/>
  </r>
  <r>
    <x v="78"/>
    <x v="6"/>
    <n v="2024"/>
    <n v="2"/>
    <s v="Feb"/>
    <x v="2"/>
    <n v="12"/>
    <x v="1"/>
    <n v="36.82"/>
    <n v="48.36"/>
    <n v="15.72"/>
    <n v="0.12"/>
    <n v="100.9"/>
    <n v="101.02"/>
    <m/>
  </r>
  <r>
    <x v="78"/>
    <x v="6"/>
    <n v="2024"/>
    <n v="2"/>
    <s v="Feb"/>
    <x v="3"/>
    <n v="18"/>
    <x v="1"/>
    <n v="403"/>
    <n v="507.08"/>
    <n v="292.56"/>
    <n v="186.99"/>
    <n v="1202.6400000000001"/>
    <n v="1389.63"/>
    <m/>
  </r>
  <r>
    <x v="78"/>
    <x v="6"/>
    <n v="2024"/>
    <n v="2"/>
    <s v="Feb"/>
    <x v="4"/>
    <n v="10"/>
    <x v="1"/>
    <n v="399.29"/>
    <n v="689.37"/>
    <n v="214.36"/>
    <n v="188.08"/>
    <n v="1303.02"/>
    <n v="1491.1"/>
    <m/>
  </r>
  <r>
    <x v="78"/>
    <x v="6"/>
    <n v="2024"/>
    <n v="2"/>
    <s v="Feb"/>
    <x v="5"/>
    <n v="4"/>
    <x v="0"/>
    <n v="42.95"/>
    <n v="58.94"/>
    <n v="106.97"/>
    <n v="2.11"/>
    <n v="208.86"/>
    <n v="210.97"/>
    <m/>
  </r>
  <r>
    <x v="78"/>
    <x v="6"/>
    <n v="2024"/>
    <n v="2"/>
    <s v="Feb"/>
    <x v="6"/>
    <n v="22"/>
    <x v="1"/>
    <n v="597.74"/>
    <n v="712.07"/>
    <n v="1130.32"/>
    <n v="683.74"/>
    <n v="2440.13"/>
    <n v="3123.87"/>
    <m/>
  </r>
  <r>
    <x v="78"/>
    <x v="6"/>
    <n v="2024"/>
    <n v="2"/>
    <s v="Feb"/>
    <x v="7"/>
    <n v="38"/>
    <x v="0"/>
    <n v="46.06"/>
    <n v="60.13"/>
    <n v="248.87"/>
    <n v="0.43"/>
    <n v="355.06"/>
    <n v="355.49"/>
    <m/>
  </r>
  <r>
    <x v="78"/>
    <x v="6"/>
    <n v="2024"/>
    <n v="2"/>
    <s v="Feb"/>
    <x v="8"/>
    <n v="7"/>
    <x v="0"/>
    <n v="1098.07"/>
    <n v="1300.18"/>
    <n v="3025.19"/>
    <n v="120.52"/>
    <n v="5423.44"/>
    <n v="5543.96"/>
    <m/>
  </r>
  <r>
    <x v="78"/>
    <x v="6"/>
    <n v="2024"/>
    <n v="2"/>
    <s v="Feb"/>
    <x v="9"/>
    <n v="30"/>
    <x v="1"/>
    <n v="181.24"/>
    <n v="223.63"/>
    <n v="172.3"/>
    <n v="3.53"/>
    <n v="577.16999999999996"/>
    <n v="580.70000000000005"/>
    <m/>
  </r>
  <r>
    <x v="78"/>
    <x v="6"/>
    <n v="2024"/>
    <n v="2"/>
    <s v="Feb"/>
    <x v="10"/>
    <n v="24"/>
    <x v="1"/>
    <n v="3103.69"/>
    <n v="3808.84"/>
    <n v="3428.24"/>
    <n v="688.12"/>
    <n v="10340.77"/>
    <n v="11028.89"/>
    <m/>
  </r>
  <r>
    <x v="78"/>
    <x v="6"/>
    <n v="2024"/>
    <n v="2"/>
    <s v="Feb"/>
    <x v="11"/>
    <n v="6"/>
    <x v="1"/>
    <n v="1315.33"/>
    <n v="1720.33"/>
    <n v="4642.79"/>
    <n v="590.79"/>
    <n v="7678.45"/>
    <n v="8269.24"/>
    <m/>
  </r>
  <r>
    <x v="78"/>
    <x v="6"/>
    <n v="2024"/>
    <n v="2"/>
    <s v="Feb"/>
    <x v="12"/>
    <n v="2"/>
    <x v="1"/>
    <n v="145.6"/>
    <n v="203.86"/>
    <n v="395.82"/>
    <n v="0.81"/>
    <n v="745.28"/>
    <n v="746.09"/>
    <m/>
  </r>
  <r>
    <x v="78"/>
    <x v="6"/>
    <n v="2024"/>
    <n v="2"/>
    <s v="Feb"/>
    <x v="13"/>
    <n v="1"/>
    <x v="0"/>
    <n v="181.07"/>
    <n v="231.34"/>
    <n v="115.7"/>
    <n v="3.91"/>
    <n v="528.11"/>
    <n v="532.02"/>
    <m/>
  </r>
  <r>
    <x v="78"/>
    <x v="6"/>
    <n v="2024"/>
    <n v="2"/>
    <s v="Feb"/>
    <x v="14"/>
    <n v="20"/>
    <x v="1"/>
    <n v="532.74"/>
    <n v="740.27"/>
    <n v="1034.6300000000001"/>
    <n v="625.13"/>
    <n v="2307.64"/>
    <n v="2932.77"/>
    <m/>
  </r>
  <r>
    <x v="78"/>
    <x v="6"/>
    <n v="2024"/>
    <n v="2"/>
    <s v="Feb"/>
    <x v="15"/>
    <n v="29"/>
    <x v="1"/>
    <n v="2942.2"/>
    <n v="3519.92"/>
    <n v="4670.2700000000004"/>
    <n v="1682.49"/>
    <n v="11132.39"/>
    <n v="12814.88"/>
    <m/>
  </r>
  <r>
    <x v="78"/>
    <x v="6"/>
    <n v="2024"/>
    <n v="2"/>
    <s v="Feb"/>
    <x v="16"/>
    <n v="32"/>
    <x v="1"/>
    <n v="939.96"/>
    <n v="1230.52"/>
    <n v="512.44000000000005"/>
    <n v="4.76"/>
    <n v="2682.92"/>
    <n v="2687.68"/>
    <m/>
  </r>
  <r>
    <x v="78"/>
    <x v="6"/>
    <n v="2024"/>
    <n v="2"/>
    <s v="Feb"/>
    <x v="35"/>
    <n v="37"/>
    <x v="0"/>
    <n v="14.85"/>
    <n v="17.91"/>
    <n v="1.93"/>
    <n v="0.01"/>
    <n v="34.69"/>
    <n v="34.700000000000003"/>
    <m/>
  </r>
  <r>
    <x v="78"/>
    <x v="6"/>
    <n v="2024"/>
    <n v="2"/>
    <s v="Feb"/>
    <x v="17"/>
    <n v="31"/>
    <x v="0"/>
    <n v="0.82"/>
    <n v="0.93"/>
    <n v="0.16"/>
    <n v="0"/>
    <n v="1.91"/>
    <n v="1.91"/>
    <m/>
  </r>
  <r>
    <x v="78"/>
    <x v="6"/>
    <n v="2024"/>
    <n v="2"/>
    <s v="Feb"/>
    <x v="18"/>
    <n v="23"/>
    <x v="1"/>
    <n v="909.09"/>
    <n v="1105.8900000000001"/>
    <n v="935.93"/>
    <n v="620.66999999999996"/>
    <n v="2950.91"/>
    <n v="3571.58"/>
    <m/>
  </r>
  <r>
    <x v="78"/>
    <x v="6"/>
    <n v="2024"/>
    <n v="2"/>
    <s v="Feb"/>
    <x v="19"/>
    <n v="27"/>
    <x v="1"/>
    <n v="7211.31"/>
    <n v="8470.41"/>
    <n v="9310.44"/>
    <n v="2072.5300000000002"/>
    <n v="24992.16"/>
    <n v="27064.69"/>
    <m/>
  </r>
  <r>
    <x v="78"/>
    <x v="6"/>
    <n v="2024"/>
    <n v="2"/>
    <s v="Feb"/>
    <x v="20"/>
    <n v="14"/>
    <x v="1"/>
    <n v="18.920000000000002"/>
    <n v="28.4"/>
    <n v="8.08"/>
    <n v="0.15"/>
    <n v="55.4"/>
    <n v="55.55"/>
    <m/>
  </r>
  <r>
    <x v="78"/>
    <x v="6"/>
    <n v="2024"/>
    <n v="2"/>
    <s v="Feb"/>
    <x v="21"/>
    <n v="17"/>
    <x v="1"/>
    <n v="44.25"/>
    <n v="53.02"/>
    <n v="95.65"/>
    <n v="0.4"/>
    <n v="192.92"/>
    <n v="193.32"/>
    <m/>
  </r>
  <r>
    <x v="78"/>
    <x v="6"/>
    <n v="2024"/>
    <n v="2"/>
    <s v="Feb"/>
    <x v="22"/>
    <n v="15"/>
    <x v="1"/>
    <n v="18.920000000000002"/>
    <n v="27.04"/>
    <n v="3.36"/>
    <n v="0.02"/>
    <n v="49.32"/>
    <n v="49.34"/>
    <m/>
  </r>
  <r>
    <x v="78"/>
    <x v="6"/>
    <n v="2024"/>
    <n v="2"/>
    <s v="Feb"/>
    <x v="23"/>
    <n v="13"/>
    <x v="1"/>
    <n v="15.41"/>
    <n v="21.24"/>
    <n v="10.53"/>
    <n v="4.03"/>
    <n v="47.18"/>
    <n v="51.21"/>
    <m/>
  </r>
  <r>
    <x v="78"/>
    <x v="6"/>
    <n v="2024"/>
    <n v="2"/>
    <s v="Feb"/>
    <x v="24"/>
    <n v="21"/>
    <x v="1"/>
    <n v="1232.02"/>
    <n v="1464.73"/>
    <n v="1603.46"/>
    <n v="835.6"/>
    <n v="4300.21"/>
    <n v="5135.8100000000004"/>
    <m/>
  </r>
  <r>
    <x v="78"/>
    <x v="6"/>
    <n v="2024"/>
    <n v="2"/>
    <s v="Feb"/>
    <x v="25"/>
    <n v="34"/>
    <x v="0"/>
    <n v="27.5"/>
    <n v="41.54"/>
    <n v="161.47"/>
    <n v="0.26"/>
    <n v="230.51"/>
    <n v="230.77"/>
    <m/>
  </r>
  <r>
    <x v="78"/>
    <x v="6"/>
    <n v="2024"/>
    <n v="2"/>
    <s v="Feb"/>
    <x v="26"/>
    <n v="3"/>
    <x v="1"/>
    <n v="468.33"/>
    <n v="631.39"/>
    <n v="834.26"/>
    <n v="21.15"/>
    <n v="1933.98"/>
    <n v="1955.13"/>
    <m/>
  </r>
  <r>
    <x v="78"/>
    <x v="6"/>
    <n v="2024"/>
    <n v="2"/>
    <s v="Feb"/>
    <x v="27"/>
    <n v="8"/>
    <x v="1"/>
    <n v="1136.53"/>
    <n v="1428.73"/>
    <n v="1459.46"/>
    <n v="186.53"/>
    <n v="4024.72"/>
    <n v="4211.25"/>
    <m/>
  </r>
  <r>
    <x v="78"/>
    <x v="6"/>
    <n v="2024"/>
    <n v="2"/>
    <s v="Feb"/>
    <x v="28"/>
    <n v="11"/>
    <x v="1"/>
    <n v="19.07"/>
    <n v="23.3"/>
    <n v="256.68"/>
    <n v="0.13"/>
    <n v="299.05"/>
    <n v="299.18"/>
    <m/>
  </r>
  <r>
    <x v="78"/>
    <x v="6"/>
    <n v="2024"/>
    <n v="2"/>
    <s v="Feb"/>
    <x v="29"/>
    <n v="33"/>
    <x v="1"/>
    <n v="2543.02"/>
    <n v="3396.67"/>
    <n v="3098.21"/>
    <n v="674.6"/>
    <n v="9037.9"/>
    <n v="9712.5"/>
    <m/>
  </r>
  <r>
    <x v="78"/>
    <x v="6"/>
    <n v="2024"/>
    <n v="2"/>
    <s v="Feb"/>
    <x v="30"/>
    <n v="36"/>
    <x v="1"/>
    <n v="1418.86"/>
    <n v="1742.76"/>
    <n v="1461.76"/>
    <n v="587.15"/>
    <n v="4623.38"/>
    <n v="5210.53"/>
    <m/>
  </r>
  <r>
    <x v="78"/>
    <x v="6"/>
    <n v="2024"/>
    <n v="2"/>
    <s v="Feb"/>
    <x v="31"/>
    <n v="16"/>
    <x v="1"/>
    <n v="33.299999999999997"/>
    <n v="41.57"/>
    <n v="10.26"/>
    <n v="0.14000000000000001"/>
    <n v="85.13"/>
    <n v="85.27"/>
    <m/>
  </r>
  <r>
    <x v="78"/>
    <x v="6"/>
    <n v="2024"/>
    <n v="2"/>
    <s v="Feb"/>
    <x v="32"/>
    <n v="9"/>
    <x v="1"/>
    <n v="1889.91"/>
    <n v="2515.0700000000002"/>
    <n v="2321.3000000000002"/>
    <n v="1327.55"/>
    <n v="6726.28"/>
    <n v="8053.83"/>
    <m/>
  </r>
  <r>
    <x v="78"/>
    <x v="6"/>
    <n v="2024"/>
    <n v="2"/>
    <s v="Feb"/>
    <x v="33"/>
    <n v="5"/>
    <x v="1"/>
    <n v="298.64999999999998"/>
    <n v="439.69"/>
    <n v="776.22"/>
    <n v="10.61"/>
    <n v="1514.56"/>
    <n v="1525.17"/>
    <m/>
  </r>
  <r>
    <x v="78"/>
    <x v="6"/>
    <n v="2024"/>
    <n v="2"/>
    <s v="Feb"/>
    <x v="34"/>
    <n v="19"/>
    <x v="1"/>
    <n v="1604.66"/>
    <n v="1927.33"/>
    <n v="1341.59"/>
    <n v="483.24"/>
    <n v="4873.58"/>
    <n v="5356.82"/>
    <m/>
  </r>
  <r>
    <x v="79"/>
    <x v="6"/>
    <n v="2024"/>
    <n v="3"/>
    <s v="Mar"/>
    <x v="0"/>
    <n v="35"/>
    <x v="0"/>
    <n v="12.37"/>
    <n v="15.35"/>
    <n v="4.43"/>
    <n v="0.06"/>
    <n v="32.15"/>
    <n v="32.21"/>
    <m/>
  </r>
  <r>
    <x v="79"/>
    <x v="6"/>
    <n v="2024"/>
    <n v="3"/>
    <s v="Mar"/>
    <x v="1"/>
    <n v="28"/>
    <x v="1"/>
    <n v="1022.48"/>
    <n v="1312.44"/>
    <n v="1501.3"/>
    <n v="245.7"/>
    <n v="3836.22"/>
    <n v="4081.92"/>
    <m/>
  </r>
  <r>
    <x v="79"/>
    <x v="6"/>
    <n v="2024"/>
    <n v="3"/>
    <s v="Mar"/>
    <x v="2"/>
    <n v="12"/>
    <x v="1"/>
    <n v="69.45"/>
    <n v="79.58"/>
    <n v="18.440000000000001"/>
    <n v="0.17"/>
    <n v="167.47"/>
    <n v="167.64"/>
    <m/>
  </r>
  <r>
    <x v="79"/>
    <x v="6"/>
    <n v="2024"/>
    <n v="3"/>
    <s v="Mar"/>
    <x v="3"/>
    <n v="18"/>
    <x v="1"/>
    <n v="477.95"/>
    <n v="596.96"/>
    <n v="350.79"/>
    <n v="117.62"/>
    <n v="1425.7"/>
    <n v="1543.32"/>
    <m/>
  </r>
  <r>
    <x v="79"/>
    <x v="6"/>
    <n v="2024"/>
    <n v="3"/>
    <s v="Mar"/>
    <x v="4"/>
    <n v="10"/>
    <x v="1"/>
    <n v="553.52"/>
    <n v="1057.3900000000001"/>
    <n v="239.56"/>
    <n v="140.93"/>
    <n v="1850.47"/>
    <n v="1991.4"/>
    <m/>
  </r>
  <r>
    <x v="79"/>
    <x v="6"/>
    <n v="2024"/>
    <n v="3"/>
    <s v="Mar"/>
    <x v="5"/>
    <n v="4"/>
    <x v="0"/>
    <n v="51.59"/>
    <n v="62.54"/>
    <n v="121.84"/>
    <n v="2.1800000000000002"/>
    <n v="235.97"/>
    <n v="238.15"/>
    <m/>
  </r>
  <r>
    <x v="79"/>
    <x v="6"/>
    <n v="2024"/>
    <n v="3"/>
    <s v="Mar"/>
    <x v="6"/>
    <n v="22"/>
    <x v="1"/>
    <n v="650.44000000000005"/>
    <n v="757.85"/>
    <n v="1056.0999999999999"/>
    <n v="678.55"/>
    <n v="2464.39"/>
    <n v="3142.94"/>
    <m/>
  </r>
  <r>
    <x v="79"/>
    <x v="6"/>
    <n v="2024"/>
    <n v="3"/>
    <s v="Mar"/>
    <x v="7"/>
    <n v="38"/>
    <x v="0"/>
    <n v="49.2"/>
    <n v="62.65"/>
    <n v="340.43"/>
    <n v="0.21"/>
    <n v="452.28"/>
    <n v="452.49"/>
    <m/>
  </r>
  <r>
    <x v="79"/>
    <x v="6"/>
    <n v="2024"/>
    <n v="3"/>
    <s v="Mar"/>
    <x v="8"/>
    <n v="7"/>
    <x v="0"/>
    <n v="1225.07"/>
    <n v="1412.73"/>
    <n v="3057.59"/>
    <n v="124.55"/>
    <n v="5695.39"/>
    <n v="5819.94"/>
    <m/>
  </r>
  <r>
    <x v="79"/>
    <x v="6"/>
    <n v="2024"/>
    <n v="3"/>
    <s v="Mar"/>
    <x v="9"/>
    <n v="30"/>
    <x v="1"/>
    <n v="166.5"/>
    <n v="214.37"/>
    <n v="180.55"/>
    <n v="3.71"/>
    <n v="561.41999999999996"/>
    <n v="565.13"/>
    <m/>
  </r>
  <r>
    <x v="79"/>
    <x v="6"/>
    <n v="2024"/>
    <n v="3"/>
    <s v="Mar"/>
    <x v="10"/>
    <n v="24"/>
    <x v="1"/>
    <n v="3210.45"/>
    <n v="3905.96"/>
    <n v="3685.87"/>
    <n v="589.96"/>
    <n v="10802.28"/>
    <n v="11392.24"/>
    <m/>
  </r>
  <r>
    <x v="79"/>
    <x v="6"/>
    <n v="2024"/>
    <n v="3"/>
    <s v="Mar"/>
    <x v="11"/>
    <n v="6"/>
    <x v="1"/>
    <n v="1428.35"/>
    <n v="1766.53"/>
    <n v="5733.67"/>
    <n v="616.52"/>
    <n v="8928.5499999999993"/>
    <n v="9545.07"/>
    <m/>
  </r>
  <r>
    <x v="79"/>
    <x v="6"/>
    <n v="2024"/>
    <n v="3"/>
    <s v="Mar"/>
    <x v="12"/>
    <n v="2"/>
    <x v="1"/>
    <n v="165.61"/>
    <n v="225.35"/>
    <n v="459.77"/>
    <n v="1.05"/>
    <n v="850.73"/>
    <n v="851.78"/>
    <m/>
  </r>
  <r>
    <x v="79"/>
    <x v="6"/>
    <n v="2024"/>
    <n v="3"/>
    <s v="Mar"/>
    <x v="13"/>
    <n v="1"/>
    <x v="0"/>
    <n v="200.79"/>
    <n v="264.52"/>
    <n v="129.96"/>
    <n v="6.13"/>
    <n v="595.27"/>
    <n v="601.4"/>
    <m/>
  </r>
  <r>
    <x v="79"/>
    <x v="6"/>
    <n v="2024"/>
    <n v="3"/>
    <s v="Mar"/>
    <x v="14"/>
    <n v="20"/>
    <x v="1"/>
    <n v="574.63"/>
    <n v="872.88"/>
    <n v="1165.68"/>
    <n v="629.67999999999995"/>
    <n v="2613.19"/>
    <n v="3242.87"/>
    <m/>
  </r>
  <r>
    <x v="79"/>
    <x v="6"/>
    <n v="2024"/>
    <n v="3"/>
    <s v="Mar"/>
    <x v="15"/>
    <n v="29"/>
    <x v="1"/>
    <n v="3001.22"/>
    <n v="3664.3"/>
    <n v="4916.82"/>
    <n v="1431.37"/>
    <n v="11582.34"/>
    <n v="13013.71"/>
    <m/>
  </r>
  <r>
    <x v="79"/>
    <x v="6"/>
    <n v="2024"/>
    <n v="3"/>
    <s v="Mar"/>
    <x v="16"/>
    <n v="32"/>
    <x v="1"/>
    <n v="929.52"/>
    <n v="1158.49"/>
    <n v="506.9"/>
    <n v="3.01"/>
    <n v="2594.91"/>
    <n v="2597.92"/>
    <m/>
  </r>
  <r>
    <x v="79"/>
    <x v="6"/>
    <n v="2024"/>
    <n v="3"/>
    <s v="Mar"/>
    <x v="35"/>
    <n v="37"/>
    <x v="0"/>
    <n v="17.63"/>
    <n v="20.52"/>
    <n v="3.09"/>
    <n v="0.06"/>
    <n v="41.24"/>
    <n v="41.3"/>
    <m/>
  </r>
  <r>
    <x v="79"/>
    <x v="6"/>
    <n v="2024"/>
    <n v="3"/>
    <s v="Mar"/>
    <x v="17"/>
    <n v="31"/>
    <x v="0"/>
    <n v="0.8"/>
    <n v="1.2"/>
    <n v="0.22"/>
    <n v="0"/>
    <n v="2.2200000000000002"/>
    <n v="2.2200000000000002"/>
    <m/>
  </r>
  <r>
    <x v="79"/>
    <x v="6"/>
    <n v="2024"/>
    <n v="3"/>
    <s v="Mar"/>
    <x v="18"/>
    <n v="23"/>
    <x v="1"/>
    <n v="994.04"/>
    <n v="1207.56"/>
    <n v="1131.26"/>
    <n v="641.19000000000005"/>
    <n v="3332.86"/>
    <n v="3974.05"/>
    <m/>
  </r>
  <r>
    <x v="79"/>
    <x v="6"/>
    <n v="2024"/>
    <n v="3"/>
    <s v="Mar"/>
    <x v="19"/>
    <n v="27"/>
    <x v="1"/>
    <n v="7734.14"/>
    <n v="9259.19"/>
    <n v="8662.98"/>
    <n v="2031.55"/>
    <n v="25656.31"/>
    <n v="27687.86"/>
    <m/>
  </r>
  <r>
    <x v="79"/>
    <x v="6"/>
    <n v="2024"/>
    <n v="3"/>
    <s v="Mar"/>
    <x v="20"/>
    <n v="14"/>
    <x v="1"/>
    <n v="26.06"/>
    <n v="35.479999999999997"/>
    <n v="7.51"/>
    <n v="0.15"/>
    <n v="69.05"/>
    <n v="69.2"/>
    <m/>
  </r>
  <r>
    <x v="79"/>
    <x v="6"/>
    <n v="2024"/>
    <n v="3"/>
    <s v="Mar"/>
    <x v="21"/>
    <n v="17"/>
    <x v="1"/>
    <n v="48.63"/>
    <n v="57.1"/>
    <n v="106.12"/>
    <n v="1.0900000000000001"/>
    <n v="211.85"/>
    <n v="212.94"/>
    <m/>
  </r>
  <r>
    <x v="79"/>
    <x v="6"/>
    <n v="2024"/>
    <n v="3"/>
    <s v="Mar"/>
    <x v="22"/>
    <n v="15"/>
    <x v="1"/>
    <n v="18.25"/>
    <n v="28.71"/>
    <n v="3.21"/>
    <n v="7.0000000000000007E-2"/>
    <n v="50.17"/>
    <n v="50.24"/>
    <m/>
  </r>
  <r>
    <x v="79"/>
    <x v="6"/>
    <n v="2024"/>
    <n v="3"/>
    <s v="Mar"/>
    <x v="23"/>
    <n v="13"/>
    <x v="1"/>
    <n v="31.19"/>
    <n v="37.19"/>
    <n v="10.18"/>
    <n v="4.03"/>
    <n v="78.56"/>
    <n v="82.59"/>
    <m/>
  </r>
  <r>
    <x v="79"/>
    <x v="6"/>
    <n v="2024"/>
    <n v="3"/>
    <s v="Mar"/>
    <x v="24"/>
    <n v="21"/>
    <x v="1"/>
    <n v="1380.4"/>
    <n v="1659.31"/>
    <n v="1266.47"/>
    <n v="803.15"/>
    <n v="4306.18"/>
    <n v="5109.33"/>
    <m/>
  </r>
  <r>
    <x v="79"/>
    <x v="6"/>
    <n v="2024"/>
    <n v="3"/>
    <s v="Mar"/>
    <x v="25"/>
    <n v="34"/>
    <x v="0"/>
    <n v="29.7"/>
    <n v="42.03"/>
    <n v="149.19999999999999"/>
    <n v="0.56000000000000005"/>
    <n v="220.93"/>
    <n v="221.49"/>
    <m/>
  </r>
  <r>
    <x v="79"/>
    <x v="6"/>
    <n v="2024"/>
    <n v="3"/>
    <s v="Mar"/>
    <x v="26"/>
    <n v="3"/>
    <x v="1"/>
    <n v="503.96"/>
    <n v="716.53"/>
    <n v="840.79"/>
    <n v="29.04"/>
    <n v="2061.2800000000002"/>
    <n v="2090.3200000000002"/>
    <m/>
  </r>
  <r>
    <x v="79"/>
    <x v="6"/>
    <n v="2024"/>
    <n v="3"/>
    <s v="Mar"/>
    <x v="27"/>
    <n v="8"/>
    <x v="1"/>
    <n v="1291.8599999999999"/>
    <n v="1768.59"/>
    <n v="1565.7"/>
    <n v="171.96"/>
    <n v="4626.1499999999996"/>
    <n v="4798.1099999999997"/>
    <m/>
  </r>
  <r>
    <x v="79"/>
    <x v="6"/>
    <n v="2024"/>
    <n v="3"/>
    <s v="Mar"/>
    <x v="28"/>
    <n v="11"/>
    <x v="1"/>
    <n v="22.2"/>
    <n v="32.58"/>
    <n v="248.44"/>
    <n v="0.15"/>
    <n v="303.22000000000003"/>
    <n v="303.37"/>
    <m/>
  </r>
  <r>
    <x v="79"/>
    <x v="6"/>
    <n v="2024"/>
    <n v="3"/>
    <s v="Mar"/>
    <x v="29"/>
    <n v="33"/>
    <x v="1"/>
    <n v="2875.4"/>
    <n v="4058.41"/>
    <n v="3302.15"/>
    <n v="780.88"/>
    <n v="10235.959999999999"/>
    <n v="11016.84"/>
    <m/>
  </r>
  <r>
    <x v="79"/>
    <x v="6"/>
    <n v="2024"/>
    <n v="3"/>
    <s v="Mar"/>
    <x v="30"/>
    <n v="36"/>
    <x v="1"/>
    <n v="1404.47"/>
    <n v="1837.21"/>
    <n v="1595.58"/>
    <n v="561.96"/>
    <n v="4837.26"/>
    <n v="5399.22"/>
    <m/>
  </r>
  <r>
    <x v="79"/>
    <x v="6"/>
    <n v="2024"/>
    <n v="3"/>
    <s v="Mar"/>
    <x v="31"/>
    <n v="16"/>
    <x v="1"/>
    <n v="44.74"/>
    <n v="56.67"/>
    <n v="19.23"/>
    <n v="0.09"/>
    <n v="120.64"/>
    <n v="120.73"/>
    <m/>
  </r>
  <r>
    <x v="79"/>
    <x v="6"/>
    <n v="2024"/>
    <n v="3"/>
    <s v="Mar"/>
    <x v="32"/>
    <n v="9"/>
    <x v="1"/>
    <n v="2262.4299999999998"/>
    <n v="2974.26"/>
    <n v="2626.33"/>
    <n v="1224"/>
    <n v="7863.02"/>
    <n v="9087.02"/>
    <m/>
  </r>
  <r>
    <x v="79"/>
    <x v="6"/>
    <n v="2024"/>
    <n v="3"/>
    <s v="Mar"/>
    <x v="33"/>
    <n v="5"/>
    <x v="1"/>
    <n v="353.87"/>
    <n v="481.09"/>
    <n v="885.31"/>
    <n v="9.3699999999999992"/>
    <n v="1720.27"/>
    <n v="1729.64"/>
    <m/>
  </r>
  <r>
    <x v="79"/>
    <x v="6"/>
    <n v="2024"/>
    <n v="3"/>
    <s v="Mar"/>
    <x v="34"/>
    <n v="19"/>
    <x v="1"/>
    <n v="1691.71"/>
    <n v="2029.51"/>
    <n v="1338.97"/>
    <n v="412.55"/>
    <n v="5060.1899999999996"/>
    <n v="5472.74"/>
    <m/>
  </r>
  <r>
    <x v="80"/>
    <x v="7"/>
    <n v="2024"/>
    <n v="4"/>
    <s v="Apr"/>
    <x v="0"/>
    <n v="35"/>
    <x v="0"/>
    <n v="26.79"/>
    <n v="31.56"/>
    <n v="6.15"/>
    <n v="0.05"/>
    <n v="64.5"/>
    <n v="64.55"/>
    <m/>
  </r>
  <r>
    <x v="80"/>
    <x v="7"/>
    <n v="2024"/>
    <n v="4"/>
    <s v="Apr"/>
    <x v="1"/>
    <n v="28"/>
    <x v="1"/>
    <n v="1290.8399999999999"/>
    <n v="1621.08"/>
    <n v="1639.61"/>
    <n v="297.99"/>
    <n v="4551.53"/>
    <n v="4849.5200000000004"/>
    <m/>
  </r>
  <r>
    <x v="80"/>
    <x v="7"/>
    <n v="2024"/>
    <n v="4"/>
    <s v="Apr"/>
    <x v="2"/>
    <n v="12"/>
    <x v="1"/>
    <n v="80.92"/>
    <n v="100.91"/>
    <n v="18.149999999999999"/>
    <n v="0.1"/>
    <n v="199.98"/>
    <n v="200.08"/>
    <m/>
  </r>
  <r>
    <x v="80"/>
    <x v="7"/>
    <n v="2024"/>
    <n v="4"/>
    <s v="Apr"/>
    <x v="3"/>
    <n v="18"/>
    <x v="1"/>
    <n v="601.58000000000004"/>
    <n v="735.17"/>
    <n v="371.56"/>
    <n v="186.25"/>
    <n v="1708.31"/>
    <n v="1894.56"/>
    <m/>
  </r>
  <r>
    <x v="80"/>
    <x v="7"/>
    <n v="2024"/>
    <n v="4"/>
    <s v="Apr"/>
    <x v="4"/>
    <n v="10"/>
    <x v="1"/>
    <n v="616.45000000000005"/>
    <n v="950.72"/>
    <n v="253.01"/>
    <n v="171.6"/>
    <n v="1820.18"/>
    <n v="1991.78"/>
    <m/>
  </r>
  <r>
    <x v="80"/>
    <x v="7"/>
    <n v="2024"/>
    <n v="4"/>
    <s v="Apr"/>
    <x v="5"/>
    <n v="4"/>
    <x v="0"/>
    <n v="54.82"/>
    <n v="75.48"/>
    <n v="178.47"/>
    <n v="4.26"/>
    <n v="308.77"/>
    <n v="313.02999999999997"/>
    <m/>
  </r>
  <r>
    <x v="80"/>
    <x v="7"/>
    <n v="2024"/>
    <n v="4"/>
    <s v="Apr"/>
    <x v="6"/>
    <n v="22"/>
    <x v="1"/>
    <n v="810.72"/>
    <n v="929.38"/>
    <n v="1553.54"/>
    <n v="706.94"/>
    <n v="3293.64"/>
    <n v="4000.58"/>
    <m/>
  </r>
  <r>
    <x v="80"/>
    <x v="7"/>
    <n v="2024"/>
    <n v="4"/>
    <s v="Apr"/>
    <x v="7"/>
    <n v="38"/>
    <x v="0"/>
    <n v="59.88"/>
    <n v="75.38"/>
    <n v="312.02999999999997"/>
    <n v="0.13"/>
    <n v="447.29"/>
    <n v="447.42"/>
    <m/>
  </r>
  <r>
    <x v="80"/>
    <x v="7"/>
    <n v="2024"/>
    <n v="4"/>
    <s v="Apr"/>
    <x v="8"/>
    <n v="7"/>
    <x v="0"/>
    <n v="1740.46"/>
    <n v="2026.77"/>
    <n v="3889.72"/>
    <n v="114.71"/>
    <n v="7656.95"/>
    <n v="7771.66"/>
    <m/>
  </r>
  <r>
    <x v="80"/>
    <x v="7"/>
    <n v="2024"/>
    <n v="4"/>
    <s v="Apr"/>
    <x v="9"/>
    <n v="30"/>
    <x v="1"/>
    <n v="225.39"/>
    <n v="282.75"/>
    <n v="252.25"/>
    <n v="4.38"/>
    <n v="760.39"/>
    <n v="764.77"/>
    <m/>
  </r>
  <r>
    <x v="80"/>
    <x v="7"/>
    <n v="2024"/>
    <n v="4"/>
    <s v="Apr"/>
    <x v="10"/>
    <n v="24"/>
    <x v="1"/>
    <n v="3846.83"/>
    <n v="4537.6499999999996"/>
    <n v="4232.33"/>
    <n v="684.05"/>
    <n v="12616.81"/>
    <n v="13300.86"/>
    <m/>
  </r>
  <r>
    <x v="80"/>
    <x v="7"/>
    <n v="2024"/>
    <n v="4"/>
    <s v="Apr"/>
    <x v="11"/>
    <n v="6"/>
    <x v="1"/>
    <n v="1659.64"/>
    <n v="2172.14"/>
    <n v="7725.38"/>
    <n v="610.51"/>
    <n v="11557.16"/>
    <n v="12167.67"/>
    <m/>
  </r>
  <r>
    <x v="80"/>
    <x v="7"/>
    <n v="2024"/>
    <n v="4"/>
    <s v="Apr"/>
    <x v="12"/>
    <n v="2"/>
    <x v="1"/>
    <n v="219.7"/>
    <n v="302.64"/>
    <n v="491.19"/>
    <n v="1.59"/>
    <n v="1013.53"/>
    <n v="1015.12"/>
    <m/>
  </r>
  <r>
    <x v="80"/>
    <x v="7"/>
    <n v="2024"/>
    <n v="4"/>
    <s v="Apr"/>
    <x v="13"/>
    <n v="1"/>
    <x v="0"/>
    <n v="269.64"/>
    <n v="362.34"/>
    <n v="149.88"/>
    <n v="7.35"/>
    <n v="781.86"/>
    <n v="789.21"/>
    <m/>
  </r>
  <r>
    <x v="80"/>
    <x v="7"/>
    <n v="2024"/>
    <n v="4"/>
    <s v="Apr"/>
    <x v="14"/>
    <n v="20"/>
    <x v="1"/>
    <n v="714.08"/>
    <n v="934.43"/>
    <n v="1492.99"/>
    <n v="687.71"/>
    <n v="3141.5"/>
    <n v="3829.21"/>
    <m/>
  </r>
  <r>
    <x v="80"/>
    <x v="7"/>
    <n v="2024"/>
    <n v="4"/>
    <s v="Apr"/>
    <x v="15"/>
    <n v="29"/>
    <x v="1"/>
    <n v="3896.36"/>
    <n v="4715.34"/>
    <n v="5791.48"/>
    <n v="1574.97"/>
    <n v="14403.18"/>
    <n v="15978.15"/>
    <m/>
  </r>
  <r>
    <x v="80"/>
    <x v="7"/>
    <n v="2024"/>
    <n v="4"/>
    <s v="Apr"/>
    <x v="16"/>
    <n v="32"/>
    <x v="1"/>
    <n v="1157.1099999999999"/>
    <n v="1456.12"/>
    <n v="652.1"/>
    <n v="6.88"/>
    <n v="3265.33"/>
    <n v="3272.21"/>
    <m/>
  </r>
  <r>
    <x v="80"/>
    <x v="7"/>
    <n v="2024"/>
    <n v="4"/>
    <s v="Apr"/>
    <x v="35"/>
    <n v="37"/>
    <x v="0"/>
    <n v="29.57"/>
    <n v="35.92"/>
    <n v="3.97"/>
    <n v="0.05"/>
    <n v="69.459999999999994"/>
    <n v="69.510000000000005"/>
    <m/>
  </r>
  <r>
    <x v="80"/>
    <x v="7"/>
    <n v="2024"/>
    <n v="4"/>
    <s v="Apr"/>
    <x v="17"/>
    <n v="31"/>
    <x v="0"/>
    <n v="0.18"/>
    <n v="0.22"/>
    <n v="0.81"/>
    <n v="0"/>
    <n v="1.21"/>
    <n v="1.21"/>
    <m/>
  </r>
  <r>
    <x v="80"/>
    <x v="7"/>
    <n v="2024"/>
    <n v="4"/>
    <s v="Apr"/>
    <x v="18"/>
    <n v="23"/>
    <x v="1"/>
    <n v="1220.58"/>
    <n v="1519.6"/>
    <n v="1365.12"/>
    <n v="622.53"/>
    <n v="4105.3"/>
    <n v="4727.83"/>
    <m/>
  </r>
  <r>
    <x v="80"/>
    <x v="7"/>
    <n v="2024"/>
    <n v="4"/>
    <s v="Apr"/>
    <x v="19"/>
    <n v="27"/>
    <x v="1"/>
    <n v="10263.18"/>
    <n v="11729.43"/>
    <n v="13430.36"/>
    <n v="2247.84"/>
    <n v="35422.97"/>
    <n v="37670.81"/>
    <m/>
  </r>
  <r>
    <x v="80"/>
    <x v="7"/>
    <n v="2024"/>
    <n v="4"/>
    <s v="Apr"/>
    <x v="20"/>
    <n v="14"/>
    <x v="1"/>
    <n v="41.34"/>
    <n v="52.61"/>
    <n v="9.9499999999999993"/>
    <n v="0.08"/>
    <n v="103.9"/>
    <n v="103.98"/>
    <m/>
  </r>
  <r>
    <x v="80"/>
    <x v="7"/>
    <n v="2024"/>
    <n v="4"/>
    <s v="Apr"/>
    <x v="21"/>
    <n v="17"/>
    <x v="1"/>
    <n v="63.17"/>
    <n v="75.59"/>
    <n v="94.82"/>
    <n v="0.38"/>
    <n v="233.58"/>
    <n v="233.96"/>
    <m/>
  </r>
  <r>
    <x v="80"/>
    <x v="7"/>
    <n v="2024"/>
    <n v="4"/>
    <s v="Apr"/>
    <x v="22"/>
    <n v="15"/>
    <x v="1"/>
    <n v="43.71"/>
    <n v="59.38"/>
    <n v="4.9000000000000004"/>
    <n v="0.08"/>
    <n v="107.99"/>
    <n v="108.07"/>
    <m/>
  </r>
  <r>
    <x v="80"/>
    <x v="7"/>
    <n v="2024"/>
    <n v="4"/>
    <s v="Apr"/>
    <x v="23"/>
    <n v="13"/>
    <x v="1"/>
    <n v="30.71"/>
    <n v="40.6"/>
    <n v="10.42"/>
    <n v="4.13"/>
    <n v="81.73"/>
    <n v="85.86"/>
    <m/>
  </r>
  <r>
    <x v="80"/>
    <x v="7"/>
    <n v="2024"/>
    <n v="4"/>
    <s v="Apr"/>
    <x v="24"/>
    <n v="21"/>
    <x v="1"/>
    <n v="1674.38"/>
    <n v="2081.83"/>
    <n v="1349.66"/>
    <n v="796.38"/>
    <n v="5105.87"/>
    <n v="5902.25"/>
    <m/>
  </r>
  <r>
    <x v="80"/>
    <x v="7"/>
    <n v="2024"/>
    <n v="4"/>
    <s v="Apr"/>
    <x v="25"/>
    <n v="34"/>
    <x v="0"/>
    <n v="35.36"/>
    <n v="54.12"/>
    <n v="154.94999999999999"/>
    <n v="2.2200000000000002"/>
    <n v="244.43"/>
    <n v="246.65"/>
    <m/>
  </r>
  <r>
    <x v="80"/>
    <x v="7"/>
    <n v="2024"/>
    <n v="4"/>
    <s v="Apr"/>
    <x v="26"/>
    <n v="3"/>
    <x v="1"/>
    <n v="693.2"/>
    <n v="998.58"/>
    <n v="1068.8599999999999"/>
    <n v="35.159999999999997"/>
    <n v="2760.64"/>
    <n v="2795.8"/>
    <m/>
  </r>
  <r>
    <x v="80"/>
    <x v="7"/>
    <n v="2024"/>
    <n v="4"/>
    <s v="Apr"/>
    <x v="27"/>
    <n v="8"/>
    <x v="1"/>
    <n v="1600.9"/>
    <n v="1889.1"/>
    <n v="1890.19"/>
    <n v="177.82"/>
    <n v="5380.19"/>
    <n v="5558.01"/>
    <m/>
  </r>
  <r>
    <x v="80"/>
    <x v="7"/>
    <n v="2024"/>
    <n v="4"/>
    <s v="Apr"/>
    <x v="28"/>
    <n v="11"/>
    <x v="1"/>
    <n v="46.69"/>
    <n v="69.2"/>
    <n v="287.54000000000002"/>
    <n v="0.05"/>
    <n v="403.43"/>
    <n v="403.48"/>
    <m/>
  </r>
  <r>
    <x v="80"/>
    <x v="7"/>
    <n v="2024"/>
    <n v="4"/>
    <s v="Apr"/>
    <x v="29"/>
    <n v="33"/>
    <x v="1"/>
    <n v="3193.48"/>
    <n v="4066.49"/>
    <n v="4157.6899999999996"/>
    <n v="792.3"/>
    <n v="11417.66"/>
    <n v="12209.96"/>
    <m/>
  </r>
  <r>
    <x v="80"/>
    <x v="7"/>
    <n v="2024"/>
    <n v="4"/>
    <s v="Apr"/>
    <x v="30"/>
    <n v="36"/>
    <x v="1"/>
    <n v="1720.73"/>
    <n v="2062.94"/>
    <n v="1890.34"/>
    <n v="561.88"/>
    <n v="5674.01"/>
    <n v="6235.89"/>
    <m/>
  </r>
  <r>
    <x v="80"/>
    <x v="7"/>
    <n v="2024"/>
    <n v="4"/>
    <s v="Apr"/>
    <x v="31"/>
    <n v="16"/>
    <x v="1"/>
    <n v="64.34"/>
    <n v="79.81"/>
    <n v="16.43"/>
    <n v="0.04"/>
    <n v="160.58000000000001"/>
    <n v="160.62"/>
    <m/>
  </r>
  <r>
    <x v="80"/>
    <x v="7"/>
    <n v="2024"/>
    <n v="4"/>
    <s v="Apr"/>
    <x v="32"/>
    <n v="9"/>
    <x v="1"/>
    <n v="3202.68"/>
    <n v="4120.71"/>
    <n v="3606.43"/>
    <n v="1360.3"/>
    <n v="10929.82"/>
    <n v="12290.12"/>
    <m/>
  </r>
  <r>
    <x v="80"/>
    <x v="7"/>
    <n v="2024"/>
    <n v="4"/>
    <s v="Apr"/>
    <x v="33"/>
    <n v="5"/>
    <x v="1"/>
    <n v="460.53"/>
    <n v="636.26"/>
    <n v="1132.22"/>
    <n v="10.02"/>
    <n v="2229.0100000000002"/>
    <n v="2239.0300000000002"/>
    <m/>
  </r>
  <r>
    <x v="80"/>
    <x v="7"/>
    <n v="2024"/>
    <n v="4"/>
    <s v="Apr"/>
    <x v="34"/>
    <n v="19"/>
    <x v="1"/>
    <n v="2177.9499999999998"/>
    <n v="2640.03"/>
    <n v="1894.17"/>
    <n v="581.30999999999995"/>
    <n v="6712.15"/>
    <n v="7293.46"/>
    <m/>
  </r>
  <r>
    <x v="81"/>
    <x v="7"/>
    <n v="2024"/>
    <n v="5"/>
    <s v="May"/>
    <x v="0"/>
    <n v="35"/>
    <x v="0"/>
    <n v="13.54"/>
    <n v="17.7"/>
    <n v="5.28"/>
    <n v="0.05"/>
    <n v="36.520000000000003"/>
    <n v="36.57"/>
    <m/>
  </r>
  <r>
    <x v="81"/>
    <x v="7"/>
    <n v="2024"/>
    <n v="5"/>
    <s v="May"/>
    <x v="1"/>
    <n v="28"/>
    <x v="1"/>
    <n v="980.51"/>
    <n v="1240.0999999999999"/>
    <n v="1410.08"/>
    <n v="259.77999999999997"/>
    <n v="3630.69"/>
    <n v="3890.47"/>
    <m/>
  </r>
  <r>
    <x v="81"/>
    <x v="7"/>
    <n v="2024"/>
    <n v="5"/>
    <s v="May"/>
    <x v="2"/>
    <n v="12"/>
    <x v="1"/>
    <n v="36.31"/>
    <n v="44.52"/>
    <n v="17.23"/>
    <n v="0.21"/>
    <n v="98.06"/>
    <n v="98.27"/>
    <m/>
  </r>
  <r>
    <x v="81"/>
    <x v="7"/>
    <n v="2024"/>
    <n v="5"/>
    <s v="May"/>
    <x v="3"/>
    <n v="18"/>
    <x v="1"/>
    <n v="375.64"/>
    <n v="511.47"/>
    <n v="281.93"/>
    <n v="59.42"/>
    <n v="1169.04"/>
    <n v="1228.46"/>
    <m/>
  </r>
  <r>
    <x v="81"/>
    <x v="7"/>
    <n v="2024"/>
    <n v="5"/>
    <s v="May"/>
    <x v="4"/>
    <n v="10"/>
    <x v="1"/>
    <n v="425.19"/>
    <n v="694.56"/>
    <n v="210.87"/>
    <n v="190.55"/>
    <n v="1330.62"/>
    <n v="1521.17"/>
    <m/>
  </r>
  <r>
    <x v="81"/>
    <x v="7"/>
    <n v="2024"/>
    <n v="5"/>
    <s v="May"/>
    <x v="5"/>
    <n v="4"/>
    <x v="0"/>
    <n v="41.51"/>
    <n v="54.22"/>
    <n v="138.1"/>
    <n v="3.32"/>
    <n v="233.83"/>
    <n v="237.15"/>
    <m/>
  </r>
  <r>
    <x v="81"/>
    <x v="7"/>
    <n v="2024"/>
    <n v="5"/>
    <s v="May"/>
    <x v="6"/>
    <n v="22"/>
    <x v="1"/>
    <n v="556.91999999999996"/>
    <n v="661.49"/>
    <n v="952.81"/>
    <n v="681.79"/>
    <n v="2171.2199999999998"/>
    <n v="2853.01"/>
    <m/>
  </r>
  <r>
    <x v="81"/>
    <x v="7"/>
    <n v="2024"/>
    <n v="5"/>
    <s v="May"/>
    <x v="7"/>
    <n v="38"/>
    <x v="0"/>
    <n v="47.05"/>
    <n v="57.93"/>
    <n v="269.83999999999997"/>
    <n v="0.3"/>
    <n v="374.82"/>
    <n v="375.12"/>
    <m/>
  </r>
  <r>
    <x v="81"/>
    <x v="7"/>
    <n v="2024"/>
    <n v="5"/>
    <s v="May"/>
    <x v="8"/>
    <n v="7"/>
    <x v="0"/>
    <n v="1286.6400000000001"/>
    <n v="1476.93"/>
    <n v="4630.3"/>
    <n v="117.64"/>
    <n v="7393.87"/>
    <n v="7511.51"/>
    <m/>
  </r>
  <r>
    <x v="81"/>
    <x v="7"/>
    <n v="2024"/>
    <n v="5"/>
    <s v="May"/>
    <x v="9"/>
    <n v="30"/>
    <x v="1"/>
    <n v="146.32"/>
    <n v="190.01"/>
    <n v="178.83"/>
    <n v="3.99"/>
    <n v="515.16"/>
    <n v="519.15"/>
    <m/>
  </r>
  <r>
    <x v="81"/>
    <x v="7"/>
    <n v="2024"/>
    <n v="5"/>
    <s v="May"/>
    <x v="10"/>
    <n v="24"/>
    <x v="1"/>
    <n v="2952.79"/>
    <n v="3525.91"/>
    <n v="4158"/>
    <n v="688"/>
    <n v="10636.7"/>
    <n v="11324.7"/>
    <m/>
  </r>
  <r>
    <x v="81"/>
    <x v="7"/>
    <n v="2024"/>
    <n v="5"/>
    <s v="May"/>
    <x v="11"/>
    <n v="6"/>
    <x v="1"/>
    <n v="1518.57"/>
    <n v="1949.86"/>
    <n v="5208.96"/>
    <n v="611.29"/>
    <n v="8677.39"/>
    <n v="9288.68"/>
    <m/>
  </r>
  <r>
    <x v="81"/>
    <x v="7"/>
    <n v="2024"/>
    <n v="5"/>
    <s v="May"/>
    <x v="12"/>
    <n v="2"/>
    <x v="1"/>
    <n v="133.83000000000001"/>
    <n v="187.15"/>
    <n v="515.62"/>
    <n v="1.76"/>
    <n v="836.6"/>
    <n v="838.36"/>
    <m/>
  </r>
  <r>
    <x v="81"/>
    <x v="7"/>
    <n v="2024"/>
    <n v="5"/>
    <s v="May"/>
    <x v="13"/>
    <n v="1"/>
    <x v="0"/>
    <n v="153.56"/>
    <n v="224.62"/>
    <n v="135.47999999999999"/>
    <n v="11.48"/>
    <n v="513.66"/>
    <n v="525.14"/>
    <m/>
  </r>
  <r>
    <x v="81"/>
    <x v="7"/>
    <n v="2024"/>
    <n v="5"/>
    <s v="May"/>
    <x v="14"/>
    <n v="20"/>
    <x v="1"/>
    <n v="536.82000000000005"/>
    <n v="735.31"/>
    <n v="804.1"/>
    <n v="623.64"/>
    <n v="2076.23"/>
    <n v="2699.87"/>
    <m/>
  </r>
  <r>
    <x v="81"/>
    <x v="7"/>
    <n v="2024"/>
    <n v="5"/>
    <s v="May"/>
    <x v="15"/>
    <n v="29"/>
    <x v="1"/>
    <n v="2828.84"/>
    <n v="3440.89"/>
    <n v="4392.13"/>
    <n v="1227.52"/>
    <n v="10661.86"/>
    <n v="11889.38"/>
    <m/>
  </r>
  <r>
    <x v="81"/>
    <x v="7"/>
    <n v="2024"/>
    <n v="5"/>
    <s v="May"/>
    <x v="16"/>
    <n v="32"/>
    <x v="1"/>
    <n v="935.92"/>
    <n v="1208.98"/>
    <n v="442.69"/>
    <n v="6.19"/>
    <n v="2587.59"/>
    <n v="2593.7800000000002"/>
    <m/>
  </r>
  <r>
    <x v="81"/>
    <x v="7"/>
    <n v="2024"/>
    <n v="5"/>
    <s v="May"/>
    <x v="35"/>
    <n v="37"/>
    <x v="0"/>
    <n v="5.93"/>
    <n v="7.79"/>
    <n v="1.77"/>
    <n v="0"/>
    <n v="15.49"/>
    <n v="15.49"/>
    <m/>
  </r>
  <r>
    <x v="81"/>
    <x v="7"/>
    <n v="2024"/>
    <n v="5"/>
    <s v="May"/>
    <x v="17"/>
    <n v="31"/>
    <x v="0"/>
    <n v="0.5"/>
    <n v="0.52"/>
    <n v="0.25"/>
    <n v="0"/>
    <n v="1.27"/>
    <n v="1.27"/>
    <m/>
  </r>
  <r>
    <x v="81"/>
    <x v="7"/>
    <n v="2024"/>
    <n v="5"/>
    <s v="May"/>
    <x v="18"/>
    <n v="23"/>
    <x v="1"/>
    <n v="801.71"/>
    <n v="1028.1500000000001"/>
    <n v="905.5"/>
    <n v="667.13"/>
    <n v="2735.36"/>
    <n v="3402.49"/>
    <m/>
  </r>
  <r>
    <x v="81"/>
    <x v="7"/>
    <n v="2024"/>
    <n v="5"/>
    <s v="May"/>
    <x v="19"/>
    <n v="27"/>
    <x v="1"/>
    <n v="7607.26"/>
    <n v="8710.9699999999993"/>
    <n v="8462.4599999999991"/>
    <n v="2073.13"/>
    <n v="24780.69"/>
    <n v="26853.82"/>
    <m/>
  </r>
  <r>
    <x v="81"/>
    <x v="7"/>
    <n v="2024"/>
    <n v="5"/>
    <s v="May"/>
    <x v="20"/>
    <n v="14"/>
    <x v="1"/>
    <n v="19.66"/>
    <n v="31.59"/>
    <n v="7.23"/>
    <n v="0.02"/>
    <n v="58.48"/>
    <n v="58.5"/>
    <m/>
  </r>
  <r>
    <x v="81"/>
    <x v="7"/>
    <n v="2024"/>
    <n v="5"/>
    <s v="May"/>
    <x v="21"/>
    <n v="17"/>
    <x v="1"/>
    <n v="37.590000000000003"/>
    <n v="51.64"/>
    <n v="79.8"/>
    <n v="3.05"/>
    <n v="169.03"/>
    <n v="172.08"/>
    <m/>
  </r>
  <r>
    <x v="81"/>
    <x v="7"/>
    <n v="2024"/>
    <n v="5"/>
    <s v="May"/>
    <x v="22"/>
    <n v="15"/>
    <x v="1"/>
    <n v="14.85"/>
    <n v="21.61"/>
    <n v="2.4300000000000002"/>
    <n v="0.11"/>
    <n v="38.89"/>
    <n v="39"/>
    <m/>
  </r>
  <r>
    <x v="81"/>
    <x v="7"/>
    <n v="2024"/>
    <n v="5"/>
    <s v="May"/>
    <x v="23"/>
    <n v="13"/>
    <x v="1"/>
    <n v="15.71"/>
    <n v="19.25"/>
    <n v="6.38"/>
    <n v="3.35"/>
    <n v="41.34"/>
    <n v="44.69"/>
    <m/>
  </r>
  <r>
    <x v="81"/>
    <x v="7"/>
    <n v="2024"/>
    <n v="5"/>
    <s v="May"/>
    <x v="24"/>
    <n v="21"/>
    <x v="1"/>
    <n v="1177.83"/>
    <n v="1415.25"/>
    <n v="1622.67"/>
    <n v="811.04"/>
    <n v="4215.75"/>
    <n v="5026.79"/>
    <m/>
  </r>
  <r>
    <x v="81"/>
    <x v="7"/>
    <n v="2024"/>
    <n v="5"/>
    <s v="May"/>
    <x v="25"/>
    <n v="34"/>
    <x v="0"/>
    <n v="28.73"/>
    <n v="40.65"/>
    <n v="168.77"/>
    <n v="0.81"/>
    <n v="238.15"/>
    <n v="238.96"/>
    <m/>
  </r>
  <r>
    <x v="81"/>
    <x v="7"/>
    <n v="2024"/>
    <n v="5"/>
    <s v="May"/>
    <x v="26"/>
    <n v="3"/>
    <x v="1"/>
    <n v="501.05"/>
    <n v="724.42"/>
    <n v="918.32"/>
    <n v="45.77"/>
    <n v="2143.79"/>
    <n v="2189.56"/>
    <m/>
  </r>
  <r>
    <x v="81"/>
    <x v="7"/>
    <n v="2024"/>
    <n v="5"/>
    <s v="May"/>
    <x v="27"/>
    <n v="8"/>
    <x v="1"/>
    <n v="1198.5899999999999"/>
    <n v="1505.61"/>
    <n v="1572.9"/>
    <n v="137.18"/>
    <n v="4277.1000000000004"/>
    <n v="4414.28"/>
    <m/>
  </r>
  <r>
    <x v="81"/>
    <x v="7"/>
    <n v="2024"/>
    <n v="5"/>
    <s v="May"/>
    <x v="28"/>
    <n v="11"/>
    <x v="1"/>
    <n v="20.94"/>
    <n v="25.95"/>
    <n v="264.61"/>
    <n v="0.33"/>
    <n v="311.5"/>
    <n v="311.83"/>
    <m/>
  </r>
  <r>
    <x v="81"/>
    <x v="7"/>
    <n v="2024"/>
    <n v="5"/>
    <s v="May"/>
    <x v="29"/>
    <n v="33"/>
    <x v="1"/>
    <n v="2736.71"/>
    <n v="3529.8"/>
    <n v="2762.21"/>
    <n v="739.13"/>
    <n v="9028.7199999999993"/>
    <n v="9767.85"/>
    <m/>
  </r>
  <r>
    <x v="81"/>
    <x v="7"/>
    <n v="2024"/>
    <n v="5"/>
    <s v="May"/>
    <x v="30"/>
    <n v="36"/>
    <x v="1"/>
    <n v="1266.21"/>
    <n v="1635.88"/>
    <n v="1550.39"/>
    <n v="533.67999999999995"/>
    <n v="4452.4799999999996"/>
    <n v="4986.16"/>
    <m/>
  </r>
  <r>
    <x v="81"/>
    <x v="7"/>
    <n v="2024"/>
    <n v="5"/>
    <s v="May"/>
    <x v="31"/>
    <n v="16"/>
    <x v="1"/>
    <n v="28.32"/>
    <n v="36.03"/>
    <n v="8.09"/>
    <n v="0.12"/>
    <n v="72.44"/>
    <n v="72.56"/>
    <m/>
  </r>
  <r>
    <x v="81"/>
    <x v="7"/>
    <n v="2024"/>
    <n v="5"/>
    <s v="May"/>
    <x v="32"/>
    <n v="9"/>
    <x v="1"/>
    <n v="2020.29"/>
    <n v="2735.6"/>
    <n v="3056.26"/>
    <n v="1279.33"/>
    <n v="7812.15"/>
    <n v="9091.48"/>
    <m/>
  </r>
  <r>
    <x v="81"/>
    <x v="7"/>
    <n v="2024"/>
    <n v="5"/>
    <s v="May"/>
    <x v="33"/>
    <n v="5"/>
    <x v="1"/>
    <n v="322.98"/>
    <n v="475.89"/>
    <n v="1025.25"/>
    <n v="12.62"/>
    <n v="1824.12"/>
    <n v="1836.74"/>
    <m/>
  </r>
  <r>
    <x v="81"/>
    <x v="7"/>
    <n v="2024"/>
    <n v="5"/>
    <s v="May"/>
    <x v="34"/>
    <n v="19"/>
    <x v="1"/>
    <n v="1619.58"/>
    <n v="2029.96"/>
    <n v="1313.96"/>
    <n v="413.48"/>
    <n v="4963.5"/>
    <n v="5376.98"/>
    <m/>
  </r>
  <r>
    <x v="82"/>
    <x v="7"/>
    <n v="2024"/>
    <n v="6"/>
    <s v="Jun"/>
    <x v="0"/>
    <n v="35"/>
    <x v="0"/>
    <n v="12.05"/>
    <n v="14.05"/>
    <n v="4.75"/>
    <n v="0.09"/>
    <n v="30.85"/>
    <n v="30.94"/>
    <m/>
  </r>
  <r>
    <x v="82"/>
    <x v="7"/>
    <n v="2024"/>
    <n v="6"/>
    <s v="Jun"/>
    <x v="1"/>
    <n v="28"/>
    <x v="1"/>
    <n v="894.95"/>
    <n v="1150.42"/>
    <n v="1352.66"/>
    <n v="252.78"/>
    <n v="3398.03"/>
    <n v="3650.81"/>
    <m/>
  </r>
  <r>
    <x v="82"/>
    <x v="7"/>
    <n v="2024"/>
    <n v="6"/>
    <s v="Jun"/>
    <x v="2"/>
    <n v="12"/>
    <x v="1"/>
    <n v="38.28"/>
    <n v="45.32"/>
    <n v="7.41"/>
    <n v="0.1"/>
    <n v="91.01"/>
    <n v="91.11"/>
    <m/>
  </r>
  <r>
    <x v="82"/>
    <x v="7"/>
    <n v="2024"/>
    <n v="6"/>
    <s v="Jun"/>
    <x v="3"/>
    <n v="18"/>
    <x v="1"/>
    <n v="408.9"/>
    <n v="515.92999999999995"/>
    <n v="364.88"/>
    <n v="158.78"/>
    <n v="1289.71"/>
    <n v="1448.49"/>
    <m/>
  </r>
  <r>
    <x v="82"/>
    <x v="7"/>
    <n v="2024"/>
    <n v="6"/>
    <s v="Jun"/>
    <x v="4"/>
    <n v="10"/>
    <x v="1"/>
    <n v="416.93"/>
    <n v="687.97"/>
    <n v="234.5"/>
    <n v="185.57"/>
    <n v="1339.4"/>
    <n v="1524.97"/>
    <m/>
  </r>
  <r>
    <x v="82"/>
    <x v="7"/>
    <n v="2024"/>
    <n v="6"/>
    <s v="Jun"/>
    <x v="5"/>
    <n v="4"/>
    <x v="0"/>
    <n v="44.56"/>
    <n v="59.64"/>
    <n v="115.93"/>
    <n v="3.38"/>
    <n v="220.13"/>
    <n v="223.51"/>
    <m/>
  </r>
  <r>
    <x v="82"/>
    <x v="7"/>
    <n v="2024"/>
    <n v="6"/>
    <s v="Jun"/>
    <x v="6"/>
    <n v="22"/>
    <x v="1"/>
    <n v="628.83000000000004"/>
    <n v="730.99"/>
    <n v="1084.3800000000001"/>
    <n v="733.55"/>
    <n v="2444.1999999999998"/>
    <n v="3177.75"/>
    <m/>
  </r>
  <r>
    <x v="82"/>
    <x v="7"/>
    <n v="2024"/>
    <n v="6"/>
    <s v="Jun"/>
    <x v="7"/>
    <n v="38"/>
    <x v="0"/>
    <n v="60.66"/>
    <n v="71.05"/>
    <n v="262.05"/>
    <n v="0.18"/>
    <n v="393.76"/>
    <n v="393.94"/>
    <m/>
  </r>
  <r>
    <x v="82"/>
    <x v="7"/>
    <n v="2024"/>
    <n v="6"/>
    <s v="Jun"/>
    <x v="8"/>
    <n v="7"/>
    <x v="0"/>
    <n v="1060.7"/>
    <n v="1257.03"/>
    <n v="2857.88"/>
    <n v="113.78"/>
    <n v="5175.6099999999997"/>
    <n v="5289.39"/>
    <m/>
  </r>
  <r>
    <x v="82"/>
    <x v="7"/>
    <n v="2024"/>
    <n v="6"/>
    <s v="Jun"/>
    <x v="9"/>
    <n v="30"/>
    <x v="1"/>
    <n v="156.84"/>
    <n v="203.52"/>
    <n v="181.11"/>
    <n v="4.6399999999999997"/>
    <n v="541.47"/>
    <n v="546.11"/>
    <m/>
  </r>
  <r>
    <x v="82"/>
    <x v="7"/>
    <n v="2024"/>
    <n v="6"/>
    <s v="Jun"/>
    <x v="10"/>
    <n v="24"/>
    <x v="1"/>
    <n v="3042.47"/>
    <n v="3701.91"/>
    <n v="3579.3"/>
    <n v="778.5"/>
    <n v="10323.68"/>
    <n v="11102.18"/>
    <m/>
  </r>
  <r>
    <x v="82"/>
    <x v="7"/>
    <n v="2024"/>
    <n v="6"/>
    <s v="Jun"/>
    <x v="11"/>
    <n v="6"/>
    <x v="1"/>
    <n v="1528.78"/>
    <n v="1936.68"/>
    <n v="4977.62"/>
    <n v="595.22"/>
    <n v="8443.08"/>
    <n v="9038.2999999999993"/>
    <m/>
  </r>
  <r>
    <x v="82"/>
    <x v="7"/>
    <n v="2024"/>
    <n v="6"/>
    <s v="Jun"/>
    <x v="12"/>
    <n v="2"/>
    <x v="1"/>
    <n v="162.13"/>
    <n v="219.28"/>
    <n v="501.16"/>
    <n v="3.03"/>
    <n v="882.57"/>
    <n v="885.6"/>
    <m/>
  </r>
  <r>
    <x v="82"/>
    <x v="7"/>
    <n v="2024"/>
    <n v="6"/>
    <s v="Jun"/>
    <x v="13"/>
    <n v="1"/>
    <x v="0"/>
    <n v="158.62"/>
    <n v="222.84"/>
    <n v="158.16"/>
    <n v="15.44"/>
    <n v="539.62"/>
    <n v="555.05999999999995"/>
    <m/>
  </r>
  <r>
    <x v="82"/>
    <x v="7"/>
    <n v="2024"/>
    <n v="6"/>
    <s v="Jun"/>
    <x v="14"/>
    <n v="20"/>
    <x v="1"/>
    <n v="461.28"/>
    <n v="639.01"/>
    <n v="1008.46"/>
    <n v="704.98"/>
    <n v="2108.75"/>
    <n v="2813.73"/>
    <m/>
  </r>
  <r>
    <x v="82"/>
    <x v="7"/>
    <n v="2024"/>
    <n v="6"/>
    <s v="Jun"/>
    <x v="15"/>
    <n v="29"/>
    <x v="1"/>
    <n v="2832.65"/>
    <n v="3501.02"/>
    <n v="4513.95"/>
    <n v="1541.36"/>
    <n v="10847.62"/>
    <n v="12388.98"/>
    <m/>
  </r>
  <r>
    <x v="82"/>
    <x v="7"/>
    <n v="2024"/>
    <n v="6"/>
    <s v="Jun"/>
    <x v="16"/>
    <n v="32"/>
    <x v="1"/>
    <n v="925.4"/>
    <n v="1181.24"/>
    <n v="505.18"/>
    <n v="5.87"/>
    <n v="2611.8200000000002"/>
    <n v="2617.69"/>
    <m/>
  </r>
  <r>
    <x v="82"/>
    <x v="7"/>
    <n v="2024"/>
    <n v="6"/>
    <s v="Jun"/>
    <x v="35"/>
    <n v="37"/>
    <x v="0"/>
    <n v="7.41"/>
    <n v="11.54"/>
    <n v="3.31"/>
    <n v="0.67"/>
    <n v="22.26"/>
    <n v="22.93"/>
    <m/>
  </r>
  <r>
    <x v="82"/>
    <x v="7"/>
    <n v="2024"/>
    <n v="6"/>
    <s v="Jun"/>
    <x v="17"/>
    <n v="31"/>
    <x v="0"/>
    <n v="0.17"/>
    <n v="0.49"/>
    <n v="0.13"/>
    <n v="0"/>
    <n v="0.79"/>
    <n v="0.79"/>
    <m/>
  </r>
  <r>
    <x v="82"/>
    <x v="7"/>
    <n v="2024"/>
    <n v="6"/>
    <s v="Jun"/>
    <x v="18"/>
    <n v="23"/>
    <x v="1"/>
    <n v="842.38"/>
    <n v="1061.69"/>
    <n v="996.77"/>
    <n v="730.27"/>
    <n v="2900.84"/>
    <n v="3631.11"/>
    <m/>
  </r>
  <r>
    <x v="82"/>
    <x v="7"/>
    <n v="2024"/>
    <n v="6"/>
    <s v="Jun"/>
    <x v="19"/>
    <n v="27"/>
    <x v="1"/>
    <n v="7929.96"/>
    <n v="9213.1299999999992"/>
    <n v="9682.98"/>
    <n v="2054.79"/>
    <n v="26826.07"/>
    <n v="28880.86"/>
    <m/>
  </r>
  <r>
    <x v="82"/>
    <x v="7"/>
    <n v="2024"/>
    <n v="6"/>
    <s v="Jun"/>
    <x v="20"/>
    <n v="14"/>
    <x v="1"/>
    <n v="21.1"/>
    <n v="33.869999999999997"/>
    <n v="7.05"/>
    <n v="7.0000000000000007E-2"/>
    <n v="62.02"/>
    <n v="62.09"/>
    <m/>
  </r>
  <r>
    <x v="82"/>
    <x v="7"/>
    <n v="2024"/>
    <n v="6"/>
    <s v="Jun"/>
    <x v="21"/>
    <n v="17"/>
    <x v="1"/>
    <n v="46.24"/>
    <n v="54.98"/>
    <n v="78"/>
    <n v="1.25"/>
    <n v="179.22"/>
    <n v="180.47"/>
    <m/>
  </r>
  <r>
    <x v="82"/>
    <x v="7"/>
    <n v="2024"/>
    <n v="6"/>
    <s v="Jun"/>
    <x v="22"/>
    <n v="15"/>
    <x v="1"/>
    <n v="14.69"/>
    <n v="22.78"/>
    <n v="4.5"/>
    <n v="0.26"/>
    <n v="41.97"/>
    <n v="42.23"/>
    <m/>
  </r>
  <r>
    <x v="82"/>
    <x v="7"/>
    <n v="2024"/>
    <n v="6"/>
    <s v="Jun"/>
    <x v="23"/>
    <n v="13"/>
    <x v="1"/>
    <n v="16.66"/>
    <n v="20.63"/>
    <n v="10.14"/>
    <n v="2.0099999999999998"/>
    <n v="47.43"/>
    <n v="49.44"/>
    <m/>
  </r>
  <r>
    <x v="82"/>
    <x v="7"/>
    <n v="2024"/>
    <n v="6"/>
    <s v="Jun"/>
    <x v="24"/>
    <n v="21"/>
    <x v="1"/>
    <n v="1242.25"/>
    <n v="1458.96"/>
    <n v="1424.14"/>
    <n v="861.92"/>
    <n v="4125.3500000000004"/>
    <n v="4987.2700000000004"/>
    <m/>
  </r>
  <r>
    <x v="82"/>
    <x v="7"/>
    <n v="2024"/>
    <n v="6"/>
    <s v="Jun"/>
    <x v="25"/>
    <n v="34"/>
    <x v="0"/>
    <n v="28.57"/>
    <n v="42.92"/>
    <n v="171.01"/>
    <n v="0.79"/>
    <n v="242.5"/>
    <n v="243.29"/>
    <m/>
  </r>
  <r>
    <x v="82"/>
    <x v="7"/>
    <n v="2024"/>
    <n v="6"/>
    <s v="Jun"/>
    <x v="26"/>
    <n v="3"/>
    <x v="1"/>
    <n v="500.15"/>
    <n v="730.67"/>
    <n v="1022.36"/>
    <n v="53"/>
    <n v="2253.1799999999998"/>
    <n v="2306.1799999999998"/>
    <m/>
  </r>
  <r>
    <x v="82"/>
    <x v="7"/>
    <n v="2024"/>
    <n v="6"/>
    <s v="Jun"/>
    <x v="27"/>
    <n v="8"/>
    <x v="1"/>
    <n v="1139.8800000000001"/>
    <n v="1458.24"/>
    <n v="1527.78"/>
    <n v="128.18"/>
    <n v="4125.8999999999996"/>
    <n v="4254.08"/>
    <m/>
  </r>
  <r>
    <x v="82"/>
    <x v="7"/>
    <n v="2024"/>
    <n v="6"/>
    <s v="Jun"/>
    <x v="28"/>
    <n v="11"/>
    <x v="1"/>
    <n v="20.68"/>
    <n v="25.73"/>
    <n v="271.16000000000003"/>
    <n v="0.02"/>
    <n v="317.57"/>
    <n v="317.58999999999997"/>
    <m/>
  </r>
  <r>
    <x v="82"/>
    <x v="7"/>
    <n v="2024"/>
    <n v="6"/>
    <s v="Jun"/>
    <x v="29"/>
    <n v="33"/>
    <x v="1"/>
    <n v="2674.76"/>
    <n v="3572.88"/>
    <n v="3245.77"/>
    <n v="724.51"/>
    <n v="9493.41"/>
    <n v="10217.92"/>
    <m/>
  </r>
  <r>
    <x v="82"/>
    <x v="7"/>
    <n v="2024"/>
    <n v="6"/>
    <s v="Jun"/>
    <x v="30"/>
    <n v="36"/>
    <x v="1"/>
    <n v="1216.6099999999999"/>
    <n v="1567.93"/>
    <n v="1381.23"/>
    <n v="550.46"/>
    <n v="4165.7700000000004"/>
    <n v="4716.2299999999996"/>
    <m/>
  </r>
  <r>
    <x v="82"/>
    <x v="7"/>
    <n v="2024"/>
    <n v="6"/>
    <s v="Jun"/>
    <x v="31"/>
    <n v="16"/>
    <x v="1"/>
    <n v="27.03"/>
    <n v="35.619999999999997"/>
    <n v="11.45"/>
    <n v="7.0000000000000007E-2"/>
    <n v="74.099999999999994"/>
    <n v="74.17"/>
    <m/>
  </r>
  <r>
    <x v="82"/>
    <x v="7"/>
    <n v="2024"/>
    <n v="6"/>
    <s v="Jun"/>
    <x v="32"/>
    <n v="9"/>
    <x v="1"/>
    <n v="2202.4699999999998"/>
    <n v="2906.73"/>
    <n v="3008.16"/>
    <n v="1483.76"/>
    <n v="8117.36"/>
    <n v="9601.1200000000008"/>
    <m/>
  </r>
  <r>
    <x v="82"/>
    <x v="7"/>
    <n v="2024"/>
    <n v="6"/>
    <s v="Jun"/>
    <x v="33"/>
    <n v="5"/>
    <x v="1"/>
    <n v="323.14999999999998"/>
    <n v="472.33"/>
    <n v="897.87"/>
    <n v="11.7"/>
    <n v="1693.35"/>
    <n v="1705.05"/>
    <m/>
  </r>
  <r>
    <x v="82"/>
    <x v="7"/>
    <n v="2024"/>
    <n v="6"/>
    <s v="Jun"/>
    <x v="34"/>
    <n v="19"/>
    <x v="1"/>
    <n v="1526.38"/>
    <n v="1870.94"/>
    <n v="1388.06"/>
    <n v="487.32"/>
    <n v="4785.38"/>
    <n v="5272.7"/>
    <m/>
  </r>
  <r>
    <x v="83"/>
    <x v="7"/>
    <n v="2024"/>
    <n v="7"/>
    <s v="Jul"/>
    <x v="0"/>
    <n v="35"/>
    <x v="0"/>
    <n v="15.83"/>
    <n v="18.79"/>
    <n v="4.5"/>
    <n v="0.12"/>
    <n v="39.119999999999997"/>
    <n v="39.24"/>
    <m/>
  </r>
  <r>
    <x v="83"/>
    <x v="7"/>
    <n v="2024"/>
    <n v="7"/>
    <s v="Jul"/>
    <x v="1"/>
    <n v="28"/>
    <x v="1"/>
    <n v="839.82"/>
    <n v="1074.17"/>
    <n v="1195.83"/>
    <n v="236.32"/>
    <n v="3109.82"/>
    <n v="3346.14"/>
    <m/>
  </r>
  <r>
    <x v="83"/>
    <x v="7"/>
    <n v="2024"/>
    <n v="7"/>
    <s v="Jul"/>
    <x v="2"/>
    <n v="12"/>
    <x v="1"/>
    <n v="31.58"/>
    <n v="36.97"/>
    <n v="12.16"/>
    <n v="0.06"/>
    <n v="80.709999999999994"/>
    <n v="80.77"/>
    <m/>
  </r>
  <r>
    <x v="83"/>
    <x v="7"/>
    <n v="2024"/>
    <n v="7"/>
    <s v="Jul"/>
    <x v="3"/>
    <n v="18"/>
    <x v="1"/>
    <n v="379.03"/>
    <n v="463.24"/>
    <n v="371.76"/>
    <n v="155.83000000000001"/>
    <n v="1214.03"/>
    <n v="1369.86"/>
    <m/>
  </r>
  <r>
    <x v="83"/>
    <x v="7"/>
    <n v="2024"/>
    <n v="7"/>
    <s v="Jul"/>
    <x v="4"/>
    <n v="10"/>
    <x v="1"/>
    <n v="430.73"/>
    <n v="739.27"/>
    <n v="213.12"/>
    <n v="185.49"/>
    <n v="1383.12"/>
    <n v="1568.61"/>
    <m/>
  </r>
  <r>
    <x v="83"/>
    <x v="7"/>
    <n v="2024"/>
    <n v="7"/>
    <s v="Jul"/>
    <x v="5"/>
    <n v="4"/>
    <x v="0"/>
    <n v="45.25"/>
    <n v="62.84"/>
    <n v="124.37"/>
    <n v="0.91"/>
    <n v="232.46"/>
    <n v="233.37"/>
    <m/>
  </r>
  <r>
    <x v="83"/>
    <x v="7"/>
    <n v="2024"/>
    <n v="7"/>
    <s v="Jul"/>
    <x v="6"/>
    <n v="22"/>
    <x v="1"/>
    <n v="608.76"/>
    <n v="722.25"/>
    <n v="1302.6600000000001"/>
    <n v="685.32"/>
    <n v="2633.67"/>
    <n v="3318.99"/>
    <m/>
  </r>
  <r>
    <x v="83"/>
    <x v="7"/>
    <n v="2024"/>
    <n v="7"/>
    <s v="Jul"/>
    <x v="7"/>
    <n v="38"/>
    <x v="0"/>
    <n v="44.7"/>
    <n v="59.64"/>
    <n v="234.43"/>
    <n v="0.1"/>
    <n v="338.77"/>
    <n v="338.87"/>
    <m/>
  </r>
  <r>
    <x v="83"/>
    <x v="7"/>
    <n v="2024"/>
    <n v="7"/>
    <s v="Jul"/>
    <x v="8"/>
    <n v="7"/>
    <x v="0"/>
    <n v="1106.8800000000001"/>
    <n v="1285.1600000000001"/>
    <n v="3457.07"/>
    <n v="114.87"/>
    <n v="5849.11"/>
    <n v="5963.98"/>
    <m/>
  </r>
  <r>
    <x v="83"/>
    <x v="7"/>
    <n v="2024"/>
    <n v="7"/>
    <s v="Jul"/>
    <x v="9"/>
    <n v="30"/>
    <x v="1"/>
    <n v="167.16"/>
    <n v="207.32"/>
    <n v="215.75"/>
    <n v="2.82"/>
    <n v="590.23"/>
    <n v="593.04999999999995"/>
    <m/>
  </r>
  <r>
    <x v="83"/>
    <x v="7"/>
    <n v="2024"/>
    <n v="7"/>
    <s v="Jul"/>
    <x v="10"/>
    <n v="24"/>
    <x v="1"/>
    <n v="3064.14"/>
    <n v="3736.15"/>
    <n v="3508.88"/>
    <n v="705.55"/>
    <n v="10309.17"/>
    <n v="11014.72"/>
    <m/>
  </r>
  <r>
    <x v="83"/>
    <x v="7"/>
    <n v="2024"/>
    <n v="7"/>
    <s v="Jul"/>
    <x v="11"/>
    <n v="6"/>
    <x v="1"/>
    <n v="1363.99"/>
    <n v="1819.54"/>
    <n v="5286.48"/>
    <n v="611.71"/>
    <n v="8470.01"/>
    <n v="9081.7199999999993"/>
    <m/>
  </r>
  <r>
    <x v="83"/>
    <x v="7"/>
    <n v="2024"/>
    <n v="7"/>
    <s v="Jul"/>
    <x v="12"/>
    <n v="2"/>
    <x v="1"/>
    <n v="173.13"/>
    <n v="240.16"/>
    <n v="438.3"/>
    <n v="2.9"/>
    <n v="851.59"/>
    <n v="854.49"/>
    <m/>
  </r>
  <r>
    <x v="83"/>
    <x v="7"/>
    <n v="2024"/>
    <n v="7"/>
    <s v="Jul"/>
    <x v="13"/>
    <n v="1"/>
    <x v="0"/>
    <n v="186.25"/>
    <n v="257.39999999999998"/>
    <n v="168.94"/>
    <n v="16.89"/>
    <n v="612.59"/>
    <n v="629.48"/>
    <m/>
  </r>
  <r>
    <x v="83"/>
    <x v="7"/>
    <n v="2024"/>
    <n v="7"/>
    <s v="Jul"/>
    <x v="14"/>
    <n v="20"/>
    <x v="1"/>
    <n v="558.54999999999995"/>
    <n v="740.79"/>
    <n v="1166.3800000000001"/>
    <n v="669.18"/>
    <n v="2465.7199999999998"/>
    <n v="3134.9"/>
    <m/>
  </r>
  <r>
    <x v="83"/>
    <x v="7"/>
    <n v="2024"/>
    <n v="7"/>
    <s v="Jul"/>
    <x v="15"/>
    <n v="29"/>
    <x v="1"/>
    <n v="2871.8"/>
    <n v="3557.23"/>
    <n v="4948.18"/>
    <n v="1647.32"/>
    <n v="11377.21"/>
    <n v="13024.53"/>
    <m/>
  </r>
  <r>
    <x v="83"/>
    <x v="7"/>
    <n v="2024"/>
    <n v="7"/>
    <s v="Jul"/>
    <x v="16"/>
    <n v="32"/>
    <x v="1"/>
    <n v="896.24"/>
    <n v="1100.54"/>
    <n v="491.87"/>
    <n v="3.98"/>
    <n v="2488.65"/>
    <n v="2492.63"/>
    <m/>
  </r>
  <r>
    <x v="83"/>
    <x v="7"/>
    <n v="2024"/>
    <n v="7"/>
    <s v="Jul"/>
    <x v="35"/>
    <n v="37"/>
    <x v="0"/>
    <n v="14.21"/>
    <n v="19.21"/>
    <n v="4.16"/>
    <n v="0.1"/>
    <n v="37.58"/>
    <n v="37.68"/>
    <m/>
  </r>
  <r>
    <x v="83"/>
    <x v="7"/>
    <n v="2024"/>
    <n v="7"/>
    <s v="Jul"/>
    <x v="17"/>
    <n v="31"/>
    <x v="0"/>
    <n v="0.49"/>
    <n v="0.52"/>
    <n v="0.16"/>
    <n v="0"/>
    <n v="1.17"/>
    <n v="1.17"/>
    <m/>
  </r>
  <r>
    <x v="83"/>
    <x v="7"/>
    <n v="2024"/>
    <n v="7"/>
    <s v="Jul"/>
    <x v="18"/>
    <n v="23"/>
    <x v="1"/>
    <n v="884.85"/>
    <n v="1118.93"/>
    <n v="1020.77"/>
    <n v="658.46"/>
    <n v="3024.55"/>
    <n v="3683.01"/>
    <m/>
  </r>
  <r>
    <x v="83"/>
    <x v="7"/>
    <n v="2024"/>
    <n v="7"/>
    <s v="Jul"/>
    <x v="19"/>
    <n v="27"/>
    <x v="1"/>
    <n v="7538.29"/>
    <n v="8629.8799999999992"/>
    <n v="10835.14"/>
    <n v="1966.59"/>
    <n v="27003.31"/>
    <n v="28969.9"/>
    <m/>
  </r>
  <r>
    <x v="83"/>
    <x v="7"/>
    <n v="2024"/>
    <n v="7"/>
    <s v="Jul"/>
    <x v="20"/>
    <n v="14"/>
    <x v="1"/>
    <n v="25.85"/>
    <n v="34.22"/>
    <n v="7.57"/>
    <n v="0.02"/>
    <n v="67.64"/>
    <n v="67.66"/>
    <m/>
  </r>
  <r>
    <x v="83"/>
    <x v="7"/>
    <n v="2024"/>
    <n v="7"/>
    <s v="Jul"/>
    <x v="21"/>
    <n v="17"/>
    <x v="1"/>
    <n v="33.72"/>
    <n v="40.159999999999997"/>
    <n v="65.98"/>
    <n v="1.66"/>
    <n v="139.86000000000001"/>
    <n v="141.52000000000001"/>
    <m/>
  </r>
  <r>
    <x v="83"/>
    <x v="7"/>
    <n v="2024"/>
    <n v="7"/>
    <s v="Jul"/>
    <x v="22"/>
    <n v="15"/>
    <x v="1"/>
    <n v="13.59"/>
    <n v="21.07"/>
    <n v="4.1100000000000003"/>
    <n v="0.11"/>
    <n v="38.770000000000003"/>
    <n v="38.880000000000003"/>
    <m/>
  </r>
  <r>
    <x v="83"/>
    <x v="7"/>
    <n v="2024"/>
    <n v="7"/>
    <s v="Jul"/>
    <x v="23"/>
    <n v="13"/>
    <x v="1"/>
    <n v="20.43"/>
    <n v="25.58"/>
    <n v="9.89"/>
    <n v="1.69"/>
    <n v="55.9"/>
    <n v="57.59"/>
    <m/>
  </r>
  <r>
    <x v="83"/>
    <x v="7"/>
    <n v="2024"/>
    <n v="7"/>
    <s v="Jul"/>
    <x v="24"/>
    <n v="21"/>
    <x v="1"/>
    <n v="1237.69"/>
    <n v="1482.22"/>
    <n v="1385.06"/>
    <n v="820.05"/>
    <n v="4104.97"/>
    <n v="4925.0200000000004"/>
    <m/>
  </r>
  <r>
    <x v="83"/>
    <x v="7"/>
    <n v="2024"/>
    <n v="7"/>
    <s v="Jul"/>
    <x v="25"/>
    <n v="34"/>
    <x v="0"/>
    <n v="28.73"/>
    <n v="42.17"/>
    <n v="153.15"/>
    <n v="0.59"/>
    <n v="224.05"/>
    <n v="224.64"/>
    <m/>
  </r>
  <r>
    <x v="83"/>
    <x v="7"/>
    <n v="2024"/>
    <n v="7"/>
    <s v="Jul"/>
    <x v="26"/>
    <n v="3"/>
    <x v="1"/>
    <n v="541.75"/>
    <n v="753.19"/>
    <n v="726.03"/>
    <n v="48.11"/>
    <n v="2020.97"/>
    <n v="2069.08"/>
    <m/>
  </r>
  <r>
    <x v="83"/>
    <x v="7"/>
    <n v="2024"/>
    <n v="7"/>
    <s v="Jul"/>
    <x v="27"/>
    <n v="8"/>
    <x v="1"/>
    <n v="1119.78"/>
    <n v="1436.33"/>
    <n v="1665.18"/>
    <n v="147.47999999999999"/>
    <n v="4221.29"/>
    <n v="4368.7700000000004"/>
    <m/>
  </r>
  <r>
    <x v="83"/>
    <x v="7"/>
    <n v="2024"/>
    <n v="7"/>
    <s v="Jul"/>
    <x v="28"/>
    <n v="11"/>
    <x v="1"/>
    <n v="19.329999999999998"/>
    <n v="25.4"/>
    <n v="280.16000000000003"/>
    <n v="0.11"/>
    <n v="324.89"/>
    <n v="325"/>
    <m/>
  </r>
  <r>
    <x v="83"/>
    <x v="7"/>
    <n v="2024"/>
    <n v="7"/>
    <s v="Jul"/>
    <x v="29"/>
    <n v="33"/>
    <x v="1"/>
    <n v="2753.61"/>
    <n v="3637.41"/>
    <n v="3265.9"/>
    <n v="832.89"/>
    <n v="9656.92"/>
    <n v="10489.81"/>
    <m/>
  </r>
  <r>
    <x v="83"/>
    <x v="7"/>
    <n v="2024"/>
    <n v="7"/>
    <s v="Jul"/>
    <x v="30"/>
    <n v="36"/>
    <x v="1"/>
    <n v="1290.9000000000001"/>
    <n v="1625.38"/>
    <n v="1484.03"/>
    <n v="539.42999999999995"/>
    <n v="4400.3100000000004"/>
    <n v="4939.74"/>
    <m/>
  </r>
  <r>
    <x v="83"/>
    <x v="7"/>
    <n v="2024"/>
    <n v="7"/>
    <s v="Jul"/>
    <x v="31"/>
    <n v="16"/>
    <x v="1"/>
    <n v="25.96"/>
    <n v="34.71"/>
    <n v="11.21"/>
    <n v="0.08"/>
    <n v="71.88"/>
    <n v="71.959999999999994"/>
    <m/>
  </r>
  <r>
    <x v="83"/>
    <x v="7"/>
    <n v="2024"/>
    <n v="7"/>
    <s v="Jul"/>
    <x v="32"/>
    <n v="9"/>
    <x v="1"/>
    <n v="2139.65"/>
    <n v="2811.37"/>
    <n v="2782.45"/>
    <n v="1391.55"/>
    <n v="7733.47"/>
    <n v="9125.02"/>
    <m/>
  </r>
  <r>
    <x v="83"/>
    <x v="7"/>
    <n v="2024"/>
    <n v="7"/>
    <s v="Jul"/>
    <x v="33"/>
    <n v="5"/>
    <x v="1"/>
    <n v="342.54"/>
    <n v="490.49"/>
    <n v="854.05"/>
    <n v="12.62"/>
    <n v="1687.08"/>
    <n v="1699.7"/>
    <m/>
  </r>
  <r>
    <x v="83"/>
    <x v="7"/>
    <n v="2024"/>
    <n v="7"/>
    <s v="Jul"/>
    <x v="34"/>
    <n v="19"/>
    <x v="1"/>
    <n v="1558.83"/>
    <n v="1925.17"/>
    <n v="1310.1199999999999"/>
    <n v="462.46"/>
    <n v="4794.12"/>
    <n v="5256.58"/>
    <m/>
  </r>
  <r>
    <x v="84"/>
    <x v="7"/>
    <n v="2024"/>
    <n v="8"/>
    <s v="Aug"/>
    <x v="0"/>
    <n v="35"/>
    <x v="0"/>
    <n v="9.6"/>
    <n v="13.27"/>
    <n v="4.4000000000000004"/>
    <n v="0.04"/>
    <n v="27.27"/>
    <n v="27.31"/>
    <m/>
  </r>
  <r>
    <x v="84"/>
    <x v="7"/>
    <n v="2024"/>
    <n v="8"/>
    <s v="Aug"/>
    <x v="1"/>
    <n v="28"/>
    <x v="1"/>
    <n v="827.59"/>
    <n v="1061.17"/>
    <n v="1195.7"/>
    <n v="213.62"/>
    <n v="3084.46"/>
    <n v="3298.08"/>
    <m/>
  </r>
  <r>
    <x v="84"/>
    <x v="7"/>
    <n v="2024"/>
    <n v="8"/>
    <s v="Aug"/>
    <x v="2"/>
    <n v="12"/>
    <x v="1"/>
    <n v="26.63"/>
    <n v="34.85"/>
    <n v="11.92"/>
    <n v="0.4"/>
    <n v="73.400000000000006"/>
    <n v="73.8"/>
    <m/>
  </r>
  <r>
    <x v="84"/>
    <x v="7"/>
    <n v="2024"/>
    <n v="8"/>
    <s v="Aug"/>
    <x v="3"/>
    <n v="18"/>
    <x v="1"/>
    <n v="388.73"/>
    <n v="483.02"/>
    <n v="372.99"/>
    <n v="108.66"/>
    <n v="1244.74"/>
    <n v="1353.4"/>
    <m/>
  </r>
  <r>
    <x v="84"/>
    <x v="7"/>
    <n v="2024"/>
    <n v="8"/>
    <s v="Aug"/>
    <x v="4"/>
    <n v="10"/>
    <x v="1"/>
    <n v="426.54"/>
    <n v="695.26"/>
    <n v="220.04"/>
    <n v="149.58000000000001"/>
    <n v="1341.84"/>
    <n v="1491.42"/>
    <m/>
  </r>
  <r>
    <x v="84"/>
    <x v="7"/>
    <n v="2024"/>
    <n v="8"/>
    <s v="Aug"/>
    <x v="5"/>
    <n v="4"/>
    <x v="0"/>
    <n v="49.85"/>
    <n v="63.85"/>
    <n v="128.69999999999999"/>
    <n v="1.37"/>
    <n v="242.4"/>
    <n v="243.77"/>
    <m/>
  </r>
  <r>
    <x v="84"/>
    <x v="7"/>
    <n v="2024"/>
    <n v="8"/>
    <s v="Aug"/>
    <x v="6"/>
    <n v="22"/>
    <x v="1"/>
    <n v="533.20000000000005"/>
    <n v="630.05999999999995"/>
    <n v="872.39"/>
    <n v="575.15"/>
    <n v="2035.65"/>
    <n v="2610.8000000000002"/>
    <m/>
  </r>
  <r>
    <x v="84"/>
    <x v="7"/>
    <n v="2024"/>
    <n v="8"/>
    <s v="Aug"/>
    <x v="7"/>
    <n v="38"/>
    <x v="0"/>
    <n v="40.229999999999997"/>
    <n v="53.28"/>
    <n v="226.66"/>
    <n v="0.14000000000000001"/>
    <n v="320.17"/>
    <n v="320.31"/>
    <m/>
  </r>
  <r>
    <x v="84"/>
    <x v="7"/>
    <n v="2024"/>
    <n v="8"/>
    <s v="Aug"/>
    <x v="8"/>
    <n v="7"/>
    <x v="0"/>
    <n v="1107"/>
    <n v="1296.18"/>
    <n v="3118.28"/>
    <n v="113.06"/>
    <n v="5521.46"/>
    <n v="5634.52"/>
    <m/>
  </r>
  <r>
    <x v="84"/>
    <x v="7"/>
    <n v="2024"/>
    <n v="8"/>
    <s v="Aug"/>
    <x v="9"/>
    <n v="30"/>
    <x v="1"/>
    <n v="147.51"/>
    <n v="184.06"/>
    <n v="196.81"/>
    <n v="2.3199999999999998"/>
    <n v="528.38"/>
    <n v="530.70000000000005"/>
    <m/>
  </r>
  <r>
    <x v="84"/>
    <x v="7"/>
    <n v="2024"/>
    <n v="8"/>
    <s v="Aug"/>
    <x v="10"/>
    <n v="24"/>
    <x v="1"/>
    <n v="2834.73"/>
    <n v="3423.52"/>
    <n v="3388.83"/>
    <n v="696.44"/>
    <n v="9647.08"/>
    <n v="10343.52"/>
    <m/>
  </r>
  <r>
    <x v="84"/>
    <x v="7"/>
    <n v="2024"/>
    <n v="8"/>
    <s v="Aug"/>
    <x v="11"/>
    <n v="6"/>
    <x v="1"/>
    <n v="1400.61"/>
    <n v="1785.59"/>
    <n v="4770.3100000000004"/>
    <n v="666.48"/>
    <n v="7956.51"/>
    <n v="8622.99"/>
    <m/>
  </r>
  <r>
    <x v="84"/>
    <x v="7"/>
    <n v="2024"/>
    <n v="8"/>
    <s v="Aug"/>
    <x v="12"/>
    <n v="2"/>
    <x v="1"/>
    <n v="159.25"/>
    <n v="223.24"/>
    <n v="442.59"/>
    <n v="2.12"/>
    <n v="825.08"/>
    <n v="827.2"/>
    <m/>
  </r>
  <r>
    <x v="84"/>
    <x v="7"/>
    <n v="2024"/>
    <n v="8"/>
    <s v="Aug"/>
    <x v="13"/>
    <n v="1"/>
    <x v="0"/>
    <n v="150.76"/>
    <n v="221.31"/>
    <n v="182.59"/>
    <n v="14.32"/>
    <n v="554.66"/>
    <n v="568.98"/>
    <m/>
  </r>
  <r>
    <x v="84"/>
    <x v="7"/>
    <n v="2024"/>
    <n v="8"/>
    <s v="Aug"/>
    <x v="14"/>
    <n v="20"/>
    <x v="1"/>
    <n v="527.16999999999996"/>
    <n v="669.26"/>
    <n v="983.3"/>
    <n v="670.32"/>
    <n v="2179.73"/>
    <n v="2850.05"/>
    <m/>
  </r>
  <r>
    <x v="84"/>
    <x v="7"/>
    <n v="2024"/>
    <n v="8"/>
    <s v="Aug"/>
    <x v="15"/>
    <n v="29"/>
    <x v="1"/>
    <n v="2797.93"/>
    <n v="3416.5"/>
    <n v="4675.6899999999996"/>
    <n v="1454.02"/>
    <n v="10890.12"/>
    <n v="12344.14"/>
    <m/>
  </r>
  <r>
    <x v="84"/>
    <x v="7"/>
    <n v="2024"/>
    <n v="8"/>
    <s v="Aug"/>
    <x v="16"/>
    <n v="32"/>
    <x v="1"/>
    <n v="892.9"/>
    <n v="1086.78"/>
    <n v="525.6"/>
    <n v="6.05"/>
    <n v="2505.2800000000002"/>
    <n v="2511.33"/>
    <m/>
  </r>
  <r>
    <x v="84"/>
    <x v="7"/>
    <n v="2024"/>
    <n v="8"/>
    <s v="Aug"/>
    <x v="35"/>
    <n v="37"/>
    <x v="0"/>
    <n v="12.49"/>
    <n v="15.35"/>
    <n v="4.83"/>
    <n v="0.25"/>
    <n v="32.67"/>
    <n v="32.92"/>
    <m/>
  </r>
  <r>
    <x v="84"/>
    <x v="7"/>
    <n v="2024"/>
    <n v="8"/>
    <s v="Aug"/>
    <x v="17"/>
    <n v="31"/>
    <x v="0"/>
    <n v="0.4"/>
    <n v="0.75"/>
    <n v="0.76"/>
    <n v="0"/>
    <n v="1.91"/>
    <n v="1.91"/>
    <m/>
  </r>
  <r>
    <x v="84"/>
    <x v="7"/>
    <n v="2024"/>
    <n v="8"/>
    <s v="Aug"/>
    <x v="18"/>
    <n v="23"/>
    <x v="1"/>
    <n v="862.49"/>
    <n v="1054.45"/>
    <n v="890.19"/>
    <n v="630.96"/>
    <n v="2807.13"/>
    <n v="3438.09"/>
    <m/>
  </r>
  <r>
    <x v="84"/>
    <x v="7"/>
    <n v="2024"/>
    <n v="8"/>
    <s v="Aug"/>
    <x v="19"/>
    <n v="27"/>
    <x v="1"/>
    <n v="7111.78"/>
    <n v="8304.66"/>
    <n v="8938.4599999999991"/>
    <n v="2011.74"/>
    <n v="24354.9"/>
    <n v="26366.639999999999"/>
    <m/>
  </r>
  <r>
    <x v="84"/>
    <x v="7"/>
    <n v="2024"/>
    <n v="8"/>
    <s v="Aug"/>
    <x v="20"/>
    <n v="14"/>
    <x v="1"/>
    <n v="18.36"/>
    <n v="29.04"/>
    <n v="8.1199999999999992"/>
    <n v="0.03"/>
    <n v="55.52"/>
    <n v="55.55"/>
    <m/>
  </r>
  <r>
    <x v="84"/>
    <x v="7"/>
    <n v="2024"/>
    <n v="8"/>
    <s v="Aug"/>
    <x v="21"/>
    <n v="17"/>
    <x v="1"/>
    <n v="41.27"/>
    <n v="45.9"/>
    <n v="67.87"/>
    <n v="0.11"/>
    <n v="155.04"/>
    <n v="155.15"/>
    <m/>
  </r>
  <r>
    <x v="84"/>
    <x v="7"/>
    <n v="2024"/>
    <n v="8"/>
    <s v="Aug"/>
    <x v="22"/>
    <n v="15"/>
    <x v="1"/>
    <n v="10.119999999999999"/>
    <n v="13.57"/>
    <n v="3.75"/>
    <n v="0.22"/>
    <n v="27.44"/>
    <n v="27.66"/>
    <m/>
  </r>
  <r>
    <x v="84"/>
    <x v="7"/>
    <n v="2024"/>
    <n v="8"/>
    <s v="Aug"/>
    <x v="23"/>
    <n v="13"/>
    <x v="1"/>
    <n v="14.76"/>
    <n v="19.02"/>
    <n v="7.48"/>
    <n v="1.04"/>
    <n v="41.26"/>
    <n v="42.3"/>
    <m/>
  </r>
  <r>
    <x v="84"/>
    <x v="7"/>
    <n v="2024"/>
    <n v="8"/>
    <s v="Aug"/>
    <x v="24"/>
    <n v="21"/>
    <x v="1"/>
    <n v="1181.1300000000001"/>
    <n v="1378.12"/>
    <n v="1515.41"/>
    <n v="803.7"/>
    <n v="4074.66"/>
    <n v="4878.3599999999997"/>
    <m/>
  </r>
  <r>
    <x v="84"/>
    <x v="7"/>
    <n v="2024"/>
    <n v="8"/>
    <s v="Aug"/>
    <x v="25"/>
    <n v="34"/>
    <x v="0"/>
    <n v="28.32"/>
    <n v="45"/>
    <n v="159.93"/>
    <n v="0.46"/>
    <n v="233.25"/>
    <n v="233.71"/>
    <m/>
  </r>
  <r>
    <x v="84"/>
    <x v="7"/>
    <n v="2024"/>
    <n v="8"/>
    <s v="Aug"/>
    <x v="26"/>
    <n v="3"/>
    <x v="1"/>
    <n v="484.67"/>
    <n v="682.67"/>
    <n v="731.98"/>
    <n v="36.94"/>
    <n v="1899.32"/>
    <n v="1936.26"/>
    <m/>
  </r>
  <r>
    <x v="84"/>
    <x v="7"/>
    <n v="2024"/>
    <n v="8"/>
    <s v="Aug"/>
    <x v="27"/>
    <n v="8"/>
    <x v="1"/>
    <n v="990.13"/>
    <n v="1279.8"/>
    <n v="1429.13"/>
    <n v="121.31"/>
    <n v="3699.06"/>
    <n v="3820.37"/>
    <m/>
  </r>
  <r>
    <x v="84"/>
    <x v="7"/>
    <n v="2024"/>
    <n v="8"/>
    <s v="Aug"/>
    <x v="28"/>
    <n v="11"/>
    <x v="1"/>
    <n v="14.2"/>
    <n v="18.46"/>
    <n v="292.98"/>
    <n v="0.11"/>
    <n v="325.64"/>
    <n v="325.75"/>
    <m/>
  </r>
  <r>
    <x v="84"/>
    <x v="7"/>
    <n v="2024"/>
    <n v="8"/>
    <s v="Aug"/>
    <x v="29"/>
    <n v="33"/>
    <x v="1"/>
    <n v="2719.72"/>
    <n v="3728.47"/>
    <n v="3030.31"/>
    <n v="702.25"/>
    <n v="9478.5"/>
    <n v="10180.75"/>
    <m/>
  </r>
  <r>
    <x v="84"/>
    <x v="7"/>
    <n v="2024"/>
    <n v="8"/>
    <s v="Aug"/>
    <x v="30"/>
    <n v="36"/>
    <x v="1"/>
    <n v="1238.6199999999999"/>
    <n v="1544.62"/>
    <n v="1365.9"/>
    <n v="419.45"/>
    <n v="4149.1400000000003"/>
    <n v="4568.59"/>
    <m/>
  </r>
  <r>
    <x v="84"/>
    <x v="7"/>
    <n v="2024"/>
    <n v="8"/>
    <s v="Aug"/>
    <x v="31"/>
    <n v="16"/>
    <x v="1"/>
    <n v="33.369999999999997"/>
    <n v="41.3"/>
    <n v="10.48"/>
    <n v="0.02"/>
    <n v="85.15"/>
    <n v="85.17"/>
    <m/>
  </r>
  <r>
    <x v="84"/>
    <x v="7"/>
    <n v="2024"/>
    <n v="8"/>
    <s v="Aug"/>
    <x v="32"/>
    <n v="9"/>
    <x v="1"/>
    <n v="1969.36"/>
    <n v="2571.77"/>
    <n v="2424.5100000000002"/>
    <n v="1303.83"/>
    <n v="6965.64"/>
    <n v="8269.4699999999993"/>
    <m/>
  </r>
  <r>
    <x v="84"/>
    <x v="7"/>
    <n v="2024"/>
    <n v="8"/>
    <s v="Aug"/>
    <x v="33"/>
    <n v="5"/>
    <x v="1"/>
    <n v="291.64999999999998"/>
    <n v="432.22"/>
    <n v="617.77"/>
    <n v="9.09"/>
    <n v="1341.64"/>
    <n v="1350.73"/>
    <m/>
  </r>
  <r>
    <x v="84"/>
    <x v="7"/>
    <n v="2024"/>
    <n v="8"/>
    <s v="Aug"/>
    <x v="34"/>
    <n v="19"/>
    <x v="1"/>
    <n v="1503.35"/>
    <n v="1846.55"/>
    <n v="1323.32"/>
    <n v="404.05"/>
    <n v="4673.22"/>
    <n v="5077.2700000000004"/>
    <m/>
  </r>
  <r>
    <x v="85"/>
    <x v="7"/>
    <n v="2024"/>
    <n v="9"/>
    <s v="Sep"/>
    <x v="0"/>
    <n v="35"/>
    <x v="0"/>
    <n v="10.75"/>
    <n v="14.18"/>
    <n v="3.66"/>
    <n v="0.08"/>
    <n v="28.59"/>
    <n v="28.67"/>
    <m/>
  </r>
  <r>
    <x v="85"/>
    <x v="7"/>
    <n v="2024"/>
    <n v="9"/>
    <s v="Sep"/>
    <x v="1"/>
    <n v="28"/>
    <x v="1"/>
    <n v="857.21"/>
    <n v="1094.17"/>
    <n v="1302.33"/>
    <n v="252.75"/>
    <n v="3253.71"/>
    <n v="3506.46"/>
    <m/>
  </r>
  <r>
    <x v="85"/>
    <x v="7"/>
    <n v="2024"/>
    <n v="9"/>
    <s v="Sep"/>
    <x v="2"/>
    <n v="12"/>
    <x v="1"/>
    <n v="34.89"/>
    <n v="41.91"/>
    <n v="15.14"/>
    <n v="0.08"/>
    <n v="91.94"/>
    <n v="92.02"/>
    <m/>
  </r>
  <r>
    <x v="85"/>
    <x v="7"/>
    <n v="2024"/>
    <n v="9"/>
    <s v="Sep"/>
    <x v="3"/>
    <n v="18"/>
    <x v="1"/>
    <n v="380.28"/>
    <n v="471.66"/>
    <n v="365.79"/>
    <n v="69.040000000000006"/>
    <n v="1217.73"/>
    <n v="1286.77"/>
    <m/>
  </r>
  <r>
    <x v="85"/>
    <x v="7"/>
    <n v="2024"/>
    <n v="9"/>
    <s v="Sep"/>
    <x v="4"/>
    <n v="10"/>
    <x v="1"/>
    <n v="417.22"/>
    <n v="659.53"/>
    <n v="244.41"/>
    <n v="175.62"/>
    <n v="1321.16"/>
    <n v="1496.78"/>
    <m/>
  </r>
  <r>
    <x v="85"/>
    <x v="7"/>
    <n v="2024"/>
    <n v="9"/>
    <s v="Sep"/>
    <x v="5"/>
    <n v="4"/>
    <x v="0"/>
    <n v="41.16"/>
    <n v="53.42"/>
    <n v="99.8"/>
    <n v="2.3199999999999998"/>
    <n v="194.38"/>
    <n v="196.7"/>
    <m/>
  </r>
  <r>
    <x v="85"/>
    <x v="7"/>
    <n v="2024"/>
    <n v="9"/>
    <s v="Sep"/>
    <x v="6"/>
    <n v="22"/>
    <x v="1"/>
    <n v="515.49"/>
    <n v="625.21"/>
    <n v="994.98"/>
    <n v="469.41"/>
    <n v="2135.6799999999998"/>
    <n v="2605.09"/>
    <m/>
  </r>
  <r>
    <x v="85"/>
    <x v="7"/>
    <n v="2024"/>
    <n v="9"/>
    <s v="Sep"/>
    <x v="7"/>
    <n v="38"/>
    <x v="0"/>
    <n v="44.14"/>
    <n v="55.44"/>
    <n v="205.57"/>
    <n v="0.08"/>
    <n v="305.14999999999998"/>
    <n v="305.23"/>
    <m/>
  </r>
  <r>
    <x v="85"/>
    <x v="7"/>
    <n v="2024"/>
    <n v="9"/>
    <s v="Sep"/>
    <x v="8"/>
    <n v="7"/>
    <x v="0"/>
    <n v="1165.7"/>
    <n v="1334.27"/>
    <n v="3217.56"/>
    <n v="120.86"/>
    <n v="5717.53"/>
    <n v="5838.39"/>
    <m/>
  </r>
  <r>
    <x v="85"/>
    <x v="7"/>
    <n v="2024"/>
    <n v="9"/>
    <s v="Sep"/>
    <x v="9"/>
    <n v="30"/>
    <x v="1"/>
    <n v="150.13"/>
    <n v="191.29"/>
    <n v="174.43"/>
    <n v="3.32"/>
    <n v="515.85"/>
    <n v="519.16999999999996"/>
    <m/>
  </r>
  <r>
    <x v="85"/>
    <x v="7"/>
    <n v="2024"/>
    <n v="9"/>
    <s v="Sep"/>
    <x v="10"/>
    <n v="24"/>
    <x v="1"/>
    <n v="2776.9"/>
    <n v="3331.26"/>
    <n v="3469.78"/>
    <n v="574.91"/>
    <n v="9577.94"/>
    <n v="10152.85"/>
    <m/>
  </r>
  <r>
    <x v="85"/>
    <x v="7"/>
    <n v="2024"/>
    <n v="9"/>
    <s v="Sep"/>
    <x v="11"/>
    <n v="6"/>
    <x v="1"/>
    <n v="1438.42"/>
    <n v="1852.35"/>
    <n v="5972.72"/>
    <n v="693.87"/>
    <n v="9263.49"/>
    <n v="9957.36"/>
    <m/>
  </r>
  <r>
    <x v="85"/>
    <x v="7"/>
    <n v="2024"/>
    <n v="9"/>
    <s v="Sep"/>
    <x v="12"/>
    <n v="2"/>
    <x v="1"/>
    <n v="138.44999999999999"/>
    <n v="193.55"/>
    <n v="522.38"/>
    <n v="1.9"/>
    <n v="854.38"/>
    <n v="856.28"/>
    <m/>
  </r>
  <r>
    <x v="85"/>
    <x v="7"/>
    <n v="2024"/>
    <n v="9"/>
    <s v="Sep"/>
    <x v="13"/>
    <n v="1"/>
    <x v="0"/>
    <n v="169.87"/>
    <n v="236.18"/>
    <n v="182.7"/>
    <n v="10.11"/>
    <n v="588.75"/>
    <n v="598.86"/>
    <m/>
  </r>
  <r>
    <x v="85"/>
    <x v="7"/>
    <n v="2024"/>
    <n v="9"/>
    <s v="Sep"/>
    <x v="14"/>
    <n v="20"/>
    <x v="1"/>
    <n v="492.48"/>
    <n v="636.89"/>
    <n v="942.48"/>
    <n v="580.83000000000004"/>
    <n v="2071.85"/>
    <n v="2652.68"/>
    <m/>
  </r>
  <r>
    <x v="85"/>
    <x v="7"/>
    <n v="2024"/>
    <n v="9"/>
    <s v="Sep"/>
    <x v="15"/>
    <n v="29"/>
    <x v="1"/>
    <n v="2874.2"/>
    <n v="3556.86"/>
    <n v="4652.5200000000004"/>
    <n v="1558.12"/>
    <n v="11083.58"/>
    <n v="12641.7"/>
    <m/>
  </r>
  <r>
    <x v="85"/>
    <x v="7"/>
    <n v="2024"/>
    <n v="9"/>
    <s v="Sep"/>
    <x v="16"/>
    <n v="32"/>
    <x v="1"/>
    <n v="944.2"/>
    <n v="1219.98"/>
    <n v="506.41"/>
    <n v="4.45"/>
    <n v="2670.59"/>
    <n v="2675.04"/>
    <m/>
  </r>
  <r>
    <x v="85"/>
    <x v="7"/>
    <n v="2024"/>
    <n v="9"/>
    <s v="Sep"/>
    <x v="35"/>
    <n v="37"/>
    <x v="0"/>
    <n v="17.809999999999999"/>
    <n v="21.46"/>
    <n v="4.25"/>
    <n v="0.02"/>
    <n v="43.52"/>
    <n v="43.54"/>
    <m/>
  </r>
  <r>
    <x v="85"/>
    <x v="7"/>
    <n v="2024"/>
    <n v="9"/>
    <s v="Sep"/>
    <x v="17"/>
    <n v="31"/>
    <x v="0"/>
    <n v="0.52"/>
    <n v="0.6"/>
    <n v="0.26"/>
    <n v="0"/>
    <n v="1.38"/>
    <n v="1.38"/>
    <m/>
  </r>
  <r>
    <x v="85"/>
    <x v="7"/>
    <n v="2024"/>
    <n v="9"/>
    <s v="Sep"/>
    <x v="18"/>
    <n v="23"/>
    <x v="1"/>
    <n v="761.19"/>
    <n v="929.17"/>
    <n v="866.26"/>
    <n v="537.88"/>
    <n v="2556.62"/>
    <n v="3094.5"/>
    <m/>
  </r>
  <r>
    <x v="85"/>
    <x v="7"/>
    <n v="2024"/>
    <n v="9"/>
    <s v="Sep"/>
    <x v="19"/>
    <n v="27"/>
    <x v="1"/>
    <n v="7535.79"/>
    <n v="8627.9699999999993"/>
    <n v="8214"/>
    <n v="1990.85"/>
    <n v="24377.759999999998"/>
    <n v="26368.61"/>
    <m/>
  </r>
  <r>
    <x v="85"/>
    <x v="7"/>
    <n v="2024"/>
    <n v="9"/>
    <s v="Sep"/>
    <x v="20"/>
    <n v="14"/>
    <x v="1"/>
    <n v="11.62"/>
    <n v="17.5"/>
    <n v="8.69"/>
    <n v="0.01"/>
    <n v="37.81"/>
    <n v="37.82"/>
    <m/>
  </r>
  <r>
    <x v="85"/>
    <x v="7"/>
    <n v="2024"/>
    <n v="9"/>
    <s v="Sep"/>
    <x v="21"/>
    <n v="17"/>
    <x v="1"/>
    <n v="35.93"/>
    <n v="42.96"/>
    <n v="73.63"/>
    <n v="0.36"/>
    <n v="152.52000000000001"/>
    <n v="152.88"/>
    <m/>
  </r>
  <r>
    <x v="85"/>
    <x v="7"/>
    <n v="2024"/>
    <n v="9"/>
    <s v="Sep"/>
    <x v="22"/>
    <n v="15"/>
    <x v="1"/>
    <n v="9.1300000000000008"/>
    <n v="12.01"/>
    <n v="4.99"/>
    <n v="0.02"/>
    <n v="26.13"/>
    <n v="26.15"/>
    <m/>
  </r>
  <r>
    <x v="85"/>
    <x v="7"/>
    <n v="2024"/>
    <n v="9"/>
    <s v="Sep"/>
    <x v="23"/>
    <n v="13"/>
    <x v="1"/>
    <n v="15.95"/>
    <n v="20.28"/>
    <n v="11.37"/>
    <n v="0.91"/>
    <n v="47.6"/>
    <n v="48.51"/>
    <m/>
  </r>
  <r>
    <x v="85"/>
    <x v="7"/>
    <n v="2024"/>
    <n v="9"/>
    <s v="Sep"/>
    <x v="24"/>
    <n v="21"/>
    <x v="1"/>
    <n v="1054.1500000000001"/>
    <n v="1272.75"/>
    <n v="1449.38"/>
    <n v="819.89"/>
    <n v="3776.28"/>
    <n v="4596.17"/>
    <m/>
  </r>
  <r>
    <x v="85"/>
    <x v="7"/>
    <n v="2024"/>
    <n v="9"/>
    <s v="Sep"/>
    <x v="25"/>
    <n v="34"/>
    <x v="0"/>
    <n v="28.26"/>
    <n v="44.92"/>
    <n v="151.19"/>
    <n v="0.98"/>
    <n v="224.37"/>
    <n v="225.35"/>
    <m/>
  </r>
  <r>
    <x v="85"/>
    <x v="7"/>
    <n v="2024"/>
    <n v="9"/>
    <s v="Sep"/>
    <x v="26"/>
    <n v="3"/>
    <x v="1"/>
    <n v="483.72"/>
    <n v="680.05"/>
    <n v="734.11"/>
    <n v="35.36"/>
    <n v="1897.88"/>
    <n v="1933.24"/>
    <m/>
  </r>
  <r>
    <x v="85"/>
    <x v="7"/>
    <n v="2024"/>
    <n v="9"/>
    <s v="Sep"/>
    <x v="27"/>
    <n v="8"/>
    <x v="1"/>
    <n v="1042.8399999999999"/>
    <n v="1343.79"/>
    <n v="1419.14"/>
    <n v="123.22"/>
    <n v="3805.77"/>
    <n v="3928.99"/>
    <m/>
  </r>
  <r>
    <x v="85"/>
    <x v="7"/>
    <n v="2024"/>
    <n v="9"/>
    <s v="Sep"/>
    <x v="28"/>
    <n v="11"/>
    <x v="1"/>
    <n v="18.45"/>
    <n v="22.24"/>
    <n v="283.01"/>
    <n v="0.03"/>
    <n v="323.7"/>
    <n v="323.73"/>
    <m/>
  </r>
  <r>
    <x v="85"/>
    <x v="7"/>
    <n v="2024"/>
    <n v="9"/>
    <s v="Sep"/>
    <x v="29"/>
    <n v="33"/>
    <x v="1"/>
    <n v="2840.13"/>
    <n v="3932.74"/>
    <n v="3382.94"/>
    <n v="867.76"/>
    <n v="10155.81"/>
    <n v="11023.57"/>
    <m/>
  </r>
  <r>
    <x v="85"/>
    <x v="7"/>
    <n v="2024"/>
    <n v="9"/>
    <s v="Sep"/>
    <x v="30"/>
    <n v="36"/>
    <x v="1"/>
    <n v="1364.87"/>
    <n v="1961.32"/>
    <n v="1398.39"/>
    <n v="542.12"/>
    <n v="4724.58"/>
    <n v="5266.7"/>
    <m/>
  </r>
  <r>
    <x v="85"/>
    <x v="7"/>
    <n v="2024"/>
    <n v="9"/>
    <s v="Sep"/>
    <x v="31"/>
    <n v="16"/>
    <x v="1"/>
    <n v="26.5"/>
    <n v="33.69"/>
    <n v="18.16"/>
    <n v="0.38"/>
    <n v="78.349999999999994"/>
    <n v="78.73"/>
    <m/>
  </r>
  <r>
    <x v="85"/>
    <x v="7"/>
    <n v="2024"/>
    <n v="9"/>
    <s v="Sep"/>
    <x v="32"/>
    <n v="9"/>
    <x v="1"/>
    <n v="1944.85"/>
    <n v="2527.96"/>
    <n v="2392.89"/>
    <n v="1191.1199999999999"/>
    <n v="6865.7"/>
    <n v="8056.82"/>
    <m/>
  </r>
  <r>
    <x v="85"/>
    <x v="7"/>
    <n v="2024"/>
    <n v="9"/>
    <s v="Sep"/>
    <x v="33"/>
    <n v="5"/>
    <x v="1"/>
    <n v="273.5"/>
    <n v="399.73"/>
    <n v="900.05"/>
    <n v="8.48"/>
    <n v="1573.28"/>
    <n v="1581.76"/>
    <m/>
  </r>
  <r>
    <x v="85"/>
    <x v="7"/>
    <n v="2024"/>
    <n v="9"/>
    <s v="Sep"/>
    <x v="34"/>
    <n v="19"/>
    <x v="1"/>
    <n v="1489.75"/>
    <n v="1805.89"/>
    <n v="1449.56"/>
    <n v="421.51"/>
    <n v="4745.2"/>
    <n v="5166.71"/>
    <m/>
  </r>
  <r>
    <x v="86"/>
    <x v="7"/>
    <n v="2024"/>
    <n v="10"/>
    <s v="Oct"/>
    <x v="0"/>
    <n v="35"/>
    <x v="0"/>
    <n v="10.029999999999999"/>
    <n v="13.67"/>
    <n v="4.0599999999999996"/>
    <n v="0.05"/>
    <n v="27.76"/>
    <n v="27.81"/>
    <m/>
  </r>
  <r>
    <x v="86"/>
    <x v="7"/>
    <n v="2024"/>
    <n v="10"/>
    <s v="Oct"/>
    <x v="1"/>
    <n v="28"/>
    <x v="1"/>
    <n v="909.24"/>
    <n v="1174.46"/>
    <n v="1489.98"/>
    <n v="241.36"/>
    <n v="3573.68"/>
    <n v="3815.04"/>
    <m/>
  </r>
  <r>
    <x v="86"/>
    <x v="7"/>
    <n v="2024"/>
    <n v="10"/>
    <s v="Oct"/>
    <x v="2"/>
    <n v="12"/>
    <x v="1"/>
    <n v="21.08"/>
    <n v="25.95"/>
    <n v="11.25"/>
    <n v="0.06"/>
    <n v="58.28"/>
    <n v="58.34"/>
    <m/>
  </r>
  <r>
    <x v="86"/>
    <x v="7"/>
    <n v="2024"/>
    <n v="10"/>
    <s v="Oct"/>
    <x v="3"/>
    <n v="18"/>
    <x v="1"/>
    <n v="408.39"/>
    <n v="522.35"/>
    <n v="412.2"/>
    <n v="134.62"/>
    <n v="1342.94"/>
    <n v="1477.56"/>
    <m/>
  </r>
  <r>
    <x v="86"/>
    <x v="7"/>
    <n v="2024"/>
    <n v="10"/>
    <s v="Oct"/>
    <x v="4"/>
    <n v="10"/>
    <x v="1"/>
    <n v="445.54"/>
    <n v="725.19"/>
    <n v="256.39999999999998"/>
    <n v="177.2"/>
    <n v="1427.13"/>
    <n v="1604.33"/>
    <m/>
  </r>
  <r>
    <x v="86"/>
    <x v="7"/>
    <n v="2024"/>
    <n v="10"/>
    <s v="Oct"/>
    <x v="5"/>
    <n v="4"/>
    <x v="0"/>
    <n v="46.33"/>
    <n v="59.18"/>
    <n v="136.66"/>
    <n v="1.2"/>
    <n v="242.17"/>
    <n v="243.37"/>
    <m/>
  </r>
  <r>
    <x v="86"/>
    <x v="7"/>
    <n v="2024"/>
    <n v="10"/>
    <s v="Oct"/>
    <x v="6"/>
    <n v="22"/>
    <x v="1"/>
    <n v="549.71"/>
    <n v="663.72"/>
    <n v="936.49"/>
    <n v="506.49"/>
    <n v="2149.92"/>
    <n v="2656.41"/>
    <m/>
  </r>
  <r>
    <x v="86"/>
    <x v="7"/>
    <n v="2024"/>
    <n v="10"/>
    <s v="Oct"/>
    <x v="7"/>
    <n v="38"/>
    <x v="0"/>
    <n v="46.52"/>
    <n v="61.09"/>
    <n v="260.95"/>
    <n v="0.19"/>
    <n v="368.56"/>
    <n v="368.75"/>
    <m/>
  </r>
  <r>
    <x v="86"/>
    <x v="7"/>
    <n v="2024"/>
    <n v="10"/>
    <s v="Oct"/>
    <x v="8"/>
    <n v="7"/>
    <x v="0"/>
    <n v="1521.51"/>
    <n v="1738.92"/>
    <n v="5278.16"/>
    <n v="121.03"/>
    <n v="8538.59"/>
    <n v="8659.6200000000008"/>
    <m/>
  </r>
  <r>
    <x v="86"/>
    <x v="7"/>
    <n v="2024"/>
    <n v="10"/>
    <s v="Oct"/>
    <x v="9"/>
    <n v="30"/>
    <x v="1"/>
    <n v="154.61000000000001"/>
    <n v="191.97"/>
    <n v="208.37"/>
    <n v="3.88"/>
    <n v="554.95000000000005"/>
    <n v="558.83000000000004"/>
    <m/>
  </r>
  <r>
    <x v="86"/>
    <x v="7"/>
    <n v="2024"/>
    <n v="10"/>
    <s v="Oct"/>
    <x v="10"/>
    <n v="24"/>
    <x v="1"/>
    <n v="3138.21"/>
    <n v="3641.89"/>
    <n v="3913.53"/>
    <n v="713"/>
    <n v="10693.63"/>
    <n v="11406.63"/>
    <m/>
  </r>
  <r>
    <x v="86"/>
    <x v="7"/>
    <n v="2024"/>
    <n v="10"/>
    <s v="Oct"/>
    <x v="11"/>
    <n v="6"/>
    <x v="1"/>
    <n v="1536.29"/>
    <n v="1956.07"/>
    <n v="5864.27"/>
    <n v="688.19"/>
    <n v="9356.6299999999992"/>
    <n v="10044.82"/>
    <m/>
  </r>
  <r>
    <x v="86"/>
    <x v="7"/>
    <n v="2024"/>
    <n v="10"/>
    <s v="Oct"/>
    <x v="12"/>
    <n v="2"/>
    <x v="1"/>
    <n v="160.52000000000001"/>
    <n v="230.58"/>
    <n v="473.91"/>
    <n v="1.9"/>
    <n v="865.01"/>
    <n v="866.91"/>
    <m/>
  </r>
  <r>
    <x v="86"/>
    <x v="7"/>
    <n v="2024"/>
    <n v="10"/>
    <s v="Oct"/>
    <x v="13"/>
    <n v="1"/>
    <x v="0"/>
    <n v="166.66"/>
    <n v="240.77"/>
    <n v="192.74"/>
    <n v="7.67"/>
    <n v="600.16999999999996"/>
    <n v="607.84"/>
    <m/>
  </r>
  <r>
    <x v="86"/>
    <x v="7"/>
    <n v="2024"/>
    <n v="10"/>
    <s v="Oct"/>
    <x v="14"/>
    <n v="20"/>
    <x v="1"/>
    <n v="553.94000000000005"/>
    <n v="718.96"/>
    <n v="1114.31"/>
    <n v="586.83000000000004"/>
    <n v="2387.21"/>
    <n v="2974.04"/>
    <m/>
  </r>
  <r>
    <x v="86"/>
    <x v="7"/>
    <n v="2024"/>
    <n v="10"/>
    <s v="Oct"/>
    <x v="15"/>
    <n v="29"/>
    <x v="1"/>
    <n v="2922.4"/>
    <n v="3634.38"/>
    <n v="5073.53"/>
    <n v="1451.12"/>
    <n v="11630.31"/>
    <n v="13081.43"/>
    <m/>
  </r>
  <r>
    <x v="86"/>
    <x v="7"/>
    <n v="2024"/>
    <n v="10"/>
    <s v="Oct"/>
    <x v="16"/>
    <n v="32"/>
    <x v="1"/>
    <n v="993.26"/>
    <n v="1275.31"/>
    <n v="624.08000000000004"/>
    <n v="3.34"/>
    <n v="2892.65"/>
    <n v="2895.99"/>
    <m/>
  </r>
  <r>
    <x v="86"/>
    <x v="7"/>
    <n v="2024"/>
    <n v="10"/>
    <s v="Oct"/>
    <x v="35"/>
    <n v="37"/>
    <x v="0"/>
    <n v="20.79"/>
    <n v="30.77"/>
    <n v="4.6100000000000003"/>
    <n v="0.18"/>
    <n v="56.17"/>
    <n v="56.35"/>
    <m/>
  </r>
  <r>
    <x v="86"/>
    <x v="7"/>
    <n v="2024"/>
    <n v="10"/>
    <s v="Oct"/>
    <x v="17"/>
    <n v="31"/>
    <x v="0"/>
    <n v="0.28999999999999998"/>
    <n v="0.84"/>
    <n v="0.16"/>
    <n v="0"/>
    <n v="1.29"/>
    <n v="1.29"/>
    <m/>
  </r>
  <r>
    <x v="86"/>
    <x v="7"/>
    <n v="2024"/>
    <n v="10"/>
    <s v="Oct"/>
    <x v="18"/>
    <n v="23"/>
    <x v="1"/>
    <n v="873.82"/>
    <n v="1108.48"/>
    <n v="1052.93"/>
    <n v="613.72"/>
    <n v="3035.23"/>
    <n v="3648.95"/>
    <m/>
  </r>
  <r>
    <x v="86"/>
    <x v="7"/>
    <n v="2024"/>
    <n v="10"/>
    <s v="Oct"/>
    <x v="19"/>
    <n v="27"/>
    <x v="1"/>
    <n v="8048.03"/>
    <n v="9107.5"/>
    <n v="11664.76"/>
    <n v="2209.7600000000002"/>
    <n v="28820.29"/>
    <n v="31030.05"/>
    <m/>
  </r>
  <r>
    <x v="86"/>
    <x v="7"/>
    <n v="2024"/>
    <n v="10"/>
    <s v="Oct"/>
    <x v="20"/>
    <n v="14"/>
    <x v="1"/>
    <n v="26.84"/>
    <n v="32.75"/>
    <n v="6.99"/>
    <n v="0.02"/>
    <n v="66.58"/>
    <n v="66.599999999999994"/>
    <m/>
  </r>
  <r>
    <x v="86"/>
    <x v="7"/>
    <n v="2024"/>
    <n v="10"/>
    <s v="Oct"/>
    <x v="21"/>
    <n v="17"/>
    <x v="1"/>
    <n v="40.81"/>
    <n v="51.68"/>
    <n v="71.209999999999994"/>
    <n v="0.06"/>
    <n v="163.69999999999999"/>
    <n v="163.76"/>
    <m/>
  </r>
  <r>
    <x v="86"/>
    <x v="7"/>
    <n v="2024"/>
    <n v="10"/>
    <s v="Oct"/>
    <x v="22"/>
    <n v="15"/>
    <x v="1"/>
    <n v="18.079999999999998"/>
    <n v="20.03"/>
    <n v="3.28"/>
    <n v="0.03"/>
    <n v="41.39"/>
    <n v="41.42"/>
    <m/>
  </r>
  <r>
    <x v="86"/>
    <x v="7"/>
    <n v="2024"/>
    <n v="10"/>
    <s v="Oct"/>
    <x v="23"/>
    <n v="13"/>
    <x v="1"/>
    <n v="15.8"/>
    <n v="19.45"/>
    <n v="8.4700000000000006"/>
    <n v="1.61"/>
    <n v="43.72"/>
    <n v="45.33"/>
    <m/>
  </r>
  <r>
    <x v="86"/>
    <x v="7"/>
    <n v="2024"/>
    <n v="10"/>
    <s v="Oct"/>
    <x v="24"/>
    <n v="21"/>
    <x v="1"/>
    <n v="1043.07"/>
    <n v="1288.0999999999999"/>
    <n v="1431.23"/>
    <n v="829.58"/>
    <n v="3762.4"/>
    <n v="4591.9799999999996"/>
    <m/>
  </r>
  <r>
    <x v="86"/>
    <x v="7"/>
    <n v="2024"/>
    <n v="10"/>
    <s v="Oct"/>
    <x v="25"/>
    <n v="34"/>
    <x v="0"/>
    <n v="29.4"/>
    <n v="46.53"/>
    <n v="175.18"/>
    <n v="0.59"/>
    <n v="251.11"/>
    <n v="251.7"/>
    <m/>
  </r>
  <r>
    <x v="86"/>
    <x v="7"/>
    <n v="2024"/>
    <n v="10"/>
    <s v="Oct"/>
    <x v="26"/>
    <n v="3"/>
    <x v="1"/>
    <n v="524.16999999999996"/>
    <n v="772.5"/>
    <n v="878.57"/>
    <n v="36.03"/>
    <n v="2175.2399999999998"/>
    <n v="2211.27"/>
    <m/>
  </r>
  <r>
    <x v="86"/>
    <x v="7"/>
    <n v="2024"/>
    <n v="10"/>
    <s v="Oct"/>
    <x v="27"/>
    <n v="8"/>
    <x v="1"/>
    <n v="1175.25"/>
    <n v="1504.72"/>
    <n v="1585.8"/>
    <n v="203.04"/>
    <n v="4265.7700000000004"/>
    <n v="4468.8100000000004"/>
    <m/>
  </r>
  <r>
    <x v="86"/>
    <x v="7"/>
    <n v="2024"/>
    <n v="10"/>
    <s v="Oct"/>
    <x v="28"/>
    <n v="11"/>
    <x v="1"/>
    <n v="23.52"/>
    <n v="30.22"/>
    <n v="279.05"/>
    <n v="7.0000000000000007E-2"/>
    <n v="332.79"/>
    <n v="332.86"/>
    <m/>
  </r>
  <r>
    <x v="86"/>
    <x v="7"/>
    <n v="2024"/>
    <n v="10"/>
    <s v="Oct"/>
    <x v="29"/>
    <n v="33"/>
    <x v="1"/>
    <n v="2754.58"/>
    <n v="3891.47"/>
    <n v="3671.48"/>
    <n v="870.26"/>
    <n v="10317.530000000001"/>
    <n v="11187.79"/>
    <m/>
  </r>
  <r>
    <x v="86"/>
    <x v="7"/>
    <n v="2024"/>
    <n v="10"/>
    <s v="Oct"/>
    <x v="30"/>
    <n v="36"/>
    <x v="1"/>
    <n v="1483.27"/>
    <n v="1690.98"/>
    <n v="1568.87"/>
    <n v="467.54"/>
    <n v="4743.12"/>
    <n v="5210.66"/>
    <m/>
  </r>
  <r>
    <x v="86"/>
    <x v="7"/>
    <n v="2024"/>
    <n v="10"/>
    <s v="Oct"/>
    <x v="31"/>
    <n v="16"/>
    <x v="1"/>
    <n v="42.83"/>
    <n v="50.36"/>
    <n v="10.46"/>
    <n v="1.34"/>
    <n v="103.65"/>
    <n v="104.99"/>
    <m/>
  </r>
  <r>
    <x v="86"/>
    <x v="7"/>
    <n v="2024"/>
    <n v="10"/>
    <s v="Oct"/>
    <x v="32"/>
    <n v="9"/>
    <x v="1"/>
    <n v="2136.61"/>
    <n v="2834.2"/>
    <n v="3257.72"/>
    <n v="1373.48"/>
    <n v="8228.5300000000007"/>
    <n v="9602.01"/>
    <m/>
  </r>
  <r>
    <x v="86"/>
    <x v="7"/>
    <n v="2024"/>
    <n v="10"/>
    <s v="Oct"/>
    <x v="33"/>
    <n v="5"/>
    <x v="1"/>
    <n v="343.01"/>
    <n v="485.96"/>
    <n v="995.35"/>
    <n v="9.42"/>
    <n v="1824.32"/>
    <n v="1833.74"/>
    <m/>
  </r>
  <r>
    <x v="86"/>
    <x v="7"/>
    <n v="2024"/>
    <n v="10"/>
    <s v="Oct"/>
    <x v="34"/>
    <n v="19"/>
    <x v="1"/>
    <n v="1624.13"/>
    <n v="2009.07"/>
    <n v="1530.67"/>
    <n v="432.96"/>
    <n v="5163.87"/>
    <n v="5596.83"/>
    <m/>
  </r>
  <r>
    <x v="87"/>
    <x v="7"/>
    <n v="2024"/>
    <n v="11"/>
    <s v="Nov"/>
    <x v="0"/>
    <n v="35"/>
    <x v="0"/>
    <n v="11.55"/>
    <n v="16.57"/>
    <n v="3.86"/>
    <n v="0.09"/>
    <n v="31.98"/>
    <n v="32.07"/>
    <m/>
  </r>
  <r>
    <x v="87"/>
    <x v="7"/>
    <n v="2024"/>
    <n v="11"/>
    <s v="Nov"/>
    <x v="1"/>
    <n v="28"/>
    <x v="1"/>
    <n v="879.67"/>
    <n v="1197.47"/>
    <n v="1346.1"/>
    <n v="276.18"/>
    <n v="3423.24"/>
    <n v="3699.42"/>
    <m/>
  </r>
  <r>
    <x v="87"/>
    <x v="7"/>
    <n v="2024"/>
    <n v="11"/>
    <s v="Nov"/>
    <x v="2"/>
    <n v="12"/>
    <x v="1"/>
    <n v="24.33"/>
    <n v="30.88"/>
    <n v="15.54"/>
    <n v="0.15"/>
    <n v="70.75"/>
    <n v="70.900000000000006"/>
    <m/>
  </r>
  <r>
    <x v="87"/>
    <x v="7"/>
    <n v="2024"/>
    <n v="11"/>
    <s v="Nov"/>
    <x v="3"/>
    <n v="18"/>
    <x v="1"/>
    <n v="392.05"/>
    <n v="503.43"/>
    <n v="358.61"/>
    <n v="103.51"/>
    <n v="1254.0899999999999"/>
    <n v="1357.6"/>
    <m/>
  </r>
  <r>
    <x v="87"/>
    <x v="7"/>
    <n v="2024"/>
    <n v="11"/>
    <s v="Nov"/>
    <x v="4"/>
    <n v="10"/>
    <x v="1"/>
    <n v="417.05"/>
    <n v="760.37"/>
    <n v="214.44"/>
    <n v="168.65"/>
    <n v="1391.86"/>
    <n v="1560.51"/>
    <m/>
  </r>
  <r>
    <x v="87"/>
    <x v="7"/>
    <n v="2024"/>
    <n v="11"/>
    <s v="Nov"/>
    <x v="5"/>
    <n v="4"/>
    <x v="0"/>
    <n v="52.26"/>
    <n v="73.14"/>
    <n v="121.26"/>
    <n v="6.12"/>
    <n v="246.66"/>
    <n v="252.78"/>
    <m/>
  </r>
  <r>
    <x v="87"/>
    <x v="7"/>
    <n v="2024"/>
    <n v="11"/>
    <s v="Nov"/>
    <x v="6"/>
    <n v="22"/>
    <x v="1"/>
    <n v="590.41999999999996"/>
    <n v="728.8"/>
    <n v="969.39"/>
    <n v="607.97"/>
    <n v="2288.61"/>
    <n v="2896.58"/>
    <m/>
  </r>
  <r>
    <x v="87"/>
    <x v="7"/>
    <n v="2024"/>
    <n v="11"/>
    <s v="Nov"/>
    <x v="7"/>
    <n v="38"/>
    <x v="0"/>
    <n v="48.04"/>
    <n v="63.4"/>
    <n v="236.22"/>
    <n v="0.49"/>
    <n v="347.66"/>
    <n v="348.15"/>
    <m/>
  </r>
  <r>
    <x v="87"/>
    <x v="7"/>
    <n v="2024"/>
    <n v="11"/>
    <s v="Nov"/>
    <x v="8"/>
    <n v="7"/>
    <x v="0"/>
    <n v="1187.31"/>
    <n v="1432.1"/>
    <n v="3565.01"/>
    <n v="126.26"/>
    <n v="6184.42"/>
    <n v="6310.68"/>
    <m/>
  </r>
  <r>
    <x v="87"/>
    <x v="7"/>
    <n v="2024"/>
    <n v="11"/>
    <s v="Nov"/>
    <x v="9"/>
    <n v="30"/>
    <x v="1"/>
    <n v="163.13999999999999"/>
    <n v="207.59"/>
    <n v="185.6"/>
    <n v="4.1100000000000003"/>
    <n v="556.33000000000004"/>
    <n v="560.44000000000005"/>
    <m/>
  </r>
  <r>
    <x v="87"/>
    <x v="7"/>
    <n v="2024"/>
    <n v="11"/>
    <s v="Nov"/>
    <x v="10"/>
    <n v="24"/>
    <x v="1"/>
    <n v="3362.76"/>
    <n v="4101.3100000000004"/>
    <n v="3894.44"/>
    <n v="833.62"/>
    <n v="11358.51"/>
    <n v="12192.13"/>
    <m/>
  </r>
  <r>
    <x v="87"/>
    <x v="7"/>
    <n v="2024"/>
    <n v="11"/>
    <s v="Nov"/>
    <x v="11"/>
    <n v="6"/>
    <x v="1"/>
    <n v="1512.02"/>
    <n v="1995.5"/>
    <n v="5592.06"/>
    <n v="800.65"/>
    <n v="9099.58"/>
    <n v="9900.23"/>
    <m/>
  </r>
  <r>
    <x v="87"/>
    <x v="7"/>
    <n v="2024"/>
    <n v="11"/>
    <s v="Nov"/>
    <x v="12"/>
    <n v="2"/>
    <x v="1"/>
    <n v="166.47"/>
    <n v="244.83"/>
    <n v="463.05"/>
    <n v="3.17"/>
    <n v="874.35"/>
    <n v="877.52"/>
    <m/>
  </r>
  <r>
    <x v="87"/>
    <x v="7"/>
    <n v="2024"/>
    <n v="11"/>
    <s v="Nov"/>
    <x v="13"/>
    <n v="1"/>
    <x v="0"/>
    <n v="169.06"/>
    <n v="247.16"/>
    <n v="164.26"/>
    <n v="5.82"/>
    <n v="580.48"/>
    <n v="586.29999999999995"/>
    <m/>
  </r>
  <r>
    <x v="87"/>
    <x v="7"/>
    <n v="2024"/>
    <n v="11"/>
    <s v="Nov"/>
    <x v="14"/>
    <n v="20"/>
    <x v="1"/>
    <n v="547.04999999999995"/>
    <n v="701.59"/>
    <n v="1078.69"/>
    <n v="623.12"/>
    <n v="2327.33"/>
    <n v="2950.45"/>
    <m/>
  </r>
  <r>
    <x v="87"/>
    <x v="7"/>
    <n v="2024"/>
    <n v="11"/>
    <s v="Nov"/>
    <x v="15"/>
    <n v="29"/>
    <x v="1"/>
    <n v="2992.9"/>
    <n v="3692.27"/>
    <n v="5524.34"/>
    <n v="1512.66"/>
    <n v="12209.51"/>
    <n v="13722.17"/>
    <m/>
  </r>
  <r>
    <x v="87"/>
    <x v="7"/>
    <n v="2024"/>
    <n v="11"/>
    <s v="Nov"/>
    <x v="16"/>
    <n v="32"/>
    <x v="1"/>
    <n v="960.1"/>
    <n v="1213.76"/>
    <n v="583.45000000000005"/>
    <n v="5.98"/>
    <n v="2757.31"/>
    <n v="2763.29"/>
    <m/>
  </r>
  <r>
    <x v="87"/>
    <x v="7"/>
    <n v="2024"/>
    <n v="11"/>
    <s v="Nov"/>
    <x v="35"/>
    <n v="37"/>
    <x v="0"/>
    <n v="25.48"/>
    <n v="34.11"/>
    <n v="6.76"/>
    <n v="0.38"/>
    <n v="66.349999999999994"/>
    <n v="66.73"/>
    <m/>
  </r>
  <r>
    <x v="87"/>
    <x v="7"/>
    <n v="2024"/>
    <n v="11"/>
    <s v="Nov"/>
    <x v="17"/>
    <n v="31"/>
    <x v="0"/>
    <n v="2.3199999999999998"/>
    <n v="2.39"/>
    <n v="0.28999999999999998"/>
    <n v="0"/>
    <n v="5"/>
    <n v="5"/>
    <m/>
  </r>
  <r>
    <x v="87"/>
    <x v="7"/>
    <n v="2024"/>
    <n v="11"/>
    <s v="Nov"/>
    <x v="18"/>
    <n v="23"/>
    <x v="1"/>
    <n v="984.31"/>
    <n v="1222.1600000000001"/>
    <n v="916.51"/>
    <n v="688.97"/>
    <n v="3122.98"/>
    <n v="3811.95"/>
    <m/>
  </r>
  <r>
    <x v="87"/>
    <x v="7"/>
    <n v="2024"/>
    <n v="11"/>
    <s v="Nov"/>
    <x v="19"/>
    <n v="27"/>
    <x v="1"/>
    <n v="8313.7099999999991"/>
    <n v="9617.2999999999993"/>
    <n v="9602.31"/>
    <n v="2414.8200000000002"/>
    <n v="27533.32"/>
    <n v="29948.14"/>
    <m/>
  </r>
  <r>
    <x v="87"/>
    <x v="7"/>
    <n v="2024"/>
    <n v="11"/>
    <s v="Nov"/>
    <x v="20"/>
    <n v="14"/>
    <x v="1"/>
    <n v="13.3"/>
    <n v="17.64"/>
    <n v="7.24"/>
    <n v="0.04"/>
    <n v="38.18"/>
    <n v="38.22"/>
    <m/>
  </r>
  <r>
    <x v="87"/>
    <x v="7"/>
    <n v="2024"/>
    <n v="11"/>
    <s v="Nov"/>
    <x v="21"/>
    <n v="17"/>
    <x v="1"/>
    <n v="37.44"/>
    <n v="44.21"/>
    <n v="61.93"/>
    <n v="0.1"/>
    <n v="143.58000000000001"/>
    <n v="143.68"/>
    <m/>
  </r>
  <r>
    <x v="87"/>
    <x v="7"/>
    <n v="2024"/>
    <n v="11"/>
    <s v="Nov"/>
    <x v="22"/>
    <n v="15"/>
    <x v="1"/>
    <n v="13.64"/>
    <n v="18.489999999999998"/>
    <n v="5.73"/>
    <n v="0.02"/>
    <n v="37.86"/>
    <n v="37.880000000000003"/>
    <m/>
  </r>
  <r>
    <x v="87"/>
    <x v="7"/>
    <n v="2024"/>
    <n v="11"/>
    <s v="Nov"/>
    <x v="23"/>
    <n v="13"/>
    <x v="1"/>
    <n v="18.91"/>
    <n v="21.38"/>
    <n v="10.039999999999999"/>
    <n v="1.52"/>
    <n v="50.33"/>
    <n v="51.85"/>
    <m/>
  </r>
  <r>
    <x v="87"/>
    <x v="7"/>
    <n v="2024"/>
    <n v="11"/>
    <s v="Nov"/>
    <x v="24"/>
    <n v="21"/>
    <x v="1"/>
    <n v="1094.2"/>
    <n v="1345.42"/>
    <n v="1353.73"/>
    <n v="910.9"/>
    <n v="3793.35"/>
    <n v="4704.25"/>
    <m/>
  </r>
  <r>
    <x v="87"/>
    <x v="7"/>
    <n v="2024"/>
    <n v="11"/>
    <s v="Nov"/>
    <x v="25"/>
    <n v="34"/>
    <x v="0"/>
    <n v="29.45"/>
    <n v="46.53"/>
    <n v="152.65"/>
    <n v="0.44"/>
    <n v="228.63"/>
    <n v="229.07"/>
    <m/>
  </r>
  <r>
    <x v="87"/>
    <x v="7"/>
    <n v="2024"/>
    <n v="11"/>
    <s v="Nov"/>
    <x v="26"/>
    <n v="3"/>
    <x v="1"/>
    <n v="539.51"/>
    <n v="787.29"/>
    <n v="964.82"/>
    <n v="35.56"/>
    <n v="2291.62"/>
    <n v="2327.1799999999998"/>
    <m/>
  </r>
  <r>
    <x v="87"/>
    <x v="7"/>
    <n v="2024"/>
    <n v="11"/>
    <s v="Nov"/>
    <x v="27"/>
    <n v="8"/>
    <x v="1"/>
    <n v="1219.69"/>
    <n v="1599.86"/>
    <n v="1592.32"/>
    <n v="210.36"/>
    <n v="4411.87"/>
    <n v="4622.2299999999996"/>
    <m/>
  </r>
  <r>
    <x v="87"/>
    <x v="7"/>
    <n v="2024"/>
    <n v="11"/>
    <s v="Nov"/>
    <x v="28"/>
    <n v="11"/>
    <x v="1"/>
    <n v="37.51"/>
    <n v="47.22"/>
    <n v="270.70999999999998"/>
    <n v="7.0000000000000007E-2"/>
    <n v="355.44"/>
    <n v="355.51"/>
    <m/>
  </r>
  <r>
    <x v="87"/>
    <x v="7"/>
    <n v="2024"/>
    <n v="11"/>
    <s v="Nov"/>
    <x v="29"/>
    <n v="33"/>
    <x v="1"/>
    <n v="2941.23"/>
    <n v="3923.18"/>
    <n v="3462.05"/>
    <n v="769.35"/>
    <n v="10326.459999999999"/>
    <n v="11095.81"/>
    <m/>
  </r>
  <r>
    <x v="87"/>
    <x v="7"/>
    <n v="2024"/>
    <n v="11"/>
    <s v="Nov"/>
    <x v="30"/>
    <n v="36"/>
    <x v="1"/>
    <n v="1373.93"/>
    <n v="1769.45"/>
    <n v="1521.15"/>
    <n v="476.65"/>
    <n v="4664.53"/>
    <n v="5141.18"/>
    <m/>
  </r>
  <r>
    <x v="87"/>
    <x v="7"/>
    <n v="2024"/>
    <n v="11"/>
    <s v="Nov"/>
    <x v="31"/>
    <n v="16"/>
    <x v="1"/>
    <n v="30.43"/>
    <n v="40"/>
    <n v="27.87"/>
    <n v="0.03"/>
    <n v="98.3"/>
    <n v="98.33"/>
    <m/>
  </r>
  <r>
    <x v="87"/>
    <x v="7"/>
    <n v="2024"/>
    <n v="11"/>
    <s v="Nov"/>
    <x v="32"/>
    <n v="9"/>
    <x v="1"/>
    <n v="2072.73"/>
    <n v="2867.65"/>
    <n v="3056.22"/>
    <n v="1435.24"/>
    <n v="7996.6"/>
    <n v="9431.84"/>
    <m/>
  </r>
  <r>
    <x v="87"/>
    <x v="7"/>
    <n v="2024"/>
    <n v="11"/>
    <s v="Nov"/>
    <x v="33"/>
    <n v="5"/>
    <x v="1"/>
    <n v="337.15"/>
    <n v="521.66999999999996"/>
    <n v="951.34"/>
    <n v="13.44"/>
    <n v="1810.16"/>
    <n v="1823.6"/>
    <m/>
  </r>
  <r>
    <x v="87"/>
    <x v="7"/>
    <n v="2024"/>
    <n v="11"/>
    <s v="Nov"/>
    <x v="34"/>
    <n v="19"/>
    <x v="1"/>
    <n v="1568.77"/>
    <n v="1897.28"/>
    <n v="1378.52"/>
    <n v="361.19"/>
    <n v="4844.57"/>
    <n v="5205.76"/>
    <m/>
  </r>
  <r>
    <x v="88"/>
    <x v="7"/>
    <n v="2024"/>
    <n v="12"/>
    <s v="Dec"/>
    <x v="0"/>
    <n v="35"/>
    <x v="0"/>
    <n v="18"/>
    <n v="23.8"/>
    <n v="6.36"/>
    <n v="0.46"/>
    <n v="48.16"/>
    <n v="48.62"/>
    <m/>
  </r>
  <r>
    <x v="88"/>
    <x v="7"/>
    <n v="2024"/>
    <n v="12"/>
    <s v="Dec"/>
    <x v="1"/>
    <n v="28"/>
    <x v="1"/>
    <n v="849.12"/>
    <n v="1076"/>
    <n v="1181.9000000000001"/>
    <n v="208.04"/>
    <n v="3107.02"/>
    <n v="3315.06"/>
    <m/>
  </r>
  <r>
    <x v="88"/>
    <x v="7"/>
    <n v="2024"/>
    <n v="12"/>
    <s v="Dec"/>
    <x v="2"/>
    <n v="12"/>
    <x v="1"/>
    <n v="25.91"/>
    <n v="31.83"/>
    <n v="12.46"/>
    <n v="0.22"/>
    <n v="70.2"/>
    <n v="70.42"/>
    <m/>
  </r>
  <r>
    <x v="88"/>
    <x v="7"/>
    <n v="2024"/>
    <n v="12"/>
    <s v="Dec"/>
    <x v="3"/>
    <n v="18"/>
    <x v="1"/>
    <n v="396.2"/>
    <n v="505.45"/>
    <n v="377.11"/>
    <n v="94.87"/>
    <n v="1278.76"/>
    <n v="1373.63"/>
    <m/>
  </r>
  <r>
    <x v="88"/>
    <x v="7"/>
    <n v="2024"/>
    <n v="12"/>
    <s v="Dec"/>
    <x v="4"/>
    <n v="10"/>
    <x v="1"/>
    <n v="407.54"/>
    <n v="768.34"/>
    <n v="193.66"/>
    <n v="151.43"/>
    <n v="1369.54"/>
    <n v="1520.97"/>
    <m/>
  </r>
  <r>
    <x v="88"/>
    <x v="7"/>
    <n v="2024"/>
    <n v="12"/>
    <s v="Dec"/>
    <x v="5"/>
    <n v="4"/>
    <x v="0"/>
    <n v="49.32"/>
    <n v="65.599999999999994"/>
    <n v="103.17"/>
    <n v="6.06"/>
    <n v="218.09"/>
    <n v="224.15"/>
    <m/>
  </r>
  <r>
    <x v="88"/>
    <x v="7"/>
    <n v="2024"/>
    <n v="12"/>
    <s v="Dec"/>
    <x v="6"/>
    <n v="22"/>
    <x v="1"/>
    <n v="580.11"/>
    <n v="696.58"/>
    <n v="1029.3800000000001"/>
    <n v="575.98"/>
    <n v="2306.0700000000002"/>
    <n v="2882.05"/>
    <m/>
  </r>
  <r>
    <x v="88"/>
    <x v="7"/>
    <n v="2024"/>
    <n v="12"/>
    <s v="Dec"/>
    <x v="7"/>
    <n v="38"/>
    <x v="0"/>
    <n v="45.51"/>
    <n v="55.35"/>
    <n v="229.98"/>
    <n v="1.5"/>
    <n v="330.84"/>
    <n v="332.34"/>
    <m/>
  </r>
  <r>
    <x v="88"/>
    <x v="7"/>
    <n v="2024"/>
    <n v="12"/>
    <s v="Dec"/>
    <x v="8"/>
    <n v="7"/>
    <x v="0"/>
    <n v="1158.23"/>
    <n v="1352.77"/>
    <n v="2989.91"/>
    <n v="92.36"/>
    <n v="5500.91"/>
    <n v="5593.27"/>
    <m/>
  </r>
  <r>
    <x v="88"/>
    <x v="7"/>
    <n v="2024"/>
    <n v="12"/>
    <s v="Dec"/>
    <x v="9"/>
    <n v="30"/>
    <x v="1"/>
    <n v="177.55"/>
    <n v="219.41"/>
    <n v="178.07"/>
    <n v="3.28"/>
    <n v="575.03"/>
    <n v="578.30999999999995"/>
    <m/>
  </r>
  <r>
    <x v="88"/>
    <x v="7"/>
    <n v="2024"/>
    <n v="12"/>
    <s v="Dec"/>
    <x v="10"/>
    <n v="24"/>
    <x v="1"/>
    <n v="2785.75"/>
    <n v="3328.49"/>
    <n v="3501.67"/>
    <n v="663.45"/>
    <n v="9615.91"/>
    <n v="10279.36"/>
    <m/>
  </r>
  <r>
    <x v="88"/>
    <x v="7"/>
    <n v="2024"/>
    <n v="12"/>
    <s v="Dec"/>
    <x v="11"/>
    <n v="6"/>
    <x v="1"/>
    <n v="1469.32"/>
    <n v="1810.99"/>
    <n v="6495.48"/>
    <n v="627.6"/>
    <n v="9775.7900000000009"/>
    <n v="10403.39"/>
    <m/>
  </r>
  <r>
    <x v="88"/>
    <x v="7"/>
    <n v="2024"/>
    <n v="12"/>
    <s v="Dec"/>
    <x v="12"/>
    <n v="2"/>
    <x v="1"/>
    <n v="145.33000000000001"/>
    <n v="200.51"/>
    <n v="468"/>
    <n v="1.78"/>
    <n v="813.84"/>
    <n v="815.62"/>
    <m/>
  </r>
  <r>
    <x v="88"/>
    <x v="7"/>
    <n v="2024"/>
    <n v="12"/>
    <s v="Dec"/>
    <x v="13"/>
    <n v="1"/>
    <x v="0"/>
    <n v="153.41999999999999"/>
    <n v="221.49"/>
    <n v="167.62"/>
    <n v="4.3099999999999996"/>
    <n v="542.53"/>
    <n v="546.84"/>
    <m/>
  </r>
  <r>
    <x v="88"/>
    <x v="7"/>
    <n v="2024"/>
    <n v="12"/>
    <s v="Dec"/>
    <x v="14"/>
    <n v="20"/>
    <x v="1"/>
    <n v="548.53"/>
    <n v="704.9"/>
    <n v="1074.6300000000001"/>
    <n v="653.36"/>
    <n v="2328.06"/>
    <n v="2981.42"/>
    <m/>
  </r>
  <r>
    <x v="88"/>
    <x v="7"/>
    <n v="2024"/>
    <n v="12"/>
    <s v="Dec"/>
    <x v="15"/>
    <n v="29"/>
    <x v="1"/>
    <n v="2947.4"/>
    <n v="3651.44"/>
    <n v="4551.2299999999996"/>
    <n v="1376.17"/>
    <n v="11150.07"/>
    <n v="12526.24"/>
    <m/>
  </r>
  <r>
    <x v="88"/>
    <x v="7"/>
    <n v="2024"/>
    <n v="12"/>
    <s v="Dec"/>
    <x v="16"/>
    <n v="32"/>
    <x v="1"/>
    <n v="928.58"/>
    <n v="1183.93"/>
    <n v="455.94"/>
    <n v="6.6"/>
    <n v="2568.4499999999998"/>
    <n v="2575.0500000000002"/>
    <m/>
  </r>
  <r>
    <x v="88"/>
    <x v="7"/>
    <n v="2024"/>
    <n v="12"/>
    <s v="Dec"/>
    <x v="35"/>
    <n v="37"/>
    <x v="0"/>
    <n v="25.66"/>
    <n v="32.85"/>
    <n v="6.16"/>
    <n v="0.21"/>
    <n v="64.67"/>
    <n v="64.88"/>
    <m/>
  </r>
  <r>
    <x v="88"/>
    <x v="7"/>
    <n v="2024"/>
    <n v="12"/>
    <s v="Dec"/>
    <x v="17"/>
    <n v="31"/>
    <x v="0"/>
    <n v="0.3"/>
    <n v="0.35"/>
    <n v="1.0900000000000001"/>
    <n v="0"/>
    <n v="1.74"/>
    <n v="1.74"/>
    <m/>
  </r>
  <r>
    <x v="88"/>
    <x v="7"/>
    <n v="2024"/>
    <n v="12"/>
    <s v="Dec"/>
    <x v="18"/>
    <n v="23"/>
    <x v="1"/>
    <n v="858.78"/>
    <n v="1064.53"/>
    <n v="843.67"/>
    <n v="693.2"/>
    <n v="2766.98"/>
    <n v="3460.18"/>
    <m/>
  </r>
  <r>
    <x v="88"/>
    <x v="7"/>
    <n v="2024"/>
    <n v="12"/>
    <s v="Dec"/>
    <x v="19"/>
    <n v="27"/>
    <x v="1"/>
    <n v="8342.31"/>
    <n v="9465.08"/>
    <n v="9386.69"/>
    <n v="2066.34"/>
    <n v="27194.080000000002"/>
    <n v="29260.42"/>
    <m/>
  </r>
  <r>
    <x v="88"/>
    <x v="7"/>
    <n v="2024"/>
    <n v="12"/>
    <s v="Dec"/>
    <x v="20"/>
    <n v="14"/>
    <x v="1"/>
    <n v="14.9"/>
    <n v="21.28"/>
    <n v="9.5500000000000007"/>
    <n v="0.12"/>
    <n v="45.73"/>
    <n v="45.85"/>
    <m/>
  </r>
  <r>
    <x v="88"/>
    <x v="7"/>
    <n v="2024"/>
    <n v="12"/>
    <s v="Dec"/>
    <x v="21"/>
    <n v="17"/>
    <x v="1"/>
    <n v="30.47"/>
    <n v="36.630000000000003"/>
    <n v="79.14"/>
    <n v="3.98"/>
    <n v="146.24"/>
    <n v="150.22"/>
    <m/>
  </r>
  <r>
    <x v="88"/>
    <x v="7"/>
    <n v="2024"/>
    <n v="12"/>
    <s v="Dec"/>
    <x v="22"/>
    <n v="15"/>
    <x v="1"/>
    <n v="10.95"/>
    <n v="13.55"/>
    <n v="3.74"/>
    <n v="0.03"/>
    <n v="28.24"/>
    <n v="28.27"/>
    <m/>
  </r>
  <r>
    <x v="88"/>
    <x v="7"/>
    <n v="2024"/>
    <n v="12"/>
    <s v="Dec"/>
    <x v="23"/>
    <n v="13"/>
    <x v="1"/>
    <n v="17.36"/>
    <n v="21.51"/>
    <n v="9.5500000000000007"/>
    <n v="2.42"/>
    <n v="48.42"/>
    <n v="50.84"/>
    <m/>
  </r>
  <r>
    <x v="88"/>
    <x v="7"/>
    <n v="2024"/>
    <n v="12"/>
    <s v="Dec"/>
    <x v="24"/>
    <n v="21"/>
    <x v="1"/>
    <n v="1136.3800000000001"/>
    <n v="1354.02"/>
    <n v="1488.43"/>
    <n v="862.44"/>
    <n v="3978.83"/>
    <n v="4841.2700000000004"/>
    <m/>
  </r>
  <r>
    <x v="88"/>
    <x v="7"/>
    <n v="2024"/>
    <n v="12"/>
    <s v="Dec"/>
    <x v="25"/>
    <n v="34"/>
    <x v="0"/>
    <n v="29.54"/>
    <n v="44.22"/>
    <n v="151.72"/>
    <n v="2.4900000000000002"/>
    <n v="225.48"/>
    <n v="227.97"/>
    <m/>
  </r>
  <r>
    <x v="88"/>
    <x v="7"/>
    <n v="2024"/>
    <n v="12"/>
    <s v="Dec"/>
    <x v="26"/>
    <n v="3"/>
    <x v="1"/>
    <n v="537.38"/>
    <n v="728.01"/>
    <n v="1001.9"/>
    <n v="26.32"/>
    <n v="2267.29"/>
    <n v="2293.61"/>
    <m/>
  </r>
  <r>
    <x v="88"/>
    <x v="7"/>
    <n v="2024"/>
    <n v="12"/>
    <s v="Dec"/>
    <x v="27"/>
    <n v="8"/>
    <x v="1"/>
    <n v="1134.0999999999999"/>
    <n v="1419.19"/>
    <n v="1418.32"/>
    <n v="174.87"/>
    <n v="3971.61"/>
    <n v="4146.4799999999996"/>
    <m/>
  </r>
  <r>
    <x v="88"/>
    <x v="7"/>
    <n v="2024"/>
    <n v="12"/>
    <s v="Dec"/>
    <x v="28"/>
    <n v="11"/>
    <x v="1"/>
    <n v="29.21"/>
    <n v="37.79"/>
    <n v="262.37"/>
    <n v="0.12"/>
    <n v="329.37"/>
    <n v="329.49"/>
    <m/>
  </r>
  <r>
    <x v="88"/>
    <x v="7"/>
    <n v="2024"/>
    <n v="12"/>
    <s v="Dec"/>
    <x v="29"/>
    <n v="33"/>
    <x v="1"/>
    <n v="2797.99"/>
    <n v="3707.16"/>
    <n v="3653.33"/>
    <n v="797.52"/>
    <n v="10158.48"/>
    <n v="10956"/>
    <m/>
  </r>
  <r>
    <x v="88"/>
    <x v="7"/>
    <n v="2024"/>
    <n v="12"/>
    <s v="Dec"/>
    <x v="30"/>
    <n v="36"/>
    <x v="1"/>
    <n v="1442.23"/>
    <n v="1816.51"/>
    <n v="1422.47"/>
    <n v="542.41999999999996"/>
    <n v="4681.21"/>
    <n v="5223.63"/>
    <m/>
  </r>
  <r>
    <x v="88"/>
    <x v="7"/>
    <n v="2024"/>
    <n v="12"/>
    <s v="Dec"/>
    <x v="31"/>
    <n v="16"/>
    <x v="1"/>
    <n v="32.479999999999997"/>
    <n v="39.840000000000003"/>
    <n v="10.63"/>
    <n v="0.11"/>
    <n v="82.95"/>
    <n v="83.06"/>
    <m/>
  </r>
  <r>
    <x v="88"/>
    <x v="7"/>
    <n v="2024"/>
    <n v="12"/>
    <s v="Dec"/>
    <x v="32"/>
    <n v="9"/>
    <x v="1"/>
    <n v="1881.8"/>
    <n v="2535.19"/>
    <n v="2340.5"/>
    <n v="1359.5"/>
    <n v="6757.49"/>
    <n v="8116.99"/>
    <m/>
  </r>
  <r>
    <x v="88"/>
    <x v="7"/>
    <n v="2024"/>
    <n v="12"/>
    <s v="Dec"/>
    <x v="33"/>
    <n v="5"/>
    <x v="1"/>
    <n v="295.68"/>
    <n v="439.24"/>
    <n v="803.69"/>
    <n v="8.7799999999999994"/>
    <n v="1538.61"/>
    <n v="1547.39"/>
    <m/>
  </r>
  <r>
    <x v="88"/>
    <x v="7"/>
    <n v="2024"/>
    <n v="12"/>
    <s v="Dec"/>
    <x v="34"/>
    <n v="19"/>
    <x v="1"/>
    <n v="1518.15"/>
    <n v="1809.4"/>
    <n v="1399.52"/>
    <n v="462.46"/>
    <n v="4727.07"/>
    <n v="5189.53"/>
    <m/>
  </r>
  <r>
    <x v="89"/>
    <x v="7"/>
    <n v="2025"/>
    <n v="1"/>
    <s v="Jan"/>
    <x v="0"/>
    <n v="35"/>
    <x v="0"/>
    <n v="17.72"/>
    <n v="21.57"/>
    <n v="4.13"/>
    <n v="0.06"/>
    <n v="43.42"/>
    <n v="43.48"/>
    <m/>
  </r>
  <r>
    <x v="89"/>
    <x v="7"/>
    <n v="2025"/>
    <n v="1"/>
    <s v="Jan"/>
    <x v="1"/>
    <n v="28"/>
    <x v="1"/>
    <n v="919.18"/>
    <n v="1184.57"/>
    <n v="1378.31"/>
    <n v="121.45"/>
    <n v="3482.06"/>
    <n v="3603.51"/>
    <m/>
  </r>
  <r>
    <x v="89"/>
    <x v="7"/>
    <n v="2025"/>
    <n v="1"/>
    <s v="Jan"/>
    <x v="2"/>
    <n v="12"/>
    <x v="1"/>
    <n v="34.53"/>
    <n v="41.2"/>
    <n v="12.84"/>
    <n v="0.17"/>
    <n v="88.57"/>
    <n v="88.74"/>
    <m/>
  </r>
  <r>
    <x v="89"/>
    <x v="7"/>
    <n v="2025"/>
    <n v="1"/>
    <s v="Jan"/>
    <x v="3"/>
    <n v="18"/>
    <x v="1"/>
    <n v="424.57"/>
    <n v="562.75"/>
    <n v="372.59"/>
    <n v="106.11"/>
    <n v="1359.91"/>
    <n v="1466.02"/>
    <m/>
  </r>
  <r>
    <x v="89"/>
    <x v="7"/>
    <n v="2025"/>
    <n v="1"/>
    <s v="Jan"/>
    <x v="4"/>
    <n v="10"/>
    <x v="1"/>
    <n v="422.33"/>
    <n v="866.25"/>
    <n v="229.57"/>
    <n v="166.21"/>
    <n v="1518.15"/>
    <n v="1684.36"/>
    <m/>
  </r>
  <r>
    <x v="89"/>
    <x v="7"/>
    <n v="2025"/>
    <n v="1"/>
    <s v="Jan"/>
    <x v="5"/>
    <n v="4"/>
    <x v="0"/>
    <n v="58"/>
    <n v="81.86"/>
    <n v="122.62"/>
    <n v="8.56"/>
    <n v="262.48"/>
    <n v="271.04000000000002"/>
    <m/>
  </r>
  <r>
    <x v="89"/>
    <x v="7"/>
    <n v="2025"/>
    <n v="1"/>
    <s v="Jan"/>
    <x v="6"/>
    <n v="22"/>
    <x v="1"/>
    <n v="638.09"/>
    <n v="767.2"/>
    <n v="1022.82"/>
    <n v="681.2"/>
    <n v="2428.11"/>
    <n v="3109.31"/>
    <m/>
  </r>
  <r>
    <x v="89"/>
    <x v="7"/>
    <n v="2025"/>
    <n v="1"/>
    <s v="Jan"/>
    <x v="7"/>
    <n v="38"/>
    <x v="0"/>
    <n v="50.57"/>
    <n v="61.13"/>
    <n v="296.56"/>
    <n v="0.25"/>
    <n v="408.26"/>
    <n v="408.51"/>
    <m/>
  </r>
  <r>
    <x v="89"/>
    <x v="7"/>
    <n v="2025"/>
    <n v="1"/>
    <s v="Jan"/>
    <x v="8"/>
    <n v="7"/>
    <x v="0"/>
    <n v="1299.71"/>
    <n v="1592.39"/>
    <n v="3204.09"/>
    <n v="119.59"/>
    <n v="6096.19"/>
    <n v="6215.78"/>
    <m/>
  </r>
  <r>
    <x v="89"/>
    <x v="7"/>
    <n v="2025"/>
    <n v="1"/>
    <s v="Jan"/>
    <x v="9"/>
    <n v="30"/>
    <x v="1"/>
    <n v="214.98"/>
    <n v="275.19"/>
    <n v="199.54"/>
    <n v="5.1100000000000003"/>
    <n v="689.71"/>
    <n v="694.82"/>
    <m/>
  </r>
  <r>
    <x v="89"/>
    <x v="7"/>
    <n v="2025"/>
    <n v="1"/>
    <s v="Jan"/>
    <x v="10"/>
    <n v="24"/>
    <x v="1"/>
    <n v="3369.03"/>
    <n v="4025.16"/>
    <n v="3918.66"/>
    <n v="822.25"/>
    <n v="11312.85"/>
    <n v="12135.1"/>
    <m/>
  </r>
  <r>
    <x v="89"/>
    <x v="7"/>
    <n v="2025"/>
    <n v="1"/>
    <s v="Jan"/>
    <x v="11"/>
    <n v="6"/>
    <x v="1"/>
    <n v="1596.53"/>
    <n v="2074.4699999999998"/>
    <n v="5899.77"/>
    <n v="713.05"/>
    <n v="9570.77"/>
    <n v="10283.82"/>
    <m/>
  </r>
  <r>
    <x v="89"/>
    <x v="7"/>
    <n v="2025"/>
    <n v="1"/>
    <s v="Jan"/>
    <x v="12"/>
    <n v="2"/>
    <x v="1"/>
    <n v="162.25"/>
    <n v="225.02"/>
    <n v="426.92"/>
    <n v="2.4700000000000002"/>
    <n v="814.19"/>
    <n v="816.66"/>
    <m/>
  </r>
  <r>
    <x v="89"/>
    <x v="7"/>
    <n v="2025"/>
    <n v="1"/>
    <s v="Jan"/>
    <x v="13"/>
    <n v="1"/>
    <x v="0"/>
    <n v="199.36"/>
    <n v="290.75"/>
    <n v="153.1"/>
    <n v="6.63"/>
    <n v="643.21"/>
    <n v="649.84"/>
    <m/>
  </r>
  <r>
    <x v="89"/>
    <x v="7"/>
    <n v="2025"/>
    <n v="1"/>
    <s v="Jan"/>
    <x v="14"/>
    <n v="20"/>
    <x v="1"/>
    <n v="590.87"/>
    <n v="752.58"/>
    <n v="1287.3499999999999"/>
    <n v="696.43"/>
    <n v="2630.8"/>
    <n v="3327.23"/>
    <m/>
  </r>
  <r>
    <x v="89"/>
    <x v="7"/>
    <n v="2025"/>
    <n v="1"/>
    <s v="Jan"/>
    <x v="15"/>
    <n v="29"/>
    <x v="1"/>
    <n v="3328.73"/>
    <n v="4063.13"/>
    <n v="5521.01"/>
    <n v="1439.7"/>
    <n v="12912.87"/>
    <n v="14352.57"/>
    <m/>
  </r>
  <r>
    <x v="89"/>
    <x v="7"/>
    <n v="2025"/>
    <n v="1"/>
    <s v="Jan"/>
    <x v="16"/>
    <n v="32"/>
    <x v="1"/>
    <n v="1066.8499999999999"/>
    <n v="1380.49"/>
    <n v="522.98"/>
    <n v="18.420000000000002"/>
    <n v="2970.32"/>
    <n v="2988.74"/>
    <m/>
  </r>
  <r>
    <x v="89"/>
    <x v="7"/>
    <n v="2025"/>
    <n v="1"/>
    <s v="Jan"/>
    <x v="35"/>
    <n v="37"/>
    <x v="0"/>
    <n v="25.3"/>
    <n v="35.15"/>
    <n v="7.63"/>
    <n v="0.18"/>
    <n v="68.08"/>
    <n v="68.260000000000005"/>
    <m/>
  </r>
  <r>
    <x v="89"/>
    <x v="7"/>
    <n v="2025"/>
    <n v="1"/>
    <s v="Jan"/>
    <x v="17"/>
    <n v="31"/>
    <x v="0"/>
    <n v="0.47"/>
    <n v="0.62"/>
    <n v="0.26"/>
    <n v="0"/>
    <n v="1.35"/>
    <n v="1.35"/>
    <m/>
  </r>
  <r>
    <x v="89"/>
    <x v="7"/>
    <n v="2025"/>
    <n v="1"/>
    <s v="Jan"/>
    <x v="18"/>
    <n v="23"/>
    <x v="1"/>
    <n v="982.19"/>
    <n v="1220.06"/>
    <n v="1020.6"/>
    <n v="687.83"/>
    <n v="3222.85"/>
    <n v="3910.68"/>
    <m/>
  </r>
  <r>
    <x v="89"/>
    <x v="7"/>
    <n v="2025"/>
    <n v="1"/>
    <s v="Jan"/>
    <x v="19"/>
    <n v="27"/>
    <x v="1"/>
    <n v="8584.7800000000007"/>
    <n v="9755.4699999999993"/>
    <n v="11639.01"/>
    <n v="2356.1"/>
    <n v="29979.26"/>
    <n v="32335.360000000001"/>
    <m/>
  </r>
  <r>
    <x v="89"/>
    <x v="7"/>
    <n v="2025"/>
    <n v="1"/>
    <s v="Jan"/>
    <x v="20"/>
    <n v="14"/>
    <x v="1"/>
    <n v="18.54"/>
    <n v="25.46"/>
    <n v="11.44"/>
    <n v="0.14000000000000001"/>
    <n v="55.44"/>
    <n v="55.58"/>
    <m/>
  </r>
  <r>
    <x v="89"/>
    <x v="7"/>
    <n v="2025"/>
    <n v="1"/>
    <s v="Jan"/>
    <x v="21"/>
    <n v="17"/>
    <x v="1"/>
    <n v="48.59"/>
    <n v="62.87"/>
    <n v="103.09"/>
    <n v="1.56"/>
    <n v="214.55"/>
    <n v="216.11"/>
    <m/>
  </r>
  <r>
    <x v="89"/>
    <x v="7"/>
    <n v="2025"/>
    <n v="1"/>
    <s v="Jan"/>
    <x v="22"/>
    <n v="15"/>
    <x v="1"/>
    <n v="12.22"/>
    <n v="16.54"/>
    <n v="5.86"/>
    <n v="0.03"/>
    <n v="34.619999999999997"/>
    <n v="34.65"/>
    <m/>
  </r>
  <r>
    <x v="89"/>
    <x v="7"/>
    <n v="2025"/>
    <n v="1"/>
    <s v="Jan"/>
    <x v="23"/>
    <n v="13"/>
    <x v="1"/>
    <n v="22.52"/>
    <n v="27.58"/>
    <n v="12.37"/>
    <n v="2.15"/>
    <n v="62.47"/>
    <n v="64.62"/>
    <m/>
  </r>
  <r>
    <x v="89"/>
    <x v="7"/>
    <n v="2025"/>
    <n v="1"/>
    <s v="Jan"/>
    <x v="24"/>
    <n v="21"/>
    <x v="1"/>
    <n v="1206.24"/>
    <n v="1478.56"/>
    <n v="1687.73"/>
    <n v="948.66"/>
    <n v="4372.53"/>
    <n v="5321.19"/>
    <m/>
  </r>
  <r>
    <x v="89"/>
    <x v="7"/>
    <n v="2025"/>
    <n v="1"/>
    <s v="Jan"/>
    <x v="25"/>
    <n v="34"/>
    <x v="0"/>
    <n v="31.02"/>
    <n v="51.8"/>
    <n v="156.56"/>
    <n v="2.4700000000000002"/>
    <n v="239.38"/>
    <n v="241.85"/>
    <m/>
  </r>
  <r>
    <x v="89"/>
    <x v="7"/>
    <n v="2025"/>
    <n v="1"/>
    <s v="Jan"/>
    <x v="26"/>
    <n v="3"/>
    <x v="1"/>
    <n v="592.86"/>
    <n v="820.49"/>
    <n v="914.75"/>
    <n v="34.549999999999997"/>
    <n v="2328.1"/>
    <n v="2362.65"/>
    <m/>
  </r>
  <r>
    <x v="89"/>
    <x v="7"/>
    <n v="2025"/>
    <n v="1"/>
    <s v="Jan"/>
    <x v="27"/>
    <n v="8"/>
    <x v="1"/>
    <n v="1313.28"/>
    <n v="1631.59"/>
    <n v="1777.7"/>
    <n v="195.02"/>
    <n v="4722.57"/>
    <n v="4917.59"/>
    <m/>
  </r>
  <r>
    <x v="89"/>
    <x v="7"/>
    <n v="2025"/>
    <n v="1"/>
    <s v="Jan"/>
    <x v="28"/>
    <n v="11"/>
    <x v="1"/>
    <n v="27.16"/>
    <n v="36.58"/>
    <n v="292.89"/>
    <n v="0.13"/>
    <n v="356.63"/>
    <n v="356.76"/>
    <m/>
  </r>
  <r>
    <x v="89"/>
    <x v="7"/>
    <n v="2025"/>
    <n v="1"/>
    <s v="Jan"/>
    <x v="29"/>
    <n v="33"/>
    <x v="1"/>
    <n v="2873.93"/>
    <n v="3832.43"/>
    <n v="4018.62"/>
    <n v="771.31"/>
    <n v="10724.98"/>
    <n v="11496.29"/>
    <m/>
  </r>
  <r>
    <x v="89"/>
    <x v="7"/>
    <n v="2025"/>
    <n v="1"/>
    <s v="Jan"/>
    <x v="30"/>
    <n v="36"/>
    <x v="1"/>
    <n v="1613.75"/>
    <n v="2047.4"/>
    <n v="1754.28"/>
    <n v="601.35"/>
    <n v="5415.43"/>
    <n v="6016.78"/>
    <m/>
  </r>
  <r>
    <x v="89"/>
    <x v="7"/>
    <n v="2025"/>
    <n v="1"/>
    <s v="Jan"/>
    <x v="31"/>
    <n v="16"/>
    <x v="1"/>
    <n v="38.090000000000003"/>
    <n v="50.51"/>
    <n v="11.8"/>
    <n v="0.48"/>
    <n v="100.4"/>
    <n v="100.88"/>
    <m/>
  </r>
  <r>
    <x v="89"/>
    <x v="7"/>
    <n v="2025"/>
    <n v="1"/>
    <s v="Jan"/>
    <x v="32"/>
    <n v="9"/>
    <x v="1"/>
    <n v="2221.64"/>
    <n v="2995.11"/>
    <n v="2792.88"/>
    <n v="1505.94"/>
    <n v="8009.63"/>
    <n v="9515.57"/>
    <m/>
  </r>
  <r>
    <x v="89"/>
    <x v="7"/>
    <n v="2025"/>
    <n v="1"/>
    <s v="Jan"/>
    <x v="33"/>
    <n v="5"/>
    <x v="1"/>
    <n v="343.2"/>
    <n v="493.63"/>
    <n v="807.55"/>
    <n v="10.210000000000001"/>
    <n v="1644.38"/>
    <n v="1654.59"/>
    <m/>
  </r>
  <r>
    <x v="89"/>
    <x v="7"/>
    <n v="2025"/>
    <n v="1"/>
    <s v="Jan"/>
    <x v="34"/>
    <n v="19"/>
    <x v="1"/>
    <n v="1709.45"/>
    <n v="2074.13"/>
    <n v="1591.92"/>
    <n v="457.15"/>
    <n v="5375.5"/>
    <n v="5832.65"/>
    <m/>
  </r>
  <r>
    <x v="90"/>
    <x v="7"/>
    <n v="2025"/>
    <n v="2"/>
    <s v="Feb"/>
    <x v="0"/>
    <n v="35"/>
    <x v="0"/>
    <n v="18.420000000000002"/>
    <n v="22.74"/>
    <n v="10.3"/>
    <n v="0.23"/>
    <n v="51.46"/>
    <n v="51.69"/>
    <m/>
  </r>
  <r>
    <x v="90"/>
    <x v="7"/>
    <n v="2025"/>
    <n v="2"/>
    <s v="Feb"/>
    <x v="1"/>
    <n v="28"/>
    <x v="1"/>
    <n v="967.45"/>
    <n v="1214.8599999999999"/>
    <n v="1387.05"/>
    <n v="247.39"/>
    <n v="3569.36"/>
    <n v="3816.75"/>
    <m/>
  </r>
  <r>
    <x v="90"/>
    <x v="7"/>
    <n v="2025"/>
    <n v="2"/>
    <s v="Feb"/>
    <x v="2"/>
    <n v="12"/>
    <x v="1"/>
    <n v="39.28"/>
    <n v="49.39"/>
    <n v="12.78"/>
    <n v="0.67"/>
    <n v="101.45"/>
    <n v="102.12"/>
    <m/>
  </r>
  <r>
    <x v="90"/>
    <x v="7"/>
    <n v="2025"/>
    <n v="2"/>
    <s v="Feb"/>
    <x v="3"/>
    <n v="18"/>
    <x v="1"/>
    <n v="432.61"/>
    <n v="564.63"/>
    <n v="334.02"/>
    <n v="119.68"/>
    <n v="1331.26"/>
    <n v="1450.94"/>
    <m/>
  </r>
  <r>
    <x v="90"/>
    <x v="7"/>
    <n v="2025"/>
    <n v="2"/>
    <s v="Feb"/>
    <x v="4"/>
    <n v="10"/>
    <x v="1"/>
    <n v="398.73"/>
    <n v="802.67"/>
    <n v="256.37"/>
    <n v="186.55"/>
    <n v="1457.77"/>
    <n v="1644.32"/>
    <m/>
  </r>
  <r>
    <x v="90"/>
    <x v="7"/>
    <n v="2025"/>
    <n v="2"/>
    <s v="Feb"/>
    <x v="5"/>
    <n v="4"/>
    <x v="0"/>
    <n v="47.59"/>
    <n v="60.66"/>
    <n v="122.2"/>
    <n v="5.25"/>
    <n v="230.45"/>
    <n v="235.7"/>
    <m/>
  </r>
  <r>
    <x v="90"/>
    <x v="7"/>
    <n v="2025"/>
    <n v="2"/>
    <s v="Feb"/>
    <x v="6"/>
    <n v="22"/>
    <x v="1"/>
    <n v="715.94"/>
    <n v="884.35"/>
    <n v="1054.26"/>
    <n v="696.81"/>
    <n v="2654.55"/>
    <n v="3351.36"/>
    <m/>
  </r>
  <r>
    <x v="90"/>
    <x v="7"/>
    <n v="2025"/>
    <n v="2"/>
    <s v="Feb"/>
    <x v="7"/>
    <n v="38"/>
    <x v="0"/>
    <n v="47.5"/>
    <n v="63.48"/>
    <n v="274.56"/>
    <n v="0.08"/>
    <n v="385.54"/>
    <n v="385.62"/>
    <m/>
  </r>
  <r>
    <x v="90"/>
    <x v="7"/>
    <n v="2025"/>
    <n v="2"/>
    <s v="Feb"/>
    <x v="8"/>
    <n v="7"/>
    <x v="0"/>
    <n v="1233.81"/>
    <n v="1454.51"/>
    <n v="3285.79"/>
    <n v="100.19"/>
    <n v="5974.11"/>
    <n v="6074.3"/>
    <m/>
  </r>
  <r>
    <x v="90"/>
    <x v="7"/>
    <n v="2025"/>
    <n v="2"/>
    <s v="Feb"/>
    <x v="9"/>
    <n v="30"/>
    <x v="1"/>
    <n v="184.79"/>
    <n v="227.54"/>
    <n v="183.9"/>
    <n v="4.3099999999999996"/>
    <n v="596.23"/>
    <n v="600.54"/>
    <m/>
  </r>
  <r>
    <x v="90"/>
    <x v="7"/>
    <n v="2025"/>
    <n v="2"/>
    <s v="Feb"/>
    <x v="10"/>
    <n v="24"/>
    <x v="1"/>
    <n v="3334.34"/>
    <n v="3941"/>
    <n v="3400.91"/>
    <n v="725.37"/>
    <n v="10676.25"/>
    <n v="11401.62"/>
    <m/>
  </r>
  <r>
    <x v="90"/>
    <x v="7"/>
    <n v="2025"/>
    <n v="2"/>
    <s v="Feb"/>
    <x v="11"/>
    <n v="6"/>
    <x v="1"/>
    <n v="1508.54"/>
    <n v="1921.14"/>
    <n v="5833.46"/>
    <n v="662.1"/>
    <n v="9263.14"/>
    <n v="9925.24"/>
    <m/>
  </r>
  <r>
    <x v="90"/>
    <x v="7"/>
    <n v="2025"/>
    <n v="2"/>
    <s v="Feb"/>
    <x v="12"/>
    <n v="2"/>
    <x v="1"/>
    <n v="156.69999999999999"/>
    <n v="217.23"/>
    <n v="490.77"/>
    <n v="4.1100000000000003"/>
    <n v="864.7"/>
    <n v="868.81"/>
    <m/>
  </r>
  <r>
    <x v="90"/>
    <x v="7"/>
    <n v="2025"/>
    <n v="2"/>
    <s v="Feb"/>
    <x v="13"/>
    <n v="1"/>
    <x v="0"/>
    <n v="143.47999999999999"/>
    <n v="209.81"/>
    <n v="161.94999999999999"/>
    <n v="7.29"/>
    <n v="515.24"/>
    <n v="522.53"/>
    <m/>
  </r>
  <r>
    <x v="90"/>
    <x v="7"/>
    <n v="2025"/>
    <n v="2"/>
    <s v="Feb"/>
    <x v="14"/>
    <n v="20"/>
    <x v="1"/>
    <n v="598.20000000000005"/>
    <n v="787.04"/>
    <n v="1237.96"/>
    <n v="695.72"/>
    <n v="2623.2"/>
    <n v="3318.92"/>
    <m/>
  </r>
  <r>
    <x v="90"/>
    <x v="7"/>
    <n v="2025"/>
    <n v="2"/>
    <s v="Feb"/>
    <x v="15"/>
    <n v="29"/>
    <x v="1"/>
    <n v="3259.05"/>
    <n v="3907.15"/>
    <n v="5236.5600000000004"/>
    <n v="1714.31"/>
    <n v="12402.76"/>
    <n v="14117.07"/>
    <m/>
  </r>
  <r>
    <x v="90"/>
    <x v="7"/>
    <n v="2025"/>
    <n v="2"/>
    <s v="Feb"/>
    <x v="16"/>
    <n v="32"/>
    <x v="1"/>
    <n v="1023.01"/>
    <n v="1312.42"/>
    <n v="545.98"/>
    <n v="12.43"/>
    <n v="2881.41"/>
    <n v="2893.84"/>
    <m/>
  </r>
  <r>
    <x v="90"/>
    <x v="7"/>
    <n v="2025"/>
    <n v="2"/>
    <s v="Feb"/>
    <x v="35"/>
    <n v="37"/>
    <x v="0"/>
    <n v="6.96"/>
    <n v="9.69"/>
    <n v="2.11"/>
    <n v="0.05"/>
    <n v="18.760000000000002"/>
    <n v="18.809999999999999"/>
    <m/>
  </r>
  <r>
    <x v="90"/>
    <x v="7"/>
    <n v="2025"/>
    <n v="2"/>
    <s v="Feb"/>
    <x v="17"/>
    <n v="31"/>
    <x v="0"/>
    <n v="0.36"/>
    <n v="0.39"/>
    <n v="0.11"/>
    <n v="0"/>
    <n v="0.86"/>
    <n v="0.86"/>
    <m/>
  </r>
  <r>
    <x v="90"/>
    <x v="7"/>
    <n v="2025"/>
    <n v="2"/>
    <s v="Feb"/>
    <x v="18"/>
    <n v="23"/>
    <x v="1"/>
    <n v="1088.53"/>
    <n v="1286.6199999999999"/>
    <n v="999.42"/>
    <n v="715.24"/>
    <n v="3374.57"/>
    <n v="4089.81"/>
    <m/>
  </r>
  <r>
    <x v="90"/>
    <x v="7"/>
    <n v="2025"/>
    <n v="2"/>
    <s v="Feb"/>
    <x v="19"/>
    <n v="27"/>
    <x v="1"/>
    <n v="8396.01"/>
    <n v="9682.19"/>
    <n v="10195.24"/>
    <n v="2363.13"/>
    <n v="28273.439999999999"/>
    <n v="30636.57"/>
    <m/>
  </r>
  <r>
    <x v="90"/>
    <x v="7"/>
    <n v="2025"/>
    <n v="2"/>
    <s v="Feb"/>
    <x v="20"/>
    <n v="14"/>
    <x v="1"/>
    <n v="17.37"/>
    <n v="24"/>
    <n v="8.9600000000000009"/>
    <n v="0.06"/>
    <n v="50.33"/>
    <n v="50.39"/>
    <m/>
  </r>
  <r>
    <x v="90"/>
    <x v="7"/>
    <n v="2025"/>
    <n v="2"/>
    <s v="Feb"/>
    <x v="21"/>
    <n v="17"/>
    <x v="1"/>
    <n v="42.48"/>
    <n v="53.89"/>
    <n v="117.54"/>
    <n v="0.4"/>
    <n v="213.91"/>
    <n v="214.31"/>
    <m/>
  </r>
  <r>
    <x v="90"/>
    <x v="7"/>
    <n v="2025"/>
    <n v="2"/>
    <s v="Feb"/>
    <x v="22"/>
    <n v="15"/>
    <x v="1"/>
    <n v="15.22"/>
    <n v="22"/>
    <n v="4.4000000000000004"/>
    <n v="0.02"/>
    <n v="41.62"/>
    <n v="41.64"/>
    <m/>
  </r>
  <r>
    <x v="90"/>
    <x v="7"/>
    <n v="2025"/>
    <n v="2"/>
    <s v="Feb"/>
    <x v="23"/>
    <n v="13"/>
    <x v="1"/>
    <n v="19.440000000000001"/>
    <n v="24.85"/>
    <n v="10.25"/>
    <n v="1.38"/>
    <n v="54.54"/>
    <n v="55.92"/>
    <m/>
  </r>
  <r>
    <x v="90"/>
    <x v="7"/>
    <n v="2025"/>
    <n v="2"/>
    <s v="Feb"/>
    <x v="24"/>
    <n v="21"/>
    <x v="1"/>
    <n v="1221.6600000000001"/>
    <n v="1513.44"/>
    <n v="1688.63"/>
    <n v="920.75"/>
    <n v="4423.7299999999996"/>
    <n v="5344.48"/>
    <m/>
  </r>
  <r>
    <x v="90"/>
    <x v="7"/>
    <n v="2025"/>
    <n v="2"/>
    <s v="Feb"/>
    <x v="25"/>
    <n v="34"/>
    <x v="0"/>
    <n v="31.84"/>
    <n v="45.83"/>
    <n v="172.38"/>
    <n v="0.57999999999999996"/>
    <n v="250.05"/>
    <n v="250.63"/>
    <m/>
  </r>
  <r>
    <x v="90"/>
    <x v="7"/>
    <n v="2025"/>
    <n v="2"/>
    <s v="Feb"/>
    <x v="26"/>
    <n v="3"/>
    <x v="1"/>
    <n v="534.53"/>
    <n v="762.61"/>
    <n v="798.13"/>
    <n v="29.63"/>
    <n v="2095.27"/>
    <n v="2124.9"/>
    <m/>
  </r>
  <r>
    <x v="90"/>
    <x v="7"/>
    <n v="2025"/>
    <n v="2"/>
    <s v="Feb"/>
    <x v="27"/>
    <n v="8"/>
    <x v="1"/>
    <n v="1284.3"/>
    <n v="1619.47"/>
    <n v="1671.1"/>
    <n v="211.89"/>
    <n v="4574.87"/>
    <n v="4786.76"/>
    <m/>
  </r>
  <r>
    <x v="90"/>
    <x v="7"/>
    <n v="2025"/>
    <n v="2"/>
    <s v="Feb"/>
    <x v="28"/>
    <n v="11"/>
    <x v="1"/>
    <n v="22.42"/>
    <n v="27.15"/>
    <n v="281.93"/>
    <n v="0.19"/>
    <n v="331.5"/>
    <n v="331.69"/>
    <m/>
  </r>
  <r>
    <x v="90"/>
    <x v="7"/>
    <n v="2025"/>
    <n v="2"/>
    <s v="Feb"/>
    <x v="29"/>
    <n v="33"/>
    <x v="1"/>
    <n v="2845.11"/>
    <n v="3930.95"/>
    <n v="3244.8"/>
    <n v="673.62"/>
    <n v="10020.86"/>
    <n v="10694.48"/>
    <m/>
  </r>
  <r>
    <x v="90"/>
    <x v="7"/>
    <n v="2025"/>
    <n v="2"/>
    <s v="Feb"/>
    <x v="30"/>
    <n v="36"/>
    <x v="1"/>
    <n v="1401.63"/>
    <n v="1747.72"/>
    <n v="1552.22"/>
    <n v="578.47"/>
    <n v="4701.57"/>
    <n v="5280.04"/>
    <m/>
  </r>
  <r>
    <x v="90"/>
    <x v="7"/>
    <n v="2025"/>
    <n v="2"/>
    <s v="Feb"/>
    <x v="31"/>
    <n v="16"/>
    <x v="1"/>
    <n v="38.83"/>
    <n v="52.27"/>
    <n v="12.1"/>
    <n v="0.13"/>
    <n v="103.2"/>
    <n v="103.33"/>
    <m/>
  </r>
  <r>
    <x v="90"/>
    <x v="7"/>
    <n v="2025"/>
    <n v="2"/>
    <s v="Feb"/>
    <x v="32"/>
    <n v="9"/>
    <x v="1"/>
    <n v="2081.0700000000002"/>
    <n v="2731.75"/>
    <n v="2612.1999999999998"/>
    <n v="1730.45"/>
    <n v="7425.02"/>
    <n v="9155.4699999999993"/>
    <m/>
  </r>
  <r>
    <x v="90"/>
    <x v="7"/>
    <n v="2025"/>
    <n v="2"/>
    <s v="Feb"/>
    <x v="33"/>
    <n v="5"/>
    <x v="1"/>
    <n v="330.65"/>
    <n v="473.15"/>
    <n v="839.7"/>
    <n v="12.19"/>
    <n v="1643.5"/>
    <n v="1655.69"/>
    <m/>
  </r>
  <r>
    <x v="90"/>
    <x v="7"/>
    <n v="2025"/>
    <n v="2"/>
    <s v="Feb"/>
    <x v="34"/>
    <n v="19"/>
    <x v="1"/>
    <n v="1694.4"/>
    <n v="2029.4"/>
    <n v="1506.2"/>
    <n v="566.79"/>
    <n v="5230"/>
    <n v="5796.79"/>
    <m/>
  </r>
  <r>
    <x v="91"/>
    <x v="7"/>
    <n v="2025"/>
    <n v="3"/>
    <s v="Mar"/>
    <x v="0"/>
    <n v="35"/>
    <x v="0"/>
    <n v="16.04"/>
    <n v="20.5"/>
    <n v="14.71"/>
    <n v="0.2"/>
    <n v="51.25"/>
    <n v="51.45"/>
    <m/>
  </r>
  <r>
    <x v="91"/>
    <x v="7"/>
    <n v="2025"/>
    <n v="3"/>
    <s v="Mar"/>
    <x v="1"/>
    <n v="28"/>
    <x v="1"/>
    <n v="985.07"/>
    <n v="1399.46"/>
    <n v="1413.21"/>
    <n v="235.51"/>
    <n v="3797.74"/>
    <n v="4033.25"/>
    <m/>
  </r>
  <r>
    <x v="91"/>
    <x v="7"/>
    <n v="2025"/>
    <n v="3"/>
    <s v="Mar"/>
    <x v="2"/>
    <n v="12"/>
    <x v="1"/>
    <n v="71.099999999999994"/>
    <n v="82.86"/>
    <n v="20.03"/>
    <n v="0.2"/>
    <n v="173.99"/>
    <n v="174.19"/>
    <m/>
  </r>
  <r>
    <x v="91"/>
    <x v="7"/>
    <n v="2025"/>
    <n v="3"/>
    <s v="Mar"/>
    <x v="3"/>
    <n v="18"/>
    <x v="1"/>
    <n v="530.07000000000005"/>
    <n v="693.54"/>
    <n v="362.86"/>
    <n v="121.45"/>
    <n v="1586.47"/>
    <n v="1707.92"/>
    <m/>
  </r>
  <r>
    <x v="91"/>
    <x v="7"/>
    <n v="2025"/>
    <n v="3"/>
    <s v="Mar"/>
    <x v="4"/>
    <n v="10"/>
    <x v="1"/>
    <n v="606.4"/>
    <n v="1574.37"/>
    <n v="247.88"/>
    <n v="169.99"/>
    <n v="2428.65"/>
    <n v="2598.64"/>
    <m/>
  </r>
  <r>
    <x v="91"/>
    <x v="7"/>
    <n v="2025"/>
    <n v="3"/>
    <s v="Mar"/>
    <x v="5"/>
    <n v="4"/>
    <x v="0"/>
    <n v="51.76"/>
    <n v="67.290000000000006"/>
    <n v="118.58"/>
    <n v="2.92"/>
    <n v="237.63"/>
    <n v="240.55"/>
    <m/>
  </r>
  <r>
    <x v="91"/>
    <x v="7"/>
    <n v="2025"/>
    <n v="3"/>
    <s v="Mar"/>
    <x v="6"/>
    <n v="22"/>
    <x v="1"/>
    <n v="770.12"/>
    <n v="1304.32"/>
    <n v="1002.41"/>
    <n v="644.05999999999995"/>
    <n v="3076.85"/>
    <n v="3720.91"/>
    <m/>
  </r>
  <r>
    <x v="91"/>
    <x v="7"/>
    <n v="2025"/>
    <n v="3"/>
    <s v="Mar"/>
    <x v="7"/>
    <n v="38"/>
    <x v="0"/>
    <n v="49.63"/>
    <n v="60.45"/>
    <n v="275.27999999999997"/>
    <n v="0.2"/>
    <n v="385.36"/>
    <n v="385.56"/>
    <m/>
  </r>
  <r>
    <x v="91"/>
    <x v="7"/>
    <n v="2025"/>
    <n v="3"/>
    <s v="Mar"/>
    <x v="8"/>
    <n v="7"/>
    <x v="0"/>
    <n v="1288.3599999999999"/>
    <n v="1541.12"/>
    <n v="3211.94"/>
    <n v="97.82"/>
    <n v="6041.42"/>
    <n v="6139.24"/>
    <m/>
  </r>
  <r>
    <x v="91"/>
    <x v="7"/>
    <n v="2025"/>
    <n v="3"/>
    <s v="Mar"/>
    <x v="9"/>
    <n v="30"/>
    <x v="1"/>
    <n v="185.06"/>
    <n v="228.71"/>
    <n v="262.64999999999998"/>
    <n v="3.62"/>
    <n v="676.42"/>
    <n v="680.04"/>
    <m/>
  </r>
  <r>
    <x v="91"/>
    <x v="7"/>
    <n v="2025"/>
    <n v="3"/>
    <s v="Mar"/>
    <x v="10"/>
    <n v="24"/>
    <x v="1"/>
    <n v="3423.3"/>
    <n v="4246.16"/>
    <n v="3898.2"/>
    <n v="526.88"/>
    <n v="11567.66"/>
    <n v="12094.54"/>
    <m/>
  </r>
  <r>
    <x v="91"/>
    <x v="7"/>
    <n v="2025"/>
    <n v="3"/>
    <s v="Mar"/>
    <x v="11"/>
    <n v="6"/>
    <x v="1"/>
    <n v="1632.47"/>
    <n v="2010.72"/>
    <n v="6407.97"/>
    <n v="596.86"/>
    <n v="10051.16"/>
    <n v="10648.02"/>
    <m/>
  </r>
  <r>
    <x v="91"/>
    <x v="7"/>
    <n v="2025"/>
    <n v="3"/>
    <s v="Mar"/>
    <x v="12"/>
    <n v="2"/>
    <x v="1"/>
    <n v="166.76"/>
    <n v="225.2"/>
    <n v="435.45"/>
    <n v="2.0099999999999998"/>
    <n v="827.41"/>
    <n v="829.42"/>
    <m/>
  </r>
  <r>
    <x v="91"/>
    <x v="7"/>
    <n v="2025"/>
    <n v="3"/>
    <s v="Mar"/>
    <x v="13"/>
    <n v="1"/>
    <x v="0"/>
    <n v="192.47"/>
    <n v="256.56"/>
    <n v="137.06"/>
    <n v="8.83"/>
    <n v="586.09"/>
    <n v="594.91999999999996"/>
    <m/>
  </r>
  <r>
    <x v="91"/>
    <x v="7"/>
    <n v="2025"/>
    <n v="3"/>
    <s v="Mar"/>
    <x v="14"/>
    <n v="20"/>
    <x v="1"/>
    <n v="650.86"/>
    <n v="902.31"/>
    <n v="1129.54"/>
    <n v="626.02"/>
    <n v="2682.71"/>
    <n v="3308.73"/>
    <m/>
  </r>
  <r>
    <x v="91"/>
    <x v="7"/>
    <n v="2025"/>
    <n v="3"/>
    <s v="Mar"/>
    <x v="15"/>
    <n v="29"/>
    <x v="1"/>
    <n v="3352.87"/>
    <n v="4178.0200000000004"/>
    <n v="4669.58"/>
    <n v="1296.97"/>
    <n v="12200.47"/>
    <n v="13497.44"/>
    <m/>
  </r>
  <r>
    <x v="91"/>
    <x v="7"/>
    <n v="2025"/>
    <n v="3"/>
    <s v="Mar"/>
    <x v="16"/>
    <n v="32"/>
    <x v="1"/>
    <n v="1039.8900000000001"/>
    <n v="1265.2"/>
    <n v="518.71"/>
    <n v="5.23"/>
    <n v="2823.8"/>
    <n v="2829.03"/>
    <m/>
  </r>
  <r>
    <x v="91"/>
    <x v="7"/>
    <n v="2025"/>
    <n v="3"/>
    <s v="Mar"/>
    <x v="35"/>
    <n v="37"/>
    <x v="0"/>
    <n v="19.87"/>
    <n v="21.79"/>
    <n v="6.57"/>
    <n v="0.23"/>
    <n v="48.23"/>
    <n v="48.46"/>
    <m/>
  </r>
  <r>
    <x v="91"/>
    <x v="7"/>
    <n v="2025"/>
    <n v="3"/>
    <s v="Mar"/>
    <x v="17"/>
    <n v="31"/>
    <x v="0"/>
    <n v="0.67"/>
    <n v="1.2"/>
    <n v="0.96"/>
    <n v="0"/>
    <n v="2.83"/>
    <n v="2.83"/>
    <m/>
  </r>
  <r>
    <x v="91"/>
    <x v="7"/>
    <n v="2025"/>
    <n v="3"/>
    <s v="Mar"/>
    <x v="18"/>
    <n v="23"/>
    <x v="1"/>
    <n v="1116.6099999999999"/>
    <n v="1417.07"/>
    <n v="944.95"/>
    <n v="694.85"/>
    <n v="3478.63"/>
    <n v="4173.4799999999996"/>
    <m/>
  </r>
  <r>
    <x v="91"/>
    <x v="7"/>
    <n v="2025"/>
    <n v="3"/>
    <s v="Mar"/>
    <x v="19"/>
    <n v="27"/>
    <x v="1"/>
    <n v="9057.7199999999993"/>
    <n v="10925.59"/>
    <n v="9363.1200000000008"/>
    <n v="2187.09"/>
    <n v="29346.43"/>
    <n v="31533.52"/>
    <m/>
  </r>
  <r>
    <x v="91"/>
    <x v="7"/>
    <n v="2025"/>
    <n v="3"/>
    <s v="Mar"/>
    <x v="20"/>
    <n v="14"/>
    <x v="1"/>
    <n v="19.07"/>
    <n v="28.07"/>
    <n v="9.6999999999999993"/>
    <n v="0.15"/>
    <n v="56.84"/>
    <n v="56.99"/>
    <m/>
  </r>
  <r>
    <x v="91"/>
    <x v="7"/>
    <n v="2025"/>
    <n v="3"/>
    <s v="Mar"/>
    <x v="21"/>
    <n v="17"/>
    <x v="1"/>
    <n v="71.709999999999994"/>
    <n v="85.42"/>
    <n v="109.89"/>
    <n v="0.67"/>
    <n v="267.02"/>
    <n v="267.69"/>
    <m/>
  </r>
  <r>
    <x v="91"/>
    <x v="7"/>
    <n v="2025"/>
    <n v="3"/>
    <s v="Mar"/>
    <x v="22"/>
    <n v="15"/>
    <x v="1"/>
    <n v="17.239999999999998"/>
    <n v="23.44"/>
    <n v="5.59"/>
    <n v="0.04"/>
    <n v="46.27"/>
    <n v="46.31"/>
    <m/>
  </r>
  <r>
    <x v="91"/>
    <x v="7"/>
    <n v="2025"/>
    <n v="3"/>
    <s v="Mar"/>
    <x v="23"/>
    <n v="13"/>
    <x v="1"/>
    <n v="29.71"/>
    <n v="35.72"/>
    <n v="17.760000000000002"/>
    <n v="1.46"/>
    <n v="83.19"/>
    <n v="84.65"/>
    <m/>
  </r>
  <r>
    <x v="91"/>
    <x v="7"/>
    <n v="2025"/>
    <n v="3"/>
    <s v="Mar"/>
    <x v="24"/>
    <n v="21"/>
    <x v="1"/>
    <n v="1408.5"/>
    <n v="2039.43"/>
    <n v="1561.29"/>
    <n v="800.19"/>
    <n v="5009.22"/>
    <n v="5809.41"/>
    <m/>
  </r>
  <r>
    <x v="91"/>
    <x v="7"/>
    <n v="2025"/>
    <n v="3"/>
    <s v="Mar"/>
    <x v="25"/>
    <n v="34"/>
    <x v="0"/>
    <n v="34.44"/>
    <n v="48.6"/>
    <n v="167.56"/>
    <n v="0.86"/>
    <n v="250.6"/>
    <n v="251.46"/>
    <m/>
  </r>
  <r>
    <x v="91"/>
    <x v="7"/>
    <n v="2025"/>
    <n v="3"/>
    <s v="Mar"/>
    <x v="26"/>
    <n v="3"/>
    <x v="1"/>
    <n v="561.85"/>
    <n v="752.4"/>
    <n v="819.28"/>
    <n v="38.21"/>
    <n v="2133.5300000000002"/>
    <n v="2171.7399999999998"/>
    <m/>
  </r>
  <r>
    <x v="91"/>
    <x v="7"/>
    <n v="2025"/>
    <n v="3"/>
    <s v="Mar"/>
    <x v="27"/>
    <n v="8"/>
    <x v="1"/>
    <n v="1419.83"/>
    <n v="2048.73"/>
    <n v="1827.73"/>
    <n v="202.01"/>
    <n v="5296.29"/>
    <n v="5498.3"/>
    <m/>
  </r>
  <r>
    <x v="91"/>
    <x v="7"/>
    <n v="2025"/>
    <n v="3"/>
    <s v="Mar"/>
    <x v="28"/>
    <n v="11"/>
    <x v="1"/>
    <n v="26.61"/>
    <n v="33.159999999999997"/>
    <n v="289.35000000000002"/>
    <n v="0.28999999999999998"/>
    <n v="349.12"/>
    <n v="349.41"/>
    <m/>
  </r>
  <r>
    <x v="91"/>
    <x v="7"/>
    <n v="2025"/>
    <n v="3"/>
    <s v="Mar"/>
    <x v="29"/>
    <n v="33"/>
    <x v="1"/>
    <n v="3152.02"/>
    <n v="4565.37"/>
    <n v="3349.24"/>
    <n v="728.57"/>
    <n v="11066.63"/>
    <n v="11795.2"/>
    <m/>
  </r>
  <r>
    <x v="91"/>
    <x v="7"/>
    <n v="2025"/>
    <n v="3"/>
    <s v="Mar"/>
    <x v="30"/>
    <n v="36"/>
    <x v="1"/>
    <n v="1479.76"/>
    <n v="1821.92"/>
    <n v="1564.3"/>
    <n v="535.04999999999995"/>
    <n v="4865.9799999999996"/>
    <n v="5401.03"/>
    <m/>
  </r>
  <r>
    <x v="91"/>
    <x v="7"/>
    <n v="2025"/>
    <n v="3"/>
    <s v="Mar"/>
    <x v="31"/>
    <n v="16"/>
    <x v="1"/>
    <n v="62.24"/>
    <n v="83.9"/>
    <n v="13.24"/>
    <n v="0.12"/>
    <n v="159.38"/>
    <n v="159.5"/>
    <m/>
  </r>
  <r>
    <x v="91"/>
    <x v="7"/>
    <n v="2025"/>
    <n v="3"/>
    <s v="Mar"/>
    <x v="32"/>
    <n v="9"/>
    <x v="1"/>
    <n v="2454.6999999999998"/>
    <n v="3207.19"/>
    <n v="3131.53"/>
    <n v="1162.9000000000001"/>
    <n v="8793.42"/>
    <n v="9956.32"/>
    <m/>
  </r>
  <r>
    <x v="91"/>
    <x v="7"/>
    <n v="2025"/>
    <n v="3"/>
    <s v="Mar"/>
    <x v="33"/>
    <n v="5"/>
    <x v="1"/>
    <n v="382.24"/>
    <n v="526.80999999999995"/>
    <n v="823.01"/>
    <n v="10.26"/>
    <n v="1732.06"/>
    <n v="1742.32"/>
    <m/>
  </r>
  <r>
    <x v="91"/>
    <x v="7"/>
    <n v="2025"/>
    <n v="3"/>
    <s v="Mar"/>
    <x v="34"/>
    <n v="19"/>
    <x v="1"/>
    <n v="1799.47"/>
    <n v="2147.4"/>
    <n v="1466"/>
    <n v="414.15"/>
    <n v="5412.87"/>
    <n v="5827.02"/>
    <m/>
  </r>
  <r>
    <x v="92"/>
    <x v="8"/>
    <n v="2025"/>
    <n v="8"/>
    <s v="Aug"/>
    <x v="0"/>
    <n v="35"/>
    <x v="0"/>
    <n v="12.28"/>
    <n v="15.08"/>
    <n v="9.44"/>
    <m/>
    <n v="36.799999999999997"/>
    <m/>
    <s v="Cess removed - suspected data error"/>
  </r>
  <r>
    <x v="92"/>
    <x v="8"/>
    <n v="2025"/>
    <n v="8"/>
    <s v="Aug"/>
    <x v="1"/>
    <n v="28"/>
    <x v="1"/>
    <n v="1048.75"/>
    <n v="1364.26"/>
    <n v="1297.05"/>
    <m/>
    <n v="3710.06"/>
    <m/>
    <s v="Cess removed - suspected data error"/>
  </r>
  <r>
    <x v="92"/>
    <x v="8"/>
    <n v="2025"/>
    <n v="8"/>
    <s v="Aug"/>
    <x v="2"/>
    <n v="12"/>
    <x v="1"/>
    <n v="35.53"/>
    <n v="41.08"/>
    <n v="11.62"/>
    <m/>
    <n v="88.23"/>
    <m/>
    <s v="Cess removed - suspected data error"/>
  </r>
  <r>
    <x v="92"/>
    <x v="8"/>
    <n v="2025"/>
    <n v="8"/>
    <s v="Aug"/>
    <x v="3"/>
    <n v="18"/>
    <x v="1"/>
    <n v="444.29"/>
    <n v="562.42999999999995"/>
    <n v="396.72"/>
    <m/>
    <n v="1403.44"/>
    <m/>
    <s v="Cess removed - suspected data error"/>
  </r>
  <r>
    <x v="92"/>
    <x v="8"/>
    <n v="2025"/>
    <n v="8"/>
    <s v="Aug"/>
    <x v="4"/>
    <n v="10"/>
    <x v="1"/>
    <n v="464.74"/>
    <n v="840.52"/>
    <n v="245.5"/>
    <m/>
    <n v="1550.76"/>
    <m/>
    <s v="Cess removed - suspected data error"/>
  </r>
  <r>
    <x v="92"/>
    <x v="8"/>
    <n v="2025"/>
    <n v="8"/>
    <s v="Aug"/>
    <x v="5"/>
    <n v="4"/>
    <x v="0"/>
    <n v="46.09"/>
    <n v="60.54"/>
    <n v="105.49"/>
    <m/>
    <n v="212.12"/>
    <m/>
    <s v="Cess removed - suspected data error"/>
  </r>
  <r>
    <x v="92"/>
    <x v="8"/>
    <n v="2025"/>
    <n v="8"/>
    <s v="Aug"/>
    <x v="6"/>
    <n v="22"/>
    <x v="1"/>
    <n v="573.78"/>
    <n v="720.33"/>
    <n v="943.6"/>
    <m/>
    <n v="2237.71"/>
    <m/>
    <s v="Cess removed - suspected data error"/>
  </r>
  <r>
    <x v="92"/>
    <x v="8"/>
    <n v="2025"/>
    <n v="8"/>
    <s v="Aug"/>
    <x v="7"/>
    <n v="38"/>
    <x v="0"/>
    <n v="49.7"/>
    <n v="61.66"/>
    <n v="251.13"/>
    <m/>
    <n v="362.49"/>
    <m/>
    <s v="Cess removed - suspected data error"/>
  </r>
  <r>
    <x v="92"/>
    <x v="8"/>
    <n v="2025"/>
    <n v="8"/>
    <s v="Aug"/>
    <x v="8"/>
    <n v="7"/>
    <x v="0"/>
    <n v="1182.58"/>
    <n v="1360.68"/>
    <n v="3095.8"/>
    <m/>
    <n v="5639.06"/>
    <m/>
    <s v="Cess removed - suspected data error"/>
  </r>
  <r>
    <x v="92"/>
    <x v="8"/>
    <n v="2025"/>
    <n v="8"/>
    <s v="Aug"/>
    <x v="9"/>
    <n v="30"/>
    <x v="1"/>
    <n v="158.44"/>
    <n v="193.19"/>
    <n v="191.61"/>
    <m/>
    <n v="543.24"/>
    <m/>
    <s v="Cess removed - suspected data error"/>
  </r>
  <r>
    <x v="92"/>
    <x v="8"/>
    <n v="2025"/>
    <n v="8"/>
    <s v="Aug"/>
    <x v="10"/>
    <n v="24"/>
    <x v="1"/>
    <n v="3130.42"/>
    <n v="3881.59"/>
    <n v="3470.11"/>
    <m/>
    <n v="10482.120000000001"/>
    <m/>
    <s v="Cess removed - suspected data error"/>
  </r>
  <r>
    <x v="92"/>
    <x v="8"/>
    <n v="2025"/>
    <n v="8"/>
    <s v="Aug"/>
    <x v="11"/>
    <n v="6"/>
    <x v="1"/>
    <n v="1547.11"/>
    <n v="1997.51"/>
    <n v="5531.81"/>
    <m/>
    <n v="9076.43"/>
    <m/>
    <s v="Cess removed - suspected data error"/>
  </r>
  <r>
    <x v="92"/>
    <x v="8"/>
    <n v="2025"/>
    <n v="8"/>
    <s v="Aug"/>
    <x v="12"/>
    <n v="2"/>
    <x v="1"/>
    <n v="147.9"/>
    <n v="210.38"/>
    <n v="506.56"/>
    <m/>
    <n v="864.84"/>
    <m/>
    <s v="Cess removed - suspected data error"/>
  </r>
  <r>
    <x v="92"/>
    <x v="8"/>
    <n v="2025"/>
    <n v="8"/>
    <s v="Aug"/>
    <x v="13"/>
    <n v="1"/>
    <x v="0"/>
    <n v="162.30000000000001"/>
    <n v="235.04"/>
    <n v="171.11"/>
    <m/>
    <n v="568.45000000000005"/>
    <m/>
    <s v="Cess removed - suspected data error"/>
  </r>
  <r>
    <x v="92"/>
    <x v="8"/>
    <n v="2025"/>
    <n v="8"/>
    <s v="Aug"/>
    <x v="14"/>
    <n v="20"/>
    <x v="1"/>
    <n v="586.84"/>
    <n v="751.67"/>
    <n v="1005.1"/>
    <m/>
    <n v="2343.61"/>
    <m/>
    <s v="Cess removed - suspected data error"/>
  </r>
  <r>
    <x v="92"/>
    <x v="8"/>
    <n v="2025"/>
    <n v="8"/>
    <s v="Aug"/>
    <x v="15"/>
    <n v="29"/>
    <x v="1"/>
    <n v="3308.49"/>
    <n v="3958.77"/>
    <n v="5244.97"/>
    <m/>
    <n v="12512.23"/>
    <m/>
    <s v="Cess removed - suspected data error"/>
  </r>
  <r>
    <x v="92"/>
    <x v="8"/>
    <n v="2025"/>
    <n v="8"/>
    <s v="Aug"/>
    <x v="16"/>
    <n v="32"/>
    <x v="1"/>
    <n v="991.22"/>
    <n v="1220.93"/>
    <n v="504.63"/>
    <m/>
    <n v="2716.78"/>
    <m/>
    <s v="Cess removed - suspected data error"/>
  </r>
  <r>
    <x v="92"/>
    <x v="8"/>
    <n v="2025"/>
    <n v="8"/>
    <s v="Aug"/>
    <x v="35"/>
    <n v="37"/>
    <x v="0"/>
    <n v="13.25"/>
    <n v="18.11"/>
    <n v="3.58"/>
    <m/>
    <n v="34.94"/>
    <m/>
    <s v="Cess removed - suspected data error"/>
  </r>
  <r>
    <x v="92"/>
    <x v="8"/>
    <n v="2025"/>
    <n v="8"/>
    <s v="Aug"/>
    <x v="17"/>
    <n v="31"/>
    <x v="0"/>
    <n v="0.17"/>
    <n v="0.27"/>
    <n v="0.21"/>
    <m/>
    <n v="0.65"/>
    <m/>
    <s v="Cess removed - suspected data error"/>
  </r>
  <r>
    <x v="92"/>
    <x v="8"/>
    <n v="2025"/>
    <n v="8"/>
    <s v="Aug"/>
    <x v="18"/>
    <n v="23"/>
    <x v="1"/>
    <n v="904.58"/>
    <n v="1129.1300000000001"/>
    <n v="1052.99"/>
    <m/>
    <n v="3086.7"/>
    <m/>
    <s v="Cess removed - suspected data error"/>
  </r>
  <r>
    <x v="92"/>
    <x v="8"/>
    <n v="2025"/>
    <n v="8"/>
    <s v="Aug"/>
    <x v="19"/>
    <n v="27"/>
    <x v="1"/>
    <n v="7840.27"/>
    <n v="9400"/>
    <n v="9505.44"/>
    <m/>
    <n v="26745.71"/>
    <m/>
    <s v="Cess removed - suspected data error"/>
  </r>
  <r>
    <x v="92"/>
    <x v="8"/>
    <n v="2025"/>
    <n v="8"/>
    <s v="Aug"/>
    <x v="20"/>
    <n v="14"/>
    <x v="1"/>
    <n v="15"/>
    <n v="19.02"/>
    <n v="8.01"/>
    <m/>
    <n v="42.03"/>
    <m/>
    <s v="Cess removed - suspected data error"/>
  </r>
  <r>
    <x v="92"/>
    <x v="8"/>
    <n v="2025"/>
    <n v="8"/>
    <s v="Aug"/>
    <x v="21"/>
    <n v="17"/>
    <x v="1"/>
    <n v="39.75"/>
    <n v="47.21"/>
    <n v="119.82"/>
    <m/>
    <n v="206.78"/>
    <m/>
    <s v="Cess removed - suspected data error"/>
  </r>
  <r>
    <x v="92"/>
    <x v="8"/>
    <n v="2025"/>
    <n v="8"/>
    <s v="Aug"/>
    <x v="22"/>
    <n v="15"/>
    <x v="1"/>
    <n v="9.36"/>
    <n v="13"/>
    <n v="7.46"/>
    <m/>
    <n v="29.82"/>
    <m/>
    <s v="Cess removed - suspected data error"/>
  </r>
  <r>
    <x v="92"/>
    <x v="8"/>
    <n v="2025"/>
    <n v="8"/>
    <s v="Aug"/>
    <x v="23"/>
    <n v="13"/>
    <x v="1"/>
    <n v="20.03"/>
    <n v="24.09"/>
    <n v="10.23"/>
    <m/>
    <n v="54.35"/>
    <m/>
    <s v="Cess removed - suspected data error"/>
  </r>
  <r>
    <x v="92"/>
    <x v="8"/>
    <n v="2025"/>
    <n v="8"/>
    <s v="Aug"/>
    <x v="24"/>
    <n v="21"/>
    <x v="1"/>
    <n v="1095.8399999999999"/>
    <n v="1452.2"/>
    <n v="1658.54"/>
    <m/>
    <n v="4206.58"/>
    <m/>
    <s v="Cess removed - suspected data error"/>
  </r>
  <r>
    <x v="92"/>
    <x v="8"/>
    <n v="2025"/>
    <n v="8"/>
    <s v="Aug"/>
    <x v="25"/>
    <n v="34"/>
    <x v="0"/>
    <n v="31.16"/>
    <n v="46.8"/>
    <n v="147.1"/>
    <m/>
    <n v="225.06"/>
    <m/>
    <s v="Cess removed - suspected data error"/>
  </r>
  <r>
    <x v="92"/>
    <x v="8"/>
    <n v="2025"/>
    <n v="8"/>
    <s v="Aug"/>
    <x v="26"/>
    <n v="3"/>
    <x v="1"/>
    <n v="535.62"/>
    <n v="750.37"/>
    <n v="882.11"/>
    <m/>
    <n v="2168.1"/>
    <m/>
    <s v="Cess removed - suspected data error"/>
  </r>
  <r>
    <x v="92"/>
    <x v="8"/>
    <n v="2025"/>
    <n v="8"/>
    <s v="Aug"/>
    <x v="27"/>
    <n v="8"/>
    <x v="1"/>
    <n v="1122.8599999999999"/>
    <n v="1480.05"/>
    <n v="1619.22"/>
    <m/>
    <n v="4222.13"/>
    <m/>
    <s v="Cess removed - suspected data error"/>
  </r>
  <r>
    <x v="92"/>
    <x v="8"/>
    <n v="2025"/>
    <n v="8"/>
    <s v="Aug"/>
    <x v="28"/>
    <n v="11"/>
    <x v="1"/>
    <n v="30.14"/>
    <n v="47.41"/>
    <n v="376.61"/>
    <m/>
    <n v="454.16"/>
    <m/>
    <s v="Cess removed - suspected data error"/>
  </r>
  <r>
    <x v="92"/>
    <x v="8"/>
    <n v="2025"/>
    <n v="8"/>
    <s v="Aug"/>
    <x v="29"/>
    <n v="33"/>
    <x v="1"/>
    <n v="3105.19"/>
    <n v="4038.01"/>
    <n v="3185.78"/>
    <m/>
    <n v="10328.98"/>
    <m/>
    <s v="Cess removed - suspected data error"/>
  </r>
  <r>
    <x v="92"/>
    <x v="8"/>
    <n v="2025"/>
    <n v="8"/>
    <s v="Aug"/>
    <x v="30"/>
    <n v="36"/>
    <x v="1"/>
    <n v="1335.67"/>
    <n v="1688.75"/>
    <n v="1587.69"/>
    <m/>
    <n v="4612.1099999999997"/>
    <m/>
    <s v="Cess removed - suspected data error"/>
  </r>
  <r>
    <x v="92"/>
    <x v="8"/>
    <n v="2025"/>
    <n v="8"/>
    <s v="Aug"/>
    <x v="31"/>
    <n v="16"/>
    <x v="1"/>
    <n v="32.74"/>
    <n v="40.42"/>
    <n v="13.3"/>
    <m/>
    <n v="86.46"/>
    <m/>
    <s v="Cess removed - suspected data error"/>
  </r>
  <r>
    <x v="92"/>
    <x v="8"/>
    <n v="2025"/>
    <n v="8"/>
    <s v="Aug"/>
    <x v="32"/>
    <n v="9"/>
    <x v="1"/>
    <n v="2125.94"/>
    <n v="2735.7"/>
    <n v="2785.79"/>
    <m/>
    <n v="7647.43"/>
    <m/>
    <s v="Cess removed - suspected data error"/>
  </r>
  <r>
    <x v="92"/>
    <x v="8"/>
    <n v="2025"/>
    <n v="8"/>
    <s v="Aug"/>
    <x v="33"/>
    <n v="5"/>
    <x v="1"/>
    <n v="295.42"/>
    <n v="493.37"/>
    <n v="647.38"/>
    <m/>
    <n v="1436.17"/>
    <m/>
    <s v="Cess removed - suspected data error"/>
  </r>
  <r>
    <x v="92"/>
    <x v="8"/>
    <n v="2025"/>
    <n v="8"/>
    <s v="Aug"/>
    <x v="34"/>
    <n v="19"/>
    <x v="1"/>
    <n v="1615.47"/>
    <n v="1931"/>
    <n v="1491"/>
    <m/>
    <n v="5037.47"/>
    <m/>
    <s v="Cess removed - suspected data error"/>
  </r>
  <r>
    <x v="93"/>
    <x v="8"/>
    <n v="2026"/>
    <n v="1"/>
    <s v="Jan"/>
    <x v="0"/>
    <n v="35"/>
    <x v="0"/>
    <n v="17.100000000000001"/>
    <n v="20.54"/>
    <n v="8.9700000000000006"/>
    <m/>
    <n v="46.61"/>
    <m/>
    <s v="Cess removed - suspected data error"/>
  </r>
  <r>
    <x v="93"/>
    <x v="8"/>
    <n v="2026"/>
    <n v="1"/>
    <s v="Jan"/>
    <x v="1"/>
    <n v="28"/>
    <x v="1"/>
    <n v="1007.68"/>
    <n v="1283.73"/>
    <n v="1183.23"/>
    <m/>
    <n v="3474.64"/>
    <m/>
    <s v="Cess removed - suspected data error"/>
  </r>
  <r>
    <x v="93"/>
    <x v="8"/>
    <n v="2026"/>
    <n v="1"/>
    <s v="Jan"/>
    <x v="2"/>
    <n v="12"/>
    <x v="1"/>
    <n v="43.95"/>
    <n v="51.23"/>
    <n v="15.54"/>
    <m/>
    <n v="110.72"/>
    <m/>
    <s v="Cess removed - suspected data error"/>
  </r>
  <r>
    <x v="93"/>
    <x v="8"/>
    <n v="2026"/>
    <n v="1"/>
    <s v="Jan"/>
    <x v="3"/>
    <n v="18"/>
    <x v="1"/>
    <n v="414.71"/>
    <n v="571.9"/>
    <n v="298"/>
    <m/>
    <n v="1284.6099999999999"/>
    <m/>
    <s v="Cess removed - suspected data error"/>
  </r>
  <r>
    <x v="93"/>
    <x v="8"/>
    <n v="2026"/>
    <n v="1"/>
    <s v="Jan"/>
    <x v="4"/>
    <n v="10"/>
    <x v="1"/>
    <n v="421.28"/>
    <n v="926.21"/>
    <n v="238.05"/>
    <m/>
    <n v="1585.54"/>
    <m/>
    <s v="Cess removed - suspected data error"/>
  </r>
  <r>
    <x v="93"/>
    <x v="8"/>
    <n v="2026"/>
    <n v="1"/>
    <s v="Jan"/>
    <x v="5"/>
    <n v="4"/>
    <x v="0"/>
    <n v="63.84"/>
    <n v="89.45"/>
    <n v="136.46"/>
    <m/>
    <n v="289.75"/>
    <m/>
    <s v="Cess removed - suspected data error"/>
  </r>
  <r>
    <x v="93"/>
    <x v="8"/>
    <n v="2026"/>
    <n v="1"/>
    <s v="Jan"/>
    <x v="6"/>
    <n v="22"/>
    <x v="1"/>
    <n v="706.66"/>
    <n v="815.18"/>
    <n v="897.08"/>
    <m/>
    <n v="2418.92"/>
    <m/>
    <s v="Cess removed - suspected data error"/>
  </r>
  <r>
    <x v="93"/>
    <x v="8"/>
    <n v="2026"/>
    <n v="1"/>
    <s v="Jan"/>
    <x v="7"/>
    <n v="38"/>
    <x v="0"/>
    <n v="53.07"/>
    <n v="67.63"/>
    <n v="306.58"/>
    <m/>
    <n v="427.28"/>
    <m/>
    <s v="Cess removed - suspected data error"/>
  </r>
  <r>
    <x v="93"/>
    <x v="8"/>
    <n v="2026"/>
    <n v="1"/>
    <s v="Jan"/>
    <x v="8"/>
    <n v="7"/>
    <x v="0"/>
    <n v="1334.94"/>
    <n v="1609.34"/>
    <n v="3553.91"/>
    <m/>
    <n v="6498.19"/>
    <m/>
    <s v="Cess removed - suspected data error"/>
  </r>
  <r>
    <x v="93"/>
    <x v="8"/>
    <n v="2026"/>
    <n v="1"/>
    <s v="Jan"/>
    <x v="9"/>
    <n v="30"/>
    <x v="1"/>
    <n v="205.66"/>
    <n v="261.25"/>
    <n v="150.11000000000001"/>
    <m/>
    <n v="617.02"/>
    <m/>
    <s v="Cess removed - suspected data error"/>
  </r>
  <r>
    <x v="93"/>
    <x v="8"/>
    <n v="2026"/>
    <n v="1"/>
    <s v="Jan"/>
    <x v="10"/>
    <n v="24"/>
    <x v="1"/>
    <n v="3682.32"/>
    <n v="4338.1099999999997"/>
    <n v="3965.65"/>
    <m/>
    <n v="11986.08"/>
    <m/>
    <s v="Cess removed - suspected data error"/>
  </r>
  <r>
    <x v="93"/>
    <x v="8"/>
    <n v="2026"/>
    <n v="1"/>
    <s v="Jan"/>
    <x v="11"/>
    <n v="6"/>
    <x v="1"/>
    <n v="1654"/>
    <n v="2173.85"/>
    <n v="6651.92"/>
    <m/>
    <n v="10479.77"/>
    <m/>
    <s v="Cess removed - suspected data error"/>
  </r>
  <r>
    <x v="93"/>
    <x v="8"/>
    <n v="2026"/>
    <n v="1"/>
    <s v="Jan"/>
    <x v="12"/>
    <n v="2"/>
    <x v="1"/>
    <n v="172.88"/>
    <n v="239.18"/>
    <n v="268.66000000000003"/>
    <m/>
    <n v="680.72"/>
    <m/>
    <s v="Cess removed - suspected data error"/>
  </r>
  <r>
    <x v="93"/>
    <x v="8"/>
    <n v="2026"/>
    <n v="1"/>
    <s v="Jan"/>
    <x v="13"/>
    <n v="1"/>
    <x v="0"/>
    <n v="224.97"/>
    <n v="292.60000000000002"/>
    <n v="101.94"/>
    <m/>
    <n v="619.51"/>
    <m/>
    <s v="Cess removed - suspected data error"/>
  </r>
  <r>
    <x v="93"/>
    <x v="8"/>
    <n v="2026"/>
    <n v="1"/>
    <s v="Jan"/>
    <x v="14"/>
    <n v="20"/>
    <x v="1"/>
    <n v="602.52"/>
    <n v="766.37"/>
    <n v="1056.8"/>
    <m/>
    <n v="2425.69"/>
    <m/>
    <s v="Cess removed - suspected data error"/>
  </r>
  <r>
    <x v="93"/>
    <x v="8"/>
    <n v="2026"/>
    <n v="1"/>
    <s v="Jan"/>
    <x v="15"/>
    <n v="29"/>
    <x v="1"/>
    <n v="3656.2"/>
    <n v="4425.49"/>
    <n v="6094.15"/>
    <m/>
    <n v="14175.84"/>
    <m/>
    <s v="Cess removed - suspected data error"/>
  </r>
  <r>
    <x v="93"/>
    <x v="8"/>
    <n v="2026"/>
    <n v="1"/>
    <s v="Jan"/>
    <x v="16"/>
    <n v="32"/>
    <x v="1"/>
    <n v="1239.28"/>
    <n v="1488.5"/>
    <n v="532.61"/>
    <m/>
    <n v="3260.39"/>
    <m/>
    <s v="Cess removed - suspected data error"/>
  </r>
  <r>
    <x v="93"/>
    <x v="8"/>
    <n v="2026"/>
    <n v="1"/>
    <s v="Jan"/>
    <x v="35"/>
    <n v="37"/>
    <x v="0"/>
    <n v="24.04"/>
    <n v="30.94"/>
    <n v="8.25"/>
    <m/>
    <n v="63.23"/>
    <m/>
    <s v="Cess removed - suspected data error"/>
  </r>
  <r>
    <x v="93"/>
    <x v="8"/>
    <n v="2026"/>
    <n v="1"/>
    <s v="Jan"/>
    <x v="17"/>
    <n v="31"/>
    <x v="0"/>
    <n v="0.38"/>
    <n v="0.5"/>
    <n v="0.62"/>
    <m/>
    <n v="1.5"/>
    <m/>
    <s v="Cess removed - suspected data error"/>
  </r>
  <r>
    <x v="93"/>
    <x v="8"/>
    <n v="2026"/>
    <n v="1"/>
    <s v="Jan"/>
    <x v="18"/>
    <n v="23"/>
    <x v="1"/>
    <n v="1039.48"/>
    <n v="1280.19"/>
    <n v="920.09"/>
    <m/>
    <n v="3239.76"/>
    <m/>
    <s v="Cess removed - suspected data error"/>
  </r>
  <r>
    <x v="93"/>
    <x v="8"/>
    <n v="2026"/>
    <n v="1"/>
    <s v="Jan"/>
    <x v="19"/>
    <n v="27"/>
    <x v="1"/>
    <n v="9353.92"/>
    <n v="10571.83"/>
    <n v="12902.61"/>
    <m/>
    <n v="32828.36"/>
    <m/>
    <s v="Cess removed - suspected data error"/>
  </r>
  <r>
    <x v="93"/>
    <x v="8"/>
    <n v="2026"/>
    <n v="1"/>
    <s v="Jan"/>
    <x v="20"/>
    <n v="14"/>
    <x v="1"/>
    <n v="19.77"/>
    <n v="26.61"/>
    <n v="8.61"/>
    <m/>
    <n v="54.99"/>
    <m/>
    <s v="Cess removed - suspected data error"/>
  </r>
  <r>
    <x v="93"/>
    <x v="8"/>
    <n v="2026"/>
    <n v="1"/>
    <s v="Jan"/>
    <x v="21"/>
    <n v="17"/>
    <x v="1"/>
    <n v="54.06"/>
    <n v="69.599999999999994"/>
    <n v="70.67"/>
    <m/>
    <n v="194.33"/>
    <m/>
    <s v="Cess removed - suspected data error"/>
  </r>
  <r>
    <x v="93"/>
    <x v="8"/>
    <n v="2026"/>
    <n v="1"/>
    <s v="Jan"/>
    <x v="22"/>
    <n v="15"/>
    <x v="1"/>
    <n v="11.43"/>
    <n v="16.61"/>
    <n v="5"/>
    <m/>
    <n v="33.04"/>
    <m/>
    <s v="Cess removed - suspected data error"/>
  </r>
  <r>
    <x v="93"/>
    <x v="8"/>
    <n v="2026"/>
    <n v="1"/>
    <s v="Jan"/>
    <x v="23"/>
    <n v="13"/>
    <x v="1"/>
    <n v="21.36"/>
    <n v="25.96"/>
    <n v="14.41"/>
    <m/>
    <n v="61.73"/>
    <m/>
    <s v="Cess removed - suspected data error"/>
  </r>
  <r>
    <x v="93"/>
    <x v="8"/>
    <n v="2026"/>
    <n v="1"/>
    <s v="Jan"/>
    <x v="24"/>
    <n v="21"/>
    <x v="1"/>
    <n v="1313.93"/>
    <n v="1668.52"/>
    <n v="1157.08"/>
    <m/>
    <n v="4139.53"/>
    <m/>
    <s v="Cess removed - suspected data error"/>
  </r>
  <r>
    <x v="93"/>
    <x v="8"/>
    <n v="2026"/>
    <n v="1"/>
    <s v="Jan"/>
    <x v="25"/>
    <n v="34"/>
    <x v="0"/>
    <n v="38.33"/>
    <n v="59.36"/>
    <n v="119.46"/>
    <m/>
    <n v="217.15"/>
    <m/>
    <s v="Cess removed - suspected data error"/>
  </r>
  <r>
    <x v="93"/>
    <x v="8"/>
    <n v="2026"/>
    <n v="1"/>
    <s v="Jan"/>
    <x v="26"/>
    <n v="3"/>
    <x v="1"/>
    <n v="634.04"/>
    <n v="938.46"/>
    <n v="822.76"/>
    <m/>
    <n v="2395.2600000000002"/>
    <m/>
    <s v="Cess removed - suspected data error"/>
  </r>
  <r>
    <x v="93"/>
    <x v="8"/>
    <n v="2026"/>
    <n v="1"/>
    <s v="Jan"/>
    <x v="27"/>
    <n v="8"/>
    <x v="1"/>
    <n v="1370.56"/>
    <n v="1807.52"/>
    <n v="1464.17"/>
    <m/>
    <n v="4642.25"/>
    <m/>
    <s v="Cess removed - suspected data error"/>
  </r>
  <r>
    <x v="93"/>
    <x v="8"/>
    <n v="2026"/>
    <n v="1"/>
    <s v="Jan"/>
    <x v="28"/>
    <n v="11"/>
    <x v="1"/>
    <n v="28.66"/>
    <n v="34.83"/>
    <n v="88.21"/>
    <m/>
    <n v="151.69999999999999"/>
    <m/>
    <s v="Cess removed - suspected data error"/>
  </r>
  <r>
    <x v="93"/>
    <x v="8"/>
    <n v="2026"/>
    <n v="1"/>
    <s v="Jan"/>
    <x v="29"/>
    <n v="33"/>
    <x v="1"/>
    <n v="3066.33"/>
    <n v="3947.34"/>
    <n v="3893.34"/>
    <m/>
    <n v="10907.01"/>
    <m/>
    <s v="Cess removed - suspected data error"/>
  </r>
  <r>
    <x v="93"/>
    <x v="8"/>
    <n v="2026"/>
    <n v="1"/>
    <s v="Jan"/>
    <x v="30"/>
    <n v="36"/>
    <x v="1"/>
    <n v="1760.95"/>
    <n v="2189.96"/>
    <n v="1753.26"/>
    <m/>
    <n v="5704.17"/>
    <m/>
    <s v="Cess removed - suspected data error"/>
  </r>
  <r>
    <x v="93"/>
    <x v="8"/>
    <n v="2026"/>
    <n v="1"/>
    <s v="Jan"/>
    <x v="31"/>
    <n v="16"/>
    <x v="1"/>
    <n v="41.25"/>
    <n v="55.09"/>
    <n v="16.78"/>
    <m/>
    <n v="113.12"/>
    <m/>
    <s v="Cess removed - suspected data error"/>
  </r>
  <r>
    <x v="93"/>
    <x v="8"/>
    <n v="2026"/>
    <n v="1"/>
    <s v="Jan"/>
    <x v="32"/>
    <n v="9"/>
    <x v="1"/>
    <n v="2294.85"/>
    <n v="3003.33"/>
    <n v="3080.54"/>
    <m/>
    <n v="8378.7199999999993"/>
    <m/>
    <s v="Cess removed - suspected data error"/>
  </r>
  <r>
    <x v="93"/>
    <x v="8"/>
    <n v="2026"/>
    <n v="1"/>
    <s v="Jan"/>
    <x v="33"/>
    <n v="5"/>
    <x v="1"/>
    <n v="311.86"/>
    <n v="470.4"/>
    <n v="687.53"/>
    <m/>
    <n v="1469.79"/>
    <m/>
    <s v="Cess removed - suspected data error"/>
  </r>
  <r>
    <x v="93"/>
    <x v="8"/>
    <n v="2026"/>
    <n v="1"/>
    <s v="Jan"/>
    <x v="34"/>
    <n v="19"/>
    <x v="1"/>
    <n v="1872.17"/>
    <n v="2150.6"/>
    <n v="1482.96"/>
    <m/>
    <n v="5505.73"/>
    <m/>
    <s v="Cess removed - suspected data err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C372B6-8381-495F-819E-1C3BBC1261E9}" name="TopStat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0" firstHeaderRow="1" firstDataRow="1" firstDataCol="1"/>
  <pivotFields count="15">
    <pivotField numFmtId="165" showAll="0"/>
    <pivotField showAll="0"/>
    <pivotField showAll="0"/>
    <pivotField showAll="0"/>
    <pivotField showAll="0"/>
    <pivotField axis="axisRow" showAll="0" sortType="descending">
      <items count="37">
        <item x="0"/>
        <item x="1"/>
        <item x="2"/>
        <item x="3"/>
        <item x="4"/>
        <item x="5"/>
        <item x="6"/>
        <item x="7"/>
        <item x="8"/>
        <item x="9"/>
        <item x="10"/>
        <item x="11"/>
        <item x="12"/>
        <item x="13"/>
        <item x="14"/>
        <item x="15"/>
        <item x="16"/>
        <item x="35"/>
        <item x="17"/>
        <item x="18"/>
        <item x="19"/>
        <item x="20"/>
        <item x="21"/>
        <item x="22"/>
        <item x="23"/>
        <item x="24"/>
        <item x="25"/>
        <item x="26"/>
        <item x="27"/>
        <item x="28"/>
        <item x="29"/>
        <item x="30"/>
        <item x="31"/>
        <item x="32"/>
        <item x="33"/>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5"/>
  </rowFields>
  <rowItems count="37">
    <i>
      <x v="20"/>
    </i>
    <i>
      <x v="15"/>
    </i>
    <i>
      <x v="10"/>
    </i>
    <i>
      <x v="30"/>
    </i>
    <i>
      <x v="11"/>
    </i>
    <i>
      <x v="33"/>
    </i>
    <i>
      <x v="8"/>
    </i>
    <i>
      <x v="35"/>
    </i>
    <i>
      <x v="31"/>
    </i>
    <i>
      <x v="28"/>
    </i>
    <i>
      <x v="25"/>
    </i>
    <i>
      <x v="1"/>
    </i>
    <i>
      <x v="19"/>
    </i>
    <i>
      <x v="16"/>
    </i>
    <i>
      <x v="14"/>
    </i>
    <i>
      <x v="6"/>
    </i>
    <i>
      <x v="27"/>
    </i>
    <i>
      <x v="34"/>
    </i>
    <i>
      <x v="4"/>
    </i>
    <i>
      <x v="3"/>
    </i>
    <i>
      <x v="12"/>
    </i>
    <i>
      <x v="9"/>
    </i>
    <i>
      <x v="13"/>
    </i>
    <i>
      <x v="7"/>
    </i>
    <i>
      <x v="29"/>
    </i>
    <i>
      <x v="5"/>
    </i>
    <i>
      <x v="26"/>
    </i>
    <i>
      <x v="22"/>
    </i>
    <i>
      <x v="32"/>
    </i>
    <i>
      <x v="2"/>
    </i>
    <i>
      <x v="21"/>
    </i>
    <i>
      <x v="24"/>
    </i>
    <i>
      <x/>
    </i>
    <i>
      <x v="23"/>
    </i>
    <i>
      <x v="17"/>
    </i>
    <i>
      <x v="18"/>
    </i>
    <i t="grand">
      <x/>
    </i>
  </rowItems>
  <colItems count="1">
    <i/>
  </colItems>
  <dataFields count="1">
    <dataField name="Total GST (Rs crore, excl. cess)"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416CB2-38AB-4D3F-AC45-1B16A7099997}" name="ByMonth"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16" firstHeaderRow="1" firstDataRow="1" firstDataCol="2"/>
  <pivotFields count="15">
    <pivotField compact="0" numFmtId="165" outline="0" showAll="0"/>
    <pivotField compact="0" outline="0" showAll="0"/>
    <pivotField compact="0" outline="0" showAll="0"/>
    <pivotField axis="axisRow" compact="0" outline="0" showAll="0" defaultSubtotal="0">
      <items count="12">
        <item x="5"/>
        <item x="6"/>
        <item x="7"/>
        <item x="8"/>
        <item x="9"/>
        <item x="10"/>
        <item x="11"/>
        <item x="0"/>
        <item x="1"/>
        <item x="2"/>
        <item x="3"/>
        <item x="4"/>
      </items>
    </pivotField>
    <pivotField axis="axisRow" compact="0" outline="0" showAll="0">
      <items count="13">
        <item x="5"/>
        <item x="6"/>
        <item x="7"/>
        <item x="8"/>
        <item x="9"/>
        <item x="10"/>
        <item x="11"/>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2">
    <field x="3"/>
    <field x="4"/>
  </rowFields>
  <rowItems count="13">
    <i>
      <x/>
      <x/>
    </i>
    <i>
      <x v="1"/>
      <x v="1"/>
    </i>
    <i>
      <x v="2"/>
      <x v="2"/>
    </i>
    <i>
      <x v="3"/>
      <x v="3"/>
    </i>
    <i>
      <x v="4"/>
      <x v="4"/>
    </i>
    <i>
      <x v="5"/>
      <x v="5"/>
    </i>
    <i>
      <x v="6"/>
      <x v="6"/>
    </i>
    <i>
      <x v="7"/>
      <x v="7"/>
    </i>
    <i>
      <x v="8"/>
      <x v="8"/>
    </i>
    <i>
      <x v="9"/>
      <x v="9"/>
    </i>
    <i>
      <x v="10"/>
      <x v="10"/>
    </i>
    <i>
      <x v="11"/>
      <x v="11"/>
    </i>
    <i t="grand">
      <x/>
    </i>
  </rowItems>
  <colItems count="1">
    <i/>
  </colItems>
  <dataFields count="1">
    <dataField name="Avg GST per state (Rs crore)" fld="12" subtotal="average"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02EDE-96A2-4C83-8328-9B68C8428543}" name="DashMonthly"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I3:J97" firstHeaderRow="1" firstDataRow="1" firstDataCol="1"/>
  <pivotFields count="15">
    <pivotField axis="axisRow" numFmtId="170" showAll="0">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s>
  <rowFields count="1">
    <field x="0"/>
  </rowFields>
  <rowItems count="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rowItems>
  <colItems count="1">
    <i/>
  </colItems>
  <dataFields count="1">
    <dataField name="Monthly GST (Rs cror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C5682C-D6B9-4A69-BA58-F618915AAE0B}" name="DashByFY"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3:F12" firstHeaderRow="1" firstDataRow="1" firstDataCol="1"/>
  <pivotFields count="15">
    <pivotField numFmtId="165" showAll="0"/>
    <pivotField axis="axisRow" showAll="0">
      <items count="10">
        <item x="0"/>
        <item x="1"/>
        <item x="2"/>
        <item x="3"/>
        <item x="4"/>
        <item x="5"/>
        <item x="6"/>
        <item x="7"/>
        <item x="8"/>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s>
  <rowFields count="1">
    <field x="1"/>
  </rowFields>
  <rowItems count="9">
    <i>
      <x/>
    </i>
    <i>
      <x v="1"/>
    </i>
    <i>
      <x v="2"/>
    </i>
    <i>
      <x v="3"/>
    </i>
    <i>
      <x v="4"/>
    </i>
    <i>
      <x v="5"/>
    </i>
    <i>
      <x v="6"/>
    </i>
    <i>
      <x v="7"/>
    </i>
    <i>
      <x v="8"/>
    </i>
  </rowItems>
  <colItems count="1">
    <i/>
  </colItems>
  <dataFields count="1">
    <dataField name="GST by FY (Rs cror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900A6B-AC59-49AC-9A29-BB13E4CE8214}" name="DashTopStates"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13" firstHeaderRow="1" firstDataRow="1" firstDataCol="1"/>
  <pivotFields count="15">
    <pivotField numFmtId="165" showAll="0"/>
    <pivotField showAll="0">
      <items count="10">
        <item x="0"/>
        <item x="1"/>
        <item x="2"/>
        <item x="3"/>
        <item x="4"/>
        <item x="5"/>
        <item x="6"/>
        <item x="7"/>
        <item x="8"/>
        <item t="default"/>
      </items>
    </pivotField>
    <pivotField showAll="0"/>
    <pivotField showAll="0"/>
    <pivotField showAll="0"/>
    <pivotField axis="axisRow" showAll="0" measureFilter="1" sortType="descending">
      <items count="37">
        <item x="0"/>
        <item x="1"/>
        <item x="2"/>
        <item x="3"/>
        <item x="4"/>
        <item x="5"/>
        <item x="6"/>
        <item x="7"/>
        <item x="8"/>
        <item x="9"/>
        <item x="10"/>
        <item x="11"/>
        <item x="12"/>
        <item x="13"/>
        <item x="14"/>
        <item x="15"/>
        <item x="16"/>
        <item x="35"/>
        <item x="17"/>
        <item x="18"/>
        <item x="19"/>
        <item x="20"/>
        <item x="21"/>
        <item x="22"/>
        <item x="23"/>
        <item x="24"/>
        <item x="25"/>
        <item x="26"/>
        <item x="27"/>
        <item x="28"/>
        <item x="29"/>
        <item x="30"/>
        <item x="31"/>
        <item x="32"/>
        <item x="33"/>
        <item x="34"/>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dataField="1" showAll="0"/>
    <pivotField showAll="0"/>
    <pivotField showAll="0"/>
  </pivotFields>
  <rowFields count="1">
    <field x="5"/>
  </rowFields>
  <rowItems count="10">
    <i>
      <x v="20"/>
    </i>
    <i>
      <x v="15"/>
    </i>
    <i>
      <x v="10"/>
    </i>
    <i>
      <x v="30"/>
    </i>
    <i>
      <x v="11"/>
    </i>
    <i>
      <x v="33"/>
    </i>
    <i>
      <x v="8"/>
    </i>
    <i>
      <x v="35"/>
    </i>
    <i>
      <x v="31"/>
    </i>
    <i>
      <x v="28"/>
    </i>
  </rowItems>
  <colItems count="1">
    <i/>
  </colItems>
  <dataFields count="1">
    <dataField name="GST (Rs cror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73EFAD-A9A4-4D84-993C-71913DBE9296}" sourceName="category">
  <pivotTables>
    <pivotTable tabId="15" name="DashTopStates"/>
    <pivotTable tabId="15" name="DashByFY"/>
    <pivotTable tabId="15" name="DashMonthly"/>
  </pivotTables>
  <data>
    <tabular pivotCacheId="13106064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2F259D4F-0B9C-47E6-AA69-5D1FA45A805C}" sourceName="financial_year">
  <pivotTables>
    <pivotTable tabId="15" name="DashTopStates"/>
    <pivotTable tabId="15" name="DashByFY"/>
    <pivotTable tabId="15" name="DashMonthly"/>
  </pivotTables>
  <data>
    <tabular pivotCacheId="1310606407">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_category" xr10:uid="{DCA75571-D964-42A5-AAE6-BBC65840F4B6}" cache="Slicer_category" caption="State or UT" rowHeight="234950"/>
  <slicer name="Dash_financial_year" xr10:uid="{6EA0BDEB-4F87-4261-B431-C9699BA53D07}" cache="Slicer_financial_year" caption="Financial 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8E9B62-E298-4FD0-8A4C-CD072F91E368}" name="GSTData" displayName="GSTData" ref="A1:O3355" totalsRowShown="0" headerRowDxfId="0" headerRowBorderDxfId="2" tableBorderDxfId="3">
  <autoFilter ref="A1:O3355" xr:uid="{D98E9B62-E298-4FD0-8A4C-CD072F91E368}"/>
  <tableColumns count="15">
    <tableColumn id="1" xr3:uid="{38A60E36-D17F-443F-AFE4-B7D8C751B29F}" name="date" dataDxfId="1"/>
    <tableColumn id="2" xr3:uid="{6C5AC0C6-B8B5-4812-A570-E544812F21A3}" name="financial_year"/>
    <tableColumn id="3" xr3:uid="{30B3FC49-F60E-408E-A9A2-4CD2F814F98D}" name="year"/>
    <tableColumn id="4" xr3:uid="{5FAAABDB-4707-4FAE-8987-A9782F21D482}" name="month_num"/>
    <tableColumn id="5" xr3:uid="{B516BFC9-1A7D-40F2-8AD0-E42106D46CB2}" name="month"/>
    <tableColumn id="6" xr3:uid="{35DF0671-7529-494B-BCBF-7A61F622C293}" name="state_name"/>
    <tableColumn id="7" xr3:uid="{6326FE92-1AB2-4450-8F86-43C982E69EC8}" name="state_code"/>
    <tableColumn id="8" xr3:uid="{2997D02C-CB62-4802-8475-C15639D40AB6}" name="category"/>
    <tableColumn id="9" xr3:uid="{7E7E5102-5F56-4A72-B4D0-5383AEA32266}" name="cgst"/>
    <tableColumn id="10" xr3:uid="{58D43BA5-C8F1-45BA-AAEC-2AD9E0B98CAE}" name="sgst"/>
    <tableColumn id="11" xr3:uid="{CC503785-EC84-4C01-A85D-BD5110BE1DD2}" name="igst"/>
    <tableColumn id="12" xr3:uid="{722D208B-ECB5-498E-ABF2-3EF07A3B0F5A}" name="cess"/>
    <tableColumn id="13" xr3:uid="{EF6B97ED-636C-4B17-9196-999FEB36ED4A}" name="total_gst_excl_cess"/>
    <tableColumn id="14" xr3:uid="{9D603B21-1D35-44E2-A834-7D6F4A70D898}" name="total_gst"/>
    <tableColumn id="15" xr3:uid="{409500E0-4CAF-490F-A9E6-CE3B52D6638C}" name="cess_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0A3FD-4EC6-41D3-8636-B1966A23C74E}">
  <dimension ref="B1:Q32"/>
  <sheetViews>
    <sheetView showGridLines="0" tabSelected="1" zoomScale="90" zoomScaleNormal="90" workbookViewId="0"/>
  </sheetViews>
  <sheetFormatPr defaultRowHeight="14.4" x14ac:dyDescent="0.3"/>
  <cols>
    <col min="1" max="1" width="2.77734375" style="16" customWidth="1"/>
    <col min="2" max="17" width="10.77734375" style="16" customWidth="1"/>
    <col min="18" max="16384" width="8.88671875" style="16"/>
  </cols>
  <sheetData>
    <row r="1" spans="2:17" ht="28.8" x14ac:dyDescent="0.55000000000000004">
      <c r="B1" s="17" t="s">
        <v>108</v>
      </c>
    </row>
    <row r="2" spans="2:17" x14ac:dyDescent="0.3">
      <c r="B2" s="18" t="s">
        <v>109</v>
      </c>
    </row>
    <row r="4" spans="2:17" ht="19.95" customHeight="1" x14ac:dyDescent="0.3">
      <c r="B4" s="25" t="s">
        <v>110</v>
      </c>
      <c r="C4" s="19"/>
      <c r="D4" s="19"/>
      <c r="E4" s="20"/>
      <c r="F4" s="25" t="s">
        <v>112</v>
      </c>
      <c r="G4" s="19"/>
      <c r="H4" s="19"/>
      <c r="I4" s="20"/>
      <c r="J4" s="25" t="s">
        <v>114</v>
      </c>
      <c r="K4" s="19"/>
      <c r="L4" s="19"/>
      <c r="M4" s="20"/>
      <c r="N4" s="25" t="s">
        <v>116</v>
      </c>
      <c r="O4" s="19"/>
      <c r="P4" s="19"/>
      <c r="Q4" s="20"/>
    </row>
    <row r="5" spans="2:17" ht="34.049999999999997" customHeight="1" x14ac:dyDescent="0.5">
      <c r="B5" s="26">
        <f>INDEX(Growth!E:E,MATCH("INDIA (all states and UTs)",Growth!A:A,0))</f>
        <v>1528057.2899999998</v>
      </c>
      <c r="C5" s="21"/>
      <c r="D5" s="21"/>
      <c r="E5" s="22"/>
      <c r="F5" s="28">
        <f>INDEX(Growth!F:F,MATCH("INDIA (all states and UTs)",Growth!A:A,0))</f>
        <v>0.10290215294091035</v>
      </c>
      <c r="G5" s="21"/>
      <c r="H5" s="21"/>
      <c r="I5" s="22"/>
      <c r="J5" s="29">
        <f>SUMIFS(GSTData[total_gst_excl_cess],GSTData[state_name],"Maharashtra")/SUM(GSTData[total_gst_excl_cess])</f>
        <v>0.20907430493921875</v>
      </c>
      <c r="K5" s="21"/>
      <c r="L5" s="21"/>
      <c r="M5" s="22"/>
      <c r="N5" s="30" t="str">
        <f>Growth!A5</f>
        <v>Haryana</v>
      </c>
      <c r="O5" s="21"/>
      <c r="P5" s="21"/>
      <c r="Q5" s="22"/>
    </row>
    <row r="6" spans="2:17" ht="18" customHeight="1" x14ac:dyDescent="0.3">
      <c r="B6" s="27" t="s">
        <v>111</v>
      </c>
      <c r="C6" s="23"/>
      <c r="D6" s="23"/>
      <c r="E6" s="24"/>
      <c r="F6" s="27" t="s">
        <v>113</v>
      </c>
      <c r="G6" s="23"/>
      <c r="H6" s="23"/>
      <c r="I6" s="24"/>
      <c r="J6" s="27" t="s">
        <v>115</v>
      </c>
      <c r="K6" s="23"/>
      <c r="L6" s="23"/>
      <c r="M6" s="24"/>
      <c r="N6" s="27" t="str">
        <f>"+"&amp;TEXT(Growth!F5,"0.0%")&amp;" in FY 2024-25"</f>
        <v>+16.3% in FY 2024-25</v>
      </c>
      <c r="O6" s="23"/>
      <c r="P6" s="23"/>
      <c r="Q6" s="24"/>
    </row>
    <row r="32" spans="2:2" x14ac:dyDescent="0.3">
      <c r="B32" s="31" t="s">
        <v>117</v>
      </c>
    </row>
  </sheetData>
  <mergeCells count="12">
    <mergeCell ref="J4:M4"/>
    <mergeCell ref="J5:M5"/>
    <mergeCell ref="J6:M6"/>
    <mergeCell ref="N4:Q4"/>
    <mergeCell ref="N5:Q5"/>
    <mergeCell ref="N6:Q6"/>
    <mergeCell ref="B4:E4"/>
    <mergeCell ref="B5:E5"/>
    <mergeCell ref="B6:E6"/>
    <mergeCell ref="F4:I4"/>
    <mergeCell ref="F5:I5"/>
    <mergeCell ref="F6:I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55"/>
  <sheetViews>
    <sheetView workbookViewId="0">
      <pane ySplit="1" topLeftCell="A2" activePane="bottomLeft" state="frozen"/>
      <selection pane="bottomLeft" sqref="A1:A1048576"/>
    </sheetView>
  </sheetViews>
  <sheetFormatPr defaultRowHeight="14.4" x14ac:dyDescent="0.3"/>
  <cols>
    <col min="1" max="1" width="21" customWidth="1"/>
    <col min="2" max="2" width="16" customWidth="1"/>
    <col min="3" max="3" width="6.5546875" customWidth="1"/>
    <col min="4" max="4" width="13.44140625" customWidth="1"/>
    <col min="5" max="5" width="8.5546875" customWidth="1"/>
    <col min="6" max="6" width="42" customWidth="1"/>
    <col min="7" max="7" width="12.109375" customWidth="1"/>
    <col min="8" max="8" width="17" customWidth="1"/>
    <col min="9" max="12" width="9" customWidth="1"/>
    <col min="13" max="13" width="21" customWidth="1"/>
    <col min="14" max="15" width="11" customWidth="1"/>
  </cols>
  <sheetData>
    <row r="1" spans="1:1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3">
      <c r="A2" s="2">
        <v>42948</v>
      </c>
      <c r="B2" t="s">
        <v>15</v>
      </c>
      <c r="C2">
        <v>2017</v>
      </c>
      <c r="D2">
        <v>8</v>
      </c>
      <c r="E2" t="s">
        <v>16</v>
      </c>
      <c r="F2" t="s">
        <v>17</v>
      </c>
      <c r="G2">
        <v>35</v>
      </c>
      <c r="H2" t="s">
        <v>18</v>
      </c>
      <c r="I2">
        <v>3.33</v>
      </c>
      <c r="J2">
        <v>3.98</v>
      </c>
      <c r="K2">
        <v>0.37</v>
      </c>
      <c r="L2">
        <v>0.02</v>
      </c>
      <c r="M2">
        <v>7.68</v>
      </c>
      <c r="N2">
        <v>7.7</v>
      </c>
    </row>
    <row r="3" spans="1:15" x14ac:dyDescent="0.3">
      <c r="A3" s="2">
        <v>42948</v>
      </c>
      <c r="B3" t="s">
        <v>15</v>
      </c>
      <c r="C3">
        <v>2017</v>
      </c>
      <c r="D3">
        <v>8</v>
      </c>
      <c r="E3" t="s">
        <v>16</v>
      </c>
      <c r="F3" t="s">
        <v>19</v>
      </c>
      <c r="G3">
        <v>28</v>
      </c>
      <c r="H3" t="s">
        <v>20</v>
      </c>
      <c r="I3">
        <v>448.07</v>
      </c>
      <c r="J3">
        <v>660.89</v>
      </c>
      <c r="K3">
        <v>755.96</v>
      </c>
      <c r="L3">
        <v>24.43</v>
      </c>
      <c r="M3">
        <v>1864.92</v>
      </c>
      <c r="N3">
        <v>1889.35</v>
      </c>
    </row>
    <row r="4" spans="1:15" x14ac:dyDescent="0.3">
      <c r="A4" s="2">
        <v>42948</v>
      </c>
      <c r="B4" t="s">
        <v>15</v>
      </c>
      <c r="C4">
        <v>2017</v>
      </c>
      <c r="D4">
        <v>8</v>
      </c>
      <c r="E4" t="s">
        <v>16</v>
      </c>
      <c r="F4" t="s">
        <v>21</v>
      </c>
      <c r="G4">
        <v>12</v>
      </c>
      <c r="H4" t="s">
        <v>20</v>
      </c>
      <c r="I4">
        <v>3.45</v>
      </c>
      <c r="J4">
        <v>6.17</v>
      </c>
      <c r="K4">
        <v>3.21</v>
      </c>
      <c r="L4">
        <v>0.02</v>
      </c>
      <c r="M4">
        <v>12.83</v>
      </c>
      <c r="N4">
        <v>12.85</v>
      </c>
    </row>
    <row r="5" spans="1:15" x14ac:dyDescent="0.3">
      <c r="A5" s="2">
        <v>42948</v>
      </c>
      <c r="B5" t="s">
        <v>15</v>
      </c>
      <c r="C5">
        <v>2017</v>
      </c>
      <c r="D5">
        <v>8</v>
      </c>
      <c r="E5" t="s">
        <v>16</v>
      </c>
      <c r="F5" t="s">
        <v>22</v>
      </c>
      <c r="G5">
        <v>18</v>
      </c>
      <c r="H5" t="s">
        <v>20</v>
      </c>
      <c r="I5">
        <v>161.79</v>
      </c>
      <c r="J5">
        <v>270.70999999999998</v>
      </c>
      <c r="K5">
        <v>244.51</v>
      </c>
      <c r="L5">
        <v>26.22</v>
      </c>
      <c r="M5">
        <v>677.01</v>
      </c>
      <c r="N5">
        <v>703.23</v>
      </c>
    </row>
    <row r="6" spans="1:15" x14ac:dyDescent="0.3">
      <c r="A6" s="2">
        <v>42948</v>
      </c>
      <c r="B6" t="s">
        <v>15</v>
      </c>
      <c r="C6">
        <v>2017</v>
      </c>
      <c r="D6">
        <v>8</v>
      </c>
      <c r="E6" t="s">
        <v>16</v>
      </c>
      <c r="F6" t="s">
        <v>23</v>
      </c>
      <c r="G6">
        <v>10</v>
      </c>
      <c r="H6" t="s">
        <v>20</v>
      </c>
      <c r="I6">
        <v>180.5</v>
      </c>
      <c r="J6">
        <v>378.96</v>
      </c>
      <c r="K6">
        <v>85.84</v>
      </c>
      <c r="L6">
        <v>141.03</v>
      </c>
      <c r="M6">
        <v>645.29999999999995</v>
      </c>
      <c r="N6">
        <v>786.33</v>
      </c>
    </row>
    <row r="7" spans="1:15" x14ac:dyDescent="0.3">
      <c r="A7" s="2">
        <v>42948</v>
      </c>
      <c r="B7" t="s">
        <v>15</v>
      </c>
      <c r="C7">
        <v>2017</v>
      </c>
      <c r="D7">
        <v>8</v>
      </c>
      <c r="E7" t="s">
        <v>16</v>
      </c>
      <c r="F7" t="s">
        <v>24</v>
      </c>
      <c r="G7">
        <v>4</v>
      </c>
      <c r="H7" t="s">
        <v>18</v>
      </c>
      <c r="I7">
        <v>39.65</v>
      </c>
      <c r="J7">
        <v>58.89</v>
      </c>
      <c r="K7">
        <v>76.150000000000006</v>
      </c>
      <c r="L7">
        <v>0.28999999999999998</v>
      </c>
      <c r="M7">
        <v>174.69</v>
      </c>
      <c r="N7">
        <v>174.98</v>
      </c>
    </row>
    <row r="8" spans="1:15" x14ac:dyDescent="0.3">
      <c r="A8" s="2">
        <v>42948</v>
      </c>
      <c r="B8" t="s">
        <v>15</v>
      </c>
      <c r="C8">
        <v>2017</v>
      </c>
      <c r="D8">
        <v>8</v>
      </c>
      <c r="E8" t="s">
        <v>16</v>
      </c>
      <c r="F8" t="s">
        <v>25</v>
      </c>
      <c r="G8">
        <v>22</v>
      </c>
      <c r="H8" t="s">
        <v>20</v>
      </c>
      <c r="I8">
        <v>246.72</v>
      </c>
      <c r="J8">
        <v>328.39</v>
      </c>
      <c r="K8">
        <v>473.24</v>
      </c>
      <c r="L8">
        <v>581.67999999999995</v>
      </c>
      <c r="M8">
        <v>1048.3499999999999</v>
      </c>
      <c r="N8">
        <v>1630.03</v>
      </c>
    </row>
    <row r="9" spans="1:15" x14ac:dyDescent="0.3">
      <c r="A9" s="2">
        <v>42948</v>
      </c>
      <c r="B9" t="s">
        <v>15</v>
      </c>
      <c r="C9">
        <v>2017</v>
      </c>
      <c r="D9">
        <v>8</v>
      </c>
      <c r="E9" t="s">
        <v>16</v>
      </c>
      <c r="F9" t="s">
        <v>26</v>
      </c>
      <c r="G9">
        <v>38</v>
      </c>
      <c r="H9" t="s">
        <v>18</v>
      </c>
      <c r="I9">
        <v>17.940000000000001</v>
      </c>
      <c r="J9">
        <v>32.81</v>
      </c>
      <c r="K9">
        <v>231.94</v>
      </c>
      <c r="L9">
        <v>0.28000000000000003</v>
      </c>
      <c r="M9">
        <v>282.69</v>
      </c>
      <c r="N9">
        <v>282.97000000000003</v>
      </c>
    </row>
    <row r="10" spans="1:15" x14ac:dyDescent="0.3">
      <c r="A10" s="2">
        <v>42948</v>
      </c>
      <c r="B10" t="s">
        <v>15</v>
      </c>
      <c r="C10">
        <v>2017</v>
      </c>
      <c r="D10">
        <v>8</v>
      </c>
      <c r="E10" t="s">
        <v>16</v>
      </c>
      <c r="F10" t="s">
        <v>27</v>
      </c>
      <c r="G10">
        <v>7</v>
      </c>
      <c r="H10" t="s">
        <v>18</v>
      </c>
      <c r="I10">
        <v>732.5</v>
      </c>
      <c r="J10">
        <v>1050.58</v>
      </c>
      <c r="K10">
        <v>1381.49</v>
      </c>
      <c r="L10">
        <v>90.11</v>
      </c>
      <c r="M10">
        <v>3164.57</v>
      </c>
      <c r="N10">
        <v>3254.68</v>
      </c>
    </row>
    <row r="11" spans="1:15" x14ac:dyDescent="0.3">
      <c r="A11" s="2">
        <v>42948</v>
      </c>
      <c r="B11" t="s">
        <v>15</v>
      </c>
      <c r="C11">
        <v>2017</v>
      </c>
      <c r="D11">
        <v>8</v>
      </c>
      <c r="E11" t="s">
        <v>16</v>
      </c>
      <c r="F11" t="s">
        <v>28</v>
      </c>
      <c r="G11">
        <v>30</v>
      </c>
      <c r="H11" t="s">
        <v>20</v>
      </c>
      <c r="I11">
        <v>76.05</v>
      </c>
      <c r="J11">
        <v>105.54</v>
      </c>
      <c r="K11">
        <v>221.43</v>
      </c>
      <c r="L11">
        <v>1.75</v>
      </c>
      <c r="M11">
        <v>403.02</v>
      </c>
      <c r="N11">
        <v>404.77</v>
      </c>
    </row>
    <row r="12" spans="1:15" x14ac:dyDescent="0.3">
      <c r="A12" s="2">
        <v>42948</v>
      </c>
      <c r="B12" t="s">
        <v>15</v>
      </c>
      <c r="C12">
        <v>2017</v>
      </c>
      <c r="D12">
        <v>8</v>
      </c>
      <c r="E12" t="s">
        <v>16</v>
      </c>
      <c r="F12" t="s">
        <v>29</v>
      </c>
      <c r="G12">
        <v>24</v>
      </c>
      <c r="H12" t="s">
        <v>20</v>
      </c>
      <c r="I12">
        <v>1330.26</v>
      </c>
      <c r="J12">
        <v>1868.47</v>
      </c>
      <c r="K12">
        <v>2602.87</v>
      </c>
      <c r="L12">
        <v>213.3</v>
      </c>
      <c r="M12">
        <v>5801.6</v>
      </c>
      <c r="N12">
        <v>6014.9</v>
      </c>
    </row>
    <row r="13" spans="1:15" x14ac:dyDescent="0.3">
      <c r="A13" s="2">
        <v>42948</v>
      </c>
      <c r="B13" t="s">
        <v>15</v>
      </c>
      <c r="C13">
        <v>2017</v>
      </c>
      <c r="D13">
        <v>8</v>
      </c>
      <c r="E13" t="s">
        <v>16</v>
      </c>
      <c r="F13" t="s">
        <v>30</v>
      </c>
      <c r="G13">
        <v>6</v>
      </c>
      <c r="H13" t="s">
        <v>20</v>
      </c>
      <c r="I13">
        <v>799.75</v>
      </c>
      <c r="J13">
        <v>1271.55</v>
      </c>
      <c r="K13">
        <v>2256.54</v>
      </c>
      <c r="L13">
        <v>342.68</v>
      </c>
      <c r="M13">
        <v>4327.84</v>
      </c>
      <c r="N13">
        <v>4670.5200000000004</v>
      </c>
    </row>
    <row r="14" spans="1:15" x14ac:dyDescent="0.3">
      <c r="A14" s="2">
        <v>42948</v>
      </c>
      <c r="B14" t="s">
        <v>15</v>
      </c>
      <c r="C14">
        <v>2017</v>
      </c>
      <c r="D14">
        <v>8</v>
      </c>
      <c r="E14" t="s">
        <v>16</v>
      </c>
      <c r="F14" t="s">
        <v>31</v>
      </c>
      <c r="G14">
        <v>2</v>
      </c>
      <c r="H14" t="s">
        <v>20</v>
      </c>
      <c r="I14">
        <v>88.06</v>
      </c>
      <c r="J14">
        <v>133.75</v>
      </c>
      <c r="K14">
        <v>600.59</v>
      </c>
      <c r="L14">
        <v>1.1000000000000001</v>
      </c>
      <c r="M14">
        <v>822.4</v>
      </c>
      <c r="N14">
        <v>823.5</v>
      </c>
    </row>
    <row r="15" spans="1:15" x14ac:dyDescent="0.3">
      <c r="A15" s="2">
        <v>42948</v>
      </c>
      <c r="B15" t="s">
        <v>15</v>
      </c>
      <c r="C15">
        <v>2017</v>
      </c>
      <c r="D15">
        <v>8</v>
      </c>
      <c r="E15" t="s">
        <v>16</v>
      </c>
      <c r="F15" t="s">
        <v>32</v>
      </c>
      <c r="G15">
        <v>1</v>
      </c>
      <c r="H15" t="s">
        <v>18</v>
      </c>
      <c r="I15">
        <v>49.55</v>
      </c>
      <c r="J15">
        <v>103.16</v>
      </c>
      <c r="K15">
        <v>95.47</v>
      </c>
      <c r="L15">
        <v>17.149999999999999</v>
      </c>
      <c r="M15">
        <v>248.18</v>
      </c>
      <c r="N15">
        <v>265.33</v>
      </c>
    </row>
    <row r="16" spans="1:15" x14ac:dyDescent="0.3">
      <c r="A16" s="2">
        <v>42948</v>
      </c>
      <c r="B16" t="s">
        <v>15</v>
      </c>
      <c r="C16">
        <v>2017</v>
      </c>
      <c r="D16">
        <v>8</v>
      </c>
      <c r="E16" t="s">
        <v>16</v>
      </c>
      <c r="F16" t="s">
        <v>33</v>
      </c>
      <c r="G16">
        <v>20</v>
      </c>
      <c r="H16" t="s">
        <v>20</v>
      </c>
      <c r="I16">
        <v>202.52</v>
      </c>
      <c r="J16">
        <v>334.11</v>
      </c>
      <c r="K16">
        <v>685.69</v>
      </c>
      <c r="L16">
        <v>359.61</v>
      </c>
      <c r="M16">
        <v>1222.32</v>
      </c>
      <c r="N16">
        <v>1581.93</v>
      </c>
    </row>
    <row r="17" spans="1:14" x14ac:dyDescent="0.3">
      <c r="A17" s="2">
        <v>42948</v>
      </c>
      <c r="B17" t="s">
        <v>15</v>
      </c>
      <c r="C17">
        <v>2017</v>
      </c>
      <c r="D17">
        <v>8</v>
      </c>
      <c r="E17" t="s">
        <v>16</v>
      </c>
      <c r="F17" t="s">
        <v>34</v>
      </c>
      <c r="G17">
        <v>29</v>
      </c>
      <c r="H17" t="s">
        <v>20</v>
      </c>
      <c r="I17">
        <v>1398.26</v>
      </c>
      <c r="J17">
        <v>2107.27</v>
      </c>
      <c r="K17">
        <v>2590.31</v>
      </c>
      <c r="L17">
        <v>880.37</v>
      </c>
      <c r="M17">
        <v>6095.84</v>
      </c>
      <c r="N17">
        <v>6976.21</v>
      </c>
    </row>
    <row r="18" spans="1:14" x14ac:dyDescent="0.3">
      <c r="A18" s="2">
        <v>42948</v>
      </c>
      <c r="B18" t="s">
        <v>15</v>
      </c>
      <c r="C18">
        <v>2017</v>
      </c>
      <c r="D18">
        <v>8</v>
      </c>
      <c r="E18" t="s">
        <v>16</v>
      </c>
      <c r="F18" t="s">
        <v>35</v>
      </c>
      <c r="G18">
        <v>32</v>
      </c>
      <c r="H18" t="s">
        <v>20</v>
      </c>
      <c r="I18">
        <v>474.65</v>
      </c>
      <c r="J18">
        <v>799.13</v>
      </c>
      <c r="K18">
        <v>249.93</v>
      </c>
      <c r="L18">
        <v>10.050000000000001</v>
      </c>
      <c r="M18">
        <v>1523.71</v>
      </c>
      <c r="N18">
        <v>1533.76</v>
      </c>
    </row>
    <row r="19" spans="1:14" x14ac:dyDescent="0.3">
      <c r="A19" s="2">
        <v>42948</v>
      </c>
      <c r="B19" t="s">
        <v>15</v>
      </c>
      <c r="C19">
        <v>2017</v>
      </c>
      <c r="D19">
        <v>8</v>
      </c>
      <c r="E19" t="s">
        <v>16</v>
      </c>
      <c r="F19" t="s">
        <v>36</v>
      </c>
      <c r="G19">
        <v>31</v>
      </c>
      <c r="H19" t="s">
        <v>18</v>
      </c>
      <c r="I19">
        <v>0.17</v>
      </c>
      <c r="J19">
        <v>0.17</v>
      </c>
      <c r="K19">
        <v>0.01</v>
      </c>
      <c r="L19">
        <v>0</v>
      </c>
      <c r="M19">
        <v>0.35</v>
      </c>
      <c r="N19">
        <v>0.35</v>
      </c>
    </row>
    <row r="20" spans="1:14" x14ac:dyDescent="0.3">
      <c r="A20" s="2">
        <v>42948</v>
      </c>
      <c r="B20" t="s">
        <v>15</v>
      </c>
      <c r="C20">
        <v>2017</v>
      </c>
      <c r="D20">
        <v>8</v>
      </c>
      <c r="E20" t="s">
        <v>16</v>
      </c>
      <c r="F20" t="s">
        <v>37</v>
      </c>
      <c r="G20">
        <v>23</v>
      </c>
      <c r="H20" t="s">
        <v>20</v>
      </c>
      <c r="I20">
        <v>404.15</v>
      </c>
      <c r="J20">
        <v>626.25</v>
      </c>
      <c r="K20">
        <v>655.27</v>
      </c>
      <c r="L20">
        <v>426.32</v>
      </c>
      <c r="M20">
        <v>1685.67</v>
      </c>
      <c r="N20">
        <v>2111.9899999999998</v>
      </c>
    </row>
    <row r="21" spans="1:14" x14ac:dyDescent="0.3">
      <c r="A21" s="2">
        <v>42948</v>
      </c>
      <c r="B21" t="s">
        <v>15</v>
      </c>
      <c r="C21">
        <v>2017</v>
      </c>
      <c r="D21">
        <v>8</v>
      </c>
      <c r="E21" t="s">
        <v>16</v>
      </c>
      <c r="F21" t="s">
        <v>38</v>
      </c>
      <c r="G21">
        <v>27</v>
      </c>
      <c r="H21" t="s">
        <v>20</v>
      </c>
      <c r="I21">
        <v>3504.23</v>
      </c>
      <c r="J21">
        <v>4855.67</v>
      </c>
      <c r="K21">
        <v>4383.49</v>
      </c>
      <c r="L21">
        <v>847.19</v>
      </c>
      <c r="M21">
        <v>12743.39</v>
      </c>
      <c r="N21">
        <v>13590.58</v>
      </c>
    </row>
    <row r="22" spans="1:14" x14ac:dyDescent="0.3">
      <c r="A22" s="2">
        <v>42948</v>
      </c>
      <c r="B22" t="s">
        <v>15</v>
      </c>
      <c r="C22">
        <v>2017</v>
      </c>
      <c r="D22">
        <v>8</v>
      </c>
      <c r="E22" t="s">
        <v>16</v>
      </c>
      <c r="F22" t="s">
        <v>39</v>
      </c>
      <c r="G22">
        <v>14</v>
      </c>
      <c r="H22" t="s">
        <v>20</v>
      </c>
      <c r="I22">
        <v>3.66</v>
      </c>
      <c r="J22">
        <v>8.9700000000000006</v>
      </c>
      <c r="K22">
        <v>0.89</v>
      </c>
      <c r="L22">
        <v>0.16</v>
      </c>
      <c r="M22">
        <v>13.52</v>
      </c>
      <c r="N22">
        <v>13.68</v>
      </c>
    </row>
    <row r="23" spans="1:14" x14ac:dyDescent="0.3">
      <c r="A23" s="2">
        <v>42948</v>
      </c>
      <c r="B23" t="s">
        <v>15</v>
      </c>
      <c r="C23">
        <v>2017</v>
      </c>
      <c r="D23">
        <v>8</v>
      </c>
      <c r="E23" t="s">
        <v>16</v>
      </c>
      <c r="F23" t="s">
        <v>40</v>
      </c>
      <c r="G23">
        <v>17</v>
      </c>
      <c r="H23" t="s">
        <v>20</v>
      </c>
      <c r="I23">
        <v>12.1</v>
      </c>
      <c r="J23">
        <v>20.59</v>
      </c>
      <c r="K23">
        <v>37.93</v>
      </c>
      <c r="L23">
        <v>6.86</v>
      </c>
      <c r="M23">
        <v>70.62</v>
      </c>
      <c r="N23">
        <v>77.48</v>
      </c>
    </row>
    <row r="24" spans="1:14" x14ac:dyDescent="0.3">
      <c r="A24" s="2">
        <v>42948</v>
      </c>
      <c r="B24" t="s">
        <v>15</v>
      </c>
      <c r="C24">
        <v>2017</v>
      </c>
      <c r="D24">
        <v>8</v>
      </c>
      <c r="E24" t="s">
        <v>16</v>
      </c>
      <c r="F24" t="s">
        <v>41</v>
      </c>
      <c r="G24">
        <v>15</v>
      </c>
      <c r="H24" t="s">
        <v>20</v>
      </c>
      <c r="I24">
        <v>1.59</v>
      </c>
      <c r="J24">
        <v>4.17</v>
      </c>
      <c r="K24">
        <v>0.26</v>
      </c>
      <c r="L24">
        <v>0.03</v>
      </c>
      <c r="M24">
        <v>6.02</v>
      </c>
      <c r="N24">
        <v>6.05</v>
      </c>
    </row>
    <row r="25" spans="1:14" x14ac:dyDescent="0.3">
      <c r="A25" s="2">
        <v>42948</v>
      </c>
      <c r="B25" t="s">
        <v>15</v>
      </c>
      <c r="C25">
        <v>2017</v>
      </c>
      <c r="D25">
        <v>8</v>
      </c>
      <c r="E25" t="s">
        <v>16</v>
      </c>
      <c r="F25" t="s">
        <v>42</v>
      </c>
      <c r="G25">
        <v>13</v>
      </c>
      <c r="H25" t="s">
        <v>20</v>
      </c>
      <c r="I25">
        <v>2.65</v>
      </c>
      <c r="J25">
        <v>5.57</v>
      </c>
      <c r="K25">
        <v>5.41</v>
      </c>
      <c r="L25">
        <v>0.1</v>
      </c>
      <c r="M25">
        <v>13.63</v>
      </c>
      <c r="N25">
        <v>13.73</v>
      </c>
    </row>
    <row r="26" spans="1:14" x14ac:dyDescent="0.3">
      <c r="A26" s="2">
        <v>42948</v>
      </c>
      <c r="B26" t="s">
        <v>15</v>
      </c>
      <c r="C26">
        <v>2017</v>
      </c>
      <c r="D26">
        <v>8</v>
      </c>
      <c r="E26" t="s">
        <v>16</v>
      </c>
      <c r="F26" t="s">
        <v>43</v>
      </c>
      <c r="G26">
        <v>21</v>
      </c>
      <c r="H26" t="s">
        <v>20</v>
      </c>
      <c r="I26">
        <v>317.68</v>
      </c>
      <c r="J26">
        <v>471.37</v>
      </c>
      <c r="K26">
        <v>555.89</v>
      </c>
      <c r="L26">
        <v>564.80999999999995</v>
      </c>
      <c r="M26">
        <v>1344.94</v>
      </c>
      <c r="N26">
        <v>1909.75</v>
      </c>
    </row>
    <row r="27" spans="1:14" x14ac:dyDescent="0.3">
      <c r="A27" s="2">
        <v>42948</v>
      </c>
      <c r="B27" t="s">
        <v>15</v>
      </c>
      <c r="C27">
        <v>2017</v>
      </c>
      <c r="D27">
        <v>8</v>
      </c>
      <c r="E27" t="s">
        <v>16</v>
      </c>
      <c r="F27" t="s">
        <v>44</v>
      </c>
      <c r="G27">
        <v>34</v>
      </c>
      <c r="H27" t="s">
        <v>18</v>
      </c>
      <c r="I27">
        <v>19.690000000000001</v>
      </c>
      <c r="J27">
        <v>35.549999999999997</v>
      </c>
      <c r="K27">
        <v>152.16</v>
      </c>
      <c r="L27">
        <v>0.54</v>
      </c>
      <c r="M27">
        <v>207.4</v>
      </c>
      <c r="N27">
        <v>207.94</v>
      </c>
    </row>
    <row r="28" spans="1:14" x14ac:dyDescent="0.3">
      <c r="A28" s="2">
        <v>42948</v>
      </c>
      <c r="B28" t="s">
        <v>15</v>
      </c>
      <c r="C28">
        <v>2017</v>
      </c>
      <c r="D28">
        <v>8</v>
      </c>
      <c r="E28" t="s">
        <v>16</v>
      </c>
      <c r="F28" t="s">
        <v>45</v>
      </c>
      <c r="G28">
        <v>3</v>
      </c>
      <c r="H28" t="s">
        <v>20</v>
      </c>
      <c r="I28">
        <v>313.45</v>
      </c>
      <c r="J28">
        <v>577.38</v>
      </c>
      <c r="K28">
        <v>618.5</v>
      </c>
      <c r="L28">
        <v>12.5</v>
      </c>
      <c r="M28">
        <v>1509.33</v>
      </c>
      <c r="N28">
        <v>1521.83</v>
      </c>
    </row>
    <row r="29" spans="1:14" x14ac:dyDescent="0.3">
      <c r="A29" s="2">
        <v>42948</v>
      </c>
      <c r="B29" t="s">
        <v>15</v>
      </c>
      <c r="C29">
        <v>2017</v>
      </c>
      <c r="D29">
        <v>8</v>
      </c>
      <c r="E29" t="s">
        <v>16</v>
      </c>
      <c r="F29" t="s">
        <v>46</v>
      </c>
      <c r="G29">
        <v>8</v>
      </c>
      <c r="H29" t="s">
        <v>20</v>
      </c>
      <c r="I29">
        <v>522.29</v>
      </c>
      <c r="J29">
        <v>806.2</v>
      </c>
      <c r="K29">
        <v>1084.97</v>
      </c>
      <c r="L29">
        <v>126.74</v>
      </c>
      <c r="M29">
        <v>2413.46</v>
      </c>
      <c r="N29">
        <v>2540.1999999999998</v>
      </c>
    </row>
    <row r="30" spans="1:14" x14ac:dyDescent="0.3">
      <c r="A30" s="2">
        <v>42948</v>
      </c>
      <c r="B30" t="s">
        <v>15</v>
      </c>
      <c r="C30">
        <v>2017</v>
      </c>
      <c r="D30">
        <v>8</v>
      </c>
      <c r="E30" t="s">
        <v>16</v>
      </c>
      <c r="F30" t="s">
        <v>47</v>
      </c>
      <c r="G30">
        <v>11</v>
      </c>
      <c r="H30" t="s">
        <v>20</v>
      </c>
      <c r="I30">
        <v>5.09</v>
      </c>
      <c r="J30">
        <v>24.81</v>
      </c>
      <c r="K30">
        <v>130.09</v>
      </c>
      <c r="L30">
        <v>0.04</v>
      </c>
      <c r="M30">
        <v>159.99</v>
      </c>
      <c r="N30">
        <v>160.03</v>
      </c>
    </row>
    <row r="31" spans="1:14" x14ac:dyDescent="0.3">
      <c r="A31" s="2">
        <v>42948</v>
      </c>
      <c r="B31" t="s">
        <v>15</v>
      </c>
      <c r="C31">
        <v>2017</v>
      </c>
      <c r="D31">
        <v>8</v>
      </c>
      <c r="E31" t="s">
        <v>16</v>
      </c>
      <c r="F31" t="s">
        <v>48</v>
      </c>
      <c r="G31">
        <v>33</v>
      </c>
      <c r="H31" t="s">
        <v>20</v>
      </c>
      <c r="I31">
        <v>1505.14</v>
      </c>
      <c r="J31">
        <v>2472.9299999999998</v>
      </c>
      <c r="K31">
        <v>2218.65</v>
      </c>
      <c r="L31">
        <v>429.37</v>
      </c>
      <c r="M31">
        <v>6196.72</v>
      </c>
      <c r="N31">
        <v>6626.09</v>
      </c>
    </row>
    <row r="32" spans="1:14" x14ac:dyDescent="0.3">
      <c r="A32" s="2">
        <v>42948</v>
      </c>
      <c r="B32" t="s">
        <v>15</v>
      </c>
      <c r="C32">
        <v>2017</v>
      </c>
      <c r="D32">
        <v>8</v>
      </c>
      <c r="E32" t="s">
        <v>16</v>
      </c>
      <c r="F32" t="s">
        <v>49</v>
      </c>
      <c r="G32">
        <v>36</v>
      </c>
      <c r="H32" t="s">
        <v>20</v>
      </c>
      <c r="I32">
        <v>543.29</v>
      </c>
      <c r="J32">
        <v>840.53</v>
      </c>
      <c r="K32">
        <v>929.76</v>
      </c>
      <c r="L32">
        <v>445.13</v>
      </c>
      <c r="M32">
        <v>2313.58</v>
      </c>
      <c r="N32">
        <v>2758.71</v>
      </c>
    </row>
    <row r="33" spans="1:14" x14ac:dyDescent="0.3">
      <c r="A33" s="2">
        <v>42948</v>
      </c>
      <c r="B33" t="s">
        <v>15</v>
      </c>
      <c r="C33">
        <v>2017</v>
      </c>
      <c r="D33">
        <v>8</v>
      </c>
      <c r="E33" t="s">
        <v>16</v>
      </c>
      <c r="F33" t="s">
        <v>50</v>
      </c>
      <c r="G33">
        <v>16</v>
      </c>
      <c r="H33" t="s">
        <v>20</v>
      </c>
      <c r="I33">
        <v>11.34</v>
      </c>
      <c r="J33">
        <v>18.71</v>
      </c>
      <c r="K33">
        <v>2.8</v>
      </c>
      <c r="L33">
        <v>4.24</v>
      </c>
      <c r="M33">
        <v>32.85</v>
      </c>
      <c r="N33">
        <v>37.090000000000003</v>
      </c>
    </row>
    <row r="34" spans="1:14" x14ac:dyDescent="0.3">
      <c r="A34" s="2">
        <v>42948</v>
      </c>
      <c r="B34" t="s">
        <v>15</v>
      </c>
      <c r="C34">
        <v>2017</v>
      </c>
      <c r="D34">
        <v>8</v>
      </c>
      <c r="E34" t="s">
        <v>16</v>
      </c>
      <c r="F34" t="s">
        <v>51</v>
      </c>
      <c r="G34">
        <v>9</v>
      </c>
      <c r="H34" t="s">
        <v>20</v>
      </c>
      <c r="I34">
        <v>931.02</v>
      </c>
      <c r="J34">
        <v>1569.63</v>
      </c>
      <c r="K34">
        <v>1468.42</v>
      </c>
      <c r="L34">
        <v>757.93</v>
      </c>
      <c r="M34">
        <v>3969.07</v>
      </c>
      <c r="N34">
        <v>4727</v>
      </c>
    </row>
    <row r="35" spans="1:14" x14ac:dyDescent="0.3">
      <c r="A35" s="2">
        <v>42948</v>
      </c>
      <c r="B35" t="s">
        <v>15</v>
      </c>
      <c r="C35">
        <v>2017</v>
      </c>
      <c r="D35">
        <v>8</v>
      </c>
      <c r="E35" t="s">
        <v>16</v>
      </c>
      <c r="F35" t="s">
        <v>52</v>
      </c>
      <c r="G35">
        <v>5</v>
      </c>
      <c r="H35" t="s">
        <v>20</v>
      </c>
      <c r="I35">
        <v>150.38</v>
      </c>
      <c r="J35">
        <v>285.43</v>
      </c>
      <c r="K35">
        <v>1241.9100000000001</v>
      </c>
      <c r="L35">
        <v>15.13</v>
      </c>
      <c r="M35">
        <v>1677.72</v>
      </c>
      <c r="N35">
        <v>1692.85</v>
      </c>
    </row>
    <row r="36" spans="1:14" x14ac:dyDescent="0.3">
      <c r="A36" s="2">
        <v>42948</v>
      </c>
      <c r="B36" t="s">
        <v>15</v>
      </c>
      <c r="C36">
        <v>2017</v>
      </c>
      <c r="D36">
        <v>8</v>
      </c>
      <c r="E36" t="s">
        <v>16</v>
      </c>
      <c r="F36" t="s">
        <v>53</v>
      </c>
      <c r="G36">
        <v>19</v>
      </c>
      <c r="H36" t="s">
        <v>20</v>
      </c>
      <c r="I36">
        <v>751.01</v>
      </c>
      <c r="J36">
        <v>1118.82</v>
      </c>
      <c r="K36">
        <v>858.65</v>
      </c>
      <c r="L36">
        <v>280.42</v>
      </c>
      <c r="M36">
        <v>2728.48</v>
      </c>
      <c r="N36">
        <v>3008.9</v>
      </c>
    </row>
    <row r="37" spans="1:14" x14ac:dyDescent="0.3">
      <c r="A37" s="2">
        <v>42979</v>
      </c>
      <c r="B37" t="s">
        <v>15</v>
      </c>
      <c r="C37">
        <v>2017</v>
      </c>
      <c r="D37">
        <v>9</v>
      </c>
      <c r="E37" t="s">
        <v>54</v>
      </c>
      <c r="F37" t="s">
        <v>17</v>
      </c>
      <c r="G37">
        <v>35</v>
      </c>
      <c r="H37" t="s">
        <v>18</v>
      </c>
      <c r="I37">
        <v>12.07</v>
      </c>
      <c r="J37">
        <v>13.37</v>
      </c>
      <c r="K37">
        <v>0.74</v>
      </c>
      <c r="L37">
        <v>0</v>
      </c>
      <c r="M37">
        <v>26.18</v>
      </c>
      <c r="N37">
        <v>26.18</v>
      </c>
    </row>
    <row r="38" spans="1:14" x14ac:dyDescent="0.3">
      <c r="A38" s="2">
        <v>42979</v>
      </c>
      <c r="B38" t="s">
        <v>15</v>
      </c>
      <c r="C38">
        <v>2017</v>
      </c>
      <c r="D38">
        <v>9</v>
      </c>
      <c r="E38" t="s">
        <v>54</v>
      </c>
      <c r="F38" t="s">
        <v>19</v>
      </c>
      <c r="G38">
        <v>28</v>
      </c>
      <c r="H38" t="s">
        <v>20</v>
      </c>
      <c r="I38">
        <v>428.46</v>
      </c>
      <c r="J38">
        <v>634.91999999999996</v>
      </c>
      <c r="K38">
        <v>718.73</v>
      </c>
      <c r="L38">
        <v>19.93</v>
      </c>
      <c r="M38">
        <v>1782.11</v>
      </c>
      <c r="N38">
        <v>1802.04</v>
      </c>
    </row>
    <row r="39" spans="1:14" x14ac:dyDescent="0.3">
      <c r="A39" s="2">
        <v>42979</v>
      </c>
      <c r="B39" t="s">
        <v>15</v>
      </c>
      <c r="C39">
        <v>2017</v>
      </c>
      <c r="D39">
        <v>9</v>
      </c>
      <c r="E39" t="s">
        <v>54</v>
      </c>
      <c r="F39" t="s">
        <v>21</v>
      </c>
      <c r="G39">
        <v>12</v>
      </c>
      <c r="H39" t="s">
        <v>20</v>
      </c>
      <c r="I39">
        <v>2.5499999999999998</v>
      </c>
      <c r="J39">
        <v>4.29</v>
      </c>
      <c r="K39">
        <v>2.5</v>
      </c>
      <c r="L39">
        <v>0.03</v>
      </c>
      <c r="M39">
        <v>9.34</v>
      </c>
      <c r="N39">
        <v>9.3699999999999992</v>
      </c>
    </row>
    <row r="40" spans="1:14" x14ac:dyDescent="0.3">
      <c r="A40" s="2">
        <v>42979</v>
      </c>
      <c r="B40" t="s">
        <v>15</v>
      </c>
      <c r="C40">
        <v>2017</v>
      </c>
      <c r="D40">
        <v>9</v>
      </c>
      <c r="E40" t="s">
        <v>54</v>
      </c>
      <c r="F40" t="s">
        <v>22</v>
      </c>
      <c r="G40">
        <v>18</v>
      </c>
      <c r="H40" t="s">
        <v>20</v>
      </c>
      <c r="I40">
        <v>155.97</v>
      </c>
      <c r="J40">
        <v>250.95</v>
      </c>
      <c r="K40">
        <v>234.04</v>
      </c>
      <c r="L40">
        <v>31.81</v>
      </c>
      <c r="M40">
        <v>640.96</v>
      </c>
      <c r="N40">
        <v>672.77</v>
      </c>
    </row>
    <row r="41" spans="1:14" x14ac:dyDescent="0.3">
      <c r="A41" s="2">
        <v>42979</v>
      </c>
      <c r="B41" t="s">
        <v>15</v>
      </c>
      <c r="C41">
        <v>2017</v>
      </c>
      <c r="D41">
        <v>9</v>
      </c>
      <c r="E41" t="s">
        <v>54</v>
      </c>
      <c r="F41" t="s">
        <v>23</v>
      </c>
      <c r="G41">
        <v>10</v>
      </c>
      <c r="H41" t="s">
        <v>20</v>
      </c>
      <c r="I41">
        <v>130.25</v>
      </c>
      <c r="J41">
        <v>260.97000000000003</v>
      </c>
      <c r="K41">
        <v>79.17</v>
      </c>
      <c r="L41">
        <v>203.85</v>
      </c>
      <c r="M41">
        <v>470.39</v>
      </c>
      <c r="N41">
        <v>674.24</v>
      </c>
    </row>
    <row r="42" spans="1:14" x14ac:dyDescent="0.3">
      <c r="A42" s="2">
        <v>42979</v>
      </c>
      <c r="B42" t="s">
        <v>15</v>
      </c>
      <c r="C42">
        <v>2017</v>
      </c>
      <c r="D42">
        <v>9</v>
      </c>
      <c r="E42" t="s">
        <v>54</v>
      </c>
      <c r="F42" t="s">
        <v>24</v>
      </c>
      <c r="G42">
        <v>4</v>
      </c>
      <c r="H42" t="s">
        <v>18</v>
      </c>
      <c r="I42">
        <v>31.94</v>
      </c>
      <c r="J42">
        <v>43.68</v>
      </c>
      <c r="K42">
        <v>70.989999999999995</v>
      </c>
      <c r="L42">
        <v>1.03</v>
      </c>
      <c r="M42">
        <v>146.61000000000001</v>
      </c>
      <c r="N42">
        <v>147.63999999999999</v>
      </c>
    </row>
    <row r="43" spans="1:14" x14ac:dyDescent="0.3">
      <c r="A43" s="2">
        <v>42979</v>
      </c>
      <c r="B43" t="s">
        <v>15</v>
      </c>
      <c r="C43">
        <v>2017</v>
      </c>
      <c r="D43">
        <v>9</v>
      </c>
      <c r="E43" t="s">
        <v>54</v>
      </c>
      <c r="F43" t="s">
        <v>25</v>
      </c>
      <c r="G43">
        <v>22</v>
      </c>
      <c r="H43" t="s">
        <v>20</v>
      </c>
      <c r="I43">
        <v>237.28</v>
      </c>
      <c r="J43">
        <v>330.84</v>
      </c>
      <c r="K43">
        <v>396.97</v>
      </c>
      <c r="L43">
        <v>634.34</v>
      </c>
      <c r="M43">
        <v>965.09</v>
      </c>
      <c r="N43">
        <v>1599.43</v>
      </c>
    </row>
    <row r="44" spans="1:14" x14ac:dyDescent="0.3">
      <c r="A44" s="2">
        <v>42979</v>
      </c>
      <c r="B44" t="s">
        <v>15</v>
      </c>
      <c r="C44">
        <v>2017</v>
      </c>
      <c r="D44">
        <v>9</v>
      </c>
      <c r="E44" t="s">
        <v>54</v>
      </c>
      <c r="F44" t="s">
        <v>26</v>
      </c>
      <c r="G44">
        <v>38</v>
      </c>
      <c r="H44" t="s">
        <v>18</v>
      </c>
      <c r="I44">
        <v>20.61</v>
      </c>
      <c r="J44">
        <v>32.74</v>
      </c>
      <c r="K44">
        <v>238.98</v>
      </c>
      <c r="L44">
        <v>0.21</v>
      </c>
      <c r="M44">
        <v>292.33</v>
      </c>
      <c r="N44">
        <v>292.54000000000002</v>
      </c>
    </row>
    <row r="45" spans="1:14" x14ac:dyDescent="0.3">
      <c r="A45" s="2">
        <v>42979</v>
      </c>
      <c r="B45" t="s">
        <v>15</v>
      </c>
      <c r="C45">
        <v>2017</v>
      </c>
      <c r="D45">
        <v>9</v>
      </c>
      <c r="E45" t="s">
        <v>54</v>
      </c>
      <c r="F45" t="s">
        <v>27</v>
      </c>
      <c r="G45">
        <v>7</v>
      </c>
      <c r="H45" t="s">
        <v>18</v>
      </c>
      <c r="I45">
        <v>745.28</v>
      </c>
      <c r="J45">
        <v>1021.16</v>
      </c>
      <c r="K45">
        <v>1535.08</v>
      </c>
      <c r="L45">
        <v>103.21</v>
      </c>
      <c r="M45">
        <v>3301.52</v>
      </c>
      <c r="N45">
        <v>3404.73</v>
      </c>
    </row>
    <row r="46" spans="1:14" x14ac:dyDescent="0.3">
      <c r="A46" s="2">
        <v>42979</v>
      </c>
      <c r="B46" t="s">
        <v>15</v>
      </c>
      <c r="C46">
        <v>2017</v>
      </c>
      <c r="D46">
        <v>9</v>
      </c>
      <c r="E46" t="s">
        <v>54</v>
      </c>
      <c r="F46" t="s">
        <v>28</v>
      </c>
      <c r="G46">
        <v>30</v>
      </c>
      <c r="H46" t="s">
        <v>20</v>
      </c>
      <c r="I46">
        <v>76.39</v>
      </c>
      <c r="J46">
        <v>109.27</v>
      </c>
      <c r="K46">
        <v>163.56</v>
      </c>
      <c r="L46">
        <v>2.58</v>
      </c>
      <c r="M46">
        <v>349.22</v>
      </c>
      <c r="N46">
        <v>351.8</v>
      </c>
    </row>
    <row r="47" spans="1:14" x14ac:dyDescent="0.3">
      <c r="A47" s="2">
        <v>42979</v>
      </c>
      <c r="B47" t="s">
        <v>15</v>
      </c>
      <c r="C47">
        <v>2017</v>
      </c>
      <c r="D47">
        <v>9</v>
      </c>
      <c r="E47" t="s">
        <v>54</v>
      </c>
      <c r="F47" t="s">
        <v>29</v>
      </c>
      <c r="G47">
        <v>24</v>
      </c>
      <c r="H47" t="s">
        <v>20</v>
      </c>
      <c r="I47">
        <v>1401.94</v>
      </c>
      <c r="J47">
        <v>1877.44</v>
      </c>
      <c r="K47">
        <v>2143.73</v>
      </c>
      <c r="L47">
        <v>298.11</v>
      </c>
      <c r="M47">
        <v>5423.11</v>
      </c>
      <c r="N47">
        <v>5721.22</v>
      </c>
    </row>
    <row r="48" spans="1:14" x14ac:dyDescent="0.3">
      <c r="A48" s="2">
        <v>42979</v>
      </c>
      <c r="B48" t="s">
        <v>15</v>
      </c>
      <c r="C48">
        <v>2017</v>
      </c>
      <c r="D48">
        <v>9</v>
      </c>
      <c r="E48" t="s">
        <v>54</v>
      </c>
      <c r="F48" t="s">
        <v>30</v>
      </c>
      <c r="G48">
        <v>6</v>
      </c>
      <c r="H48" t="s">
        <v>20</v>
      </c>
      <c r="I48">
        <v>747.89</v>
      </c>
      <c r="J48">
        <v>1147.96</v>
      </c>
      <c r="K48">
        <v>3181.07</v>
      </c>
      <c r="L48">
        <v>363.26</v>
      </c>
      <c r="M48">
        <v>5076.92</v>
      </c>
      <c r="N48">
        <v>5440.18</v>
      </c>
    </row>
    <row r="49" spans="1:14" x14ac:dyDescent="0.3">
      <c r="A49" s="2">
        <v>42979</v>
      </c>
      <c r="B49" t="s">
        <v>15</v>
      </c>
      <c r="C49">
        <v>2017</v>
      </c>
      <c r="D49">
        <v>9</v>
      </c>
      <c r="E49" t="s">
        <v>54</v>
      </c>
      <c r="F49" t="s">
        <v>31</v>
      </c>
      <c r="G49">
        <v>2</v>
      </c>
      <c r="H49" t="s">
        <v>20</v>
      </c>
      <c r="I49">
        <v>90.25</v>
      </c>
      <c r="J49">
        <v>134.94</v>
      </c>
      <c r="K49">
        <v>518.72</v>
      </c>
      <c r="L49">
        <v>1.67</v>
      </c>
      <c r="M49">
        <v>743.91</v>
      </c>
      <c r="N49">
        <v>745.58</v>
      </c>
    </row>
    <row r="50" spans="1:14" x14ac:dyDescent="0.3">
      <c r="A50" s="2">
        <v>42979</v>
      </c>
      <c r="B50" t="s">
        <v>15</v>
      </c>
      <c r="C50">
        <v>2017</v>
      </c>
      <c r="D50">
        <v>9</v>
      </c>
      <c r="E50" t="s">
        <v>54</v>
      </c>
      <c r="F50" t="s">
        <v>32</v>
      </c>
      <c r="G50">
        <v>1</v>
      </c>
      <c r="H50" t="s">
        <v>18</v>
      </c>
      <c r="I50">
        <v>71.31</v>
      </c>
      <c r="J50">
        <v>136.54</v>
      </c>
      <c r="K50">
        <v>107</v>
      </c>
      <c r="L50">
        <v>4.92</v>
      </c>
      <c r="M50">
        <v>314.85000000000002</v>
      </c>
      <c r="N50">
        <v>319.77</v>
      </c>
    </row>
    <row r="51" spans="1:14" x14ac:dyDescent="0.3">
      <c r="A51" s="2">
        <v>42979</v>
      </c>
      <c r="B51" t="s">
        <v>15</v>
      </c>
      <c r="C51">
        <v>2017</v>
      </c>
      <c r="D51">
        <v>9</v>
      </c>
      <c r="E51" t="s">
        <v>54</v>
      </c>
      <c r="F51" t="s">
        <v>33</v>
      </c>
      <c r="G51">
        <v>20</v>
      </c>
      <c r="H51" t="s">
        <v>20</v>
      </c>
      <c r="I51">
        <v>210.01</v>
      </c>
      <c r="J51">
        <v>295.25</v>
      </c>
      <c r="K51">
        <v>697.34</v>
      </c>
      <c r="L51">
        <v>437.86</v>
      </c>
      <c r="M51">
        <v>1202.5999999999999</v>
      </c>
      <c r="N51">
        <v>1640.46</v>
      </c>
    </row>
    <row r="52" spans="1:14" x14ac:dyDescent="0.3">
      <c r="A52" s="2">
        <v>42979</v>
      </c>
      <c r="B52" t="s">
        <v>15</v>
      </c>
      <c r="C52">
        <v>2017</v>
      </c>
      <c r="D52">
        <v>9</v>
      </c>
      <c r="E52" t="s">
        <v>54</v>
      </c>
      <c r="F52" t="s">
        <v>34</v>
      </c>
      <c r="G52">
        <v>29</v>
      </c>
      <c r="H52" t="s">
        <v>20</v>
      </c>
      <c r="I52">
        <v>1363.58</v>
      </c>
      <c r="J52">
        <v>1996.53</v>
      </c>
      <c r="K52">
        <v>1941.17</v>
      </c>
      <c r="L52">
        <v>838.44</v>
      </c>
      <c r="M52">
        <v>5301.28</v>
      </c>
      <c r="N52">
        <v>6139.72</v>
      </c>
    </row>
    <row r="53" spans="1:14" x14ac:dyDescent="0.3">
      <c r="A53" s="2">
        <v>42979</v>
      </c>
      <c r="B53" t="s">
        <v>15</v>
      </c>
      <c r="C53">
        <v>2017</v>
      </c>
      <c r="D53">
        <v>9</v>
      </c>
      <c r="E53" t="s">
        <v>54</v>
      </c>
      <c r="F53" t="s">
        <v>35</v>
      </c>
      <c r="G53">
        <v>32</v>
      </c>
      <c r="H53" t="s">
        <v>20</v>
      </c>
      <c r="I53">
        <v>483.3</v>
      </c>
      <c r="J53">
        <v>802.58</v>
      </c>
      <c r="K53">
        <v>243.71</v>
      </c>
      <c r="L53">
        <v>13.55</v>
      </c>
      <c r="M53">
        <v>1529.59</v>
      </c>
      <c r="N53">
        <v>1543.14</v>
      </c>
    </row>
    <row r="54" spans="1:14" x14ac:dyDescent="0.3">
      <c r="A54" s="2">
        <v>42979</v>
      </c>
      <c r="B54" t="s">
        <v>15</v>
      </c>
      <c r="C54">
        <v>2017</v>
      </c>
      <c r="D54">
        <v>9</v>
      </c>
      <c r="E54" t="s">
        <v>54</v>
      </c>
      <c r="F54" t="s">
        <v>36</v>
      </c>
      <c r="G54">
        <v>31</v>
      </c>
      <c r="H54" t="s">
        <v>18</v>
      </c>
      <c r="I54">
        <v>0.4</v>
      </c>
      <c r="J54">
        <v>0.4</v>
      </c>
      <c r="K54">
        <v>0.03</v>
      </c>
      <c r="L54">
        <v>0</v>
      </c>
      <c r="M54">
        <v>0.83</v>
      </c>
      <c r="N54">
        <v>0.83</v>
      </c>
    </row>
    <row r="55" spans="1:14" x14ac:dyDescent="0.3">
      <c r="A55" s="2">
        <v>42979</v>
      </c>
      <c r="B55" t="s">
        <v>15</v>
      </c>
      <c r="C55">
        <v>2017</v>
      </c>
      <c r="D55">
        <v>9</v>
      </c>
      <c r="E55" t="s">
        <v>54</v>
      </c>
      <c r="F55" t="s">
        <v>37</v>
      </c>
      <c r="G55">
        <v>23</v>
      </c>
      <c r="H55" t="s">
        <v>20</v>
      </c>
      <c r="I55">
        <v>391.63</v>
      </c>
      <c r="J55">
        <v>567.30999999999995</v>
      </c>
      <c r="K55">
        <v>533.07000000000005</v>
      </c>
      <c r="L55">
        <v>414.14</v>
      </c>
      <c r="M55">
        <v>1492.01</v>
      </c>
      <c r="N55">
        <v>1906.15</v>
      </c>
    </row>
    <row r="56" spans="1:14" x14ac:dyDescent="0.3">
      <c r="A56" s="2">
        <v>42979</v>
      </c>
      <c r="B56" t="s">
        <v>15</v>
      </c>
      <c r="C56">
        <v>2017</v>
      </c>
      <c r="D56">
        <v>9</v>
      </c>
      <c r="E56" t="s">
        <v>54</v>
      </c>
      <c r="F56" t="s">
        <v>38</v>
      </c>
      <c r="G56">
        <v>27</v>
      </c>
      <c r="H56" t="s">
        <v>20</v>
      </c>
      <c r="I56">
        <v>3381.9</v>
      </c>
      <c r="J56">
        <v>4557.62</v>
      </c>
      <c r="K56">
        <v>4162.2700000000004</v>
      </c>
      <c r="L56">
        <v>945.88</v>
      </c>
      <c r="M56">
        <v>12101.79</v>
      </c>
      <c r="N56">
        <v>13047.67</v>
      </c>
    </row>
    <row r="57" spans="1:14" x14ac:dyDescent="0.3">
      <c r="A57" s="2">
        <v>42979</v>
      </c>
      <c r="B57" t="s">
        <v>15</v>
      </c>
      <c r="C57">
        <v>2017</v>
      </c>
      <c r="D57">
        <v>9</v>
      </c>
      <c r="E57" t="s">
        <v>54</v>
      </c>
      <c r="F57" t="s">
        <v>39</v>
      </c>
      <c r="G57">
        <v>14</v>
      </c>
      <c r="H57" t="s">
        <v>20</v>
      </c>
      <c r="I57">
        <v>4.5999999999999996</v>
      </c>
      <c r="J57">
        <v>7.91</v>
      </c>
      <c r="K57">
        <v>1.03</v>
      </c>
      <c r="L57">
        <v>0.18</v>
      </c>
      <c r="M57">
        <v>13.54</v>
      </c>
      <c r="N57">
        <v>13.72</v>
      </c>
    </row>
    <row r="58" spans="1:14" x14ac:dyDescent="0.3">
      <c r="A58" s="2">
        <v>42979</v>
      </c>
      <c r="B58" t="s">
        <v>15</v>
      </c>
      <c r="C58">
        <v>2017</v>
      </c>
      <c r="D58">
        <v>9</v>
      </c>
      <c r="E58" t="s">
        <v>54</v>
      </c>
      <c r="F58" t="s">
        <v>40</v>
      </c>
      <c r="G58">
        <v>17</v>
      </c>
      <c r="H58" t="s">
        <v>20</v>
      </c>
      <c r="I58">
        <v>8.4600000000000009</v>
      </c>
      <c r="J58">
        <v>14.05</v>
      </c>
      <c r="K58">
        <v>39.94</v>
      </c>
      <c r="L58">
        <v>0.09</v>
      </c>
      <c r="M58">
        <v>62.45</v>
      </c>
      <c r="N58">
        <v>62.54</v>
      </c>
    </row>
    <row r="59" spans="1:14" x14ac:dyDescent="0.3">
      <c r="A59" s="2">
        <v>42979</v>
      </c>
      <c r="B59" t="s">
        <v>15</v>
      </c>
      <c r="C59">
        <v>2017</v>
      </c>
      <c r="D59">
        <v>9</v>
      </c>
      <c r="E59" t="s">
        <v>54</v>
      </c>
      <c r="F59" t="s">
        <v>41</v>
      </c>
      <c r="G59">
        <v>15</v>
      </c>
      <c r="H59" t="s">
        <v>20</v>
      </c>
      <c r="I59">
        <v>2.46</v>
      </c>
      <c r="J59">
        <v>4.46</v>
      </c>
      <c r="K59">
        <v>0.6</v>
      </c>
      <c r="L59">
        <v>0</v>
      </c>
      <c r="M59">
        <v>7.52</v>
      </c>
      <c r="N59">
        <v>7.52</v>
      </c>
    </row>
    <row r="60" spans="1:14" x14ac:dyDescent="0.3">
      <c r="A60" s="2">
        <v>42979</v>
      </c>
      <c r="B60" t="s">
        <v>15</v>
      </c>
      <c r="C60">
        <v>2017</v>
      </c>
      <c r="D60">
        <v>9</v>
      </c>
      <c r="E60" t="s">
        <v>54</v>
      </c>
      <c r="F60" t="s">
        <v>42</v>
      </c>
      <c r="G60">
        <v>13</v>
      </c>
      <c r="H60" t="s">
        <v>20</v>
      </c>
      <c r="I60">
        <v>2.97</v>
      </c>
      <c r="J60">
        <v>5.67</v>
      </c>
      <c r="K60">
        <v>4.4000000000000004</v>
      </c>
      <c r="L60">
        <v>0.13</v>
      </c>
      <c r="M60">
        <v>13.04</v>
      </c>
      <c r="N60">
        <v>13.17</v>
      </c>
    </row>
    <row r="61" spans="1:14" x14ac:dyDescent="0.3">
      <c r="A61" s="2">
        <v>42979</v>
      </c>
      <c r="B61" t="s">
        <v>15</v>
      </c>
      <c r="C61">
        <v>2017</v>
      </c>
      <c r="D61">
        <v>9</v>
      </c>
      <c r="E61" t="s">
        <v>54</v>
      </c>
      <c r="F61" t="s">
        <v>43</v>
      </c>
      <c r="G61">
        <v>21</v>
      </c>
      <c r="H61" t="s">
        <v>20</v>
      </c>
      <c r="I61">
        <v>332</v>
      </c>
      <c r="J61">
        <v>450.53</v>
      </c>
      <c r="K61">
        <v>468.11</v>
      </c>
      <c r="L61">
        <v>465.56</v>
      </c>
      <c r="M61">
        <v>1250.6400000000001</v>
      </c>
      <c r="N61">
        <v>1716.2</v>
      </c>
    </row>
    <row r="62" spans="1:14" x14ac:dyDescent="0.3">
      <c r="A62" s="2">
        <v>42979</v>
      </c>
      <c r="B62" t="s">
        <v>15</v>
      </c>
      <c r="C62">
        <v>2017</v>
      </c>
      <c r="D62">
        <v>9</v>
      </c>
      <c r="E62" t="s">
        <v>54</v>
      </c>
      <c r="F62" t="s">
        <v>44</v>
      </c>
      <c r="G62">
        <v>34</v>
      </c>
      <c r="H62" t="s">
        <v>18</v>
      </c>
      <c r="I62">
        <v>19.829999999999998</v>
      </c>
      <c r="J62">
        <v>32.57</v>
      </c>
      <c r="K62">
        <v>131.51</v>
      </c>
      <c r="L62">
        <v>0.41</v>
      </c>
      <c r="M62">
        <v>183.91</v>
      </c>
      <c r="N62">
        <v>184.32</v>
      </c>
    </row>
    <row r="63" spans="1:14" x14ac:dyDescent="0.3">
      <c r="A63" s="2">
        <v>42979</v>
      </c>
      <c r="B63" t="s">
        <v>15</v>
      </c>
      <c r="C63">
        <v>2017</v>
      </c>
      <c r="D63">
        <v>9</v>
      </c>
      <c r="E63" t="s">
        <v>54</v>
      </c>
      <c r="F63" t="s">
        <v>45</v>
      </c>
      <c r="G63">
        <v>3</v>
      </c>
      <c r="H63" t="s">
        <v>20</v>
      </c>
      <c r="I63">
        <v>276.49</v>
      </c>
      <c r="J63">
        <v>491.65</v>
      </c>
      <c r="K63">
        <v>507.03</v>
      </c>
      <c r="L63">
        <v>13.87</v>
      </c>
      <c r="M63">
        <v>1275.17</v>
      </c>
      <c r="N63">
        <v>1289.04</v>
      </c>
    </row>
    <row r="64" spans="1:14" x14ac:dyDescent="0.3">
      <c r="A64" s="2">
        <v>42979</v>
      </c>
      <c r="B64" t="s">
        <v>15</v>
      </c>
      <c r="C64">
        <v>2017</v>
      </c>
      <c r="D64">
        <v>9</v>
      </c>
      <c r="E64" t="s">
        <v>54</v>
      </c>
      <c r="F64" t="s">
        <v>46</v>
      </c>
      <c r="G64">
        <v>8</v>
      </c>
      <c r="H64" t="s">
        <v>20</v>
      </c>
      <c r="I64">
        <v>518.84</v>
      </c>
      <c r="J64">
        <v>774.14</v>
      </c>
      <c r="K64">
        <v>833.47</v>
      </c>
      <c r="L64">
        <v>157.78</v>
      </c>
      <c r="M64">
        <v>2126.4499999999998</v>
      </c>
      <c r="N64">
        <v>2284.23</v>
      </c>
    </row>
    <row r="65" spans="1:14" x14ac:dyDescent="0.3">
      <c r="A65" s="2">
        <v>42979</v>
      </c>
      <c r="B65" t="s">
        <v>15</v>
      </c>
      <c r="C65">
        <v>2017</v>
      </c>
      <c r="D65">
        <v>9</v>
      </c>
      <c r="E65" t="s">
        <v>54</v>
      </c>
      <c r="F65" t="s">
        <v>47</v>
      </c>
      <c r="G65">
        <v>11</v>
      </c>
      <c r="H65" t="s">
        <v>20</v>
      </c>
      <c r="I65">
        <v>4.09</v>
      </c>
      <c r="J65">
        <v>7.18</v>
      </c>
      <c r="K65">
        <v>144.99</v>
      </c>
      <c r="L65">
        <v>0.02</v>
      </c>
      <c r="M65">
        <v>156.26</v>
      </c>
      <c r="N65">
        <v>156.28</v>
      </c>
    </row>
    <row r="66" spans="1:14" x14ac:dyDescent="0.3">
      <c r="A66" s="2">
        <v>42979</v>
      </c>
      <c r="B66" t="s">
        <v>15</v>
      </c>
      <c r="C66">
        <v>2017</v>
      </c>
      <c r="D66">
        <v>9</v>
      </c>
      <c r="E66" t="s">
        <v>54</v>
      </c>
      <c r="F66" t="s">
        <v>48</v>
      </c>
      <c r="G66">
        <v>33</v>
      </c>
      <c r="H66" t="s">
        <v>20</v>
      </c>
      <c r="I66">
        <v>1487.85</v>
      </c>
      <c r="J66">
        <v>2220.66</v>
      </c>
      <c r="K66">
        <v>1972.8</v>
      </c>
      <c r="L66">
        <v>503.27</v>
      </c>
      <c r="M66">
        <v>5681.31</v>
      </c>
      <c r="N66">
        <v>6184.58</v>
      </c>
    </row>
    <row r="67" spans="1:14" x14ac:dyDescent="0.3">
      <c r="A67" s="2">
        <v>42979</v>
      </c>
      <c r="B67" t="s">
        <v>15</v>
      </c>
      <c r="C67">
        <v>2017</v>
      </c>
      <c r="D67">
        <v>9</v>
      </c>
      <c r="E67" t="s">
        <v>54</v>
      </c>
      <c r="F67" t="s">
        <v>49</v>
      </c>
      <c r="G67">
        <v>36</v>
      </c>
      <c r="H67" t="s">
        <v>20</v>
      </c>
      <c r="I67">
        <v>565.52</v>
      </c>
      <c r="J67">
        <v>803.39</v>
      </c>
      <c r="K67">
        <v>863.21</v>
      </c>
      <c r="L67">
        <v>484.68</v>
      </c>
      <c r="M67">
        <v>2232.12</v>
      </c>
      <c r="N67">
        <v>2716.8</v>
      </c>
    </row>
    <row r="68" spans="1:14" x14ac:dyDescent="0.3">
      <c r="A68" s="2">
        <v>42979</v>
      </c>
      <c r="B68" t="s">
        <v>15</v>
      </c>
      <c r="C68">
        <v>2017</v>
      </c>
      <c r="D68">
        <v>9</v>
      </c>
      <c r="E68" t="s">
        <v>54</v>
      </c>
      <c r="F68" t="s">
        <v>50</v>
      </c>
      <c r="G68">
        <v>16</v>
      </c>
      <c r="H68" t="s">
        <v>20</v>
      </c>
      <c r="I68">
        <v>11.13</v>
      </c>
      <c r="J68">
        <v>19.079999999999998</v>
      </c>
      <c r="K68">
        <v>3.29</v>
      </c>
      <c r="L68">
        <v>0.49</v>
      </c>
      <c r="M68">
        <v>33.5</v>
      </c>
      <c r="N68">
        <v>33.99</v>
      </c>
    </row>
    <row r="69" spans="1:14" x14ac:dyDescent="0.3">
      <c r="A69" s="2">
        <v>42979</v>
      </c>
      <c r="B69" t="s">
        <v>15</v>
      </c>
      <c r="C69">
        <v>2017</v>
      </c>
      <c r="D69">
        <v>9</v>
      </c>
      <c r="E69" t="s">
        <v>54</v>
      </c>
      <c r="F69" t="s">
        <v>51</v>
      </c>
      <c r="G69">
        <v>9</v>
      </c>
      <c r="H69" t="s">
        <v>20</v>
      </c>
      <c r="I69">
        <v>933.99</v>
      </c>
      <c r="J69">
        <v>1438.64</v>
      </c>
      <c r="K69">
        <v>1381.1</v>
      </c>
      <c r="L69">
        <v>1085.93</v>
      </c>
      <c r="M69">
        <v>3753.73</v>
      </c>
      <c r="N69">
        <v>4839.66</v>
      </c>
    </row>
    <row r="70" spans="1:14" x14ac:dyDescent="0.3">
      <c r="A70" s="2">
        <v>42979</v>
      </c>
      <c r="B70" t="s">
        <v>15</v>
      </c>
      <c r="C70">
        <v>2017</v>
      </c>
      <c r="D70">
        <v>9</v>
      </c>
      <c r="E70" t="s">
        <v>54</v>
      </c>
      <c r="F70" t="s">
        <v>52</v>
      </c>
      <c r="G70">
        <v>5</v>
      </c>
      <c r="H70" t="s">
        <v>20</v>
      </c>
      <c r="I70">
        <v>150.13</v>
      </c>
      <c r="J70">
        <v>307.52999999999997</v>
      </c>
      <c r="K70">
        <v>998.81</v>
      </c>
      <c r="L70">
        <v>14.95</v>
      </c>
      <c r="M70">
        <v>1456.47</v>
      </c>
      <c r="N70">
        <v>1471.42</v>
      </c>
    </row>
    <row r="71" spans="1:14" x14ac:dyDescent="0.3">
      <c r="A71" s="2">
        <v>42979</v>
      </c>
      <c r="B71" t="s">
        <v>15</v>
      </c>
      <c r="C71">
        <v>2017</v>
      </c>
      <c r="D71">
        <v>9</v>
      </c>
      <c r="E71" t="s">
        <v>54</v>
      </c>
      <c r="F71" t="s">
        <v>53</v>
      </c>
      <c r="G71">
        <v>19</v>
      </c>
      <c r="H71" t="s">
        <v>20</v>
      </c>
      <c r="I71">
        <v>829.96</v>
      </c>
      <c r="J71">
        <v>1183.08</v>
      </c>
      <c r="K71">
        <v>670.45</v>
      </c>
      <c r="L71">
        <v>259.31</v>
      </c>
      <c r="M71">
        <v>2683.49</v>
      </c>
      <c r="N71">
        <v>2942.8</v>
      </c>
    </row>
    <row r="72" spans="1:14" x14ac:dyDescent="0.3">
      <c r="A72" s="2">
        <v>43009</v>
      </c>
      <c r="B72" t="s">
        <v>15</v>
      </c>
      <c r="C72">
        <v>2017</v>
      </c>
      <c r="D72">
        <v>10</v>
      </c>
      <c r="E72" t="s">
        <v>55</v>
      </c>
      <c r="F72" t="s">
        <v>17</v>
      </c>
      <c r="G72">
        <v>35</v>
      </c>
      <c r="H72" t="s">
        <v>18</v>
      </c>
      <c r="I72">
        <v>8</v>
      </c>
      <c r="J72">
        <v>9.85</v>
      </c>
      <c r="K72">
        <v>0.7</v>
      </c>
      <c r="L72">
        <v>0.04</v>
      </c>
      <c r="M72">
        <v>18.55</v>
      </c>
      <c r="N72">
        <v>18.59</v>
      </c>
    </row>
    <row r="73" spans="1:14" x14ac:dyDescent="0.3">
      <c r="A73" s="2">
        <v>43009</v>
      </c>
      <c r="B73" t="s">
        <v>15</v>
      </c>
      <c r="C73">
        <v>2017</v>
      </c>
      <c r="D73">
        <v>10</v>
      </c>
      <c r="E73" t="s">
        <v>55</v>
      </c>
      <c r="F73" t="s">
        <v>19</v>
      </c>
      <c r="G73">
        <v>28</v>
      </c>
      <c r="H73" t="s">
        <v>20</v>
      </c>
      <c r="I73">
        <v>435.16</v>
      </c>
      <c r="J73">
        <v>701.86</v>
      </c>
      <c r="K73">
        <v>670.84</v>
      </c>
      <c r="L73">
        <v>20.72</v>
      </c>
      <c r="M73">
        <v>1807.86</v>
      </c>
      <c r="N73">
        <v>1828.58</v>
      </c>
    </row>
    <row r="74" spans="1:14" x14ac:dyDescent="0.3">
      <c r="A74" s="2">
        <v>43009</v>
      </c>
      <c r="B74" t="s">
        <v>15</v>
      </c>
      <c r="C74">
        <v>2017</v>
      </c>
      <c r="D74">
        <v>10</v>
      </c>
      <c r="E74" t="s">
        <v>55</v>
      </c>
      <c r="F74" t="s">
        <v>21</v>
      </c>
      <c r="G74">
        <v>12</v>
      </c>
      <c r="H74" t="s">
        <v>20</v>
      </c>
      <c r="I74">
        <v>4.16</v>
      </c>
      <c r="J74">
        <v>6.05</v>
      </c>
      <c r="K74">
        <v>2.2200000000000002</v>
      </c>
      <c r="L74">
        <v>0.21</v>
      </c>
      <c r="M74">
        <v>12.43</v>
      </c>
      <c r="N74">
        <v>12.64</v>
      </c>
    </row>
    <row r="75" spans="1:14" x14ac:dyDescent="0.3">
      <c r="A75" s="2">
        <v>43009</v>
      </c>
      <c r="B75" t="s">
        <v>15</v>
      </c>
      <c r="C75">
        <v>2017</v>
      </c>
      <c r="D75">
        <v>10</v>
      </c>
      <c r="E75" t="s">
        <v>55</v>
      </c>
      <c r="F75" t="s">
        <v>22</v>
      </c>
      <c r="G75">
        <v>18</v>
      </c>
      <c r="H75" t="s">
        <v>20</v>
      </c>
      <c r="I75">
        <v>147.93</v>
      </c>
      <c r="J75">
        <v>237.68</v>
      </c>
      <c r="K75">
        <v>200.29</v>
      </c>
      <c r="L75">
        <v>38.659999999999997</v>
      </c>
      <c r="M75">
        <v>585.9</v>
      </c>
      <c r="N75">
        <v>624.55999999999995</v>
      </c>
    </row>
    <row r="76" spans="1:14" x14ac:dyDescent="0.3">
      <c r="A76" s="2">
        <v>43009</v>
      </c>
      <c r="B76" t="s">
        <v>15</v>
      </c>
      <c r="C76">
        <v>2017</v>
      </c>
      <c r="D76">
        <v>10</v>
      </c>
      <c r="E76" t="s">
        <v>55</v>
      </c>
      <c r="F76" t="s">
        <v>23</v>
      </c>
      <c r="G76">
        <v>10</v>
      </c>
      <c r="H76" t="s">
        <v>20</v>
      </c>
      <c r="I76">
        <v>140.80000000000001</v>
      </c>
      <c r="J76">
        <v>307.70999999999998</v>
      </c>
      <c r="K76">
        <v>65.02</v>
      </c>
      <c r="L76">
        <v>131.63</v>
      </c>
      <c r="M76">
        <v>513.53</v>
      </c>
      <c r="N76">
        <v>645.16</v>
      </c>
    </row>
    <row r="77" spans="1:14" x14ac:dyDescent="0.3">
      <c r="A77" s="2">
        <v>43009</v>
      </c>
      <c r="B77" t="s">
        <v>15</v>
      </c>
      <c r="C77">
        <v>2017</v>
      </c>
      <c r="D77">
        <v>10</v>
      </c>
      <c r="E77" t="s">
        <v>55</v>
      </c>
      <c r="F77" t="s">
        <v>24</v>
      </c>
      <c r="G77">
        <v>4</v>
      </c>
      <c r="H77" t="s">
        <v>18</v>
      </c>
      <c r="I77">
        <v>29.25</v>
      </c>
      <c r="J77">
        <v>42.09</v>
      </c>
      <c r="K77">
        <v>72.23</v>
      </c>
      <c r="L77">
        <v>1.03</v>
      </c>
      <c r="M77">
        <v>143.57</v>
      </c>
      <c r="N77">
        <v>144.6</v>
      </c>
    </row>
    <row r="78" spans="1:14" x14ac:dyDescent="0.3">
      <c r="A78" s="2">
        <v>43009</v>
      </c>
      <c r="B78" t="s">
        <v>15</v>
      </c>
      <c r="C78">
        <v>2017</v>
      </c>
      <c r="D78">
        <v>10</v>
      </c>
      <c r="E78" t="s">
        <v>55</v>
      </c>
      <c r="F78" t="s">
        <v>25</v>
      </c>
      <c r="G78">
        <v>22</v>
      </c>
      <c r="H78" t="s">
        <v>20</v>
      </c>
      <c r="I78">
        <v>220.93</v>
      </c>
      <c r="J78">
        <v>306.23</v>
      </c>
      <c r="K78">
        <v>479.93</v>
      </c>
      <c r="L78">
        <v>547.99</v>
      </c>
      <c r="M78">
        <v>1007.09</v>
      </c>
      <c r="N78">
        <v>1555.08</v>
      </c>
    </row>
    <row r="79" spans="1:14" x14ac:dyDescent="0.3">
      <c r="A79" s="2">
        <v>43009</v>
      </c>
      <c r="B79" t="s">
        <v>15</v>
      </c>
      <c r="C79">
        <v>2017</v>
      </c>
      <c r="D79">
        <v>10</v>
      </c>
      <c r="E79" t="s">
        <v>55</v>
      </c>
      <c r="F79" t="s">
        <v>26</v>
      </c>
      <c r="G79">
        <v>38</v>
      </c>
      <c r="H79" t="s">
        <v>18</v>
      </c>
      <c r="I79">
        <v>22.11</v>
      </c>
      <c r="J79">
        <v>34.409999999999997</v>
      </c>
      <c r="K79">
        <v>236.14</v>
      </c>
      <c r="L79">
        <v>0.21</v>
      </c>
      <c r="M79">
        <v>292.66000000000003</v>
      </c>
      <c r="N79">
        <v>292.87</v>
      </c>
    </row>
    <row r="80" spans="1:14" x14ac:dyDescent="0.3">
      <c r="A80" s="2">
        <v>43009</v>
      </c>
      <c r="B80" t="s">
        <v>15</v>
      </c>
      <c r="C80">
        <v>2017</v>
      </c>
      <c r="D80">
        <v>10</v>
      </c>
      <c r="E80" t="s">
        <v>55</v>
      </c>
      <c r="F80" t="s">
        <v>27</v>
      </c>
      <c r="G80">
        <v>7</v>
      </c>
      <c r="H80" t="s">
        <v>18</v>
      </c>
      <c r="I80">
        <v>760.16</v>
      </c>
      <c r="J80">
        <v>1069.1500000000001</v>
      </c>
      <c r="K80">
        <v>1588.95</v>
      </c>
      <c r="L80">
        <v>108.57</v>
      </c>
      <c r="M80">
        <v>3418.26</v>
      </c>
      <c r="N80">
        <v>3526.83</v>
      </c>
    </row>
    <row r="81" spans="1:14" x14ac:dyDescent="0.3">
      <c r="A81" s="2">
        <v>43009</v>
      </c>
      <c r="B81" t="s">
        <v>15</v>
      </c>
      <c r="C81">
        <v>2017</v>
      </c>
      <c r="D81">
        <v>10</v>
      </c>
      <c r="E81" t="s">
        <v>55</v>
      </c>
      <c r="F81" t="s">
        <v>28</v>
      </c>
      <c r="G81">
        <v>30</v>
      </c>
      <c r="H81" t="s">
        <v>20</v>
      </c>
      <c r="I81">
        <v>69.239999999999995</v>
      </c>
      <c r="J81">
        <v>105.51</v>
      </c>
      <c r="K81">
        <v>168.52</v>
      </c>
      <c r="L81">
        <v>2.94</v>
      </c>
      <c r="M81">
        <v>343.27</v>
      </c>
      <c r="N81">
        <v>346.21</v>
      </c>
    </row>
    <row r="82" spans="1:14" x14ac:dyDescent="0.3">
      <c r="A82" s="2">
        <v>43009</v>
      </c>
      <c r="B82" t="s">
        <v>15</v>
      </c>
      <c r="C82">
        <v>2017</v>
      </c>
      <c r="D82">
        <v>10</v>
      </c>
      <c r="E82" t="s">
        <v>55</v>
      </c>
      <c r="F82" t="s">
        <v>29</v>
      </c>
      <c r="G82">
        <v>24</v>
      </c>
      <c r="H82" t="s">
        <v>20</v>
      </c>
      <c r="I82">
        <v>1400.77</v>
      </c>
      <c r="J82">
        <v>1880.76</v>
      </c>
      <c r="K82">
        <v>2286.6799999999998</v>
      </c>
      <c r="L82">
        <v>314.58</v>
      </c>
      <c r="M82">
        <v>5568.21</v>
      </c>
      <c r="N82">
        <v>5882.79</v>
      </c>
    </row>
    <row r="83" spans="1:14" x14ac:dyDescent="0.3">
      <c r="A83" s="2">
        <v>43009</v>
      </c>
      <c r="B83" t="s">
        <v>15</v>
      </c>
      <c r="C83">
        <v>2017</v>
      </c>
      <c r="D83">
        <v>10</v>
      </c>
      <c r="E83" t="s">
        <v>55</v>
      </c>
      <c r="F83" t="s">
        <v>30</v>
      </c>
      <c r="G83">
        <v>6</v>
      </c>
      <c r="H83" t="s">
        <v>20</v>
      </c>
      <c r="I83">
        <v>700.03</v>
      </c>
      <c r="J83">
        <v>1144.46</v>
      </c>
      <c r="K83">
        <v>2849.56</v>
      </c>
      <c r="L83">
        <v>369.15</v>
      </c>
      <c r="M83">
        <v>4694.05</v>
      </c>
      <c r="N83">
        <v>5063.2</v>
      </c>
    </row>
    <row r="84" spans="1:14" x14ac:dyDescent="0.3">
      <c r="A84" s="2">
        <v>43009</v>
      </c>
      <c r="B84" t="s">
        <v>15</v>
      </c>
      <c r="C84">
        <v>2017</v>
      </c>
      <c r="D84">
        <v>10</v>
      </c>
      <c r="E84" t="s">
        <v>55</v>
      </c>
      <c r="F84" t="s">
        <v>31</v>
      </c>
      <c r="G84">
        <v>2</v>
      </c>
      <c r="H84" t="s">
        <v>20</v>
      </c>
      <c r="I84">
        <v>70.77</v>
      </c>
      <c r="J84">
        <v>133.41999999999999</v>
      </c>
      <c r="K84">
        <v>494.68</v>
      </c>
      <c r="L84">
        <v>1.53</v>
      </c>
      <c r="M84">
        <v>698.87</v>
      </c>
      <c r="N84">
        <v>700.4</v>
      </c>
    </row>
    <row r="85" spans="1:14" x14ac:dyDescent="0.3">
      <c r="A85" s="2">
        <v>43009</v>
      </c>
      <c r="B85" t="s">
        <v>15</v>
      </c>
      <c r="C85">
        <v>2017</v>
      </c>
      <c r="D85">
        <v>10</v>
      </c>
      <c r="E85" t="s">
        <v>55</v>
      </c>
      <c r="F85" t="s">
        <v>32</v>
      </c>
      <c r="G85">
        <v>1</v>
      </c>
      <c r="H85" t="s">
        <v>18</v>
      </c>
      <c r="I85">
        <v>63.39</v>
      </c>
      <c r="J85">
        <v>113.18</v>
      </c>
      <c r="K85">
        <v>108.06</v>
      </c>
      <c r="L85">
        <v>3.09</v>
      </c>
      <c r="M85">
        <v>284.63</v>
      </c>
      <c r="N85">
        <v>287.72000000000003</v>
      </c>
    </row>
    <row r="86" spans="1:14" x14ac:dyDescent="0.3">
      <c r="A86" s="2">
        <v>43009</v>
      </c>
      <c r="B86" t="s">
        <v>15</v>
      </c>
      <c r="C86">
        <v>2017</v>
      </c>
      <c r="D86">
        <v>10</v>
      </c>
      <c r="E86" t="s">
        <v>55</v>
      </c>
      <c r="F86" t="s">
        <v>33</v>
      </c>
      <c r="G86">
        <v>20</v>
      </c>
      <c r="H86" t="s">
        <v>20</v>
      </c>
      <c r="I86">
        <v>230.02</v>
      </c>
      <c r="J86">
        <v>347.48</v>
      </c>
      <c r="K86">
        <v>715.45</v>
      </c>
      <c r="L86">
        <v>453.73</v>
      </c>
      <c r="M86">
        <v>1292.95</v>
      </c>
      <c r="N86">
        <v>1746.68</v>
      </c>
    </row>
    <row r="87" spans="1:14" x14ac:dyDescent="0.3">
      <c r="A87" s="2">
        <v>43009</v>
      </c>
      <c r="B87" t="s">
        <v>15</v>
      </c>
      <c r="C87">
        <v>2017</v>
      </c>
      <c r="D87">
        <v>10</v>
      </c>
      <c r="E87" t="s">
        <v>55</v>
      </c>
      <c r="F87" t="s">
        <v>34</v>
      </c>
      <c r="G87">
        <v>29</v>
      </c>
      <c r="H87" t="s">
        <v>20</v>
      </c>
      <c r="I87">
        <v>1283.33</v>
      </c>
      <c r="J87">
        <v>1921.92</v>
      </c>
      <c r="K87">
        <v>2232.16</v>
      </c>
      <c r="L87">
        <v>811.09</v>
      </c>
      <c r="M87">
        <v>5437.41</v>
      </c>
      <c r="N87">
        <v>6248.5</v>
      </c>
    </row>
    <row r="88" spans="1:14" x14ac:dyDescent="0.3">
      <c r="A88" s="2">
        <v>43009</v>
      </c>
      <c r="B88" t="s">
        <v>15</v>
      </c>
      <c r="C88">
        <v>2017</v>
      </c>
      <c r="D88">
        <v>10</v>
      </c>
      <c r="E88" t="s">
        <v>55</v>
      </c>
      <c r="F88" t="s">
        <v>35</v>
      </c>
      <c r="G88">
        <v>32</v>
      </c>
      <c r="H88" t="s">
        <v>20</v>
      </c>
      <c r="I88">
        <v>458.24</v>
      </c>
      <c r="J88">
        <v>736.9</v>
      </c>
      <c r="K88">
        <v>254.35</v>
      </c>
      <c r="L88">
        <v>7.65</v>
      </c>
      <c r="M88">
        <v>1449.49</v>
      </c>
      <c r="N88">
        <v>1457.14</v>
      </c>
    </row>
    <row r="89" spans="1:14" x14ac:dyDescent="0.3">
      <c r="A89" s="2">
        <v>43009</v>
      </c>
      <c r="B89" t="s">
        <v>15</v>
      </c>
      <c r="C89">
        <v>2017</v>
      </c>
      <c r="D89">
        <v>10</v>
      </c>
      <c r="E89" t="s">
        <v>55</v>
      </c>
      <c r="F89" t="s">
        <v>36</v>
      </c>
      <c r="G89">
        <v>31</v>
      </c>
      <c r="H89" t="s">
        <v>18</v>
      </c>
      <c r="I89">
        <v>0.28000000000000003</v>
      </c>
      <c r="J89">
        <v>0.3</v>
      </c>
      <c r="K89">
        <v>0.02</v>
      </c>
      <c r="L89">
        <v>0</v>
      </c>
      <c r="M89">
        <v>0.6</v>
      </c>
      <c r="N89">
        <v>0.6</v>
      </c>
    </row>
    <row r="90" spans="1:14" x14ac:dyDescent="0.3">
      <c r="A90" s="2">
        <v>43009</v>
      </c>
      <c r="B90" t="s">
        <v>15</v>
      </c>
      <c r="C90">
        <v>2017</v>
      </c>
      <c r="D90">
        <v>10</v>
      </c>
      <c r="E90" t="s">
        <v>55</v>
      </c>
      <c r="F90" t="s">
        <v>37</v>
      </c>
      <c r="G90">
        <v>23</v>
      </c>
      <c r="H90" t="s">
        <v>20</v>
      </c>
      <c r="I90">
        <v>355.14</v>
      </c>
      <c r="J90">
        <v>577.07000000000005</v>
      </c>
      <c r="K90">
        <v>587.78</v>
      </c>
      <c r="L90">
        <v>407.24</v>
      </c>
      <c r="M90">
        <v>1519.99</v>
      </c>
      <c r="N90">
        <v>1927.23</v>
      </c>
    </row>
    <row r="91" spans="1:14" x14ac:dyDescent="0.3">
      <c r="A91" s="2">
        <v>43009</v>
      </c>
      <c r="B91" t="s">
        <v>15</v>
      </c>
      <c r="C91">
        <v>2017</v>
      </c>
      <c r="D91">
        <v>10</v>
      </c>
      <c r="E91" t="s">
        <v>55</v>
      </c>
      <c r="F91" t="s">
        <v>38</v>
      </c>
      <c r="G91">
        <v>27</v>
      </c>
      <c r="H91" t="s">
        <v>20</v>
      </c>
      <c r="I91">
        <v>3559.82</v>
      </c>
      <c r="J91">
        <v>4938.8999999999996</v>
      </c>
      <c r="K91">
        <v>4765.38</v>
      </c>
      <c r="L91">
        <v>1056.3699999999999</v>
      </c>
      <c r="M91">
        <v>13264.1</v>
      </c>
      <c r="N91">
        <v>14320.47</v>
      </c>
    </row>
    <row r="92" spans="1:14" x14ac:dyDescent="0.3">
      <c r="A92" s="2">
        <v>43009</v>
      </c>
      <c r="B92" t="s">
        <v>15</v>
      </c>
      <c r="C92">
        <v>2017</v>
      </c>
      <c r="D92">
        <v>10</v>
      </c>
      <c r="E92" t="s">
        <v>55</v>
      </c>
      <c r="F92" t="s">
        <v>39</v>
      </c>
      <c r="G92">
        <v>14</v>
      </c>
      <c r="H92" t="s">
        <v>20</v>
      </c>
      <c r="I92">
        <v>6.31</v>
      </c>
      <c r="J92">
        <v>12.26</v>
      </c>
      <c r="K92">
        <v>0.92</v>
      </c>
      <c r="L92">
        <v>0.01</v>
      </c>
      <c r="M92">
        <v>19.489999999999998</v>
      </c>
      <c r="N92">
        <v>19.5</v>
      </c>
    </row>
    <row r="93" spans="1:14" x14ac:dyDescent="0.3">
      <c r="A93" s="2">
        <v>43009</v>
      </c>
      <c r="B93" t="s">
        <v>15</v>
      </c>
      <c r="C93">
        <v>2017</v>
      </c>
      <c r="D93">
        <v>10</v>
      </c>
      <c r="E93" t="s">
        <v>55</v>
      </c>
      <c r="F93" t="s">
        <v>40</v>
      </c>
      <c r="G93">
        <v>17</v>
      </c>
      <c r="H93" t="s">
        <v>20</v>
      </c>
      <c r="I93">
        <v>10.6</v>
      </c>
      <c r="J93">
        <v>16.690000000000001</v>
      </c>
      <c r="K93">
        <v>38.04</v>
      </c>
      <c r="L93">
        <v>0.1</v>
      </c>
      <c r="M93">
        <v>65.33</v>
      </c>
      <c r="N93">
        <v>65.430000000000007</v>
      </c>
    </row>
    <row r="94" spans="1:14" x14ac:dyDescent="0.3">
      <c r="A94" s="2">
        <v>43009</v>
      </c>
      <c r="B94" t="s">
        <v>15</v>
      </c>
      <c r="C94">
        <v>2017</v>
      </c>
      <c r="D94">
        <v>10</v>
      </c>
      <c r="E94" t="s">
        <v>55</v>
      </c>
      <c r="F94" t="s">
        <v>41</v>
      </c>
      <c r="G94">
        <v>15</v>
      </c>
      <c r="H94" t="s">
        <v>20</v>
      </c>
      <c r="I94">
        <v>3.93</v>
      </c>
      <c r="J94">
        <v>5.55</v>
      </c>
      <c r="K94">
        <v>0.99</v>
      </c>
      <c r="L94">
        <v>0</v>
      </c>
      <c r="M94">
        <v>10.47</v>
      </c>
      <c r="N94">
        <v>10.47</v>
      </c>
    </row>
    <row r="95" spans="1:14" x14ac:dyDescent="0.3">
      <c r="A95" s="2">
        <v>43009</v>
      </c>
      <c r="B95" t="s">
        <v>15</v>
      </c>
      <c r="C95">
        <v>2017</v>
      </c>
      <c r="D95">
        <v>10</v>
      </c>
      <c r="E95" t="s">
        <v>55</v>
      </c>
      <c r="F95" t="s">
        <v>42</v>
      </c>
      <c r="G95">
        <v>13</v>
      </c>
      <c r="H95" t="s">
        <v>20</v>
      </c>
      <c r="I95">
        <v>3.73</v>
      </c>
      <c r="J95">
        <v>5.69</v>
      </c>
      <c r="K95">
        <v>5.17</v>
      </c>
      <c r="L95">
        <v>0.12</v>
      </c>
      <c r="M95">
        <v>14.59</v>
      </c>
      <c r="N95">
        <v>14.71</v>
      </c>
    </row>
    <row r="96" spans="1:14" x14ac:dyDescent="0.3">
      <c r="A96" s="2">
        <v>43009</v>
      </c>
      <c r="B96" t="s">
        <v>15</v>
      </c>
      <c r="C96">
        <v>2017</v>
      </c>
      <c r="D96">
        <v>10</v>
      </c>
      <c r="E96" t="s">
        <v>55</v>
      </c>
      <c r="F96" t="s">
        <v>43</v>
      </c>
      <c r="G96">
        <v>21</v>
      </c>
      <c r="H96" t="s">
        <v>20</v>
      </c>
      <c r="I96">
        <v>321.88</v>
      </c>
      <c r="J96">
        <v>529.86</v>
      </c>
      <c r="K96">
        <v>481.14</v>
      </c>
      <c r="L96">
        <v>468.05</v>
      </c>
      <c r="M96">
        <v>1332.88</v>
      </c>
      <c r="N96">
        <v>1800.93</v>
      </c>
    </row>
    <row r="97" spans="1:14" x14ac:dyDescent="0.3">
      <c r="A97" s="2">
        <v>43009</v>
      </c>
      <c r="B97" t="s">
        <v>15</v>
      </c>
      <c r="C97">
        <v>2017</v>
      </c>
      <c r="D97">
        <v>10</v>
      </c>
      <c r="E97" t="s">
        <v>55</v>
      </c>
      <c r="F97" t="s">
        <v>44</v>
      </c>
      <c r="G97">
        <v>34</v>
      </c>
      <c r="H97" t="s">
        <v>18</v>
      </c>
      <c r="I97">
        <v>19.87</v>
      </c>
      <c r="J97">
        <v>31.53</v>
      </c>
      <c r="K97">
        <v>91.34</v>
      </c>
      <c r="L97">
        <v>1.49</v>
      </c>
      <c r="M97">
        <v>142.74</v>
      </c>
      <c r="N97">
        <v>144.22999999999999</v>
      </c>
    </row>
    <row r="98" spans="1:14" x14ac:dyDescent="0.3">
      <c r="A98" s="2">
        <v>43009</v>
      </c>
      <c r="B98" t="s">
        <v>15</v>
      </c>
      <c r="C98">
        <v>2017</v>
      </c>
      <c r="D98">
        <v>10</v>
      </c>
      <c r="E98" t="s">
        <v>55</v>
      </c>
      <c r="F98" t="s">
        <v>45</v>
      </c>
      <c r="G98">
        <v>3</v>
      </c>
      <c r="H98" t="s">
        <v>20</v>
      </c>
      <c r="I98">
        <v>263.8</v>
      </c>
      <c r="J98">
        <v>477.63</v>
      </c>
      <c r="K98">
        <v>522.09</v>
      </c>
      <c r="L98">
        <v>13.49</v>
      </c>
      <c r="M98">
        <v>1263.52</v>
      </c>
      <c r="N98">
        <v>1277.01</v>
      </c>
    </row>
    <row r="99" spans="1:14" x14ac:dyDescent="0.3">
      <c r="A99" s="2">
        <v>43009</v>
      </c>
      <c r="B99" t="s">
        <v>15</v>
      </c>
      <c r="C99">
        <v>2017</v>
      </c>
      <c r="D99">
        <v>10</v>
      </c>
      <c r="E99" t="s">
        <v>55</v>
      </c>
      <c r="F99" t="s">
        <v>46</v>
      </c>
      <c r="G99">
        <v>8</v>
      </c>
      <c r="H99" t="s">
        <v>20</v>
      </c>
      <c r="I99">
        <v>530.78</v>
      </c>
      <c r="J99">
        <v>808.66</v>
      </c>
      <c r="K99">
        <v>759.75</v>
      </c>
      <c r="L99">
        <v>156.55000000000001</v>
      </c>
      <c r="M99">
        <v>2099.19</v>
      </c>
      <c r="N99">
        <v>2255.7399999999998</v>
      </c>
    </row>
    <row r="100" spans="1:14" x14ac:dyDescent="0.3">
      <c r="A100" s="2">
        <v>43009</v>
      </c>
      <c r="B100" t="s">
        <v>15</v>
      </c>
      <c r="C100">
        <v>2017</v>
      </c>
      <c r="D100">
        <v>10</v>
      </c>
      <c r="E100" t="s">
        <v>55</v>
      </c>
      <c r="F100" t="s">
        <v>47</v>
      </c>
      <c r="G100">
        <v>11</v>
      </c>
      <c r="H100" t="s">
        <v>20</v>
      </c>
      <c r="I100">
        <v>10.16</v>
      </c>
      <c r="J100">
        <v>13.36</v>
      </c>
      <c r="K100">
        <v>116.72</v>
      </c>
      <c r="L100">
        <v>0.08</v>
      </c>
      <c r="M100">
        <v>140.24</v>
      </c>
      <c r="N100">
        <v>140.32</v>
      </c>
    </row>
    <row r="101" spans="1:14" x14ac:dyDescent="0.3">
      <c r="A101" s="2">
        <v>43009</v>
      </c>
      <c r="B101" t="s">
        <v>15</v>
      </c>
      <c r="C101">
        <v>2017</v>
      </c>
      <c r="D101">
        <v>10</v>
      </c>
      <c r="E101" t="s">
        <v>55</v>
      </c>
      <c r="F101" t="s">
        <v>48</v>
      </c>
      <c r="G101">
        <v>33</v>
      </c>
      <c r="H101" t="s">
        <v>20</v>
      </c>
      <c r="I101">
        <v>1457.13</v>
      </c>
      <c r="J101">
        <v>2132.29</v>
      </c>
      <c r="K101">
        <v>1913.92</v>
      </c>
      <c r="L101">
        <v>589.61</v>
      </c>
      <c r="M101">
        <v>5503.34</v>
      </c>
      <c r="N101">
        <v>6092.95</v>
      </c>
    </row>
    <row r="102" spans="1:14" x14ac:dyDescent="0.3">
      <c r="A102" s="2">
        <v>43009</v>
      </c>
      <c r="B102" t="s">
        <v>15</v>
      </c>
      <c r="C102">
        <v>2017</v>
      </c>
      <c r="D102">
        <v>10</v>
      </c>
      <c r="E102" t="s">
        <v>55</v>
      </c>
      <c r="F102" t="s">
        <v>49</v>
      </c>
      <c r="G102">
        <v>36</v>
      </c>
      <c r="H102" t="s">
        <v>20</v>
      </c>
      <c r="I102">
        <v>565.15</v>
      </c>
      <c r="J102">
        <v>847.61</v>
      </c>
      <c r="K102">
        <v>853.96</v>
      </c>
      <c r="L102">
        <v>492.04</v>
      </c>
      <c r="M102">
        <v>2266.7199999999998</v>
      </c>
      <c r="N102">
        <v>2758.76</v>
      </c>
    </row>
    <row r="103" spans="1:14" x14ac:dyDescent="0.3">
      <c r="A103" s="2">
        <v>43009</v>
      </c>
      <c r="B103" t="s">
        <v>15</v>
      </c>
      <c r="C103">
        <v>2017</v>
      </c>
      <c r="D103">
        <v>10</v>
      </c>
      <c r="E103" t="s">
        <v>55</v>
      </c>
      <c r="F103" t="s">
        <v>50</v>
      </c>
      <c r="G103">
        <v>16</v>
      </c>
      <c r="H103" t="s">
        <v>20</v>
      </c>
      <c r="I103">
        <v>23.62</v>
      </c>
      <c r="J103">
        <v>30.54</v>
      </c>
      <c r="K103">
        <v>2.89</v>
      </c>
      <c r="L103">
        <v>0.16</v>
      </c>
      <c r="M103">
        <v>57.05</v>
      </c>
      <c r="N103">
        <v>57.21</v>
      </c>
    </row>
    <row r="104" spans="1:14" x14ac:dyDescent="0.3">
      <c r="A104" s="2">
        <v>43009</v>
      </c>
      <c r="B104" t="s">
        <v>15</v>
      </c>
      <c r="C104">
        <v>2017</v>
      </c>
      <c r="D104">
        <v>10</v>
      </c>
      <c r="E104" t="s">
        <v>55</v>
      </c>
      <c r="F104" t="s">
        <v>51</v>
      </c>
      <c r="G104">
        <v>9</v>
      </c>
      <c r="H104" t="s">
        <v>20</v>
      </c>
      <c r="I104">
        <v>928.42</v>
      </c>
      <c r="J104">
        <v>1477.13</v>
      </c>
      <c r="K104">
        <v>1340.51</v>
      </c>
      <c r="L104">
        <v>930.65</v>
      </c>
      <c r="M104">
        <v>3746.06</v>
      </c>
      <c r="N104">
        <v>4676.71</v>
      </c>
    </row>
    <row r="105" spans="1:14" x14ac:dyDescent="0.3">
      <c r="A105" s="2">
        <v>43009</v>
      </c>
      <c r="B105" t="s">
        <v>15</v>
      </c>
      <c r="C105">
        <v>2017</v>
      </c>
      <c r="D105">
        <v>10</v>
      </c>
      <c r="E105" t="s">
        <v>55</v>
      </c>
      <c r="F105" t="s">
        <v>52</v>
      </c>
      <c r="G105">
        <v>5</v>
      </c>
      <c r="H105" t="s">
        <v>20</v>
      </c>
      <c r="I105">
        <v>143.5</v>
      </c>
      <c r="J105">
        <v>278.72000000000003</v>
      </c>
      <c r="K105">
        <v>1240.6199999999999</v>
      </c>
      <c r="L105">
        <v>22.97</v>
      </c>
      <c r="M105">
        <v>1662.84</v>
      </c>
      <c r="N105">
        <v>1685.81</v>
      </c>
    </row>
    <row r="106" spans="1:14" x14ac:dyDescent="0.3">
      <c r="A106" s="2">
        <v>43009</v>
      </c>
      <c r="B106" t="s">
        <v>15</v>
      </c>
      <c r="C106">
        <v>2017</v>
      </c>
      <c r="D106">
        <v>10</v>
      </c>
      <c r="E106" t="s">
        <v>55</v>
      </c>
      <c r="F106" t="s">
        <v>53</v>
      </c>
      <c r="G106">
        <v>19</v>
      </c>
      <c r="H106" t="s">
        <v>20</v>
      </c>
      <c r="I106">
        <v>693.87</v>
      </c>
      <c r="J106">
        <v>1042.51</v>
      </c>
      <c r="K106">
        <v>708.67</v>
      </c>
      <c r="L106">
        <v>339.52</v>
      </c>
      <c r="M106">
        <v>2445.0500000000002</v>
      </c>
      <c r="N106">
        <v>2784.57</v>
      </c>
    </row>
    <row r="107" spans="1:14" x14ac:dyDescent="0.3">
      <c r="A107" s="2">
        <v>43040</v>
      </c>
      <c r="B107" t="s">
        <v>15</v>
      </c>
      <c r="C107">
        <v>2017</v>
      </c>
      <c r="D107">
        <v>11</v>
      </c>
      <c r="E107" t="s">
        <v>56</v>
      </c>
      <c r="F107" t="s">
        <v>17</v>
      </c>
      <c r="G107">
        <v>35</v>
      </c>
      <c r="H107" t="s">
        <v>18</v>
      </c>
      <c r="I107">
        <v>10.199999999999999</v>
      </c>
      <c r="J107">
        <v>11.63</v>
      </c>
      <c r="K107">
        <v>1.27</v>
      </c>
      <c r="L107">
        <v>0.03</v>
      </c>
      <c r="M107">
        <v>23.1</v>
      </c>
      <c r="N107">
        <v>23.13</v>
      </c>
    </row>
    <row r="108" spans="1:14" x14ac:dyDescent="0.3">
      <c r="A108" s="2">
        <v>43040</v>
      </c>
      <c r="B108" t="s">
        <v>15</v>
      </c>
      <c r="C108">
        <v>2017</v>
      </c>
      <c r="D108">
        <v>11</v>
      </c>
      <c r="E108" t="s">
        <v>56</v>
      </c>
      <c r="F108" t="s">
        <v>19</v>
      </c>
      <c r="G108">
        <v>28</v>
      </c>
      <c r="H108" t="s">
        <v>20</v>
      </c>
      <c r="I108">
        <v>389.38</v>
      </c>
      <c r="J108">
        <v>588.89</v>
      </c>
      <c r="K108">
        <v>669.29</v>
      </c>
      <c r="L108">
        <v>20.010000000000002</v>
      </c>
      <c r="M108">
        <v>1647.56</v>
      </c>
      <c r="N108">
        <v>1667.57</v>
      </c>
    </row>
    <row r="109" spans="1:14" x14ac:dyDescent="0.3">
      <c r="A109" s="2">
        <v>43040</v>
      </c>
      <c r="B109" t="s">
        <v>15</v>
      </c>
      <c r="C109">
        <v>2017</v>
      </c>
      <c r="D109">
        <v>11</v>
      </c>
      <c r="E109" t="s">
        <v>56</v>
      </c>
      <c r="F109" t="s">
        <v>21</v>
      </c>
      <c r="G109">
        <v>12</v>
      </c>
      <c r="H109" t="s">
        <v>20</v>
      </c>
      <c r="I109">
        <v>2.98</v>
      </c>
      <c r="J109">
        <v>4.8600000000000003</v>
      </c>
      <c r="K109">
        <v>3.37</v>
      </c>
      <c r="L109">
        <v>0</v>
      </c>
      <c r="M109">
        <v>11.21</v>
      </c>
      <c r="N109">
        <v>11.21</v>
      </c>
    </row>
    <row r="110" spans="1:14" x14ac:dyDescent="0.3">
      <c r="A110" s="2">
        <v>43040</v>
      </c>
      <c r="B110" t="s">
        <v>15</v>
      </c>
      <c r="C110">
        <v>2017</v>
      </c>
      <c r="D110">
        <v>11</v>
      </c>
      <c r="E110" t="s">
        <v>56</v>
      </c>
      <c r="F110" t="s">
        <v>22</v>
      </c>
      <c r="G110">
        <v>18</v>
      </c>
      <c r="H110" t="s">
        <v>20</v>
      </c>
      <c r="I110">
        <v>150.31</v>
      </c>
      <c r="J110">
        <v>227.85</v>
      </c>
      <c r="K110">
        <v>226.84</v>
      </c>
      <c r="L110">
        <v>49.07</v>
      </c>
      <c r="M110">
        <v>605</v>
      </c>
      <c r="N110">
        <v>654.07000000000005</v>
      </c>
    </row>
    <row r="111" spans="1:14" x14ac:dyDescent="0.3">
      <c r="A111" s="2">
        <v>43040</v>
      </c>
      <c r="B111" t="s">
        <v>15</v>
      </c>
      <c r="C111">
        <v>2017</v>
      </c>
      <c r="D111">
        <v>11</v>
      </c>
      <c r="E111" t="s">
        <v>56</v>
      </c>
      <c r="F111" t="s">
        <v>23</v>
      </c>
      <c r="G111">
        <v>10</v>
      </c>
      <c r="H111" t="s">
        <v>20</v>
      </c>
      <c r="I111">
        <v>142.18</v>
      </c>
      <c r="J111">
        <v>285.17</v>
      </c>
      <c r="K111">
        <v>76.03</v>
      </c>
      <c r="L111">
        <v>88.93</v>
      </c>
      <c r="M111">
        <v>503.38</v>
      </c>
      <c r="N111">
        <v>592.30999999999995</v>
      </c>
    </row>
    <row r="112" spans="1:14" x14ac:dyDescent="0.3">
      <c r="A112" s="2">
        <v>43040</v>
      </c>
      <c r="B112" t="s">
        <v>15</v>
      </c>
      <c r="C112">
        <v>2017</v>
      </c>
      <c r="D112">
        <v>11</v>
      </c>
      <c r="E112" t="s">
        <v>56</v>
      </c>
      <c r="F112" t="s">
        <v>24</v>
      </c>
      <c r="G112">
        <v>4</v>
      </c>
      <c r="H112" t="s">
        <v>18</v>
      </c>
      <c r="I112">
        <v>30.33</v>
      </c>
      <c r="J112">
        <v>45.77</v>
      </c>
      <c r="K112">
        <v>68.62</v>
      </c>
      <c r="L112">
        <v>0.57999999999999996</v>
      </c>
      <c r="M112">
        <v>144.72</v>
      </c>
      <c r="N112">
        <v>145.30000000000001</v>
      </c>
    </row>
    <row r="113" spans="1:14" x14ac:dyDescent="0.3">
      <c r="A113" s="2">
        <v>43040</v>
      </c>
      <c r="B113" t="s">
        <v>15</v>
      </c>
      <c r="C113">
        <v>2017</v>
      </c>
      <c r="D113">
        <v>11</v>
      </c>
      <c r="E113" t="s">
        <v>56</v>
      </c>
      <c r="F113" t="s">
        <v>25</v>
      </c>
      <c r="G113">
        <v>22</v>
      </c>
      <c r="H113" t="s">
        <v>20</v>
      </c>
      <c r="I113">
        <v>209.82</v>
      </c>
      <c r="J113">
        <v>302.39999999999998</v>
      </c>
      <c r="K113">
        <v>467.79</v>
      </c>
      <c r="L113">
        <v>523.72</v>
      </c>
      <c r="M113">
        <v>980.01</v>
      </c>
      <c r="N113">
        <v>1503.73</v>
      </c>
    </row>
    <row r="114" spans="1:14" x14ac:dyDescent="0.3">
      <c r="A114" s="2">
        <v>43040</v>
      </c>
      <c r="B114" t="s">
        <v>15</v>
      </c>
      <c r="C114">
        <v>2017</v>
      </c>
      <c r="D114">
        <v>11</v>
      </c>
      <c r="E114" t="s">
        <v>56</v>
      </c>
      <c r="F114" t="s">
        <v>26</v>
      </c>
      <c r="G114">
        <v>38</v>
      </c>
      <c r="H114" t="s">
        <v>18</v>
      </c>
      <c r="I114">
        <v>20.03</v>
      </c>
      <c r="J114">
        <v>31.32</v>
      </c>
      <c r="K114">
        <v>233.46</v>
      </c>
      <c r="L114">
        <v>0.27</v>
      </c>
      <c r="M114">
        <v>284.81</v>
      </c>
      <c r="N114">
        <v>285.08</v>
      </c>
    </row>
    <row r="115" spans="1:14" x14ac:dyDescent="0.3">
      <c r="A115" s="2">
        <v>43040</v>
      </c>
      <c r="B115" t="s">
        <v>15</v>
      </c>
      <c r="C115">
        <v>2017</v>
      </c>
      <c r="D115">
        <v>11</v>
      </c>
      <c r="E115" t="s">
        <v>56</v>
      </c>
      <c r="F115" t="s">
        <v>27</v>
      </c>
      <c r="G115">
        <v>7</v>
      </c>
      <c r="H115" t="s">
        <v>18</v>
      </c>
      <c r="I115">
        <v>678.45</v>
      </c>
      <c r="J115">
        <v>951.49</v>
      </c>
      <c r="K115">
        <v>1489.96</v>
      </c>
      <c r="L115">
        <v>111.64</v>
      </c>
      <c r="M115">
        <v>3119.9</v>
      </c>
      <c r="N115">
        <v>3231.54</v>
      </c>
    </row>
    <row r="116" spans="1:14" x14ac:dyDescent="0.3">
      <c r="A116" s="2">
        <v>43040</v>
      </c>
      <c r="B116" t="s">
        <v>15</v>
      </c>
      <c r="C116">
        <v>2017</v>
      </c>
      <c r="D116">
        <v>11</v>
      </c>
      <c r="E116" t="s">
        <v>56</v>
      </c>
      <c r="F116" t="s">
        <v>28</v>
      </c>
      <c r="G116">
        <v>30</v>
      </c>
      <c r="H116" t="s">
        <v>20</v>
      </c>
      <c r="I116">
        <v>81.77</v>
      </c>
      <c r="J116">
        <v>114.97</v>
      </c>
      <c r="K116">
        <v>145.41</v>
      </c>
      <c r="L116">
        <v>2.48</v>
      </c>
      <c r="M116">
        <v>342.15</v>
      </c>
      <c r="N116">
        <v>344.63</v>
      </c>
    </row>
    <row r="117" spans="1:14" x14ac:dyDescent="0.3">
      <c r="A117" s="2">
        <v>43040</v>
      </c>
      <c r="B117" t="s">
        <v>15</v>
      </c>
      <c r="C117">
        <v>2017</v>
      </c>
      <c r="D117">
        <v>11</v>
      </c>
      <c r="E117" t="s">
        <v>56</v>
      </c>
      <c r="F117" t="s">
        <v>29</v>
      </c>
      <c r="G117">
        <v>24</v>
      </c>
      <c r="H117" t="s">
        <v>20</v>
      </c>
      <c r="I117">
        <v>1330.45</v>
      </c>
      <c r="J117">
        <v>1748.09</v>
      </c>
      <c r="K117">
        <v>1984.66</v>
      </c>
      <c r="L117">
        <v>324.13</v>
      </c>
      <c r="M117">
        <v>5063.2</v>
      </c>
      <c r="N117">
        <v>5387.33</v>
      </c>
    </row>
    <row r="118" spans="1:14" x14ac:dyDescent="0.3">
      <c r="A118" s="2">
        <v>43040</v>
      </c>
      <c r="B118" t="s">
        <v>15</v>
      </c>
      <c r="C118">
        <v>2017</v>
      </c>
      <c r="D118">
        <v>11</v>
      </c>
      <c r="E118" t="s">
        <v>56</v>
      </c>
      <c r="F118" t="s">
        <v>30</v>
      </c>
      <c r="G118">
        <v>6</v>
      </c>
      <c r="H118" t="s">
        <v>20</v>
      </c>
      <c r="I118">
        <v>641.97</v>
      </c>
      <c r="J118">
        <v>1063.17</v>
      </c>
      <c r="K118">
        <v>2589.71</v>
      </c>
      <c r="L118">
        <v>373.72</v>
      </c>
      <c r="M118">
        <v>4294.8500000000004</v>
      </c>
      <c r="N118">
        <v>4668.57</v>
      </c>
    </row>
    <row r="119" spans="1:14" x14ac:dyDescent="0.3">
      <c r="A119" s="2">
        <v>43040</v>
      </c>
      <c r="B119" t="s">
        <v>15</v>
      </c>
      <c r="C119">
        <v>2017</v>
      </c>
      <c r="D119">
        <v>11</v>
      </c>
      <c r="E119" t="s">
        <v>56</v>
      </c>
      <c r="F119" t="s">
        <v>31</v>
      </c>
      <c r="G119">
        <v>2</v>
      </c>
      <c r="H119" t="s">
        <v>20</v>
      </c>
      <c r="I119">
        <v>70.489999999999995</v>
      </c>
      <c r="J119">
        <v>117.78</v>
      </c>
      <c r="K119">
        <v>460.08</v>
      </c>
      <c r="L119">
        <v>1.05</v>
      </c>
      <c r="M119">
        <v>648.35</v>
      </c>
      <c r="N119">
        <v>649.4</v>
      </c>
    </row>
    <row r="120" spans="1:14" x14ac:dyDescent="0.3">
      <c r="A120" s="2">
        <v>43040</v>
      </c>
      <c r="B120" t="s">
        <v>15</v>
      </c>
      <c r="C120">
        <v>2017</v>
      </c>
      <c r="D120">
        <v>11</v>
      </c>
      <c r="E120" t="s">
        <v>56</v>
      </c>
      <c r="F120" t="s">
        <v>32</v>
      </c>
      <c r="G120">
        <v>1</v>
      </c>
      <c r="H120" t="s">
        <v>18</v>
      </c>
      <c r="I120">
        <v>66.27</v>
      </c>
      <c r="J120">
        <v>120.32</v>
      </c>
      <c r="K120">
        <v>99.53</v>
      </c>
      <c r="L120">
        <v>12.83</v>
      </c>
      <c r="M120">
        <v>286.12</v>
      </c>
      <c r="N120">
        <v>298.95</v>
      </c>
    </row>
    <row r="121" spans="1:14" x14ac:dyDescent="0.3">
      <c r="A121" s="2">
        <v>43040</v>
      </c>
      <c r="B121" t="s">
        <v>15</v>
      </c>
      <c r="C121">
        <v>2017</v>
      </c>
      <c r="D121">
        <v>11</v>
      </c>
      <c r="E121" t="s">
        <v>56</v>
      </c>
      <c r="F121" t="s">
        <v>33</v>
      </c>
      <c r="G121">
        <v>20</v>
      </c>
      <c r="H121" t="s">
        <v>20</v>
      </c>
      <c r="I121">
        <v>206.72</v>
      </c>
      <c r="J121">
        <v>333.96</v>
      </c>
      <c r="K121">
        <v>830.19</v>
      </c>
      <c r="L121">
        <v>437.43</v>
      </c>
      <c r="M121">
        <v>1370.87</v>
      </c>
      <c r="N121">
        <v>1808.3</v>
      </c>
    </row>
    <row r="122" spans="1:14" x14ac:dyDescent="0.3">
      <c r="A122" s="2">
        <v>43040</v>
      </c>
      <c r="B122" t="s">
        <v>15</v>
      </c>
      <c r="C122">
        <v>2017</v>
      </c>
      <c r="D122">
        <v>11</v>
      </c>
      <c r="E122" t="s">
        <v>56</v>
      </c>
      <c r="F122" t="s">
        <v>34</v>
      </c>
      <c r="G122">
        <v>29</v>
      </c>
      <c r="H122" t="s">
        <v>20</v>
      </c>
      <c r="I122">
        <v>1151.04</v>
      </c>
      <c r="J122">
        <v>1709.72</v>
      </c>
      <c r="K122">
        <v>1755.08</v>
      </c>
      <c r="L122">
        <v>580.25</v>
      </c>
      <c r="M122">
        <v>4615.84</v>
      </c>
      <c r="N122">
        <v>5196.09</v>
      </c>
    </row>
    <row r="123" spans="1:14" x14ac:dyDescent="0.3">
      <c r="A123" s="2">
        <v>43040</v>
      </c>
      <c r="B123" t="s">
        <v>15</v>
      </c>
      <c r="C123">
        <v>2017</v>
      </c>
      <c r="D123">
        <v>11</v>
      </c>
      <c r="E123" t="s">
        <v>56</v>
      </c>
      <c r="F123" t="s">
        <v>35</v>
      </c>
      <c r="G123">
        <v>32</v>
      </c>
      <c r="H123" t="s">
        <v>20</v>
      </c>
      <c r="I123">
        <v>410.37</v>
      </c>
      <c r="J123">
        <v>611.52</v>
      </c>
      <c r="K123">
        <v>215.74</v>
      </c>
      <c r="L123">
        <v>11.9</v>
      </c>
      <c r="M123">
        <v>1237.6300000000001</v>
      </c>
      <c r="N123">
        <v>1249.53</v>
      </c>
    </row>
    <row r="124" spans="1:14" x14ac:dyDescent="0.3">
      <c r="A124" s="2">
        <v>43040</v>
      </c>
      <c r="B124" t="s">
        <v>15</v>
      </c>
      <c r="C124">
        <v>2017</v>
      </c>
      <c r="D124">
        <v>11</v>
      </c>
      <c r="E124" t="s">
        <v>56</v>
      </c>
      <c r="F124" t="s">
        <v>36</v>
      </c>
      <c r="G124">
        <v>31</v>
      </c>
      <c r="H124" t="s">
        <v>18</v>
      </c>
      <c r="I124">
        <v>0.79</v>
      </c>
      <c r="J124">
        <v>0.8</v>
      </c>
      <c r="K124">
        <v>0.06</v>
      </c>
      <c r="L124">
        <v>0</v>
      </c>
      <c r="M124">
        <v>1.65</v>
      </c>
      <c r="N124">
        <v>1.65</v>
      </c>
    </row>
    <row r="125" spans="1:14" x14ac:dyDescent="0.3">
      <c r="A125" s="2">
        <v>43040</v>
      </c>
      <c r="B125" t="s">
        <v>15</v>
      </c>
      <c r="C125">
        <v>2017</v>
      </c>
      <c r="D125">
        <v>11</v>
      </c>
      <c r="E125" t="s">
        <v>56</v>
      </c>
      <c r="F125" t="s">
        <v>37</v>
      </c>
      <c r="G125">
        <v>23</v>
      </c>
      <c r="H125" t="s">
        <v>20</v>
      </c>
      <c r="I125">
        <v>363.71</v>
      </c>
      <c r="J125">
        <v>586.45000000000005</v>
      </c>
      <c r="K125">
        <v>498.79</v>
      </c>
      <c r="L125">
        <v>425</v>
      </c>
      <c r="M125">
        <v>1448.95</v>
      </c>
      <c r="N125">
        <v>1873.95</v>
      </c>
    </row>
    <row r="126" spans="1:14" x14ac:dyDescent="0.3">
      <c r="A126" s="2">
        <v>43040</v>
      </c>
      <c r="B126" t="s">
        <v>15</v>
      </c>
      <c r="C126">
        <v>2017</v>
      </c>
      <c r="D126">
        <v>11</v>
      </c>
      <c r="E126" t="s">
        <v>56</v>
      </c>
      <c r="F126" t="s">
        <v>38</v>
      </c>
      <c r="G126">
        <v>27</v>
      </c>
      <c r="H126" t="s">
        <v>20</v>
      </c>
      <c r="I126">
        <v>3206.99</v>
      </c>
      <c r="J126">
        <v>4347.12</v>
      </c>
      <c r="K126">
        <v>3866.25</v>
      </c>
      <c r="L126">
        <v>852.76</v>
      </c>
      <c r="M126">
        <v>11420.36</v>
      </c>
      <c r="N126">
        <v>12273.12</v>
      </c>
    </row>
    <row r="127" spans="1:14" x14ac:dyDescent="0.3">
      <c r="A127" s="2">
        <v>43040</v>
      </c>
      <c r="B127" t="s">
        <v>15</v>
      </c>
      <c r="C127">
        <v>2017</v>
      </c>
      <c r="D127">
        <v>11</v>
      </c>
      <c r="E127" t="s">
        <v>56</v>
      </c>
      <c r="F127" t="s">
        <v>39</v>
      </c>
      <c r="G127">
        <v>14</v>
      </c>
      <c r="H127" t="s">
        <v>20</v>
      </c>
      <c r="I127">
        <v>4.1399999999999997</v>
      </c>
      <c r="J127">
        <v>6.37</v>
      </c>
      <c r="K127">
        <v>0.92</v>
      </c>
      <c r="L127">
        <v>0.01</v>
      </c>
      <c r="M127">
        <v>11.43</v>
      </c>
      <c r="N127">
        <v>11.44</v>
      </c>
    </row>
    <row r="128" spans="1:14" x14ac:dyDescent="0.3">
      <c r="A128" s="2">
        <v>43040</v>
      </c>
      <c r="B128" t="s">
        <v>15</v>
      </c>
      <c r="C128">
        <v>2017</v>
      </c>
      <c r="D128">
        <v>11</v>
      </c>
      <c r="E128" t="s">
        <v>56</v>
      </c>
      <c r="F128" t="s">
        <v>40</v>
      </c>
      <c r="G128">
        <v>17</v>
      </c>
      <c r="H128" t="s">
        <v>20</v>
      </c>
      <c r="I128">
        <v>11.9</v>
      </c>
      <c r="J128">
        <v>16.32</v>
      </c>
      <c r="K128">
        <v>32.72</v>
      </c>
      <c r="L128">
        <v>0.09</v>
      </c>
      <c r="M128">
        <v>60.94</v>
      </c>
      <c r="N128">
        <v>61.03</v>
      </c>
    </row>
    <row r="129" spans="1:14" x14ac:dyDescent="0.3">
      <c r="A129" s="2">
        <v>43040</v>
      </c>
      <c r="B129" t="s">
        <v>15</v>
      </c>
      <c r="C129">
        <v>2017</v>
      </c>
      <c r="D129">
        <v>11</v>
      </c>
      <c r="E129" t="s">
        <v>56</v>
      </c>
      <c r="F129" t="s">
        <v>41</v>
      </c>
      <c r="G129">
        <v>15</v>
      </c>
      <c r="H129" t="s">
        <v>20</v>
      </c>
      <c r="I129">
        <v>2.87</v>
      </c>
      <c r="J129">
        <v>4.83</v>
      </c>
      <c r="K129">
        <v>0.74</v>
      </c>
      <c r="L129">
        <v>0.04</v>
      </c>
      <c r="M129">
        <v>8.44</v>
      </c>
      <c r="N129">
        <v>8.48</v>
      </c>
    </row>
    <row r="130" spans="1:14" x14ac:dyDescent="0.3">
      <c r="A130" s="2">
        <v>43040</v>
      </c>
      <c r="B130" t="s">
        <v>15</v>
      </c>
      <c r="C130">
        <v>2017</v>
      </c>
      <c r="D130">
        <v>11</v>
      </c>
      <c r="E130" t="s">
        <v>56</v>
      </c>
      <c r="F130" t="s">
        <v>42</v>
      </c>
      <c r="G130">
        <v>13</v>
      </c>
      <c r="H130" t="s">
        <v>20</v>
      </c>
      <c r="I130">
        <v>3.48</v>
      </c>
      <c r="J130">
        <v>5.46</v>
      </c>
      <c r="K130">
        <v>3.44</v>
      </c>
      <c r="L130">
        <v>0.06</v>
      </c>
      <c r="M130">
        <v>12.38</v>
      </c>
      <c r="N130">
        <v>12.44</v>
      </c>
    </row>
    <row r="131" spans="1:14" x14ac:dyDescent="0.3">
      <c r="A131" s="2">
        <v>43040</v>
      </c>
      <c r="B131" t="s">
        <v>15</v>
      </c>
      <c r="C131">
        <v>2017</v>
      </c>
      <c r="D131">
        <v>11</v>
      </c>
      <c r="E131" t="s">
        <v>56</v>
      </c>
      <c r="F131" t="s">
        <v>43</v>
      </c>
      <c r="G131">
        <v>21</v>
      </c>
      <c r="H131" t="s">
        <v>20</v>
      </c>
      <c r="I131">
        <v>308.62</v>
      </c>
      <c r="J131">
        <v>444.02</v>
      </c>
      <c r="K131">
        <v>523.61</v>
      </c>
      <c r="L131">
        <v>508.13</v>
      </c>
      <c r="M131">
        <v>1276.25</v>
      </c>
      <c r="N131">
        <v>1784.38</v>
      </c>
    </row>
    <row r="132" spans="1:14" x14ac:dyDescent="0.3">
      <c r="A132" s="2">
        <v>43040</v>
      </c>
      <c r="B132" t="s">
        <v>15</v>
      </c>
      <c r="C132">
        <v>2017</v>
      </c>
      <c r="D132">
        <v>11</v>
      </c>
      <c r="E132" t="s">
        <v>56</v>
      </c>
      <c r="F132" t="s">
        <v>44</v>
      </c>
      <c r="G132">
        <v>34</v>
      </c>
      <c r="H132" t="s">
        <v>18</v>
      </c>
      <c r="I132">
        <v>20.59</v>
      </c>
      <c r="J132">
        <v>31.73</v>
      </c>
      <c r="K132">
        <v>121.94</v>
      </c>
      <c r="L132">
        <v>0.15</v>
      </c>
      <c r="M132">
        <v>174.26</v>
      </c>
      <c r="N132">
        <v>174.41</v>
      </c>
    </row>
    <row r="133" spans="1:14" x14ac:dyDescent="0.3">
      <c r="A133" s="2">
        <v>43040</v>
      </c>
      <c r="B133" t="s">
        <v>15</v>
      </c>
      <c r="C133">
        <v>2017</v>
      </c>
      <c r="D133">
        <v>11</v>
      </c>
      <c r="E133" t="s">
        <v>56</v>
      </c>
      <c r="F133" t="s">
        <v>45</v>
      </c>
      <c r="G133">
        <v>3</v>
      </c>
      <c r="H133" t="s">
        <v>20</v>
      </c>
      <c r="I133">
        <v>245.96</v>
      </c>
      <c r="J133">
        <v>442.91</v>
      </c>
      <c r="K133">
        <v>504.93</v>
      </c>
      <c r="L133">
        <v>11.14</v>
      </c>
      <c r="M133">
        <v>1193.8</v>
      </c>
      <c r="N133">
        <v>1204.94</v>
      </c>
    </row>
    <row r="134" spans="1:14" x14ac:dyDescent="0.3">
      <c r="A134" s="2">
        <v>43040</v>
      </c>
      <c r="B134" t="s">
        <v>15</v>
      </c>
      <c r="C134">
        <v>2017</v>
      </c>
      <c r="D134">
        <v>11</v>
      </c>
      <c r="E134" t="s">
        <v>56</v>
      </c>
      <c r="F134" t="s">
        <v>46</v>
      </c>
      <c r="G134">
        <v>8</v>
      </c>
      <c r="H134" t="s">
        <v>20</v>
      </c>
      <c r="I134">
        <v>537.63</v>
      </c>
      <c r="J134">
        <v>764.66</v>
      </c>
      <c r="K134">
        <v>738.85</v>
      </c>
      <c r="L134">
        <v>141.36000000000001</v>
      </c>
      <c r="M134">
        <v>2041.14</v>
      </c>
      <c r="N134">
        <v>2182.5</v>
      </c>
    </row>
    <row r="135" spans="1:14" x14ac:dyDescent="0.3">
      <c r="A135" s="2">
        <v>43040</v>
      </c>
      <c r="B135" t="s">
        <v>15</v>
      </c>
      <c r="C135">
        <v>2017</v>
      </c>
      <c r="D135">
        <v>11</v>
      </c>
      <c r="E135" t="s">
        <v>56</v>
      </c>
      <c r="F135" t="s">
        <v>47</v>
      </c>
      <c r="G135">
        <v>11</v>
      </c>
      <c r="H135" t="s">
        <v>20</v>
      </c>
      <c r="I135">
        <v>10.36</v>
      </c>
      <c r="J135">
        <v>13.75</v>
      </c>
      <c r="K135">
        <v>121.74</v>
      </c>
      <c r="L135">
        <v>0.1</v>
      </c>
      <c r="M135">
        <v>145.85</v>
      </c>
      <c r="N135">
        <v>145.94999999999999</v>
      </c>
    </row>
    <row r="136" spans="1:14" x14ac:dyDescent="0.3">
      <c r="A136" s="2">
        <v>43040</v>
      </c>
      <c r="B136" t="s">
        <v>15</v>
      </c>
      <c r="C136">
        <v>2017</v>
      </c>
      <c r="D136">
        <v>11</v>
      </c>
      <c r="E136" t="s">
        <v>56</v>
      </c>
      <c r="F136" t="s">
        <v>48</v>
      </c>
      <c r="G136">
        <v>33</v>
      </c>
      <c r="H136" t="s">
        <v>20</v>
      </c>
      <c r="I136">
        <v>1288.1600000000001</v>
      </c>
      <c r="J136">
        <v>1912.97</v>
      </c>
      <c r="K136">
        <v>1494.64</v>
      </c>
      <c r="L136">
        <v>539.94000000000005</v>
      </c>
      <c r="M136">
        <v>4695.7700000000004</v>
      </c>
      <c r="N136">
        <v>5235.71</v>
      </c>
    </row>
    <row r="137" spans="1:14" x14ac:dyDescent="0.3">
      <c r="A137" s="2">
        <v>43040</v>
      </c>
      <c r="B137" t="s">
        <v>15</v>
      </c>
      <c r="C137">
        <v>2017</v>
      </c>
      <c r="D137">
        <v>11</v>
      </c>
      <c r="E137" t="s">
        <v>56</v>
      </c>
      <c r="F137" t="s">
        <v>49</v>
      </c>
      <c r="G137">
        <v>36</v>
      </c>
      <c r="H137" t="s">
        <v>20</v>
      </c>
      <c r="I137">
        <v>496.81</v>
      </c>
      <c r="J137">
        <v>750.62</v>
      </c>
      <c r="K137">
        <v>801.86</v>
      </c>
      <c r="L137">
        <v>394.1</v>
      </c>
      <c r="M137">
        <v>2049.29</v>
      </c>
      <c r="N137">
        <v>2443.39</v>
      </c>
    </row>
    <row r="138" spans="1:14" x14ac:dyDescent="0.3">
      <c r="A138" s="2">
        <v>43040</v>
      </c>
      <c r="B138" t="s">
        <v>15</v>
      </c>
      <c r="C138">
        <v>2017</v>
      </c>
      <c r="D138">
        <v>11</v>
      </c>
      <c r="E138" t="s">
        <v>56</v>
      </c>
      <c r="F138" t="s">
        <v>50</v>
      </c>
      <c r="G138">
        <v>16</v>
      </c>
      <c r="H138" t="s">
        <v>20</v>
      </c>
      <c r="I138">
        <v>12.88</v>
      </c>
      <c r="J138">
        <v>19.43</v>
      </c>
      <c r="K138">
        <v>2.7</v>
      </c>
      <c r="L138">
        <v>0.28000000000000003</v>
      </c>
      <c r="M138">
        <v>35.01</v>
      </c>
      <c r="N138">
        <v>35.29</v>
      </c>
    </row>
    <row r="139" spans="1:14" x14ac:dyDescent="0.3">
      <c r="A139" s="2">
        <v>43040</v>
      </c>
      <c r="B139" t="s">
        <v>15</v>
      </c>
      <c r="C139">
        <v>2017</v>
      </c>
      <c r="D139">
        <v>11</v>
      </c>
      <c r="E139" t="s">
        <v>56</v>
      </c>
      <c r="F139" t="s">
        <v>51</v>
      </c>
      <c r="G139">
        <v>9</v>
      </c>
      <c r="H139" t="s">
        <v>20</v>
      </c>
      <c r="I139">
        <v>838.12</v>
      </c>
      <c r="J139">
        <v>1358.37</v>
      </c>
      <c r="K139">
        <v>1197.47</v>
      </c>
      <c r="L139">
        <v>774.11</v>
      </c>
      <c r="M139">
        <v>3393.96</v>
      </c>
      <c r="N139">
        <v>4168.07</v>
      </c>
    </row>
    <row r="140" spans="1:14" x14ac:dyDescent="0.3">
      <c r="A140" s="2">
        <v>43040</v>
      </c>
      <c r="B140" t="s">
        <v>15</v>
      </c>
      <c r="C140">
        <v>2017</v>
      </c>
      <c r="D140">
        <v>11</v>
      </c>
      <c r="E140" t="s">
        <v>56</v>
      </c>
      <c r="F140" t="s">
        <v>52</v>
      </c>
      <c r="G140">
        <v>5</v>
      </c>
      <c r="H140" t="s">
        <v>20</v>
      </c>
      <c r="I140">
        <v>143.53</v>
      </c>
      <c r="J140">
        <v>306.87</v>
      </c>
      <c r="K140">
        <v>763.45</v>
      </c>
      <c r="L140">
        <v>24.27</v>
      </c>
      <c r="M140">
        <v>1213.8499999999999</v>
      </c>
      <c r="N140">
        <v>1238.1199999999999</v>
      </c>
    </row>
    <row r="141" spans="1:14" x14ac:dyDescent="0.3">
      <c r="A141" s="2">
        <v>43040</v>
      </c>
      <c r="B141" t="s">
        <v>15</v>
      </c>
      <c r="C141">
        <v>2017</v>
      </c>
      <c r="D141">
        <v>11</v>
      </c>
      <c r="E141" t="s">
        <v>56</v>
      </c>
      <c r="F141" t="s">
        <v>53</v>
      </c>
      <c r="G141">
        <v>19</v>
      </c>
      <c r="H141" t="s">
        <v>20</v>
      </c>
      <c r="I141">
        <v>592.9</v>
      </c>
      <c r="J141">
        <v>1000.51</v>
      </c>
      <c r="K141">
        <v>654.30999999999995</v>
      </c>
      <c r="L141">
        <v>210.19</v>
      </c>
      <c r="M141">
        <v>2247.7199999999998</v>
      </c>
      <c r="N141">
        <v>2457.91</v>
      </c>
    </row>
    <row r="142" spans="1:14" x14ac:dyDescent="0.3">
      <c r="A142" s="2">
        <v>43070</v>
      </c>
      <c r="B142" t="s">
        <v>15</v>
      </c>
      <c r="C142">
        <v>2017</v>
      </c>
      <c r="D142">
        <v>12</v>
      </c>
      <c r="E142" t="s">
        <v>57</v>
      </c>
      <c r="F142" t="s">
        <v>17</v>
      </c>
      <c r="G142">
        <v>35</v>
      </c>
      <c r="H142" t="s">
        <v>18</v>
      </c>
      <c r="I142">
        <v>5.59</v>
      </c>
      <c r="J142">
        <v>8.15</v>
      </c>
      <c r="K142">
        <v>1.02</v>
      </c>
      <c r="L142">
        <v>0.05</v>
      </c>
      <c r="M142">
        <v>14.76</v>
      </c>
      <c r="N142">
        <v>14.81</v>
      </c>
    </row>
    <row r="143" spans="1:14" x14ac:dyDescent="0.3">
      <c r="A143" s="2">
        <v>43070</v>
      </c>
      <c r="B143" t="s">
        <v>15</v>
      </c>
      <c r="C143">
        <v>2017</v>
      </c>
      <c r="D143">
        <v>12</v>
      </c>
      <c r="E143" t="s">
        <v>57</v>
      </c>
      <c r="F143" t="s">
        <v>19</v>
      </c>
      <c r="G143">
        <v>28</v>
      </c>
      <c r="H143" t="s">
        <v>20</v>
      </c>
      <c r="I143">
        <v>390.48</v>
      </c>
      <c r="J143">
        <v>572.87</v>
      </c>
      <c r="K143">
        <v>608.72</v>
      </c>
      <c r="L143">
        <v>12.84</v>
      </c>
      <c r="M143">
        <v>1572.07</v>
      </c>
      <c r="N143">
        <v>1584.91</v>
      </c>
    </row>
    <row r="144" spans="1:14" x14ac:dyDescent="0.3">
      <c r="A144" s="2">
        <v>43070</v>
      </c>
      <c r="B144" t="s">
        <v>15</v>
      </c>
      <c r="C144">
        <v>2017</v>
      </c>
      <c r="D144">
        <v>12</v>
      </c>
      <c r="E144" t="s">
        <v>57</v>
      </c>
      <c r="F144" t="s">
        <v>21</v>
      </c>
      <c r="G144">
        <v>12</v>
      </c>
      <c r="H144" t="s">
        <v>20</v>
      </c>
      <c r="I144">
        <v>3.33</v>
      </c>
      <c r="J144">
        <v>6.27</v>
      </c>
      <c r="K144">
        <v>2.14</v>
      </c>
      <c r="L144">
        <v>0.15</v>
      </c>
      <c r="M144">
        <v>11.74</v>
      </c>
      <c r="N144">
        <v>11.89</v>
      </c>
    </row>
    <row r="145" spans="1:14" x14ac:dyDescent="0.3">
      <c r="A145" s="2">
        <v>43070</v>
      </c>
      <c r="B145" t="s">
        <v>15</v>
      </c>
      <c r="C145">
        <v>2017</v>
      </c>
      <c r="D145">
        <v>12</v>
      </c>
      <c r="E145" t="s">
        <v>57</v>
      </c>
      <c r="F145" t="s">
        <v>22</v>
      </c>
      <c r="G145">
        <v>18</v>
      </c>
      <c r="H145" t="s">
        <v>20</v>
      </c>
      <c r="I145">
        <v>135.81</v>
      </c>
      <c r="J145">
        <v>196.87</v>
      </c>
      <c r="K145">
        <v>207.13</v>
      </c>
      <c r="L145">
        <v>49.7</v>
      </c>
      <c r="M145">
        <v>539.80999999999995</v>
      </c>
      <c r="N145">
        <v>589.51</v>
      </c>
    </row>
    <row r="146" spans="1:14" x14ac:dyDescent="0.3">
      <c r="A146" s="2">
        <v>43070</v>
      </c>
      <c r="B146" t="s">
        <v>15</v>
      </c>
      <c r="C146">
        <v>2017</v>
      </c>
      <c r="D146">
        <v>12</v>
      </c>
      <c r="E146" t="s">
        <v>57</v>
      </c>
      <c r="F146" t="s">
        <v>23</v>
      </c>
      <c r="G146">
        <v>10</v>
      </c>
      <c r="H146" t="s">
        <v>20</v>
      </c>
      <c r="I146">
        <v>139.57</v>
      </c>
      <c r="J146">
        <v>264.52</v>
      </c>
      <c r="K146">
        <v>87.8</v>
      </c>
      <c r="L146">
        <v>174.71</v>
      </c>
      <c r="M146">
        <v>491.89</v>
      </c>
      <c r="N146">
        <v>666.6</v>
      </c>
    </row>
    <row r="147" spans="1:14" x14ac:dyDescent="0.3">
      <c r="A147" s="2">
        <v>43070</v>
      </c>
      <c r="B147" t="s">
        <v>15</v>
      </c>
      <c r="C147">
        <v>2017</v>
      </c>
      <c r="D147">
        <v>12</v>
      </c>
      <c r="E147" t="s">
        <v>57</v>
      </c>
      <c r="F147" t="s">
        <v>24</v>
      </c>
      <c r="G147">
        <v>4</v>
      </c>
      <c r="H147" t="s">
        <v>18</v>
      </c>
      <c r="I147">
        <v>26.78</v>
      </c>
      <c r="J147">
        <v>37.6</v>
      </c>
      <c r="K147">
        <v>67.459999999999994</v>
      </c>
      <c r="L147">
        <v>0.62</v>
      </c>
      <c r="M147">
        <v>131.84</v>
      </c>
      <c r="N147">
        <v>132.46</v>
      </c>
    </row>
    <row r="148" spans="1:14" x14ac:dyDescent="0.3">
      <c r="A148" s="2">
        <v>43070</v>
      </c>
      <c r="B148" t="s">
        <v>15</v>
      </c>
      <c r="C148">
        <v>2017</v>
      </c>
      <c r="D148">
        <v>12</v>
      </c>
      <c r="E148" t="s">
        <v>57</v>
      </c>
      <c r="F148" t="s">
        <v>25</v>
      </c>
      <c r="G148">
        <v>22</v>
      </c>
      <c r="H148" t="s">
        <v>20</v>
      </c>
      <c r="I148">
        <v>233.07</v>
      </c>
      <c r="J148">
        <v>303.7</v>
      </c>
      <c r="K148">
        <v>445.13</v>
      </c>
      <c r="L148">
        <v>600.4</v>
      </c>
      <c r="M148">
        <v>981.9</v>
      </c>
      <c r="N148">
        <v>1582.3</v>
      </c>
    </row>
    <row r="149" spans="1:14" x14ac:dyDescent="0.3">
      <c r="A149" s="2">
        <v>43070</v>
      </c>
      <c r="B149" t="s">
        <v>15</v>
      </c>
      <c r="C149">
        <v>2017</v>
      </c>
      <c r="D149">
        <v>12</v>
      </c>
      <c r="E149" t="s">
        <v>57</v>
      </c>
      <c r="F149" t="s">
        <v>26</v>
      </c>
      <c r="G149">
        <v>38</v>
      </c>
      <c r="H149" t="s">
        <v>18</v>
      </c>
      <c r="I149">
        <v>20</v>
      </c>
      <c r="J149">
        <v>31.03</v>
      </c>
      <c r="K149">
        <v>182.31</v>
      </c>
      <c r="L149">
        <v>0.06</v>
      </c>
      <c r="M149">
        <v>233.34</v>
      </c>
      <c r="N149">
        <v>233.4</v>
      </c>
    </row>
    <row r="150" spans="1:14" x14ac:dyDescent="0.3">
      <c r="A150" s="2">
        <v>43070</v>
      </c>
      <c r="B150" t="s">
        <v>15</v>
      </c>
      <c r="C150">
        <v>2017</v>
      </c>
      <c r="D150">
        <v>12</v>
      </c>
      <c r="E150" t="s">
        <v>57</v>
      </c>
      <c r="F150" t="s">
        <v>27</v>
      </c>
      <c r="G150">
        <v>7</v>
      </c>
      <c r="H150" t="s">
        <v>18</v>
      </c>
      <c r="I150">
        <v>646.27</v>
      </c>
      <c r="J150">
        <v>859.81</v>
      </c>
      <c r="K150">
        <v>1450.77</v>
      </c>
      <c r="L150">
        <v>93.61</v>
      </c>
      <c r="M150">
        <v>2956.85</v>
      </c>
      <c r="N150">
        <v>3050.46</v>
      </c>
    </row>
    <row r="151" spans="1:14" x14ac:dyDescent="0.3">
      <c r="A151" s="2">
        <v>43070</v>
      </c>
      <c r="B151" t="s">
        <v>15</v>
      </c>
      <c r="C151">
        <v>2017</v>
      </c>
      <c r="D151">
        <v>12</v>
      </c>
      <c r="E151" t="s">
        <v>57</v>
      </c>
      <c r="F151" t="s">
        <v>28</v>
      </c>
      <c r="G151">
        <v>30</v>
      </c>
      <c r="H151" t="s">
        <v>20</v>
      </c>
      <c r="I151">
        <v>73.48</v>
      </c>
      <c r="J151">
        <v>111.94</v>
      </c>
      <c r="K151">
        <v>128.19</v>
      </c>
      <c r="L151">
        <v>1.72</v>
      </c>
      <c r="M151">
        <v>313.61</v>
      </c>
      <c r="N151">
        <v>315.33</v>
      </c>
    </row>
    <row r="152" spans="1:14" x14ac:dyDescent="0.3">
      <c r="A152" s="2">
        <v>43070</v>
      </c>
      <c r="B152" t="s">
        <v>15</v>
      </c>
      <c r="C152">
        <v>2017</v>
      </c>
      <c r="D152">
        <v>12</v>
      </c>
      <c r="E152" t="s">
        <v>57</v>
      </c>
      <c r="F152" t="s">
        <v>29</v>
      </c>
      <c r="G152">
        <v>24</v>
      </c>
      <c r="H152" t="s">
        <v>20</v>
      </c>
      <c r="I152">
        <v>1386.71</v>
      </c>
      <c r="J152">
        <v>1790.21</v>
      </c>
      <c r="K152">
        <v>1894.13</v>
      </c>
      <c r="L152">
        <v>301.14</v>
      </c>
      <c r="M152">
        <v>5071.05</v>
      </c>
      <c r="N152">
        <v>5372.19</v>
      </c>
    </row>
    <row r="153" spans="1:14" x14ac:dyDescent="0.3">
      <c r="A153" s="2">
        <v>43070</v>
      </c>
      <c r="B153" t="s">
        <v>15</v>
      </c>
      <c r="C153">
        <v>2017</v>
      </c>
      <c r="D153">
        <v>12</v>
      </c>
      <c r="E153" t="s">
        <v>57</v>
      </c>
      <c r="F153" t="s">
        <v>30</v>
      </c>
      <c r="G153">
        <v>6</v>
      </c>
      <c r="H153" t="s">
        <v>20</v>
      </c>
      <c r="I153">
        <v>603.42999999999995</v>
      </c>
      <c r="J153">
        <v>968.19</v>
      </c>
      <c r="K153">
        <v>2168.4899999999998</v>
      </c>
      <c r="L153">
        <v>340.26</v>
      </c>
      <c r="M153">
        <v>3740.11</v>
      </c>
      <c r="N153">
        <v>4080.37</v>
      </c>
    </row>
    <row r="154" spans="1:14" x14ac:dyDescent="0.3">
      <c r="A154" s="2">
        <v>43070</v>
      </c>
      <c r="B154" t="s">
        <v>15</v>
      </c>
      <c r="C154">
        <v>2017</v>
      </c>
      <c r="D154">
        <v>12</v>
      </c>
      <c r="E154" t="s">
        <v>57</v>
      </c>
      <c r="F154" t="s">
        <v>31</v>
      </c>
      <c r="G154">
        <v>2</v>
      </c>
      <c r="H154" t="s">
        <v>20</v>
      </c>
      <c r="I154">
        <v>74.239999999999995</v>
      </c>
      <c r="J154">
        <v>109.68</v>
      </c>
      <c r="K154">
        <v>432.62</v>
      </c>
      <c r="L154">
        <v>1.27</v>
      </c>
      <c r="M154">
        <v>616.54</v>
      </c>
      <c r="N154">
        <v>617.80999999999995</v>
      </c>
    </row>
    <row r="155" spans="1:14" x14ac:dyDescent="0.3">
      <c r="A155" s="2">
        <v>43070</v>
      </c>
      <c r="B155" t="s">
        <v>15</v>
      </c>
      <c r="C155">
        <v>2017</v>
      </c>
      <c r="D155">
        <v>12</v>
      </c>
      <c r="E155" t="s">
        <v>57</v>
      </c>
      <c r="F155" t="s">
        <v>32</v>
      </c>
      <c r="G155">
        <v>1</v>
      </c>
      <c r="H155" t="s">
        <v>18</v>
      </c>
      <c r="I155">
        <v>86.14</v>
      </c>
      <c r="J155">
        <v>143.66999999999999</v>
      </c>
      <c r="K155">
        <v>83.97</v>
      </c>
      <c r="L155">
        <v>0.92</v>
      </c>
      <c r="M155">
        <v>313.77999999999997</v>
      </c>
      <c r="N155">
        <v>314.7</v>
      </c>
    </row>
    <row r="156" spans="1:14" x14ac:dyDescent="0.3">
      <c r="A156" s="2">
        <v>43070</v>
      </c>
      <c r="B156" t="s">
        <v>15</v>
      </c>
      <c r="C156">
        <v>2017</v>
      </c>
      <c r="D156">
        <v>12</v>
      </c>
      <c r="E156" t="s">
        <v>57</v>
      </c>
      <c r="F156" t="s">
        <v>33</v>
      </c>
      <c r="G156">
        <v>20</v>
      </c>
      <c r="H156" t="s">
        <v>20</v>
      </c>
      <c r="I156">
        <v>216.83</v>
      </c>
      <c r="J156">
        <v>328.45</v>
      </c>
      <c r="K156">
        <v>739.07</v>
      </c>
      <c r="L156">
        <v>425.18</v>
      </c>
      <c r="M156">
        <v>1284.3499999999999</v>
      </c>
      <c r="N156">
        <v>1709.53</v>
      </c>
    </row>
    <row r="157" spans="1:14" x14ac:dyDescent="0.3">
      <c r="A157" s="2">
        <v>43070</v>
      </c>
      <c r="B157" t="s">
        <v>15</v>
      </c>
      <c r="C157">
        <v>2017</v>
      </c>
      <c r="D157">
        <v>12</v>
      </c>
      <c r="E157" t="s">
        <v>57</v>
      </c>
      <c r="F157" t="s">
        <v>34</v>
      </c>
      <c r="G157">
        <v>29</v>
      </c>
      <c r="H157" t="s">
        <v>20</v>
      </c>
      <c r="I157">
        <v>1219.43</v>
      </c>
      <c r="J157">
        <v>1684.99</v>
      </c>
      <c r="K157">
        <v>1760.64</v>
      </c>
      <c r="L157">
        <v>903.43</v>
      </c>
      <c r="M157">
        <v>4665.0600000000004</v>
      </c>
      <c r="N157">
        <v>5568.49</v>
      </c>
    </row>
    <row r="158" spans="1:14" x14ac:dyDescent="0.3">
      <c r="A158" s="2">
        <v>43070</v>
      </c>
      <c r="B158" t="s">
        <v>15</v>
      </c>
      <c r="C158">
        <v>2017</v>
      </c>
      <c r="D158">
        <v>12</v>
      </c>
      <c r="E158" t="s">
        <v>57</v>
      </c>
      <c r="F158" t="s">
        <v>35</v>
      </c>
      <c r="G158">
        <v>32</v>
      </c>
      <c r="H158" t="s">
        <v>20</v>
      </c>
      <c r="I158">
        <v>395.67</v>
      </c>
      <c r="J158">
        <v>608.44000000000005</v>
      </c>
      <c r="K158">
        <v>238.66</v>
      </c>
      <c r="L158">
        <v>6.28</v>
      </c>
      <c r="M158">
        <v>1242.77</v>
      </c>
      <c r="N158">
        <v>1249.05</v>
      </c>
    </row>
    <row r="159" spans="1:14" x14ac:dyDescent="0.3">
      <c r="A159" s="2">
        <v>43070</v>
      </c>
      <c r="B159" t="s">
        <v>15</v>
      </c>
      <c r="C159">
        <v>2017</v>
      </c>
      <c r="D159">
        <v>12</v>
      </c>
      <c r="E159" t="s">
        <v>57</v>
      </c>
      <c r="F159" t="s">
        <v>36</v>
      </c>
      <c r="G159">
        <v>31</v>
      </c>
      <c r="H159" t="s">
        <v>18</v>
      </c>
      <c r="I159">
        <v>0.37</v>
      </c>
      <c r="J159">
        <v>0.38</v>
      </c>
      <c r="K159">
        <v>0.05</v>
      </c>
      <c r="L159">
        <v>0</v>
      </c>
      <c r="M159">
        <v>0.8</v>
      </c>
      <c r="N159">
        <v>0.8</v>
      </c>
    </row>
    <row r="160" spans="1:14" x14ac:dyDescent="0.3">
      <c r="A160" s="2">
        <v>43070</v>
      </c>
      <c r="B160" t="s">
        <v>15</v>
      </c>
      <c r="C160">
        <v>2017</v>
      </c>
      <c r="D160">
        <v>12</v>
      </c>
      <c r="E160" t="s">
        <v>57</v>
      </c>
      <c r="F160" t="s">
        <v>37</v>
      </c>
      <c r="G160">
        <v>23</v>
      </c>
      <c r="H160" t="s">
        <v>20</v>
      </c>
      <c r="I160">
        <v>416.88</v>
      </c>
      <c r="J160">
        <v>599.09</v>
      </c>
      <c r="K160">
        <v>491.69</v>
      </c>
      <c r="L160">
        <v>365.85</v>
      </c>
      <c r="M160">
        <v>1507.66</v>
      </c>
      <c r="N160">
        <v>1873.51</v>
      </c>
    </row>
    <row r="161" spans="1:14" x14ac:dyDescent="0.3">
      <c r="A161" s="2">
        <v>43070</v>
      </c>
      <c r="B161" t="s">
        <v>15</v>
      </c>
      <c r="C161">
        <v>2017</v>
      </c>
      <c r="D161">
        <v>12</v>
      </c>
      <c r="E161" t="s">
        <v>57</v>
      </c>
      <c r="F161" t="s">
        <v>38</v>
      </c>
      <c r="G161">
        <v>27</v>
      </c>
      <c r="H161" t="s">
        <v>20</v>
      </c>
      <c r="I161">
        <v>3359.82</v>
      </c>
      <c r="J161">
        <v>4361.38</v>
      </c>
      <c r="K161">
        <v>4151.0600000000004</v>
      </c>
      <c r="L161">
        <v>937.74</v>
      </c>
      <c r="M161">
        <v>11872.26</v>
      </c>
      <c r="N161">
        <v>12810</v>
      </c>
    </row>
    <row r="162" spans="1:14" x14ac:dyDescent="0.3">
      <c r="A162" s="2">
        <v>43070</v>
      </c>
      <c r="B162" t="s">
        <v>15</v>
      </c>
      <c r="C162">
        <v>2017</v>
      </c>
      <c r="D162">
        <v>12</v>
      </c>
      <c r="E162" t="s">
        <v>57</v>
      </c>
      <c r="F162" t="s">
        <v>39</v>
      </c>
      <c r="G162">
        <v>14</v>
      </c>
      <c r="H162" t="s">
        <v>20</v>
      </c>
      <c r="I162">
        <v>4.3899999999999997</v>
      </c>
      <c r="J162">
        <v>8.52</v>
      </c>
      <c r="K162">
        <v>0.73</v>
      </c>
      <c r="L162">
        <v>0.08</v>
      </c>
      <c r="M162">
        <v>13.64</v>
      </c>
      <c r="N162">
        <v>13.72</v>
      </c>
    </row>
    <row r="163" spans="1:14" x14ac:dyDescent="0.3">
      <c r="A163" s="2">
        <v>43070</v>
      </c>
      <c r="B163" t="s">
        <v>15</v>
      </c>
      <c r="C163">
        <v>2017</v>
      </c>
      <c r="D163">
        <v>12</v>
      </c>
      <c r="E163" t="s">
        <v>57</v>
      </c>
      <c r="F163" t="s">
        <v>40</v>
      </c>
      <c r="G163">
        <v>17</v>
      </c>
      <c r="H163" t="s">
        <v>20</v>
      </c>
      <c r="I163">
        <v>8.82</v>
      </c>
      <c r="J163">
        <v>15.12</v>
      </c>
      <c r="K163">
        <v>46.26</v>
      </c>
      <c r="L163">
        <v>0.18</v>
      </c>
      <c r="M163">
        <v>70.2</v>
      </c>
      <c r="N163">
        <v>70.38</v>
      </c>
    </row>
    <row r="164" spans="1:14" x14ac:dyDescent="0.3">
      <c r="A164" s="2">
        <v>43070</v>
      </c>
      <c r="B164" t="s">
        <v>15</v>
      </c>
      <c r="C164">
        <v>2017</v>
      </c>
      <c r="D164">
        <v>12</v>
      </c>
      <c r="E164" t="s">
        <v>57</v>
      </c>
      <c r="F164" t="s">
        <v>41</v>
      </c>
      <c r="G164">
        <v>15</v>
      </c>
      <c r="H164" t="s">
        <v>20</v>
      </c>
      <c r="I164">
        <v>2.04</v>
      </c>
      <c r="J164">
        <v>3.55</v>
      </c>
      <c r="K164">
        <v>0.91</v>
      </c>
      <c r="L164">
        <v>0.08</v>
      </c>
      <c r="M164">
        <v>6.5</v>
      </c>
      <c r="N164">
        <v>6.58</v>
      </c>
    </row>
    <row r="165" spans="1:14" x14ac:dyDescent="0.3">
      <c r="A165" s="2">
        <v>43070</v>
      </c>
      <c r="B165" t="s">
        <v>15</v>
      </c>
      <c r="C165">
        <v>2017</v>
      </c>
      <c r="D165">
        <v>12</v>
      </c>
      <c r="E165" t="s">
        <v>57</v>
      </c>
      <c r="F165" t="s">
        <v>42</v>
      </c>
      <c r="G165">
        <v>13</v>
      </c>
      <c r="H165" t="s">
        <v>20</v>
      </c>
      <c r="I165">
        <v>2.62</v>
      </c>
      <c r="J165">
        <v>4.2699999999999996</v>
      </c>
      <c r="K165">
        <v>3</v>
      </c>
      <c r="L165">
        <v>0.44</v>
      </c>
      <c r="M165">
        <v>9.89</v>
      </c>
      <c r="N165">
        <v>10.33</v>
      </c>
    </row>
    <row r="166" spans="1:14" x14ac:dyDescent="0.3">
      <c r="A166" s="2">
        <v>43070</v>
      </c>
      <c r="B166" t="s">
        <v>15</v>
      </c>
      <c r="C166">
        <v>2017</v>
      </c>
      <c r="D166">
        <v>12</v>
      </c>
      <c r="E166" t="s">
        <v>57</v>
      </c>
      <c r="F166" t="s">
        <v>43</v>
      </c>
      <c r="G166">
        <v>21</v>
      </c>
      <c r="H166" t="s">
        <v>20</v>
      </c>
      <c r="I166">
        <v>301.57</v>
      </c>
      <c r="J166">
        <v>400.68</v>
      </c>
      <c r="K166">
        <v>505.74</v>
      </c>
      <c r="L166">
        <v>496.85</v>
      </c>
      <c r="M166">
        <v>1207.99</v>
      </c>
      <c r="N166">
        <v>1704.84</v>
      </c>
    </row>
    <row r="167" spans="1:14" x14ac:dyDescent="0.3">
      <c r="A167" s="2">
        <v>43070</v>
      </c>
      <c r="B167" t="s">
        <v>15</v>
      </c>
      <c r="C167">
        <v>2017</v>
      </c>
      <c r="D167">
        <v>12</v>
      </c>
      <c r="E167" t="s">
        <v>57</v>
      </c>
      <c r="F167" t="s">
        <v>44</v>
      </c>
      <c r="G167">
        <v>34</v>
      </c>
      <c r="H167" t="s">
        <v>18</v>
      </c>
      <c r="I167">
        <v>16.899999999999999</v>
      </c>
      <c r="J167">
        <v>27.79</v>
      </c>
      <c r="K167">
        <v>116.37</v>
      </c>
      <c r="L167">
        <v>0.09</v>
      </c>
      <c r="M167">
        <v>161.06</v>
      </c>
      <c r="N167">
        <v>161.15</v>
      </c>
    </row>
    <row r="168" spans="1:14" x14ac:dyDescent="0.3">
      <c r="A168" s="2">
        <v>43070</v>
      </c>
      <c r="B168" t="s">
        <v>15</v>
      </c>
      <c r="C168">
        <v>2017</v>
      </c>
      <c r="D168">
        <v>12</v>
      </c>
      <c r="E168" t="s">
        <v>57</v>
      </c>
      <c r="F168" t="s">
        <v>45</v>
      </c>
      <c r="G168">
        <v>3</v>
      </c>
      <c r="H168" t="s">
        <v>20</v>
      </c>
      <c r="I168">
        <v>225.83</v>
      </c>
      <c r="J168">
        <v>390.35</v>
      </c>
      <c r="K168">
        <v>455.67</v>
      </c>
      <c r="L168">
        <v>5.62</v>
      </c>
      <c r="M168">
        <v>1071.8499999999999</v>
      </c>
      <c r="N168">
        <v>1077.47</v>
      </c>
    </row>
    <row r="169" spans="1:14" x14ac:dyDescent="0.3">
      <c r="A169" s="2">
        <v>43070</v>
      </c>
      <c r="B169" t="s">
        <v>15</v>
      </c>
      <c r="C169">
        <v>2017</v>
      </c>
      <c r="D169">
        <v>12</v>
      </c>
      <c r="E169" t="s">
        <v>57</v>
      </c>
      <c r="F169" t="s">
        <v>46</v>
      </c>
      <c r="G169">
        <v>8</v>
      </c>
      <c r="H169" t="s">
        <v>20</v>
      </c>
      <c r="I169">
        <v>546.29</v>
      </c>
      <c r="J169">
        <v>746.48</v>
      </c>
      <c r="K169">
        <v>723.17</v>
      </c>
      <c r="L169">
        <v>132.05000000000001</v>
      </c>
      <c r="M169">
        <v>2015.94</v>
      </c>
      <c r="N169">
        <v>2147.9899999999998</v>
      </c>
    </row>
    <row r="170" spans="1:14" x14ac:dyDescent="0.3">
      <c r="A170" s="2">
        <v>43070</v>
      </c>
      <c r="B170" t="s">
        <v>15</v>
      </c>
      <c r="C170">
        <v>2017</v>
      </c>
      <c r="D170">
        <v>12</v>
      </c>
      <c r="E170" t="s">
        <v>57</v>
      </c>
      <c r="F170" t="s">
        <v>47</v>
      </c>
      <c r="G170">
        <v>11</v>
      </c>
      <c r="H170" t="s">
        <v>20</v>
      </c>
      <c r="I170">
        <v>6.53</v>
      </c>
      <c r="J170">
        <v>10.19</v>
      </c>
      <c r="K170">
        <v>147</v>
      </c>
      <c r="L170">
        <v>0.02</v>
      </c>
      <c r="M170">
        <v>163.72</v>
      </c>
      <c r="N170">
        <v>163.74</v>
      </c>
    </row>
    <row r="171" spans="1:14" x14ac:dyDescent="0.3">
      <c r="A171" s="2">
        <v>43070</v>
      </c>
      <c r="B171" t="s">
        <v>15</v>
      </c>
      <c r="C171">
        <v>2017</v>
      </c>
      <c r="D171">
        <v>12</v>
      </c>
      <c r="E171" t="s">
        <v>57</v>
      </c>
      <c r="F171" t="s">
        <v>48</v>
      </c>
      <c r="G171">
        <v>33</v>
      </c>
      <c r="H171" t="s">
        <v>20</v>
      </c>
      <c r="I171">
        <v>1229.68</v>
      </c>
      <c r="J171">
        <v>1796.28</v>
      </c>
      <c r="K171">
        <v>1460.74</v>
      </c>
      <c r="L171">
        <v>527.75</v>
      </c>
      <c r="M171">
        <v>4486.7</v>
      </c>
      <c r="N171">
        <v>5014.45</v>
      </c>
    </row>
    <row r="172" spans="1:14" x14ac:dyDescent="0.3">
      <c r="A172" s="2">
        <v>43070</v>
      </c>
      <c r="B172" t="s">
        <v>15</v>
      </c>
      <c r="C172">
        <v>2017</v>
      </c>
      <c r="D172">
        <v>12</v>
      </c>
      <c r="E172" t="s">
        <v>57</v>
      </c>
      <c r="F172" t="s">
        <v>49</v>
      </c>
      <c r="G172">
        <v>36</v>
      </c>
      <c r="H172" t="s">
        <v>20</v>
      </c>
      <c r="I172">
        <v>520.44000000000005</v>
      </c>
      <c r="J172">
        <v>741.2</v>
      </c>
      <c r="K172">
        <v>714.8</v>
      </c>
      <c r="L172">
        <v>513.29</v>
      </c>
      <c r="M172">
        <v>1976.44</v>
      </c>
      <c r="N172">
        <v>2489.73</v>
      </c>
    </row>
    <row r="173" spans="1:14" x14ac:dyDescent="0.3">
      <c r="A173" s="2">
        <v>43070</v>
      </c>
      <c r="B173" t="s">
        <v>15</v>
      </c>
      <c r="C173">
        <v>2017</v>
      </c>
      <c r="D173">
        <v>12</v>
      </c>
      <c r="E173" t="s">
        <v>57</v>
      </c>
      <c r="F173" t="s">
        <v>50</v>
      </c>
      <c r="G173">
        <v>16</v>
      </c>
      <c r="H173" t="s">
        <v>20</v>
      </c>
      <c r="I173">
        <v>9.91</v>
      </c>
      <c r="J173">
        <v>16.66</v>
      </c>
      <c r="K173">
        <v>2.79</v>
      </c>
      <c r="L173">
        <v>0.44</v>
      </c>
      <c r="M173">
        <v>29.36</v>
      </c>
      <c r="N173">
        <v>29.8</v>
      </c>
    </row>
    <row r="174" spans="1:14" x14ac:dyDescent="0.3">
      <c r="A174" s="2">
        <v>43070</v>
      </c>
      <c r="B174" t="s">
        <v>15</v>
      </c>
      <c r="C174">
        <v>2017</v>
      </c>
      <c r="D174">
        <v>12</v>
      </c>
      <c r="E174" t="s">
        <v>57</v>
      </c>
      <c r="F174" t="s">
        <v>51</v>
      </c>
      <c r="G174">
        <v>9</v>
      </c>
      <c r="H174" t="s">
        <v>20</v>
      </c>
      <c r="I174">
        <v>842.9</v>
      </c>
      <c r="J174">
        <v>1317.77</v>
      </c>
      <c r="K174">
        <v>1220.74</v>
      </c>
      <c r="L174">
        <v>1007.36</v>
      </c>
      <c r="M174">
        <v>3381.41</v>
      </c>
      <c r="N174">
        <v>4388.7700000000004</v>
      </c>
    </row>
    <row r="175" spans="1:14" x14ac:dyDescent="0.3">
      <c r="A175" s="2">
        <v>43070</v>
      </c>
      <c r="B175" t="s">
        <v>15</v>
      </c>
      <c r="C175">
        <v>2017</v>
      </c>
      <c r="D175">
        <v>12</v>
      </c>
      <c r="E175" t="s">
        <v>57</v>
      </c>
      <c r="F175" t="s">
        <v>52</v>
      </c>
      <c r="G175">
        <v>5</v>
      </c>
      <c r="H175" t="s">
        <v>20</v>
      </c>
      <c r="I175">
        <v>132.38999999999999</v>
      </c>
      <c r="J175">
        <v>263.5</v>
      </c>
      <c r="K175">
        <v>778.49</v>
      </c>
      <c r="L175">
        <v>11.8</v>
      </c>
      <c r="M175">
        <v>1174.3800000000001</v>
      </c>
      <c r="N175">
        <v>1186.18</v>
      </c>
    </row>
    <row r="176" spans="1:14" x14ac:dyDescent="0.3">
      <c r="A176" s="2">
        <v>43070</v>
      </c>
      <c r="B176" t="s">
        <v>15</v>
      </c>
      <c r="C176">
        <v>2017</v>
      </c>
      <c r="D176">
        <v>12</v>
      </c>
      <c r="E176" t="s">
        <v>57</v>
      </c>
      <c r="F176" t="s">
        <v>53</v>
      </c>
      <c r="G176">
        <v>19</v>
      </c>
      <c r="H176" t="s">
        <v>20</v>
      </c>
      <c r="I176">
        <v>635.11</v>
      </c>
      <c r="J176">
        <v>957.5</v>
      </c>
      <c r="K176">
        <v>703.87</v>
      </c>
      <c r="L176">
        <v>252.01</v>
      </c>
      <c r="M176">
        <v>2296.48</v>
      </c>
      <c r="N176">
        <v>2548.4899999999998</v>
      </c>
    </row>
    <row r="177" spans="1:14" x14ac:dyDescent="0.3">
      <c r="A177" s="2">
        <v>43101</v>
      </c>
      <c r="B177" t="s">
        <v>15</v>
      </c>
      <c r="C177">
        <v>2018</v>
      </c>
      <c r="D177">
        <v>1</v>
      </c>
      <c r="E177" t="s">
        <v>58</v>
      </c>
      <c r="F177" t="s">
        <v>17</v>
      </c>
      <c r="G177">
        <v>35</v>
      </c>
      <c r="H177" t="s">
        <v>18</v>
      </c>
      <c r="I177">
        <v>5.66</v>
      </c>
      <c r="J177">
        <v>7.95</v>
      </c>
      <c r="K177">
        <v>0.87</v>
      </c>
      <c r="L177">
        <v>0.03</v>
      </c>
      <c r="M177">
        <v>14.48</v>
      </c>
      <c r="N177">
        <v>14.51</v>
      </c>
    </row>
    <row r="178" spans="1:14" x14ac:dyDescent="0.3">
      <c r="A178" s="2">
        <v>43101</v>
      </c>
      <c r="B178" t="s">
        <v>15</v>
      </c>
      <c r="C178">
        <v>2018</v>
      </c>
      <c r="D178">
        <v>1</v>
      </c>
      <c r="E178" t="s">
        <v>58</v>
      </c>
      <c r="F178" t="s">
        <v>19</v>
      </c>
      <c r="G178">
        <v>28</v>
      </c>
      <c r="H178" t="s">
        <v>20</v>
      </c>
      <c r="I178">
        <v>489.06</v>
      </c>
      <c r="J178">
        <v>713.84</v>
      </c>
      <c r="K178">
        <v>697.32</v>
      </c>
      <c r="L178">
        <v>20.58</v>
      </c>
      <c r="M178">
        <v>1900.22</v>
      </c>
      <c r="N178">
        <v>1920.8</v>
      </c>
    </row>
    <row r="179" spans="1:14" x14ac:dyDescent="0.3">
      <c r="A179" s="2">
        <v>43101</v>
      </c>
      <c r="B179" t="s">
        <v>15</v>
      </c>
      <c r="C179">
        <v>2018</v>
      </c>
      <c r="D179">
        <v>1</v>
      </c>
      <c r="E179" t="s">
        <v>58</v>
      </c>
      <c r="F179" t="s">
        <v>21</v>
      </c>
      <c r="G179">
        <v>12</v>
      </c>
      <c r="H179" t="s">
        <v>20</v>
      </c>
      <c r="I179">
        <v>4.72</v>
      </c>
      <c r="J179">
        <v>8.57</v>
      </c>
      <c r="K179">
        <v>3.03</v>
      </c>
      <c r="L179">
        <v>0.14000000000000001</v>
      </c>
      <c r="M179">
        <v>16.32</v>
      </c>
      <c r="N179">
        <v>16.46</v>
      </c>
    </row>
    <row r="180" spans="1:14" x14ac:dyDescent="0.3">
      <c r="A180" s="2">
        <v>43101</v>
      </c>
      <c r="B180" t="s">
        <v>15</v>
      </c>
      <c r="C180">
        <v>2018</v>
      </c>
      <c r="D180">
        <v>1</v>
      </c>
      <c r="E180" t="s">
        <v>58</v>
      </c>
      <c r="F180" t="s">
        <v>22</v>
      </c>
      <c r="G180">
        <v>18</v>
      </c>
      <c r="H180" t="s">
        <v>20</v>
      </c>
      <c r="I180">
        <v>141.38999999999999</v>
      </c>
      <c r="J180">
        <v>222.14</v>
      </c>
      <c r="K180">
        <v>175.96</v>
      </c>
      <c r="L180">
        <v>38.46</v>
      </c>
      <c r="M180">
        <v>539.49</v>
      </c>
      <c r="N180">
        <v>577.95000000000005</v>
      </c>
    </row>
    <row r="181" spans="1:14" x14ac:dyDescent="0.3">
      <c r="A181" s="2">
        <v>43101</v>
      </c>
      <c r="B181" t="s">
        <v>15</v>
      </c>
      <c r="C181">
        <v>2018</v>
      </c>
      <c r="D181">
        <v>1</v>
      </c>
      <c r="E181" t="s">
        <v>58</v>
      </c>
      <c r="F181" t="s">
        <v>23</v>
      </c>
      <c r="G181">
        <v>10</v>
      </c>
      <c r="H181" t="s">
        <v>20</v>
      </c>
      <c r="I181">
        <v>136.37</v>
      </c>
      <c r="J181">
        <v>280.74</v>
      </c>
      <c r="K181">
        <v>78.45</v>
      </c>
      <c r="L181">
        <v>146</v>
      </c>
      <c r="M181">
        <v>495.56</v>
      </c>
      <c r="N181">
        <v>641.55999999999995</v>
      </c>
    </row>
    <row r="182" spans="1:14" x14ac:dyDescent="0.3">
      <c r="A182" s="2">
        <v>43101</v>
      </c>
      <c r="B182" t="s">
        <v>15</v>
      </c>
      <c r="C182">
        <v>2018</v>
      </c>
      <c r="D182">
        <v>1</v>
      </c>
      <c r="E182" t="s">
        <v>58</v>
      </c>
      <c r="F182" t="s">
        <v>24</v>
      </c>
      <c r="G182">
        <v>4</v>
      </c>
      <c r="H182" t="s">
        <v>18</v>
      </c>
      <c r="I182">
        <v>27.01</v>
      </c>
      <c r="J182">
        <v>41.53</v>
      </c>
      <c r="K182">
        <v>77.64</v>
      </c>
      <c r="L182">
        <v>1.35</v>
      </c>
      <c r="M182">
        <v>146.18</v>
      </c>
      <c r="N182">
        <v>147.53</v>
      </c>
    </row>
    <row r="183" spans="1:14" x14ac:dyDescent="0.3">
      <c r="A183" s="2">
        <v>43101</v>
      </c>
      <c r="B183" t="s">
        <v>15</v>
      </c>
      <c r="C183">
        <v>2018</v>
      </c>
      <c r="D183">
        <v>1</v>
      </c>
      <c r="E183" t="s">
        <v>58</v>
      </c>
      <c r="F183" t="s">
        <v>25</v>
      </c>
      <c r="G183">
        <v>22</v>
      </c>
      <c r="H183" t="s">
        <v>20</v>
      </c>
      <c r="I183">
        <v>279.02999999999997</v>
      </c>
      <c r="J183">
        <v>367.35</v>
      </c>
      <c r="K183">
        <v>530.4</v>
      </c>
      <c r="L183">
        <v>597.23</v>
      </c>
      <c r="M183">
        <v>1176.78</v>
      </c>
      <c r="N183">
        <v>1774.01</v>
      </c>
    </row>
    <row r="184" spans="1:14" x14ac:dyDescent="0.3">
      <c r="A184" s="2">
        <v>43101</v>
      </c>
      <c r="B184" t="s">
        <v>15</v>
      </c>
      <c r="C184">
        <v>2018</v>
      </c>
      <c r="D184">
        <v>1</v>
      </c>
      <c r="E184" t="s">
        <v>58</v>
      </c>
      <c r="F184" t="s">
        <v>26</v>
      </c>
      <c r="G184">
        <v>38</v>
      </c>
      <c r="H184" t="s">
        <v>18</v>
      </c>
      <c r="I184">
        <v>24.41</v>
      </c>
      <c r="J184">
        <v>33.9</v>
      </c>
      <c r="K184">
        <v>193.01</v>
      </c>
      <c r="L184">
        <v>0.28999999999999998</v>
      </c>
      <c r="M184">
        <v>251.32</v>
      </c>
      <c r="N184">
        <v>251.61</v>
      </c>
    </row>
    <row r="185" spans="1:14" x14ac:dyDescent="0.3">
      <c r="A185" s="2">
        <v>43101</v>
      </c>
      <c r="B185" t="s">
        <v>15</v>
      </c>
      <c r="C185">
        <v>2018</v>
      </c>
      <c r="D185">
        <v>1</v>
      </c>
      <c r="E185" t="s">
        <v>58</v>
      </c>
      <c r="F185" t="s">
        <v>27</v>
      </c>
      <c r="G185">
        <v>7</v>
      </c>
      <c r="H185" t="s">
        <v>18</v>
      </c>
      <c r="I185">
        <v>825.37</v>
      </c>
      <c r="J185">
        <v>1099.6199999999999</v>
      </c>
      <c r="K185">
        <v>1596.28</v>
      </c>
      <c r="L185">
        <v>81.45</v>
      </c>
      <c r="M185">
        <v>3521.27</v>
      </c>
      <c r="N185">
        <v>3602.72</v>
      </c>
    </row>
    <row r="186" spans="1:14" x14ac:dyDescent="0.3">
      <c r="A186" s="2">
        <v>43101</v>
      </c>
      <c r="B186" t="s">
        <v>15</v>
      </c>
      <c r="C186">
        <v>2018</v>
      </c>
      <c r="D186">
        <v>1</v>
      </c>
      <c r="E186" t="s">
        <v>58</v>
      </c>
      <c r="F186" t="s">
        <v>28</v>
      </c>
      <c r="G186">
        <v>30</v>
      </c>
      <c r="H186" t="s">
        <v>20</v>
      </c>
      <c r="I186">
        <v>82.76</v>
      </c>
      <c r="J186">
        <v>116.78</v>
      </c>
      <c r="K186">
        <v>103.7</v>
      </c>
      <c r="L186">
        <v>2.27</v>
      </c>
      <c r="M186">
        <v>303.24</v>
      </c>
      <c r="N186">
        <v>305.51</v>
      </c>
    </row>
    <row r="187" spans="1:14" x14ac:dyDescent="0.3">
      <c r="A187" s="2">
        <v>43101</v>
      </c>
      <c r="B187" t="s">
        <v>15</v>
      </c>
      <c r="C187">
        <v>2018</v>
      </c>
      <c r="D187">
        <v>1</v>
      </c>
      <c r="E187" t="s">
        <v>58</v>
      </c>
      <c r="F187" t="s">
        <v>29</v>
      </c>
      <c r="G187">
        <v>24</v>
      </c>
      <c r="H187" t="s">
        <v>20</v>
      </c>
      <c r="I187">
        <v>1532.26</v>
      </c>
      <c r="J187">
        <v>2060.8000000000002</v>
      </c>
      <c r="K187">
        <v>1876.07</v>
      </c>
      <c r="L187">
        <v>309.57</v>
      </c>
      <c r="M187">
        <v>5469.13</v>
      </c>
      <c r="N187">
        <v>5778.7</v>
      </c>
    </row>
    <row r="188" spans="1:14" x14ac:dyDescent="0.3">
      <c r="A188" s="2">
        <v>43101</v>
      </c>
      <c r="B188" t="s">
        <v>15</v>
      </c>
      <c r="C188">
        <v>2018</v>
      </c>
      <c r="D188">
        <v>1</v>
      </c>
      <c r="E188" t="s">
        <v>58</v>
      </c>
      <c r="F188" t="s">
        <v>30</v>
      </c>
      <c r="G188">
        <v>6</v>
      </c>
      <c r="H188" t="s">
        <v>20</v>
      </c>
      <c r="I188">
        <v>609.78</v>
      </c>
      <c r="J188">
        <v>965.79</v>
      </c>
      <c r="K188">
        <v>2376.42</v>
      </c>
      <c r="L188">
        <v>310.94</v>
      </c>
      <c r="M188">
        <v>3951.99</v>
      </c>
      <c r="N188">
        <v>4262.93</v>
      </c>
    </row>
    <row r="189" spans="1:14" x14ac:dyDescent="0.3">
      <c r="A189" s="2">
        <v>43101</v>
      </c>
      <c r="B189" t="s">
        <v>15</v>
      </c>
      <c r="C189">
        <v>2018</v>
      </c>
      <c r="D189">
        <v>1</v>
      </c>
      <c r="E189" t="s">
        <v>58</v>
      </c>
      <c r="F189" t="s">
        <v>31</v>
      </c>
      <c r="G189">
        <v>2</v>
      </c>
      <c r="H189" t="s">
        <v>20</v>
      </c>
      <c r="I189">
        <v>78.44</v>
      </c>
      <c r="J189">
        <v>125.25</v>
      </c>
      <c r="K189">
        <v>394.38</v>
      </c>
      <c r="L189">
        <v>1.59</v>
      </c>
      <c r="M189">
        <v>598.07000000000005</v>
      </c>
      <c r="N189">
        <v>599.66</v>
      </c>
    </row>
    <row r="190" spans="1:14" x14ac:dyDescent="0.3">
      <c r="A190" s="2">
        <v>43101</v>
      </c>
      <c r="B190" t="s">
        <v>15</v>
      </c>
      <c r="C190">
        <v>2018</v>
      </c>
      <c r="D190">
        <v>1</v>
      </c>
      <c r="E190" t="s">
        <v>58</v>
      </c>
      <c r="F190" t="s">
        <v>32</v>
      </c>
      <c r="G190">
        <v>1</v>
      </c>
      <c r="H190" t="s">
        <v>18</v>
      </c>
      <c r="I190">
        <v>92.21</v>
      </c>
      <c r="J190">
        <v>144.58000000000001</v>
      </c>
      <c r="K190">
        <v>65.209999999999994</v>
      </c>
      <c r="L190">
        <v>4.37</v>
      </c>
      <c r="M190">
        <v>302</v>
      </c>
      <c r="N190">
        <v>306.37</v>
      </c>
    </row>
    <row r="191" spans="1:14" x14ac:dyDescent="0.3">
      <c r="A191" s="2">
        <v>43101</v>
      </c>
      <c r="B191" t="s">
        <v>15</v>
      </c>
      <c r="C191">
        <v>2018</v>
      </c>
      <c r="D191">
        <v>1</v>
      </c>
      <c r="E191" t="s">
        <v>58</v>
      </c>
      <c r="F191" t="s">
        <v>33</v>
      </c>
      <c r="G191">
        <v>20</v>
      </c>
      <c r="H191" t="s">
        <v>20</v>
      </c>
      <c r="I191">
        <v>242.19</v>
      </c>
      <c r="J191">
        <v>354.26</v>
      </c>
      <c r="K191">
        <v>883.4</v>
      </c>
      <c r="L191">
        <v>394.44</v>
      </c>
      <c r="M191">
        <v>1479.85</v>
      </c>
      <c r="N191">
        <v>1874.29</v>
      </c>
    </row>
    <row r="192" spans="1:14" x14ac:dyDescent="0.3">
      <c r="A192" s="2">
        <v>43101</v>
      </c>
      <c r="B192" t="s">
        <v>15</v>
      </c>
      <c r="C192">
        <v>2018</v>
      </c>
      <c r="D192">
        <v>1</v>
      </c>
      <c r="E192" t="s">
        <v>58</v>
      </c>
      <c r="F192" t="s">
        <v>34</v>
      </c>
      <c r="G192">
        <v>29</v>
      </c>
      <c r="H192" t="s">
        <v>20</v>
      </c>
      <c r="I192">
        <v>1257.76</v>
      </c>
      <c r="J192">
        <v>1810.44</v>
      </c>
      <c r="K192">
        <v>2049.0100000000002</v>
      </c>
      <c r="L192">
        <v>873.84</v>
      </c>
      <c r="M192">
        <v>5117.21</v>
      </c>
      <c r="N192">
        <v>5991.05</v>
      </c>
    </row>
    <row r="193" spans="1:14" x14ac:dyDescent="0.3">
      <c r="A193" s="2">
        <v>43101</v>
      </c>
      <c r="B193" t="s">
        <v>15</v>
      </c>
      <c r="C193">
        <v>2018</v>
      </c>
      <c r="D193">
        <v>1</v>
      </c>
      <c r="E193" t="s">
        <v>58</v>
      </c>
      <c r="F193" t="s">
        <v>35</v>
      </c>
      <c r="G193">
        <v>32</v>
      </c>
      <c r="H193" t="s">
        <v>20</v>
      </c>
      <c r="I193">
        <v>413.66</v>
      </c>
      <c r="J193">
        <v>698.46</v>
      </c>
      <c r="K193">
        <v>244.36</v>
      </c>
      <c r="L193">
        <v>11.29</v>
      </c>
      <c r="M193">
        <v>1356.48</v>
      </c>
      <c r="N193">
        <v>1367.77</v>
      </c>
    </row>
    <row r="194" spans="1:14" x14ac:dyDescent="0.3">
      <c r="A194" s="2">
        <v>43101</v>
      </c>
      <c r="B194" t="s">
        <v>15</v>
      </c>
      <c r="C194">
        <v>2018</v>
      </c>
      <c r="D194">
        <v>1</v>
      </c>
      <c r="E194" t="s">
        <v>58</v>
      </c>
      <c r="F194" t="s">
        <v>36</v>
      </c>
      <c r="G194">
        <v>31</v>
      </c>
      <c r="H194" t="s">
        <v>18</v>
      </c>
      <c r="I194">
        <v>0.3</v>
      </c>
      <c r="J194">
        <v>0.35</v>
      </c>
      <c r="K194">
        <v>0.03</v>
      </c>
      <c r="L194">
        <v>0</v>
      </c>
      <c r="M194">
        <v>0.68</v>
      </c>
      <c r="N194">
        <v>0.68</v>
      </c>
    </row>
    <row r="195" spans="1:14" x14ac:dyDescent="0.3">
      <c r="A195" s="2">
        <v>43101</v>
      </c>
      <c r="B195" t="s">
        <v>15</v>
      </c>
      <c r="C195">
        <v>2018</v>
      </c>
      <c r="D195">
        <v>1</v>
      </c>
      <c r="E195" t="s">
        <v>58</v>
      </c>
      <c r="F195" t="s">
        <v>37</v>
      </c>
      <c r="G195">
        <v>23</v>
      </c>
      <c r="H195" t="s">
        <v>20</v>
      </c>
      <c r="I195">
        <v>416.18</v>
      </c>
      <c r="J195">
        <v>613.79999999999995</v>
      </c>
      <c r="K195">
        <v>489.92</v>
      </c>
      <c r="L195">
        <v>369.97</v>
      </c>
      <c r="M195">
        <v>1519.9</v>
      </c>
      <c r="N195">
        <v>1889.87</v>
      </c>
    </row>
    <row r="196" spans="1:14" x14ac:dyDescent="0.3">
      <c r="A196" s="2">
        <v>43101</v>
      </c>
      <c r="B196" t="s">
        <v>15</v>
      </c>
      <c r="C196">
        <v>2018</v>
      </c>
      <c r="D196">
        <v>1</v>
      </c>
      <c r="E196" t="s">
        <v>58</v>
      </c>
      <c r="F196" t="s">
        <v>38</v>
      </c>
      <c r="G196">
        <v>27</v>
      </c>
      <c r="H196" t="s">
        <v>20</v>
      </c>
      <c r="I196">
        <v>3263.95</v>
      </c>
      <c r="J196">
        <v>4450.34</v>
      </c>
      <c r="K196">
        <v>4657.3900000000003</v>
      </c>
      <c r="L196">
        <v>984.98</v>
      </c>
      <c r="M196">
        <v>12371.68</v>
      </c>
      <c r="N196">
        <v>13356.66</v>
      </c>
    </row>
    <row r="197" spans="1:14" x14ac:dyDescent="0.3">
      <c r="A197" s="2">
        <v>43101</v>
      </c>
      <c r="B197" t="s">
        <v>15</v>
      </c>
      <c r="C197">
        <v>2018</v>
      </c>
      <c r="D197">
        <v>1</v>
      </c>
      <c r="E197" t="s">
        <v>58</v>
      </c>
      <c r="F197" t="s">
        <v>39</v>
      </c>
      <c r="G197">
        <v>14</v>
      </c>
      <c r="H197" t="s">
        <v>20</v>
      </c>
      <c r="I197">
        <v>3.71</v>
      </c>
      <c r="J197">
        <v>7.59</v>
      </c>
      <c r="K197">
        <v>0.84</v>
      </c>
      <c r="L197">
        <v>0.16</v>
      </c>
      <c r="M197">
        <v>12.14</v>
      </c>
      <c r="N197">
        <v>12.3</v>
      </c>
    </row>
    <row r="198" spans="1:14" x14ac:dyDescent="0.3">
      <c r="A198" s="2">
        <v>43101</v>
      </c>
      <c r="B198" t="s">
        <v>15</v>
      </c>
      <c r="C198">
        <v>2018</v>
      </c>
      <c r="D198">
        <v>1</v>
      </c>
      <c r="E198" t="s">
        <v>58</v>
      </c>
      <c r="F198" t="s">
        <v>40</v>
      </c>
      <c r="G198">
        <v>17</v>
      </c>
      <c r="H198" t="s">
        <v>20</v>
      </c>
      <c r="I198">
        <v>12.89</v>
      </c>
      <c r="J198">
        <v>21.25</v>
      </c>
      <c r="K198">
        <v>51.61</v>
      </c>
      <c r="L198">
        <v>4.72</v>
      </c>
      <c r="M198">
        <v>85.75</v>
      </c>
      <c r="N198">
        <v>90.47</v>
      </c>
    </row>
    <row r="199" spans="1:14" x14ac:dyDescent="0.3">
      <c r="A199" s="2">
        <v>43101</v>
      </c>
      <c r="B199" t="s">
        <v>15</v>
      </c>
      <c r="C199">
        <v>2018</v>
      </c>
      <c r="D199">
        <v>1</v>
      </c>
      <c r="E199" t="s">
        <v>58</v>
      </c>
      <c r="F199" t="s">
        <v>41</v>
      </c>
      <c r="G199">
        <v>15</v>
      </c>
      <c r="H199" t="s">
        <v>20</v>
      </c>
      <c r="I199">
        <v>2.1</v>
      </c>
      <c r="J199">
        <v>3.69</v>
      </c>
      <c r="K199">
        <v>2.0299999999999998</v>
      </c>
      <c r="L199">
        <v>0.02</v>
      </c>
      <c r="M199">
        <v>7.82</v>
      </c>
      <c r="N199">
        <v>7.84</v>
      </c>
    </row>
    <row r="200" spans="1:14" x14ac:dyDescent="0.3">
      <c r="A200" s="2">
        <v>43101</v>
      </c>
      <c r="B200" t="s">
        <v>15</v>
      </c>
      <c r="C200">
        <v>2018</v>
      </c>
      <c r="D200">
        <v>1</v>
      </c>
      <c r="E200" t="s">
        <v>58</v>
      </c>
      <c r="F200" t="s">
        <v>42</v>
      </c>
      <c r="G200">
        <v>13</v>
      </c>
      <c r="H200" t="s">
        <v>20</v>
      </c>
      <c r="I200">
        <v>4.04</v>
      </c>
      <c r="J200">
        <v>6.19</v>
      </c>
      <c r="K200">
        <v>4.82</v>
      </c>
      <c r="L200">
        <v>0.38</v>
      </c>
      <c r="M200">
        <v>15.05</v>
      </c>
      <c r="N200">
        <v>15.43</v>
      </c>
    </row>
    <row r="201" spans="1:14" x14ac:dyDescent="0.3">
      <c r="A201" s="2">
        <v>43101</v>
      </c>
      <c r="B201" t="s">
        <v>15</v>
      </c>
      <c r="C201">
        <v>2018</v>
      </c>
      <c r="D201">
        <v>1</v>
      </c>
      <c r="E201" t="s">
        <v>58</v>
      </c>
      <c r="F201" t="s">
        <v>43</v>
      </c>
      <c r="G201">
        <v>21</v>
      </c>
      <c r="H201" t="s">
        <v>20</v>
      </c>
      <c r="I201">
        <v>355.36</v>
      </c>
      <c r="J201">
        <v>470.56</v>
      </c>
      <c r="K201">
        <v>542.25</v>
      </c>
      <c r="L201">
        <v>590.33000000000004</v>
      </c>
      <c r="M201">
        <v>1368.17</v>
      </c>
      <c r="N201">
        <v>1958.5</v>
      </c>
    </row>
    <row r="202" spans="1:14" x14ac:dyDescent="0.3">
      <c r="A202" s="2">
        <v>43101</v>
      </c>
      <c r="B202" t="s">
        <v>15</v>
      </c>
      <c r="C202">
        <v>2018</v>
      </c>
      <c r="D202">
        <v>1</v>
      </c>
      <c r="E202" t="s">
        <v>58</v>
      </c>
      <c r="F202" t="s">
        <v>44</v>
      </c>
      <c r="G202">
        <v>34</v>
      </c>
      <c r="H202" t="s">
        <v>18</v>
      </c>
      <c r="I202">
        <v>20.57</v>
      </c>
      <c r="J202">
        <v>30.9</v>
      </c>
      <c r="K202">
        <v>109.73</v>
      </c>
      <c r="L202">
        <v>1.57</v>
      </c>
      <c r="M202">
        <v>161.19999999999999</v>
      </c>
      <c r="N202">
        <v>162.77000000000001</v>
      </c>
    </row>
    <row r="203" spans="1:14" x14ac:dyDescent="0.3">
      <c r="A203" s="2">
        <v>43101</v>
      </c>
      <c r="B203" t="s">
        <v>15</v>
      </c>
      <c r="C203">
        <v>2018</v>
      </c>
      <c r="D203">
        <v>1</v>
      </c>
      <c r="E203" t="s">
        <v>58</v>
      </c>
      <c r="F203" t="s">
        <v>45</v>
      </c>
      <c r="G203">
        <v>3</v>
      </c>
      <c r="H203" t="s">
        <v>20</v>
      </c>
      <c r="I203">
        <v>239.73</v>
      </c>
      <c r="J203">
        <v>424.34</v>
      </c>
      <c r="K203">
        <v>410.81</v>
      </c>
      <c r="L203">
        <v>12.64</v>
      </c>
      <c r="M203">
        <v>1074.8800000000001</v>
      </c>
      <c r="N203">
        <v>1087.52</v>
      </c>
    </row>
    <row r="204" spans="1:14" x14ac:dyDescent="0.3">
      <c r="A204" s="2">
        <v>43101</v>
      </c>
      <c r="B204" t="s">
        <v>15</v>
      </c>
      <c r="C204">
        <v>2018</v>
      </c>
      <c r="D204">
        <v>1</v>
      </c>
      <c r="E204" t="s">
        <v>58</v>
      </c>
      <c r="F204" t="s">
        <v>46</v>
      </c>
      <c r="G204">
        <v>8</v>
      </c>
      <c r="H204" t="s">
        <v>20</v>
      </c>
      <c r="I204">
        <v>599.42999999999995</v>
      </c>
      <c r="J204">
        <v>858.55</v>
      </c>
      <c r="K204">
        <v>781.42</v>
      </c>
      <c r="L204">
        <v>154.81</v>
      </c>
      <c r="M204">
        <v>2239.4</v>
      </c>
      <c r="N204">
        <v>2394.21</v>
      </c>
    </row>
    <row r="205" spans="1:14" x14ac:dyDescent="0.3">
      <c r="A205" s="2">
        <v>43101</v>
      </c>
      <c r="B205" t="s">
        <v>15</v>
      </c>
      <c r="C205">
        <v>2018</v>
      </c>
      <c r="D205">
        <v>1</v>
      </c>
      <c r="E205" t="s">
        <v>58</v>
      </c>
      <c r="F205" t="s">
        <v>47</v>
      </c>
      <c r="G205">
        <v>11</v>
      </c>
      <c r="H205" t="s">
        <v>20</v>
      </c>
      <c r="I205">
        <v>6.67</v>
      </c>
      <c r="J205">
        <v>11.45</v>
      </c>
      <c r="K205">
        <v>133.58000000000001</v>
      </c>
      <c r="L205">
        <v>0.01</v>
      </c>
      <c r="M205">
        <v>151.69999999999999</v>
      </c>
      <c r="N205">
        <v>151.71</v>
      </c>
    </row>
    <row r="206" spans="1:14" x14ac:dyDescent="0.3">
      <c r="A206" s="2">
        <v>43101</v>
      </c>
      <c r="B206" t="s">
        <v>15</v>
      </c>
      <c r="C206">
        <v>2018</v>
      </c>
      <c r="D206">
        <v>1</v>
      </c>
      <c r="E206" t="s">
        <v>58</v>
      </c>
      <c r="F206" t="s">
        <v>48</v>
      </c>
      <c r="G206">
        <v>33</v>
      </c>
      <c r="H206" t="s">
        <v>20</v>
      </c>
      <c r="I206">
        <v>1282.27</v>
      </c>
      <c r="J206">
        <v>1889.36</v>
      </c>
      <c r="K206">
        <v>1555.99</v>
      </c>
      <c r="L206">
        <v>588.30999999999995</v>
      </c>
      <c r="M206">
        <v>4727.62</v>
      </c>
      <c r="N206">
        <v>5315.93</v>
      </c>
    </row>
    <row r="207" spans="1:14" x14ac:dyDescent="0.3">
      <c r="A207" s="2">
        <v>43101</v>
      </c>
      <c r="B207" t="s">
        <v>15</v>
      </c>
      <c r="C207">
        <v>2018</v>
      </c>
      <c r="D207">
        <v>1</v>
      </c>
      <c r="E207" t="s">
        <v>58</v>
      </c>
      <c r="F207" t="s">
        <v>49</v>
      </c>
      <c r="G207">
        <v>36</v>
      </c>
      <c r="H207" t="s">
        <v>20</v>
      </c>
      <c r="I207">
        <v>586.35</v>
      </c>
      <c r="J207">
        <v>856.59</v>
      </c>
      <c r="K207">
        <v>768.04</v>
      </c>
      <c r="L207">
        <v>525.74</v>
      </c>
      <c r="M207">
        <v>2210.98</v>
      </c>
      <c r="N207">
        <v>2736.72</v>
      </c>
    </row>
    <row r="208" spans="1:14" x14ac:dyDescent="0.3">
      <c r="A208" s="2">
        <v>43101</v>
      </c>
      <c r="B208" t="s">
        <v>15</v>
      </c>
      <c r="C208">
        <v>2018</v>
      </c>
      <c r="D208">
        <v>1</v>
      </c>
      <c r="E208" t="s">
        <v>58</v>
      </c>
      <c r="F208" t="s">
        <v>50</v>
      </c>
      <c r="G208">
        <v>16</v>
      </c>
      <c r="H208" t="s">
        <v>20</v>
      </c>
      <c r="I208">
        <v>11.45</v>
      </c>
      <c r="J208">
        <v>16.95</v>
      </c>
      <c r="K208">
        <v>3.66</v>
      </c>
      <c r="L208">
        <v>0.17</v>
      </c>
      <c r="M208">
        <v>32.06</v>
      </c>
      <c r="N208">
        <v>32.229999999999997</v>
      </c>
    </row>
    <row r="209" spans="1:14" x14ac:dyDescent="0.3">
      <c r="A209" s="2">
        <v>43101</v>
      </c>
      <c r="B209" t="s">
        <v>15</v>
      </c>
      <c r="C209">
        <v>2018</v>
      </c>
      <c r="D209">
        <v>1</v>
      </c>
      <c r="E209" t="s">
        <v>58</v>
      </c>
      <c r="F209" t="s">
        <v>51</v>
      </c>
      <c r="G209">
        <v>9</v>
      </c>
      <c r="H209" t="s">
        <v>20</v>
      </c>
      <c r="I209">
        <v>926.94</v>
      </c>
      <c r="J209">
        <v>1450.58</v>
      </c>
      <c r="K209">
        <v>1339.6</v>
      </c>
      <c r="L209">
        <v>957.3</v>
      </c>
      <c r="M209">
        <v>3717.12</v>
      </c>
      <c r="N209">
        <v>4674.42</v>
      </c>
    </row>
    <row r="210" spans="1:14" x14ac:dyDescent="0.3">
      <c r="A210" s="2">
        <v>43101</v>
      </c>
      <c r="B210" t="s">
        <v>15</v>
      </c>
      <c r="C210">
        <v>2018</v>
      </c>
      <c r="D210">
        <v>1</v>
      </c>
      <c r="E210" t="s">
        <v>58</v>
      </c>
      <c r="F210" t="s">
        <v>52</v>
      </c>
      <c r="G210">
        <v>5</v>
      </c>
      <c r="H210" t="s">
        <v>20</v>
      </c>
      <c r="I210">
        <v>153.59</v>
      </c>
      <c r="J210">
        <v>268.70999999999998</v>
      </c>
      <c r="K210">
        <v>825.16</v>
      </c>
      <c r="L210">
        <v>14.27</v>
      </c>
      <c r="M210">
        <v>1247.46</v>
      </c>
      <c r="N210">
        <v>1261.73</v>
      </c>
    </row>
    <row r="211" spans="1:14" x14ac:dyDescent="0.3">
      <c r="A211" s="2">
        <v>43101</v>
      </c>
      <c r="B211" t="s">
        <v>15</v>
      </c>
      <c r="C211">
        <v>2018</v>
      </c>
      <c r="D211">
        <v>1</v>
      </c>
      <c r="E211" t="s">
        <v>58</v>
      </c>
      <c r="F211" t="s">
        <v>53</v>
      </c>
      <c r="G211">
        <v>19</v>
      </c>
      <c r="H211" t="s">
        <v>20</v>
      </c>
      <c r="I211">
        <v>669.53</v>
      </c>
      <c r="J211">
        <v>990.88</v>
      </c>
      <c r="K211">
        <v>714.51</v>
      </c>
      <c r="L211">
        <v>282.95999999999998</v>
      </c>
      <c r="M211">
        <v>2374.92</v>
      </c>
      <c r="N211">
        <v>2657.88</v>
      </c>
    </row>
    <row r="212" spans="1:14" x14ac:dyDescent="0.3">
      <c r="A212" s="2">
        <v>43132</v>
      </c>
      <c r="B212" t="s">
        <v>15</v>
      </c>
      <c r="C212">
        <v>2018</v>
      </c>
      <c r="D212">
        <v>2</v>
      </c>
      <c r="E212" t="s">
        <v>59</v>
      </c>
      <c r="F212" t="s">
        <v>17</v>
      </c>
      <c r="G212">
        <v>35</v>
      </c>
      <c r="H212" t="s">
        <v>18</v>
      </c>
      <c r="I212">
        <v>8.25</v>
      </c>
      <c r="J212">
        <v>11.07</v>
      </c>
      <c r="K212">
        <v>0.9</v>
      </c>
      <c r="L212">
        <v>0.02</v>
      </c>
      <c r="M212">
        <v>20.22</v>
      </c>
      <c r="N212">
        <v>20.239999999999998</v>
      </c>
    </row>
    <row r="213" spans="1:14" x14ac:dyDescent="0.3">
      <c r="A213" s="2">
        <v>43132</v>
      </c>
      <c r="B213" t="s">
        <v>15</v>
      </c>
      <c r="C213">
        <v>2018</v>
      </c>
      <c r="D213">
        <v>2</v>
      </c>
      <c r="E213" t="s">
        <v>59</v>
      </c>
      <c r="F213" t="s">
        <v>19</v>
      </c>
      <c r="G213">
        <v>28</v>
      </c>
      <c r="H213" t="s">
        <v>20</v>
      </c>
      <c r="I213">
        <v>415.89</v>
      </c>
      <c r="J213">
        <v>581.44000000000005</v>
      </c>
      <c r="K213">
        <v>742.9</v>
      </c>
      <c r="L213">
        <v>18.25</v>
      </c>
      <c r="M213">
        <v>1740.23</v>
      </c>
      <c r="N213">
        <v>1758.48</v>
      </c>
    </row>
    <row r="214" spans="1:14" x14ac:dyDescent="0.3">
      <c r="A214" s="2">
        <v>43132</v>
      </c>
      <c r="B214" t="s">
        <v>15</v>
      </c>
      <c r="C214">
        <v>2018</v>
      </c>
      <c r="D214">
        <v>2</v>
      </c>
      <c r="E214" t="s">
        <v>59</v>
      </c>
      <c r="F214" t="s">
        <v>21</v>
      </c>
      <c r="G214">
        <v>12</v>
      </c>
      <c r="H214" t="s">
        <v>20</v>
      </c>
      <c r="I214">
        <v>3.98</v>
      </c>
      <c r="J214">
        <v>6.59</v>
      </c>
      <c r="K214">
        <v>2.4900000000000002</v>
      </c>
      <c r="L214">
        <v>0.4</v>
      </c>
      <c r="M214">
        <v>13.06</v>
      </c>
      <c r="N214">
        <v>13.46</v>
      </c>
    </row>
    <row r="215" spans="1:14" x14ac:dyDescent="0.3">
      <c r="A215" s="2">
        <v>43132</v>
      </c>
      <c r="B215" t="s">
        <v>15</v>
      </c>
      <c r="C215">
        <v>2018</v>
      </c>
      <c r="D215">
        <v>2</v>
      </c>
      <c r="E215" t="s">
        <v>59</v>
      </c>
      <c r="F215" t="s">
        <v>22</v>
      </c>
      <c r="G215">
        <v>18</v>
      </c>
      <c r="H215" t="s">
        <v>20</v>
      </c>
      <c r="I215">
        <v>132.62</v>
      </c>
      <c r="J215">
        <v>203.23</v>
      </c>
      <c r="K215">
        <v>164.07</v>
      </c>
      <c r="L215">
        <v>27.94</v>
      </c>
      <c r="M215">
        <v>499.92</v>
      </c>
      <c r="N215">
        <v>527.86</v>
      </c>
    </row>
    <row r="216" spans="1:14" x14ac:dyDescent="0.3">
      <c r="A216" s="2">
        <v>43132</v>
      </c>
      <c r="B216" t="s">
        <v>15</v>
      </c>
      <c r="C216">
        <v>2018</v>
      </c>
      <c r="D216">
        <v>2</v>
      </c>
      <c r="E216" t="s">
        <v>59</v>
      </c>
      <c r="F216" t="s">
        <v>23</v>
      </c>
      <c r="G216">
        <v>10</v>
      </c>
      <c r="H216" t="s">
        <v>20</v>
      </c>
      <c r="I216">
        <v>145.59</v>
      </c>
      <c r="J216">
        <v>270.19</v>
      </c>
      <c r="K216">
        <v>127.62</v>
      </c>
      <c r="L216">
        <v>223.39</v>
      </c>
      <c r="M216">
        <v>543.4</v>
      </c>
      <c r="N216">
        <v>766.79</v>
      </c>
    </row>
    <row r="217" spans="1:14" x14ac:dyDescent="0.3">
      <c r="A217" s="2">
        <v>43132</v>
      </c>
      <c r="B217" t="s">
        <v>15</v>
      </c>
      <c r="C217">
        <v>2018</v>
      </c>
      <c r="D217">
        <v>2</v>
      </c>
      <c r="E217" t="s">
        <v>59</v>
      </c>
      <c r="F217" t="s">
        <v>24</v>
      </c>
      <c r="G217">
        <v>4</v>
      </c>
      <c r="H217" t="s">
        <v>18</v>
      </c>
      <c r="I217">
        <v>28.06</v>
      </c>
      <c r="J217">
        <v>40.630000000000003</v>
      </c>
      <c r="K217">
        <v>71.95</v>
      </c>
      <c r="L217">
        <v>0.42</v>
      </c>
      <c r="M217">
        <v>140.63999999999999</v>
      </c>
      <c r="N217">
        <v>141.06</v>
      </c>
    </row>
    <row r="218" spans="1:14" x14ac:dyDescent="0.3">
      <c r="A218" s="2">
        <v>43132</v>
      </c>
      <c r="B218" t="s">
        <v>15</v>
      </c>
      <c r="C218">
        <v>2018</v>
      </c>
      <c r="D218">
        <v>2</v>
      </c>
      <c r="E218" t="s">
        <v>59</v>
      </c>
      <c r="F218" t="s">
        <v>25</v>
      </c>
      <c r="G218">
        <v>22</v>
      </c>
      <c r="H218" t="s">
        <v>20</v>
      </c>
      <c r="I218">
        <v>307.61</v>
      </c>
      <c r="J218">
        <v>389.14</v>
      </c>
      <c r="K218">
        <v>546.64</v>
      </c>
      <c r="L218">
        <v>290.24</v>
      </c>
      <c r="M218">
        <v>1243.3900000000001</v>
      </c>
      <c r="N218">
        <v>1533.63</v>
      </c>
    </row>
    <row r="219" spans="1:14" x14ac:dyDescent="0.3">
      <c r="A219" s="2">
        <v>43132</v>
      </c>
      <c r="B219" t="s">
        <v>15</v>
      </c>
      <c r="C219">
        <v>2018</v>
      </c>
      <c r="D219">
        <v>2</v>
      </c>
      <c r="E219" t="s">
        <v>59</v>
      </c>
      <c r="F219" t="s">
        <v>26</v>
      </c>
      <c r="G219">
        <v>38</v>
      </c>
      <c r="H219" t="s">
        <v>18</v>
      </c>
      <c r="I219">
        <v>19.22</v>
      </c>
      <c r="J219">
        <v>29.18</v>
      </c>
      <c r="K219">
        <v>185.33</v>
      </c>
      <c r="L219">
        <v>0.18</v>
      </c>
      <c r="M219">
        <v>233.73</v>
      </c>
      <c r="N219">
        <v>233.91</v>
      </c>
    </row>
    <row r="220" spans="1:14" x14ac:dyDescent="0.3">
      <c r="A220" s="2">
        <v>43132</v>
      </c>
      <c r="B220" t="s">
        <v>15</v>
      </c>
      <c r="C220">
        <v>2018</v>
      </c>
      <c r="D220">
        <v>2</v>
      </c>
      <c r="E220" t="s">
        <v>59</v>
      </c>
      <c r="F220" t="s">
        <v>27</v>
      </c>
      <c r="G220">
        <v>7</v>
      </c>
      <c r="H220" t="s">
        <v>18</v>
      </c>
      <c r="I220">
        <v>703.34</v>
      </c>
      <c r="J220">
        <v>930.12</v>
      </c>
      <c r="K220">
        <v>1402.38</v>
      </c>
      <c r="L220">
        <v>85.14</v>
      </c>
      <c r="M220">
        <v>3035.84</v>
      </c>
      <c r="N220">
        <v>3120.98</v>
      </c>
    </row>
    <row r="221" spans="1:14" x14ac:dyDescent="0.3">
      <c r="A221" s="2">
        <v>43132</v>
      </c>
      <c r="B221" t="s">
        <v>15</v>
      </c>
      <c r="C221">
        <v>2018</v>
      </c>
      <c r="D221">
        <v>2</v>
      </c>
      <c r="E221" t="s">
        <v>59</v>
      </c>
      <c r="F221" t="s">
        <v>28</v>
      </c>
      <c r="G221">
        <v>30</v>
      </c>
      <c r="H221" t="s">
        <v>20</v>
      </c>
      <c r="I221">
        <v>93.29</v>
      </c>
      <c r="J221">
        <v>127.22</v>
      </c>
      <c r="K221">
        <v>134.43</v>
      </c>
      <c r="L221">
        <v>2.31</v>
      </c>
      <c r="M221">
        <v>354.94</v>
      </c>
      <c r="N221">
        <v>357.25</v>
      </c>
    </row>
    <row r="222" spans="1:14" x14ac:dyDescent="0.3">
      <c r="A222" s="2">
        <v>43132</v>
      </c>
      <c r="B222" t="s">
        <v>15</v>
      </c>
      <c r="C222">
        <v>2018</v>
      </c>
      <c r="D222">
        <v>2</v>
      </c>
      <c r="E222" t="s">
        <v>59</v>
      </c>
      <c r="F222" t="s">
        <v>29</v>
      </c>
      <c r="G222">
        <v>24</v>
      </c>
      <c r="H222" t="s">
        <v>20</v>
      </c>
      <c r="I222">
        <v>1590.6</v>
      </c>
      <c r="J222">
        <v>2030.58</v>
      </c>
      <c r="K222">
        <v>1808.78</v>
      </c>
      <c r="L222">
        <v>392.78</v>
      </c>
      <c r="M222">
        <v>5429.96</v>
      </c>
      <c r="N222">
        <v>5822.74</v>
      </c>
    </row>
    <row r="223" spans="1:14" x14ac:dyDescent="0.3">
      <c r="A223" s="2">
        <v>43132</v>
      </c>
      <c r="B223" t="s">
        <v>15</v>
      </c>
      <c r="C223">
        <v>2018</v>
      </c>
      <c r="D223">
        <v>2</v>
      </c>
      <c r="E223" t="s">
        <v>59</v>
      </c>
      <c r="F223" t="s">
        <v>30</v>
      </c>
      <c r="G223">
        <v>6</v>
      </c>
      <c r="H223" t="s">
        <v>20</v>
      </c>
      <c r="I223">
        <v>602.16999999999996</v>
      </c>
      <c r="J223">
        <v>942.47</v>
      </c>
      <c r="K223">
        <v>2471.39</v>
      </c>
      <c r="L223">
        <v>340.46</v>
      </c>
      <c r="M223">
        <v>4016.03</v>
      </c>
      <c r="N223">
        <v>4356.49</v>
      </c>
    </row>
    <row r="224" spans="1:14" x14ac:dyDescent="0.3">
      <c r="A224" s="2">
        <v>43132</v>
      </c>
      <c r="B224" t="s">
        <v>15</v>
      </c>
      <c r="C224">
        <v>2018</v>
      </c>
      <c r="D224">
        <v>2</v>
      </c>
      <c r="E224" t="s">
        <v>59</v>
      </c>
      <c r="F224" t="s">
        <v>31</v>
      </c>
      <c r="G224">
        <v>2</v>
      </c>
      <c r="H224" t="s">
        <v>20</v>
      </c>
      <c r="I224">
        <v>70.64</v>
      </c>
      <c r="J224">
        <v>106.8</v>
      </c>
      <c r="K224">
        <v>382.8</v>
      </c>
      <c r="L224">
        <v>1.45</v>
      </c>
      <c r="M224">
        <v>560.24</v>
      </c>
      <c r="N224">
        <v>561.69000000000005</v>
      </c>
    </row>
    <row r="225" spans="1:14" x14ac:dyDescent="0.3">
      <c r="A225" s="2">
        <v>43132</v>
      </c>
      <c r="B225" t="s">
        <v>15</v>
      </c>
      <c r="C225">
        <v>2018</v>
      </c>
      <c r="D225">
        <v>2</v>
      </c>
      <c r="E225" t="s">
        <v>59</v>
      </c>
      <c r="F225" t="s">
        <v>32</v>
      </c>
      <c r="G225">
        <v>1</v>
      </c>
      <c r="H225" t="s">
        <v>18</v>
      </c>
      <c r="I225">
        <v>71.58</v>
      </c>
      <c r="J225">
        <v>124.99</v>
      </c>
      <c r="K225">
        <v>71.13</v>
      </c>
      <c r="L225">
        <v>1.59</v>
      </c>
      <c r="M225">
        <v>267.7</v>
      </c>
      <c r="N225">
        <v>269.29000000000002</v>
      </c>
    </row>
    <row r="226" spans="1:14" x14ac:dyDescent="0.3">
      <c r="A226" s="2">
        <v>43132</v>
      </c>
      <c r="B226" t="s">
        <v>15</v>
      </c>
      <c r="C226">
        <v>2018</v>
      </c>
      <c r="D226">
        <v>2</v>
      </c>
      <c r="E226" t="s">
        <v>59</v>
      </c>
      <c r="F226" t="s">
        <v>33</v>
      </c>
      <c r="G226">
        <v>20</v>
      </c>
      <c r="H226" t="s">
        <v>20</v>
      </c>
      <c r="I226">
        <v>260.05</v>
      </c>
      <c r="J226">
        <v>341.26</v>
      </c>
      <c r="K226">
        <v>795.16</v>
      </c>
      <c r="L226">
        <v>360.7</v>
      </c>
      <c r="M226">
        <v>1396.47</v>
      </c>
      <c r="N226">
        <v>1757.17</v>
      </c>
    </row>
    <row r="227" spans="1:14" x14ac:dyDescent="0.3">
      <c r="A227" s="2">
        <v>43132</v>
      </c>
      <c r="B227" t="s">
        <v>15</v>
      </c>
      <c r="C227">
        <v>2018</v>
      </c>
      <c r="D227">
        <v>2</v>
      </c>
      <c r="E227" t="s">
        <v>59</v>
      </c>
      <c r="F227" t="s">
        <v>34</v>
      </c>
      <c r="G227">
        <v>29</v>
      </c>
      <c r="H227" t="s">
        <v>20</v>
      </c>
      <c r="I227">
        <v>1252.8599999999999</v>
      </c>
      <c r="J227">
        <v>1713.99</v>
      </c>
      <c r="K227">
        <v>2063.63</v>
      </c>
      <c r="L227">
        <v>988.01</v>
      </c>
      <c r="M227">
        <v>5030.4799999999996</v>
      </c>
      <c r="N227">
        <v>6018.49</v>
      </c>
    </row>
    <row r="228" spans="1:14" x14ac:dyDescent="0.3">
      <c r="A228" s="2">
        <v>43132</v>
      </c>
      <c r="B228" t="s">
        <v>15</v>
      </c>
      <c r="C228">
        <v>2018</v>
      </c>
      <c r="D228">
        <v>2</v>
      </c>
      <c r="E228" t="s">
        <v>59</v>
      </c>
      <c r="F228" t="s">
        <v>35</v>
      </c>
      <c r="G228">
        <v>32</v>
      </c>
      <c r="H228" t="s">
        <v>20</v>
      </c>
      <c r="I228">
        <v>388.95</v>
      </c>
      <c r="J228">
        <v>621.16</v>
      </c>
      <c r="K228">
        <v>191.15</v>
      </c>
      <c r="L228">
        <v>5.6</v>
      </c>
      <c r="M228">
        <v>1201.26</v>
      </c>
      <c r="N228">
        <v>1206.8599999999999</v>
      </c>
    </row>
    <row r="229" spans="1:14" x14ac:dyDescent="0.3">
      <c r="A229" s="2">
        <v>43132</v>
      </c>
      <c r="B229" t="s">
        <v>15</v>
      </c>
      <c r="C229">
        <v>2018</v>
      </c>
      <c r="D229">
        <v>2</v>
      </c>
      <c r="E229" t="s">
        <v>59</v>
      </c>
      <c r="F229" t="s">
        <v>36</v>
      </c>
      <c r="G229">
        <v>31</v>
      </c>
      <c r="H229" t="s">
        <v>18</v>
      </c>
      <c r="I229">
        <v>0.56999999999999995</v>
      </c>
      <c r="J229">
        <v>0.59</v>
      </c>
      <c r="K229">
        <v>0.13</v>
      </c>
      <c r="L229">
        <v>0</v>
      </c>
      <c r="M229">
        <v>1.29</v>
      </c>
      <c r="N229">
        <v>1.29</v>
      </c>
    </row>
    <row r="230" spans="1:14" x14ac:dyDescent="0.3">
      <c r="A230" s="2">
        <v>43132</v>
      </c>
      <c r="B230" t="s">
        <v>15</v>
      </c>
      <c r="C230">
        <v>2018</v>
      </c>
      <c r="D230">
        <v>2</v>
      </c>
      <c r="E230" t="s">
        <v>59</v>
      </c>
      <c r="F230" t="s">
        <v>37</v>
      </c>
      <c r="G230">
        <v>23</v>
      </c>
      <c r="H230" t="s">
        <v>20</v>
      </c>
      <c r="I230">
        <v>424.06</v>
      </c>
      <c r="J230">
        <v>578</v>
      </c>
      <c r="K230">
        <v>560.63</v>
      </c>
      <c r="L230">
        <v>397.57</v>
      </c>
      <c r="M230">
        <v>1562.69</v>
      </c>
      <c r="N230">
        <v>1960.26</v>
      </c>
    </row>
    <row r="231" spans="1:14" x14ac:dyDescent="0.3">
      <c r="A231" s="2">
        <v>43132</v>
      </c>
      <c r="B231" t="s">
        <v>15</v>
      </c>
      <c r="C231">
        <v>2018</v>
      </c>
      <c r="D231">
        <v>2</v>
      </c>
      <c r="E231" t="s">
        <v>59</v>
      </c>
      <c r="F231" t="s">
        <v>38</v>
      </c>
      <c r="G231">
        <v>27</v>
      </c>
      <c r="H231" t="s">
        <v>20</v>
      </c>
      <c r="I231">
        <v>3265.82</v>
      </c>
      <c r="J231">
        <v>4296.96</v>
      </c>
      <c r="K231">
        <v>3849.35</v>
      </c>
      <c r="L231">
        <v>1036.79</v>
      </c>
      <c r="M231">
        <v>11412.13</v>
      </c>
      <c r="N231">
        <v>12448.92</v>
      </c>
    </row>
    <row r="232" spans="1:14" x14ac:dyDescent="0.3">
      <c r="A232" s="2">
        <v>43132</v>
      </c>
      <c r="B232" t="s">
        <v>15</v>
      </c>
      <c r="C232">
        <v>2018</v>
      </c>
      <c r="D232">
        <v>2</v>
      </c>
      <c r="E232" t="s">
        <v>59</v>
      </c>
      <c r="F232" t="s">
        <v>39</v>
      </c>
      <c r="G232">
        <v>14</v>
      </c>
      <c r="H232" t="s">
        <v>20</v>
      </c>
      <c r="I232">
        <v>3.71</v>
      </c>
      <c r="J232">
        <v>7.59</v>
      </c>
      <c r="K232">
        <v>1.23</v>
      </c>
      <c r="L232">
        <v>0.32</v>
      </c>
      <c r="M232">
        <v>12.53</v>
      </c>
      <c r="N232">
        <v>12.85</v>
      </c>
    </row>
    <row r="233" spans="1:14" x14ac:dyDescent="0.3">
      <c r="A233" s="2">
        <v>43132</v>
      </c>
      <c r="B233" t="s">
        <v>15</v>
      </c>
      <c r="C233">
        <v>2018</v>
      </c>
      <c r="D233">
        <v>2</v>
      </c>
      <c r="E233" t="s">
        <v>59</v>
      </c>
      <c r="F233" t="s">
        <v>40</v>
      </c>
      <c r="G233">
        <v>17</v>
      </c>
      <c r="H233" t="s">
        <v>20</v>
      </c>
      <c r="I233">
        <v>12.66</v>
      </c>
      <c r="J233">
        <v>18.41</v>
      </c>
      <c r="K233">
        <v>74.72</v>
      </c>
      <c r="L233">
        <v>9.4499999999999993</v>
      </c>
      <c r="M233">
        <v>105.79</v>
      </c>
      <c r="N233">
        <v>115.24</v>
      </c>
    </row>
    <row r="234" spans="1:14" x14ac:dyDescent="0.3">
      <c r="A234" s="2">
        <v>43132</v>
      </c>
      <c r="B234" t="s">
        <v>15</v>
      </c>
      <c r="C234">
        <v>2018</v>
      </c>
      <c r="D234">
        <v>2</v>
      </c>
      <c r="E234" t="s">
        <v>59</v>
      </c>
      <c r="F234" t="s">
        <v>41</v>
      </c>
      <c r="G234">
        <v>15</v>
      </c>
      <c r="H234" t="s">
        <v>20</v>
      </c>
      <c r="I234">
        <v>2.1800000000000002</v>
      </c>
      <c r="J234">
        <v>4.72</v>
      </c>
      <c r="K234">
        <v>1.1399999999999999</v>
      </c>
      <c r="L234">
        <v>0.17</v>
      </c>
      <c r="M234">
        <v>8.0399999999999991</v>
      </c>
      <c r="N234">
        <v>8.2100000000000009</v>
      </c>
    </row>
    <row r="235" spans="1:14" x14ac:dyDescent="0.3">
      <c r="A235" s="2">
        <v>43132</v>
      </c>
      <c r="B235" t="s">
        <v>15</v>
      </c>
      <c r="C235">
        <v>2018</v>
      </c>
      <c r="D235">
        <v>2</v>
      </c>
      <c r="E235" t="s">
        <v>59</v>
      </c>
      <c r="F235" t="s">
        <v>42</v>
      </c>
      <c r="G235">
        <v>13</v>
      </c>
      <c r="H235" t="s">
        <v>20</v>
      </c>
      <c r="I235">
        <v>3.67</v>
      </c>
      <c r="J235">
        <v>4.92</v>
      </c>
      <c r="K235">
        <v>3.29</v>
      </c>
      <c r="L235">
        <v>0.28000000000000003</v>
      </c>
      <c r="M235">
        <v>11.88</v>
      </c>
      <c r="N235">
        <v>12.16</v>
      </c>
    </row>
    <row r="236" spans="1:14" x14ac:dyDescent="0.3">
      <c r="A236" s="2">
        <v>43132</v>
      </c>
      <c r="B236" t="s">
        <v>15</v>
      </c>
      <c r="C236">
        <v>2018</v>
      </c>
      <c r="D236">
        <v>2</v>
      </c>
      <c r="E236" t="s">
        <v>59</v>
      </c>
      <c r="F236" t="s">
        <v>43</v>
      </c>
      <c r="G236">
        <v>21</v>
      </c>
      <c r="H236" t="s">
        <v>20</v>
      </c>
      <c r="I236">
        <v>356.59</v>
      </c>
      <c r="J236">
        <v>486.43</v>
      </c>
      <c r="K236">
        <v>517.42999999999995</v>
      </c>
      <c r="L236">
        <v>621.79</v>
      </c>
      <c r="M236">
        <v>1360.45</v>
      </c>
      <c r="N236">
        <v>1982.24</v>
      </c>
    </row>
    <row r="237" spans="1:14" x14ac:dyDescent="0.3">
      <c r="A237" s="2">
        <v>43132</v>
      </c>
      <c r="B237" t="s">
        <v>15</v>
      </c>
      <c r="C237">
        <v>2018</v>
      </c>
      <c r="D237">
        <v>2</v>
      </c>
      <c r="E237" t="s">
        <v>59</v>
      </c>
      <c r="F237" t="s">
        <v>44</v>
      </c>
      <c r="G237">
        <v>34</v>
      </c>
      <c r="H237" t="s">
        <v>18</v>
      </c>
      <c r="I237">
        <v>17.93</v>
      </c>
      <c r="J237">
        <v>28.22</v>
      </c>
      <c r="K237">
        <v>92.17</v>
      </c>
      <c r="L237">
        <v>0.6</v>
      </c>
      <c r="M237">
        <v>138.32</v>
      </c>
      <c r="N237">
        <v>138.91999999999999</v>
      </c>
    </row>
    <row r="238" spans="1:14" x14ac:dyDescent="0.3">
      <c r="A238" s="2">
        <v>43132</v>
      </c>
      <c r="B238" t="s">
        <v>15</v>
      </c>
      <c r="C238">
        <v>2018</v>
      </c>
      <c r="D238">
        <v>2</v>
      </c>
      <c r="E238" t="s">
        <v>59</v>
      </c>
      <c r="F238" t="s">
        <v>45</v>
      </c>
      <c r="G238">
        <v>3</v>
      </c>
      <c r="H238" t="s">
        <v>20</v>
      </c>
      <c r="I238">
        <v>240.18</v>
      </c>
      <c r="J238">
        <v>385.28</v>
      </c>
      <c r="K238">
        <v>427.95</v>
      </c>
      <c r="L238">
        <v>7.67</v>
      </c>
      <c r="M238">
        <v>1053.4100000000001</v>
      </c>
      <c r="N238">
        <v>1061.08</v>
      </c>
    </row>
    <row r="239" spans="1:14" x14ac:dyDescent="0.3">
      <c r="A239" s="2">
        <v>43132</v>
      </c>
      <c r="B239" t="s">
        <v>15</v>
      </c>
      <c r="C239">
        <v>2018</v>
      </c>
      <c r="D239">
        <v>2</v>
      </c>
      <c r="E239" t="s">
        <v>59</v>
      </c>
      <c r="F239" t="s">
        <v>46</v>
      </c>
      <c r="G239">
        <v>8</v>
      </c>
      <c r="H239" t="s">
        <v>20</v>
      </c>
      <c r="I239">
        <v>565.23</v>
      </c>
      <c r="J239">
        <v>763.72</v>
      </c>
      <c r="K239">
        <v>835.5</v>
      </c>
      <c r="L239">
        <v>142.93</v>
      </c>
      <c r="M239">
        <v>2164.4499999999998</v>
      </c>
      <c r="N239">
        <v>2307.38</v>
      </c>
    </row>
    <row r="240" spans="1:14" x14ac:dyDescent="0.3">
      <c r="A240" s="2">
        <v>43132</v>
      </c>
      <c r="B240" t="s">
        <v>15</v>
      </c>
      <c r="C240">
        <v>2018</v>
      </c>
      <c r="D240">
        <v>2</v>
      </c>
      <c r="E240" t="s">
        <v>59</v>
      </c>
      <c r="F240" t="s">
        <v>47</v>
      </c>
      <c r="G240">
        <v>11</v>
      </c>
      <c r="H240" t="s">
        <v>20</v>
      </c>
      <c r="I240">
        <v>5.5</v>
      </c>
      <c r="J240">
        <v>8.58</v>
      </c>
      <c r="K240">
        <v>108.64</v>
      </c>
      <c r="L240">
        <v>0.02</v>
      </c>
      <c r="M240">
        <v>122.72</v>
      </c>
      <c r="N240">
        <v>122.74</v>
      </c>
    </row>
    <row r="241" spans="1:14" x14ac:dyDescent="0.3">
      <c r="A241" s="2">
        <v>43132</v>
      </c>
      <c r="B241" t="s">
        <v>15</v>
      </c>
      <c r="C241">
        <v>2018</v>
      </c>
      <c r="D241">
        <v>2</v>
      </c>
      <c r="E241" t="s">
        <v>59</v>
      </c>
      <c r="F241" t="s">
        <v>48</v>
      </c>
      <c r="G241">
        <v>33</v>
      </c>
      <c r="H241" t="s">
        <v>20</v>
      </c>
      <c r="I241">
        <v>1250.03</v>
      </c>
      <c r="J241">
        <v>1900.97</v>
      </c>
      <c r="K241">
        <v>1649.87</v>
      </c>
      <c r="L241">
        <v>562.25</v>
      </c>
      <c r="M241">
        <v>4800.87</v>
      </c>
      <c r="N241">
        <v>5363.12</v>
      </c>
    </row>
    <row r="242" spans="1:14" x14ac:dyDescent="0.3">
      <c r="A242" s="2">
        <v>43132</v>
      </c>
      <c r="B242" t="s">
        <v>15</v>
      </c>
      <c r="C242">
        <v>2018</v>
      </c>
      <c r="D242">
        <v>2</v>
      </c>
      <c r="E242" t="s">
        <v>59</v>
      </c>
      <c r="F242" t="s">
        <v>49</v>
      </c>
      <c r="G242">
        <v>36</v>
      </c>
      <c r="H242" t="s">
        <v>20</v>
      </c>
      <c r="I242">
        <v>571.45000000000005</v>
      </c>
      <c r="J242">
        <v>793.72</v>
      </c>
      <c r="K242">
        <v>748.07</v>
      </c>
      <c r="L242">
        <v>526.47</v>
      </c>
      <c r="M242">
        <v>2113.2399999999998</v>
      </c>
      <c r="N242">
        <v>2639.71</v>
      </c>
    </row>
    <row r="243" spans="1:14" x14ac:dyDescent="0.3">
      <c r="A243" s="2">
        <v>43132</v>
      </c>
      <c r="B243" t="s">
        <v>15</v>
      </c>
      <c r="C243">
        <v>2018</v>
      </c>
      <c r="D243">
        <v>2</v>
      </c>
      <c r="E243" t="s">
        <v>59</v>
      </c>
      <c r="F243" t="s">
        <v>50</v>
      </c>
      <c r="G243">
        <v>16</v>
      </c>
      <c r="H243" t="s">
        <v>20</v>
      </c>
      <c r="I243">
        <v>11.21</v>
      </c>
      <c r="J243">
        <v>19.16</v>
      </c>
      <c r="K243">
        <v>3.84</v>
      </c>
      <c r="L243">
        <v>0.13</v>
      </c>
      <c r="M243">
        <v>34.21</v>
      </c>
      <c r="N243">
        <v>34.340000000000003</v>
      </c>
    </row>
    <row r="244" spans="1:14" x14ac:dyDescent="0.3">
      <c r="A244" s="2">
        <v>43132</v>
      </c>
      <c r="B244" t="s">
        <v>15</v>
      </c>
      <c r="C244">
        <v>2018</v>
      </c>
      <c r="D244">
        <v>2</v>
      </c>
      <c r="E244" t="s">
        <v>59</v>
      </c>
      <c r="F244" t="s">
        <v>51</v>
      </c>
      <c r="G244">
        <v>9</v>
      </c>
      <c r="H244" t="s">
        <v>20</v>
      </c>
      <c r="I244">
        <v>847.76</v>
      </c>
      <c r="J244">
        <v>1352.37</v>
      </c>
      <c r="K244">
        <v>1267.67</v>
      </c>
      <c r="L244">
        <v>1129.1300000000001</v>
      </c>
      <c r="M244">
        <v>3467.8</v>
      </c>
      <c r="N244">
        <v>4596.93</v>
      </c>
    </row>
    <row r="245" spans="1:14" x14ac:dyDescent="0.3">
      <c r="A245" s="2">
        <v>43132</v>
      </c>
      <c r="B245" t="s">
        <v>15</v>
      </c>
      <c r="C245">
        <v>2018</v>
      </c>
      <c r="D245">
        <v>2</v>
      </c>
      <c r="E245" t="s">
        <v>59</v>
      </c>
      <c r="F245" t="s">
        <v>52</v>
      </c>
      <c r="G245">
        <v>5</v>
      </c>
      <c r="H245" t="s">
        <v>20</v>
      </c>
      <c r="I245">
        <v>140.69</v>
      </c>
      <c r="J245">
        <v>274.45</v>
      </c>
      <c r="K245">
        <v>730.54</v>
      </c>
      <c r="L245">
        <v>20.67</v>
      </c>
      <c r="M245">
        <v>1145.68</v>
      </c>
      <c r="N245">
        <v>1166.3499999999999</v>
      </c>
    </row>
    <row r="246" spans="1:14" x14ac:dyDescent="0.3">
      <c r="A246" s="2">
        <v>43132</v>
      </c>
      <c r="B246" t="s">
        <v>15</v>
      </c>
      <c r="C246">
        <v>2018</v>
      </c>
      <c r="D246">
        <v>2</v>
      </c>
      <c r="E246" t="s">
        <v>59</v>
      </c>
      <c r="F246" t="s">
        <v>53</v>
      </c>
      <c r="G246">
        <v>19</v>
      </c>
      <c r="H246" t="s">
        <v>20</v>
      </c>
      <c r="I246">
        <v>923.9</v>
      </c>
      <c r="J246">
        <v>1183.22</v>
      </c>
      <c r="K246">
        <v>711.34</v>
      </c>
      <c r="L246">
        <v>355.03</v>
      </c>
      <c r="M246">
        <v>2818.46</v>
      </c>
      <c r="N246">
        <v>3173.49</v>
      </c>
    </row>
    <row r="247" spans="1:14" x14ac:dyDescent="0.3">
      <c r="A247" s="2">
        <v>43160</v>
      </c>
      <c r="B247" t="s">
        <v>15</v>
      </c>
      <c r="C247">
        <v>2018</v>
      </c>
      <c r="D247">
        <v>3</v>
      </c>
      <c r="E247" t="s">
        <v>60</v>
      </c>
      <c r="F247" t="s">
        <v>17</v>
      </c>
      <c r="G247">
        <v>35</v>
      </c>
      <c r="H247" t="s">
        <v>18</v>
      </c>
      <c r="I247">
        <v>16.02</v>
      </c>
      <c r="J247">
        <v>19.88</v>
      </c>
      <c r="K247">
        <v>1.36</v>
      </c>
      <c r="L247">
        <v>0.01</v>
      </c>
      <c r="M247">
        <v>37.26</v>
      </c>
      <c r="N247">
        <v>37.270000000000003</v>
      </c>
    </row>
    <row r="248" spans="1:14" x14ac:dyDescent="0.3">
      <c r="A248" s="2">
        <v>43160</v>
      </c>
      <c r="B248" t="s">
        <v>15</v>
      </c>
      <c r="C248">
        <v>2018</v>
      </c>
      <c r="D248">
        <v>3</v>
      </c>
      <c r="E248" t="s">
        <v>60</v>
      </c>
      <c r="F248" t="s">
        <v>19</v>
      </c>
      <c r="G248">
        <v>28</v>
      </c>
      <c r="H248" t="s">
        <v>20</v>
      </c>
      <c r="I248">
        <v>445.98</v>
      </c>
      <c r="J248">
        <v>618.97</v>
      </c>
      <c r="K248">
        <v>783.06</v>
      </c>
      <c r="L248">
        <v>17.440000000000001</v>
      </c>
      <c r="M248">
        <v>1848.01</v>
      </c>
      <c r="N248">
        <v>1865.45</v>
      </c>
    </row>
    <row r="249" spans="1:14" x14ac:dyDescent="0.3">
      <c r="A249" s="2">
        <v>43160</v>
      </c>
      <c r="B249" t="s">
        <v>15</v>
      </c>
      <c r="C249">
        <v>2018</v>
      </c>
      <c r="D249">
        <v>3</v>
      </c>
      <c r="E249" t="s">
        <v>60</v>
      </c>
      <c r="F249" t="s">
        <v>21</v>
      </c>
      <c r="G249">
        <v>12</v>
      </c>
      <c r="H249" t="s">
        <v>20</v>
      </c>
      <c r="I249">
        <v>9.98</v>
      </c>
      <c r="J249">
        <v>17.649999999999999</v>
      </c>
      <c r="K249">
        <v>4.8</v>
      </c>
      <c r="L249">
        <v>0.01</v>
      </c>
      <c r="M249">
        <v>32.43</v>
      </c>
      <c r="N249">
        <v>32.44</v>
      </c>
    </row>
    <row r="250" spans="1:14" x14ac:dyDescent="0.3">
      <c r="A250" s="2">
        <v>43160</v>
      </c>
      <c r="B250" t="s">
        <v>15</v>
      </c>
      <c r="C250">
        <v>2018</v>
      </c>
      <c r="D250">
        <v>3</v>
      </c>
      <c r="E250" t="s">
        <v>60</v>
      </c>
      <c r="F250" t="s">
        <v>22</v>
      </c>
      <c r="G250">
        <v>18</v>
      </c>
      <c r="H250" t="s">
        <v>20</v>
      </c>
      <c r="I250">
        <v>156.08000000000001</v>
      </c>
      <c r="J250">
        <v>227.99</v>
      </c>
      <c r="K250">
        <v>179.35</v>
      </c>
      <c r="L250">
        <v>55.09</v>
      </c>
      <c r="M250">
        <v>563.41999999999996</v>
      </c>
      <c r="N250">
        <v>618.51</v>
      </c>
    </row>
    <row r="251" spans="1:14" x14ac:dyDescent="0.3">
      <c r="A251" s="2">
        <v>43160</v>
      </c>
      <c r="B251" t="s">
        <v>15</v>
      </c>
      <c r="C251">
        <v>2018</v>
      </c>
      <c r="D251">
        <v>3</v>
      </c>
      <c r="E251" t="s">
        <v>60</v>
      </c>
      <c r="F251" t="s">
        <v>23</v>
      </c>
      <c r="G251">
        <v>10</v>
      </c>
      <c r="H251" t="s">
        <v>20</v>
      </c>
      <c r="I251">
        <v>168.73</v>
      </c>
      <c r="J251">
        <v>314.02999999999997</v>
      </c>
      <c r="K251">
        <v>90.95</v>
      </c>
      <c r="L251">
        <v>183.97</v>
      </c>
      <c r="M251">
        <v>573.71</v>
      </c>
      <c r="N251">
        <v>757.68</v>
      </c>
    </row>
    <row r="252" spans="1:14" x14ac:dyDescent="0.3">
      <c r="A252" s="2">
        <v>43160</v>
      </c>
      <c r="B252" t="s">
        <v>15</v>
      </c>
      <c r="C252">
        <v>2018</v>
      </c>
      <c r="D252">
        <v>3</v>
      </c>
      <c r="E252" t="s">
        <v>60</v>
      </c>
      <c r="F252" t="s">
        <v>24</v>
      </c>
      <c r="G252">
        <v>4</v>
      </c>
      <c r="H252" t="s">
        <v>18</v>
      </c>
      <c r="I252">
        <v>25.67</v>
      </c>
      <c r="J252">
        <v>36.01</v>
      </c>
      <c r="K252">
        <v>74.28</v>
      </c>
      <c r="L252">
        <v>0.18</v>
      </c>
      <c r="M252">
        <v>135.96</v>
      </c>
      <c r="N252">
        <v>136.13999999999999</v>
      </c>
    </row>
    <row r="253" spans="1:14" x14ac:dyDescent="0.3">
      <c r="A253" s="2">
        <v>43160</v>
      </c>
      <c r="B253" t="s">
        <v>15</v>
      </c>
      <c r="C253">
        <v>2018</v>
      </c>
      <c r="D253">
        <v>3</v>
      </c>
      <c r="E253" t="s">
        <v>60</v>
      </c>
      <c r="F253" t="s">
        <v>25</v>
      </c>
      <c r="G253">
        <v>22</v>
      </c>
      <c r="H253" t="s">
        <v>20</v>
      </c>
      <c r="I253">
        <v>368.85</v>
      </c>
      <c r="J253">
        <v>454.44</v>
      </c>
      <c r="K253">
        <v>684.55</v>
      </c>
      <c r="L253">
        <v>321.19</v>
      </c>
      <c r="M253">
        <v>1507.84</v>
      </c>
      <c r="N253">
        <v>1829.03</v>
      </c>
    </row>
    <row r="254" spans="1:14" x14ac:dyDescent="0.3">
      <c r="A254" s="2">
        <v>43160</v>
      </c>
      <c r="B254" t="s">
        <v>15</v>
      </c>
      <c r="C254">
        <v>2018</v>
      </c>
      <c r="D254">
        <v>3</v>
      </c>
      <c r="E254" t="s">
        <v>60</v>
      </c>
      <c r="F254" t="s">
        <v>26</v>
      </c>
      <c r="G254">
        <v>38</v>
      </c>
      <c r="H254" t="s">
        <v>18</v>
      </c>
      <c r="I254">
        <v>20.85</v>
      </c>
      <c r="J254">
        <v>31.48</v>
      </c>
      <c r="K254">
        <v>214.44</v>
      </c>
      <c r="L254">
        <v>0.35</v>
      </c>
      <c r="M254">
        <v>266.77</v>
      </c>
      <c r="N254">
        <v>267.12</v>
      </c>
    </row>
    <row r="255" spans="1:14" x14ac:dyDescent="0.3">
      <c r="A255" s="2">
        <v>43160</v>
      </c>
      <c r="B255" t="s">
        <v>15</v>
      </c>
      <c r="C255">
        <v>2018</v>
      </c>
      <c r="D255">
        <v>3</v>
      </c>
      <c r="E255" t="s">
        <v>60</v>
      </c>
      <c r="F255" t="s">
        <v>27</v>
      </c>
      <c r="G255">
        <v>7</v>
      </c>
      <c r="H255" t="s">
        <v>18</v>
      </c>
      <c r="I255">
        <v>807.25</v>
      </c>
      <c r="J255">
        <v>982.02</v>
      </c>
      <c r="K255">
        <v>1387.39</v>
      </c>
      <c r="L255">
        <v>72.63</v>
      </c>
      <c r="M255">
        <v>3176.66</v>
      </c>
      <c r="N255">
        <v>3249.29</v>
      </c>
    </row>
    <row r="256" spans="1:14" x14ac:dyDescent="0.3">
      <c r="A256" s="2">
        <v>43160</v>
      </c>
      <c r="B256" t="s">
        <v>15</v>
      </c>
      <c r="C256">
        <v>2018</v>
      </c>
      <c r="D256">
        <v>3</v>
      </c>
      <c r="E256" t="s">
        <v>60</v>
      </c>
      <c r="F256" t="s">
        <v>28</v>
      </c>
      <c r="G256">
        <v>30</v>
      </c>
      <c r="H256" t="s">
        <v>20</v>
      </c>
      <c r="I256">
        <v>92.8</v>
      </c>
      <c r="J256">
        <v>127.21</v>
      </c>
      <c r="K256">
        <v>123.66</v>
      </c>
      <c r="L256">
        <v>2.81</v>
      </c>
      <c r="M256">
        <v>343.67</v>
      </c>
      <c r="N256">
        <v>346.48</v>
      </c>
    </row>
    <row r="257" spans="1:14" x14ac:dyDescent="0.3">
      <c r="A257" s="2">
        <v>43160</v>
      </c>
      <c r="B257" t="s">
        <v>15</v>
      </c>
      <c r="C257">
        <v>2018</v>
      </c>
      <c r="D257">
        <v>3</v>
      </c>
      <c r="E257" t="s">
        <v>60</v>
      </c>
      <c r="F257" t="s">
        <v>29</v>
      </c>
      <c r="G257">
        <v>24</v>
      </c>
      <c r="H257" t="s">
        <v>20</v>
      </c>
      <c r="I257">
        <v>1594.43</v>
      </c>
      <c r="J257">
        <v>2015.66</v>
      </c>
      <c r="K257">
        <v>2006.19</v>
      </c>
      <c r="L257">
        <v>305.98</v>
      </c>
      <c r="M257">
        <v>5616.28</v>
      </c>
      <c r="N257">
        <v>5922.26</v>
      </c>
    </row>
    <row r="258" spans="1:14" x14ac:dyDescent="0.3">
      <c r="A258" s="2">
        <v>43160</v>
      </c>
      <c r="B258" t="s">
        <v>15</v>
      </c>
      <c r="C258">
        <v>2018</v>
      </c>
      <c r="D258">
        <v>3</v>
      </c>
      <c r="E258" t="s">
        <v>60</v>
      </c>
      <c r="F258" t="s">
        <v>30</v>
      </c>
      <c r="G258">
        <v>6</v>
      </c>
      <c r="H258" t="s">
        <v>20</v>
      </c>
      <c r="I258">
        <v>666.29</v>
      </c>
      <c r="J258">
        <v>1032.5</v>
      </c>
      <c r="K258">
        <v>2219.06</v>
      </c>
      <c r="L258">
        <v>354.05</v>
      </c>
      <c r="M258">
        <v>3917.85</v>
      </c>
      <c r="N258">
        <v>4271.8999999999996</v>
      </c>
    </row>
    <row r="259" spans="1:14" x14ac:dyDescent="0.3">
      <c r="A259" s="2">
        <v>43160</v>
      </c>
      <c r="B259" t="s">
        <v>15</v>
      </c>
      <c r="C259">
        <v>2018</v>
      </c>
      <c r="D259">
        <v>3</v>
      </c>
      <c r="E259" t="s">
        <v>60</v>
      </c>
      <c r="F259" t="s">
        <v>31</v>
      </c>
      <c r="G259">
        <v>2</v>
      </c>
      <c r="H259" t="s">
        <v>20</v>
      </c>
      <c r="I259">
        <v>72.56</v>
      </c>
      <c r="J259">
        <v>119.87</v>
      </c>
      <c r="K259">
        <v>417.98</v>
      </c>
      <c r="L259">
        <v>0.56000000000000005</v>
      </c>
      <c r="M259">
        <v>610.41</v>
      </c>
      <c r="N259">
        <v>610.97</v>
      </c>
    </row>
    <row r="260" spans="1:14" x14ac:dyDescent="0.3">
      <c r="A260" s="2">
        <v>43160</v>
      </c>
      <c r="B260" t="s">
        <v>15</v>
      </c>
      <c r="C260">
        <v>2018</v>
      </c>
      <c r="D260">
        <v>3</v>
      </c>
      <c r="E260" t="s">
        <v>60</v>
      </c>
      <c r="F260" t="s">
        <v>32</v>
      </c>
      <c r="G260">
        <v>1</v>
      </c>
      <c r="H260" t="s">
        <v>18</v>
      </c>
      <c r="I260">
        <v>65.77</v>
      </c>
      <c r="J260">
        <v>114.29</v>
      </c>
      <c r="K260">
        <v>75.89</v>
      </c>
      <c r="L260">
        <v>2.0299999999999998</v>
      </c>
      <c r="M260">
        <v>255.95</v>
      </c>
      <c r="N260">
        <v>257.98</v>
      </c>
    </row>
    <row r="261" spans="1:14" x14ac:dyDescent="0.3">
      <c r="A261" s="2">
        <v>43160</v>
      </c>
      <c r="B261" t="s">
        <v>15</v>
      </c>
      <c r="C261">
        <v>2018</v>
      </c>
      <c r="D261">
        <v>3</v>
      </c>
      <c r="E261" t="s">
        <v>60</v>
      </c>
      <c r="F261" t="s">
        <v>33</v>
      </c>
      <c r="G261">
        <v>20</v>
      </c>
      <c r="H261" t="s">
        <v>20</v>
      </c>
      <c r="I261">
        <v>293.02999999999997</v>
      </c>
      <c r="J261">
        <v>414</v>
      </c>
      <c r="K261">
        <v>875.05</v>
      </c>
      <c r="L261">
        <v>461.59</v>
      </c>
      <c r="M261">
        <v>1582.08</v>
      </c>
      <c r="N261">
        <v>2043.67</v>
      </c>
    </row>
    <row r="262" spans="1:14" x14ac:dyDescent="0.3">
      <c r="A262" s="2">
        <v>43160</v>
      </c>
      <c r="B262" t="s">
        <v>15</v>
      </c>
      <c r="C262">
        <v>2018</v>
      </c>
      <c r="D262">
        <v>3</v>
      </c>
      <c r="E262" t="s">
        <v>60</v>
      </c>
      <c r="F262" t="s">
        <v>34</v>
      </c>
      <c r="G262">
        <v>29</v>
      </c>
      <c r="H262" t="s">
        <v>20</v>
      </c>
      <c r="I262">
        <v>1299.1199999999999</v>
      </c>
      <c r="J262">
        <v>1750.6</v>
      </c>
      <c r="K262">
        <v>2203.71</v>
      </c>
      <c r="L262">
        <v>743.68</v>
      </c>
      <c r="M262">
        <v>5253.43</v>
      </c>
      <c r="N262">
        <v>5997.11</v>
      </c>
    </row>
    <row r="263" spans="1:14" x14ac:dyDescent="0.3">
      <c r="A263" s="2">
        <v>43160</v>
      </c>
      <c r="B263" t="s">
        <v>15</v>
      </c>
      <c r="C263">
        <v>2018</v>
      </c>
      <c r="D263">
        <v>3</v>
      </c>
      <c r="E263" t="s">
        <v>60</v>
      </c>
      <c r="F263" t="s">
        <v>35</v>
      </c>
      <c r="G263">
        <v>32</v>
      </c>
      <c r="H263" t="s">
        <v>20</v>
      </c>
      <c r="I263">
        <v>403.43</v>
      </c>
      <c r="J263">
        <v>613.07000000000005</v>
      </c>
      <c r="K263">
        <v>228.06</v>
      </c>
      <c r="L263">
        <v>4.7</v>
      </c>
      <c r="M263">
        <v>1244.56</v>
      </c>
      <c r="N263">
        <v>1249.26</v>
      </c>
    </row>
    <row r="264" spans="1:14" x14ac:dyDescent="0.3">
      <c r="A264" s="2">
        <v>43160</v>
      </c>
      <c r="B264" t="s">
        <v>15</v>
      </c>
      <c r="C264">
        <v>2018</v>
      </c>
      <c r="D264">
        <v>3</v>
      </c>
      <c r="E264" t="s">
        <v>60</v>
      </c>
      <c r="F264" t="s">
        <v>36</v>
      </c>
      <c r="G264">
        <v>31</v>
      </c>
      <c r="H264" t="s">
        <v>18</v>
      </c>
      <c r="I264">
        <v>0.36</v>
      </c>
      <c r="J264">
        <v>0.41</v>
      </c>
      <c r="K264">
        <v>7.0000000000000007E-2</v>
      </c>
      <c r="L264">
        <v>0</v>
      </c>
      <c r="M264">
        <v>0.84</v>
      </c>
      <c r="N264">
        <v>0.84</v>
      </c>
    </row>
    <row r="265" spans="1:14" x14ac:dyDescent="0.3">
      <c r="A265" s="2">
        <v>43160</v>
      </c>
      <c r="B265" t="s">
        <v>15</v>
      </c>
      <c r="C265">
        <v>2018</v>
      </c>
      <c r="D265">
        <v>3</v>
      </c>
      <c r="E265" t="s">
        <v>60</v>
      </c>
      <c r="F265" t="s">
        <v>37</v>
      </c>
      <c r="G265">
        <v>23</v>
      </c>
      <c r="H265" t="s">
        <v>20</v>
      </c>
      <c r="I265">
        <v>450.41</v>
      </c>
      <c r="J265">
        <v>615.62</v>
      </c>
      <c r="K265">
        <v>556.98</v>
      </c>
      <c r="L265">
        <v>376.81</v>
      </c>
      <c r="M265">
        <v>1623.01</v>
      </c>
      <c r="N265">
        <v>1999.82</v>
      </c>
    </row>
    <row r="266" spans="1:14" x14ac:dyDescent="0.3">
      <c r="A266" s="2">
        <v>43160</v>
      </c>
      <c r="B266" t="s">
        <v>15</v>
      </c>
      <c r="C266">
        <v>2018</v>
      </c>
      <c r="D266">
        <v>3</v>
      </c>
      <c r="E266" t="s">
        <v>60</v>
      </c>
      <c r="F266" t="s">
        <v>38</v>
      </c>
      <c r="G266">
        <v>27</v>
      </c>
      <c r="H266" t="s">
        <v>20</v>
      </c>
      <c r="I266">
        <v>3660.45</v>
      </c>
      <c r="J266">
        <v>4586.58</v>
      </c>
      <c r="K266">
        <v>4139.91</v>
      </c>
      <c r="L266">
        <v>944.32</v>
      </c>
      <c r="M266">
        <v>12386.94</v>
      </c>
      <c r="N266">
        <v>13331.26</v>
      </c>
    </row>
    <row r="267" spans="1:14" x14ac:dyDescent="0.3">
      <c r="A267" s="2">
        <v>43160</v>
      </c>
      <c r="B267" t="s">
        <v>15</v>
      </c>
      <c r="C267">
        <v>2018</v>
      </c>
      <c r="D267">
        <v>3</v>
      </c>
      <c r="E267" t="s">
        <v>60</v>
      </c>
      <c r="F267" t="s">
        <v>39</v>
      </c>
      <c r="G267">
        <v>14</v>
      </c>
      <c r="H267" t="s">
        <v>20</v>
      </c>
      <c r="I267">
        <v>7.4</v>
      </c>
      <c r="J267">
        <v>16.38</v>
      </c>
      <c r="K267">
        <v>1.21</v>
      </c>
      <c r="L267">
        <v>7.0000000000000007E-2</v>
      </c>
      <c r="M267">
        <v>24.99</v>
      </c>
      <c r="N267">
        <v>25.06</v>
      </c>
    </row>
    <row r="268" spans="1:14" x14ac:dyDescent="0.3">
      <c r="A268" s="2">
        <v>43160</v>
      </c>
      <c r="B268" t="s">
        <v>15</v>
      </c>
      <c r="C268">
        <v>2018</v>
      </c>
      <c r="D268">
        <v>3</v>
      </c>
      <c r="E268" t="s">
        <v>60</v>
      </c>
      <c r="F268" t="s">
        <v>40</v>
      </c>
      <c r="G268">
        <v>17</v>
      </c>
      <c r="H268" t="s">
        <v>20</v>
      </c>
      <c r="I268">
        <v>12.32</v>
      </c>
      <c r="J268">
        <v>18.95</v>
      </c>
      <c r="K268">
        <v>69.45</v>
      </c>
      <c r="L268">
        <v>4.7</v>
      </c>
      <c r="M268">
        <v>100.72</v>
      </c>
      <c r="N268">
        <v>105.42</v>
      </c>
    </row>
    <row r="269" spans="1:14" x14ac:dyDescent="0.3">
      <c r="A269" s="2">
        <v>43160</v>
      </c>
      <c r="B269" t="s">
        <v>15</v>
      </c>
      <c r="C269">
        <v>2018</v>
      </c>
      <c r="D269">
        <v>3</v>
      </c>
      <c r="E269" t="s">
        <v>60</v>
      </c>
      <c r="F269" t="s">
        <v>41</v>
      </c>
      <c r="G269">
        <v>15</v>
      </c>
      <c r="H269" t="s">
        <v>20</v>
      </c>
      <c r="I269">
        <v>2.88</v>
      </c>
      <c r="J269">
        <v>7.28</v>
      </c>
      <c r="K269">
        <v>1.3</v>
      </c>
      <c r="L269">
        <v>0.01</v>
      </c>
      <c r="M269">
        <v>11.46</v>
      </c>
      <c r="N269">
        <v>11.47</v>
      </c>
    </row>
    <row r="270" spans="1:14" x14ac:dyDescent="0.3">
      <c r="A270" s="2">
        <v>43160</v>
      </c>
      <c r="B270" t="s">
        <v>15</v>
      </c>
      <c r="C270">
        <v>2018</v>
      </c>
      <c r="D270">
        <v>3</v>
      </c>
      <c r="E270" t="s">
        <v>60</v>
      </c>
      <c r="F270" t="s">
        <v>42</v>
      </c>
      <c r="G270">
        <v>13</v>
      </c>
      <c r="H270" t="s">
        <v>20</v>
      </c>
      <c r="I270">
        <v>2.59</v>
      </c>
      <c r="J270">
        <v>5.52</v>
      </c>
      <c r="K270">
        <v>3.85</v>
      </c>
      <c r="L270">
        <v>0.5</v>
      </c>
      <c r="M270">
        <v>11.96</v>
      </c>
      <c r="N270">
        <v>12.46</v>
      </c>
    </row>
    <row r="271" spans="1:14" x14ac:dyDescent="0.3">
      <c r="A271" s="2">
        <v>43160</v>
      </c>
      <c r="B271" t="s">
        <v>15</v>
      </c>
      <c r="C271">
        <v>2018</v>
      </c>
      <c r="D271">
        <v>3</v>
      </c>
      <c r="E271" t="s">
        <v>60</v>
      </c>
      <c r="F271" t="s">
        <v>43</v>
      </c>
      <c r="G271">
        <v>21</v>
      </c>
      <c r="H271" t="s">
        <v>20</v>
      </c>
      <c r="I271">
        <v>391.07</v>
      </c>
      <c r="J271">
        <v>515.12</v>
      </c>
      <c r="K271">
        <v>559.94000000000005</v>
      </c>
      <c r="L271">
        <v>525.30999999999995</v>
      </c>
      <c r="M271">
        <v>1466.13</v>
      </c>
      <c r="N271">
        <v>1991.44</v>
      </c>
    </row>
    <row r="272" spans="1:14" x14ac:dyDescent="0.3">
      <c r="A272" s="2">
        <v>43160</v>
      </c>
      <c r="B272" t="s">
        <v>15</v>
      </c>
      <c r="C272">
        <v>2018</v>
      </c>
      <c r="D272">
        <v>3</v>
      </c>
      <c r="E272" t="s">
        <v>60</v>
      </c>
      <c r="F272" t="s">
        <v>44</v>
      </c>
      <c r="G272">
        <v>34</v>
      </c>
      <c r="H272" t="s">
        <v>18</v>
      </c>
      <c r="I272">
        <v>19.64</v>
      </c>
      <c r="J272">
        <v>28.03</v>
      </c>
      <c r="K272">
        <v>94.94</v>
      </c>
      <c r="L272">
        <v>0.92</v>
      </c>
      <c r="M272">
        <v>142.61000000000001</v>
      </c>
      <c r="N272">
        <v>143.53</v>
      </c>
    </row>
    <row r="273" spans="1:14" x14ac:dyDescent="0.3">
      <c r="A273" s="2">
        <v>43160</v>
      </c>
      <c r="B273" t="s">
        <v>15</v>
      </c>
      <c r="C273">
        <v>2018</v>
      </c>
      <c r="D273">
        <v>3</v>
      </c>
      <c r="E273" t="s">
        <v>60</v>
      </c>
      <c r="F273" t="s">
        <v>45</v>
      </c>
      <c r="G273">
        <v>3</v>
      </c>
      <c r="H273" t="s">
        <v>20</v>
      </c>
      <c r="I273">
        <v>254.85</v>
      </c>
      <c r="J273">
        <v>411.28</v>
      </c>
      <c r="K273">
        <v>444.57</v>
      </c>
      <c r="L273">
        <v>10.27</v>
      </c>
      <c r="M273">
        <v>1110.7</v>
      </c>
      <c r="N273">
        <v>1120.97</v>
      </c>
    </row>
    <row r="274" spans="1:14" x14ac:dyDescent="0.3">
      <c r="A274" s="2">
        <v>43160</v>
      </c>
      <c r="B274" t="s">
        <v>15</v>
      </c>
      <c r="C274">
        <v>2018</v>
      </c>
      <c r="D274">
        <v>3</v>
      </c>
      <c r="E274" t="s">
        <v>60</v>
      </c>
      <c r="F274" t="s">
        <v>46</v>
      </c>
      <c r="G274">
        <v>8</v>
      </c>
      <c r="H274" t="s">
        <v>20</v>
      </c>
      <c r="I274">
        <v>579.32000000000005</v>
      </c>
      <c r="J274">
        <v>789.77</v>
      </c>
      <c r="K274">
        <v>845.34</v>
      </c>
      <c r="L274">
        <v>131.79</v>
      </c>
      <c r="M274">
        <v>2214.4299999999998</v>
      </c>
      <c r="N274">
        <v>2346.2199999999998</v>
      </c>
    </row>
    <row r="275" spans="1:14" x14ac:dyDescent="0.3">
      <c r="A275" s="2">
        <v>43160</v>
      </c>
      <c r="B275" t="s">
        <v>15</v>
      </c>
      <c r="C275">
        <v>2018</v>
      </c>
      <c r="D275">
        <v>3</v>
      </c>
      <c r="E275" t="s">
        <v>60</v>
      </c>
      <c r="F275" t="s">
        <v>47</v>
      </c>
      <c r="G275">
        <v>11</v>
      </c>
      <c r="H275" t="s">
        <v>20</v>
      </c>
      <c r="I275">
        <v>8.91</v>
      </c>
      <c r="J275">
        <v>16.13</v>
      </c>
      <c r="K275">
        <v>119.65</v>
      </c>
      <c r="L275">
        <v>0.43</v>
      </c>
      <c r="M275">
        <v>144.69</v>
      </c>
      <c r="N275">
        <v>145.12</v>
      </c>
    </row>
    <row r="276" spans="1:14" x14ac:dyDescent="0.3">
      <c r="A276" s="2">
        <v>43160</v>
      </c>
      <c r="B276" t="s">
        <v>15</v>
      </c>
      <c r="C276">
        <v>2018</v>
      </c>
      <c r="D276">
        <v>3</v>
      </c>
      <c r="E276" t="s">
        <v>60</v>
      </c>
      <c r="F276" t="s">
        <v>48</v>
      </c>
      <c r="G276">
        <v>33</v>
      </c>
      <c r="H276" t="s">
        <v>20</v>
      </c>
      <c r="I276">
        <v>1337.21</v>
      </c>
      <c r="J276">
        <v>1874.31</v>
      </c>
      <c r="K276">
        <v>1761</v>
      </c>
      <c r="L276">
        <v>507.11</v>
      </c>
      <c r="M276">
        <v>4972.5200000000004</v>
      </c>
      <c r="N276">
        <v>5479.63</v>
      </c>
    </row>
    <row r="277" spans="1:14" x14ac:dyDescent="0.3">
      <c r="A277" s="2">
        <v>43160</v>
      </c>
      <c r="B277" t="s">
        <v>15</v>
      </c>
      <c r="C277">
        <v>2018</v>
      </c>
      <c r="D277">
        <v>3</v>
      </c>
      <c r="E277" t="s">
        <v>60</v>
      </c>
      <c r="F277" t="s">
        <v>49</v>
      </c>
      <c r="G277">
        <v>36</v>
      </c>
      <c r="H277" t="s">
        <v>20</v>
      </c>
      <c r="I277">
        <v>641.98</v>
      </c>
      <c r="J277">
        <v>903.54</v>
      </c>
      <c r="K277">
        <v>846.66</v>
      </c>
      <c r="L277">
        <v>407.19</v>
      </c>
      <c r="M277">
        <v>2392.1799999999998</v>
      </c>
      <c r="N277">
        <v>2799.37</v>
      </c>
    </row>
    <row r="278" spans="1:14" x14ac:dyDescent="0.3">
      <c r="A278" s="2">
        <v>43160</v>
      </c>
      <c r="B278" t="s">
        <v>15</v>
      </c>
      <c r="C278">
        <v>2018</v>
      </c>
      <c r="D278">
        <v>3</v>
      </c>
      <c r="E278" t="s">
        <v>60</v>
      </c>
      <c r="F278" t="s">
        <v>50</v>
      </c>
      <c r="G278">
        <v>16</v>
      </c>
      <c r="H278" t="s">
        <v>20</v>
      </c>
      <c r="I278">
        <v>15.22</v>
      </c>
      <c r="J278">
        <v>22.74</v>
      </c>
      <c r="K278">
        <v>7.31</v>
      </c>
      <c r="L278">
        <v>0.15</v>
      </c>
      <c r="M278">
        <v>45.27</v>
      </c>
      <c r="N278">
        <v>45.42</v>
      </c>
    </row>
    <row r="279" spans="1:14" x14ac:dyDescent="0.3">
      <c r="A279" s="2">
        <v>43160</v>
      </c>
      <c r="B279" t="s">
        <v>15</v>
      </c>
      <c r="C279">
        <v>2018</v>
      </c>
      <c r="D279">
        <v>3</v>
      </c>
      <c r="E279" t="s">
        <v>60</v>
      </c>
      <c r="F279" t="s">
        <v>51</v>
      </c>
      <c r="G279">
        <v>9</v>
      </c>
      <c r="H279" t="s">
        <v>20</v>
      </c>
      <c r="I279">
        <v>989.8</v>
      </c>
      <c r="J279">
        <v>1515.66</v>
      </c>
      <c r="K279">
        <v>1338.53</v>
      </c>
      <c r="L279">
        <v>939.08</v>
      </c>
      <c r="M279">
        <v>3843.99</v>
      </c>
      <c r="N279">
        <v>4783.07</v>
      </c>
    </row>
    <row r="280" spans="1:14" x14ac:dyDescent="0.3">
      <c r="A280" s="2">
        <v>43160</v>
      </c>
      <c r="B280" t="s">
        <v>15</v>
      </c>
      <c r="C280">
        <v>2018</v>
      </c>
      <c r="D280">
        <v>3</v>
      </c>
      <c r="E280" t="s">
        <v>60</v>
      </c>
      <c r="F280" t="s">
        <v>52</v>
      </c>
      <c r="G280">
        <v>5</v>
      </c>
      <c r="H280" t="s">
        <v>20</v>
      </c>
      <c r="I280">
        <v>162.29</v>
      </c>
      <c r="J280">
        <v>303.39999999999998</v>
      </c>
      <c r="K280">
        <v>777.71</v>
      </c>
      <c r="L280">
        <v>21.04</v>
      </c>
      <c r="M280">
        <v>1243.4000000000001</v>
      </c>
      <c r="N280">
        <v>1264.44</v>
      </c>
    </row>
    <row r="281" spans="1:14" x14ac:dyDescent="0.3">
      <c r="A281" s="2">
        <v>43160</v>
      </c>
      <c r="B281" t="s">
        <v>15</v>
      </c>
      <c r="C281">
        <v>2018</v>
      </c>
      <c r="D281">
        <v>3</v>
      </c>
      <c r="E281" t="s">
        <v>60</v>
      </c>
      <c r="F281" t="s">
        <v>53</v>
      </c>
      <c r="G281">
        <v>19</v>
      </c>
      <c r="H281" t="s">
        <v>20</v>
      </c>
      <c r="I281">
        <v>1199.19</v>
      </c>
      <c r="J281">
        <v>1494.35</v>
      </c>
      <c r="K281">
        <v>765.23</v>
      </c>
      <c r="L281">
        <v>297.05</v>
      </c>
      <c r="M281">
        <v>3458.77</v>
      </c>
      <c r="N281">
        <v>3755.82</v>
      </c>
    </row>
    <row r="282" spans="1:14" x14ac:dyDescent="0.3">
      <c r="A282" s="2">
        <v>43191</v>
      </c>
      <c r="B282" t="s">
        <v>61</v>
      </c>
      <c r="C282">
        <v>2018</v>
      </c>
      <c r="D282">
        <v>4</v>
      </c>
      <c r="E282" t="s">
        <v>62</v>
      </c>
      <c r="F282" t="s">
        <v>17</v>
      </c>
      <c r="G282">
        <v>35</v>
      </c>
      <c r="H282" t="s">
        <v>18</v>
      </c>
      <c r="I282">
        <v>21.27</v>
      </c>
      <c r="J282">
        <v>27.06</v>
      </c>
      <c r="K282">
        <v>1.69</v>
      </c>
      <c r="L282">
        <v>0.03</v>
      </c>
      <c r="M282">
        <v>50.02</v>
      </c>
      <c r="N282">
        <v>50.05</v>
      </c>
    </row>
    <row r="283" spans="1:14" x14ac:dyDescent="0.3">
      <c r="A283" s="2">
        <v>43191</v>
      </c>
      <c r="B283" t="s">
        <v>61</v>
      </c>
      <c r="C283">
        <v>2018</v>
      </c>
      <c r="D283">
        <v>4</v>
      </c>
      <c r="E283" t="s">
        <v>62</v>
      </c>
      <c r="F283" t="s">
        <v>19</v>
      </c>
      <c r="G283">
        <v>28</v>
      </c>
      <c r="H283" t="s">
        <v>20</v>
      </c>
      <c r="I283">
        <v>529.42999999999995</v>
      </c>
      <c r="J283">
        <v>812.46</v>
      </c>
      <c r="K283">
        <v>883.39</v>
      </c>
      <c r="L283">
        <v>25.89</v>
      </c>
      <c r="M283">
        <v>2225.2800000000002</v>
      </c>
      <c r="N283">
        <v>2251.17</v>
      </c>
    </row>
    <row r="284" spans="1:14" x14ac:dyDescent="0.3">
      <c r="A284" s="2">
        <v>43191</v>
      </c>
      <c r="B284" t="s">
        <v>61</v>
      </c>
      <c r="C284">
        <v>2018</v>
      </c>
      <c r="D284">
        <v>4</v>
      </c>
      <c r="E284" t="s">
        <v>62</v>
      </c>
      <c r="F284" t="s">
        <v>21</v>
      </c>
      <c r="G284">
        <v>12</v>
      </c>
      <c r="H284" t="s">
        <v>20</v>
      </c>
      <c r="I284">
        <v>12.86</v>
      </c>
      <c r="J284">
        <v>16.53</v>
      </c>
      <c r="K284">
        <v>3.24</v>
      </c>
      <c r="L284">
        <v>0.52</v>
      </c>
      <c r="M284">
        <v>32.630000000000003</v>
      </c>
      <c r="N284">
        <v>33.15</v>
      </c>
    </row>
    <row r="285" spans="1:14" x14ac:dyDescent="0.3">
      <c r="A285" s="2">
        <v>43191</v>
      </c>
      <c r="B285" t="s">
        <v>61</v>
      </c>
      <c r="C285">
        <v>2018</v>
      </c>
      <c r="D285">
        <v>4</v>
      </c>
      <c r="E285" t="s">
        <v>62</v>
      </c>
      <c r="F285" t="s">
        <v>22</v>
      </c>
      <c r="G285">
        <v>18</v>
      </c>
      <c r="H285" t="s">
        <v>20</v>
      </c>
      <c r="I285">
        <v>172.48</v>
      </c>
      <c r="J285">
        <v>276.88</v>
      </c>
      <c r="K285">
        <v>176.89</v>
      </c>
      <c r="L285">
        <v>52.97</v>
      </c>
      <c r="M285">
        <v>626.25</v>
      </c>
      <c r="N285">
        <v>679.22</v>
      </c>
    </row>
    <row r="286" spans="1:14" x14ac:dyDescent="0.3">
      <c r="A286" s="2">
        <v>43191</v>
      </c>
      <c r="B286" t="s">
        <v>61</v>
      </c>
      <c r="C286">
        <v>2018</v>
      </c>
      <c r="D286">
        <v>4</v>
      </c>
      <c r="E286" t="s">
        <v>62</v>
      </c>
      <c r="F286" t="s">
        <v>23</v>
      </c>
      <c r="G286">
        <v>10</v>
      </c>
      <c r="H286" t="s">
        <v>20</v>
      </c>
      <c r="I286">
        <v>205.91</v>
      </c>
      <c r="J286">
        <v>425.05</v>
      </c>
      <c r="K286">
        <v>108.9</v>
      </c>
      <c r="L286">
        <v>173.69</v>
      </c>
      <c r="M286">
        <v>739.86</v>
      </c>
      <c r="N286">
        <v>913.55</v>
      </c>
    </row>
    <row r="287" spans="1:14" x14ac:dyDescent="0.3">
      <c r="A287" s="2">
        <v>43191</v>
      </c>
      <c r="B287" t="s">
        <v>61</v>
      </c>
      <c r="C287">
        <v>2018</v>
      </c>
      <c r="D287">
        <v>4</v>
      </c>
      <c r="E287" t="s">
        <v>62</v>
      </c>
      <c r="F287" t="s">
        <v>24</v>
      </c>
      <c r="G287">
        <v>4</v>
      </c>
      <c r="H287" t="s">
        <v>18</v>
      </c>
      <c r="I287">
        <v>33.67</v>
      </c>
      <c r="J287">
        <v>46.39</v>
      </c>
      <c r="K287">
        <v>101.44</v>
      </c>
      <c r="L287">
        <v>0.23</v>
      </c>
      <c r="M287">
        <v>181.5</v>
      </c>
      <c r="N287">
        <v>181.73</v>
      </c>
    </row>
    <row r="288" spans="1:14" x14ac:dyDescent="0.3">
      <c r="A288" s="2">
        <v>43191</v>
      </c>
      <c r="B288" t="s">
        <v>61</v>
      </c>
      <c r="C288">
        <v>2018</v>
      </c>
      <c r="D288">
        <v>4</v>
      </c>
      <c r="E288" t="s">
        <v>62</v>
      </c>
      <c r="F288" t="s">
        <v>25</v>
      </c>
      <c r="G288">
        <v>22</v>
      </c>
      <c r="H288" t="s">
        <v>20</v>
      </c>
      <c r="I288">
        <v>338.43</v>
      </c>
      <c r="J288">
        <v>415.64</v>
      </c>
      <c r="K288">
        <v>633.35</v>
      </c>
      <c r="L288">
        <v>502.24</v>
      </c>
      <c r="M288">
        <v>1387.42</v>
      </c>
      <c r="N288">
        <v>1889.66</v>
      </c>
    </row>
    <row r="289" spans="1:14" x14ac:dyDescent="0.3">
      <c r="A289" s="2">
        <v>43191</v>
      </c>
      <c r="B289" t="s">
        <v>61</v>
      </c>
      <c r="C289">
        <v>2018</v>
      </c>
      <c r="D289">
        <v>4</v>
      </c>
      <c r="E289" t="s">
        <v>62</v>
      </c>
      <c r="F289" t="s">
        <v>26</v>
      </c>
      <c r="G289">
        <v>38</v>
      </c>
      <c r="H289" t="s">
        <v>18</v>
      </c>
      <c r="I289">
        <v>28.75</v>
      </c>
      <c r="J289">
        <v>41.26</v>
      </c>
      <c r="K289">
        <v>187.56</v>
      </c>
      <c r="L289">
        <v>0.14000000000000001</v>
      </c>
      <c r="M289">
        <v>257.57</v>
      </c>
      <c r="N289">
        <v>257.70999999999998</v>
      </c>
    </row>
    <row r="290" spans="1:14" x14ac:dyDescent="0.3">
      <c r="A290" s="2">
        <v>43191</v>
      </c>
      <c r="B290" t="s">
        <v>61</v>
      </c>
      <c r="C290">
        <v>2018</v>
      </c>
      <c r="D290">
        <v>4</v>
      </c>
      <c r="E290" t="s">
        <v>62</v>
      </c>
      <c r="F290" t="s">
        <v>27</v>
      </c>
      <c r="G290">
        <v>7</v>
      </c>
      <c r="H290" t="s">
        <v>18</v>
      </c>
      <c r="I290">
        <v>1104.77</v>
      </c>
      <c r="J290">
        <v>1331.57</v>
      </c>
      <c r="K290">
        <v>1682.85</v>
      </c>
      <c r="L290">
        <v>78.81</v>
      </c>
      <c r="M290">
        <v>4119.1899999999996</v>
      </c>
      <c r="N290">
        <v>4198</v>
      </c>
    </row>
    <row r="291" spans="1:14" x14ac:dyDescent="0.3">
      <c r="A291" s="2">
        <v>43191</v>
      </c>
      <c r="B291" t="s">
        <v>61</v>
      </c>
      <c r="C291">
        <v>2018</v>
      </c>
      <c r="D291">
        <v>4</v>
      </c>
      <c r="E291" t="s">
        <v>62</v>
      </c>
      <c r="F291" t="s">
        <v>28</v>
      </c>
      <c r="G291">
        <v>30</v>
      </c>
      <c r="H291" t="s">
        <v>20</v>
      </c>
      <c r="I291">
        <v>89.39</v>
      </c>
      <c r="J291">
        <v>122.13</v>
      </c>
      <c r="K291">
        <v>137.47</v>
      </c>
      <c r="L291">
        <v>3.48</v>
      </c>
      <c r="M291">
        <v>348.99</v>
      </c>
      <c r="N291">
        <v>352.47</v>
      </c>
    </row>
    <row r="292" spans="1:14" x14ac:dyDescent="0.3">
      <c r="A292" s="2">
        <v>43191</v>
      </c>
      <c r="B292" t="s">
        <v>61</v>
      </c>
      <c r="C292">
        <v>2018</v>
      </c>
      <c r="D292">
        <v>4</v>
      </c>
      <c r="E292" t="s">
        <v>62</v>
      </c>
      <c r="F292" t="s">
        <v>29</v>
      </c>
      <c r="G292">
        <v>24</v>
      </c>
      <c r="H292" t="s">
        <v>20</v>
      </c>
      <c r="I292">
        <v>1701.28</v>
      </c>
      <c r="J292">
        <v>2133.4</v>
      </c>
      <c r="K292">
        <v>2190.0500000000002</v>
      </c>
      <c r="L292">
        <v>303.89999999999998</v>
      </c>
      <c r="M292">
        <v>6024.73</v>
      </c>
      <c r="N292">
        <v>6328.63</v>
      </c>
    </row>
    <row r="293" spans="1:14" x14ac:dyDescent="0.3">
      <c r="A293" s="2">
        <v>43191</v>
      </c>
      <c r="B293" t="s">
        <v>61</v>
      </c>
      <c r="C293">
        <v>2018</v>
      </c>
      <c r="D293">
        <v>4</v>
      </c>
      <c r="E293" t="s">
        <v>62</v>
      </c>
      <c r="F293" t="s">
        <v>30</v>
      </c>
      <c r="G293">
        <v>6</v>
      </c>
      <c r="H293" t="s">
        <v>20</v>
      </c>
      <c r="I293">
        <v>713.35</v>
      </c>
      <c r="J293">
        <v>1100.32</v>
      </c>
      <c r="K293">
        <v>2982.04</v>
      </c>
      <c r="L293">
        <v>334.22</v>
      </c>
      <c r="M293">
        <v>4795.71</v>
      </c>
      <c r="N293">
        <v>5129.93</v>
      </c>
    </row>
    <row r="294" spans="1:14" x14ac:dyDescent="0.3">
      <c r="A294" s="2">
        <v>43191</v>
      </c>
      <c r="B294" t="s">
        <v>61</v>
      </c>
      <c r="C294">
        <v>2018</v>
      </c>
      <c r="D294">
        <v>4</v>
      </c>
      <c r="E294" t="s">
        <v>62</v>
      </c>
      <c r="F294" t="s">
        <v>31</v>
      </c>
      <c r="G294">
        <v>2</v>
      </c>
      <c r="H294" t="s">
        <v>20</v>
      </c>
      <c r="I294">
        <v>88.97</v>
      </c>
      <c r="J294">
        <v>135.99</v>
      </c>
      <c r="K294">
        <v>420.82</v>
      </c>
      <c r="L294">
        <v>1.48</v>
      </c>
      <c r="M294">
        <v>645.78</v>
      </c>
      <c r="N294">
        <v>647.26</v>
      </c>
    </row>
    <row r="295" spans="1:14" x14ac:dyDescent="0.3">
      <c r="A295" s="2">
        <v>43191</v>
      </c>
      <c r="B295" t="s">
        <v>61</v>
      </c>
      <c r="C295">
        <v>2018</v>
      </c>
      <c r="D295">
        <v>4</v>
      </c>
      <c r="E295" t="s">
        <v>62</v>
      </c>
      <c r="F295" t="s">
        <v>32</v>
      </c>
      <c r="G295">
        <v>1</v>
      </c>
      <c r="H295" t="s">
        <v>18</v>
      </c>
      <c r="I295">
        <v>115.22</v>
      </c>
      <c r="J295">
        <v>179.62</v>
      </c>
      <c r="K295">
        <v>73.98</v>
      </c>
      <c r="L295">
        <v>3.24</v>
      </c>
      <c r="M295">
        <v>368.82</v>
      </c>
      <c r="N295">
        <v>372.06</v>
      </c>
    </row>
    <row r="296" spans="1:14" x14ac:dyDescent="0.3">
      <c r="A296" s="2">
        <v>43191</v>
      </c>
      <c r="B296" t="s">
        <v>61</v>
      </c>
      <c r="C296">
        <v>2018</v>
      </c>
      <c r="D296">
        <v>4</v>
      </c>
      <c r="E296" t="s">
        <v>62</v>
      </c>
      <c r="F296" t="s">
        <v>33</v>
      </c>
      <c r="G296">
        <v>20</v>
      </c>
      <c r="H296" t="s">
        <v>20</v>
      </c>
      <c r="I296">
        <v>348.7</v>
      </c>
      <c r="J296">
        <v>489.66</v>
      </c>
      <c r="K296">
        <v>1045.3499999999999</v>
      </c>
      <c r="L296">
        <v>504.82</v>
      </c>
      <c r="M296">
        <v>1883.71</v>
      </c>
      <c r="N296">
        <v>2388.5300000000002</v>
      </c>
    </row>
    <row r="297" spans="1:14" x14ac:dyDescent="0.3">
      <c r="A297" s="2">
        <v>43191</v>
      </c>
      <c r="B297" t="s">
        <v>61</v>
      </c>
      <c r="C297">
        <v>2018</v>
      </c>
      <c r="D297">
        <v>4</v>
      </c>
      <c r="E297" t="s">
        <v>62</v>
      </c>
      <c r="F297" t="s">
        <v>34</v>
      </c>
      <c r="G297">
        <v>29</v>
      </c>
      <c r="H297" t="s">
        <v>20</v>
      </c>
      <c r="I297">
        <v>1608.18</v>
      </c>
      <c r="J297">
        <v>2192.4299999999998</v>
      </c>
      <c r="K297">
        <v>2640.19</v>
      </c>
      <c r="L297">
        <v>906.45</v>
      </c>
      <c r="M297">
        <v>6440.8</v>
      </c>
      <c r="N297">
        <v>7347.25</v>
      </c>
    </row>
    <row r="298" spans="1:14" x14ac:dyDescent="0.3">
      <c r="A298" s="2">
        <v>43191</v>
      </c>
      <c r="B298" t="s">
        <v>61</v>
      </c>
      <c r="C298">
        <v>2018</v>
      </c>
      <c r="D298">
        <v>4</v>
      </c>
      <c r="E298" t="s">
        <v>62</v>
      </c>
      <c r="F298" t="s">
        <v>35</v>
      </c>
      <c r="G298">
        <v>32</v>
      </c>
      <c r="H298" t="s">
        <v>20</v>
      </c>
      <c r="I298">
        <v>457.51</v>
      </c>
      <c r="J298">
        <v>702.07</v>
      </c>
      <c r="K298">
        <v>232.56</v>
      </c>
      <c r="L298">
        <v>4.0199999999999996</v>
      </c>
      <c r="M298">
        <v>1392.14</v>
      </c>
      <c r="N298">
        <v>1396.16</v>
      </c>
    </row>
    <row r="299" spans="1:14" x14ac:dyDescent="0.3">
      <c r="A299" s="2">
        <v>43191</v>
      </c>
      <c r="B299" t="s">
        <v>61</v>
      </c>
      <c r="C299">
        <v>2018</v>
      </c>
      <c r="D299">
        <v>4</v>
      </c>
      <c r="E299" t="s">
        <v>62</v>
      </c>
      <c r="F299" t="s">
        <v>36</v>
      </c>
      <c r="G299">
        <v>31</v>
      </c>
      <c r="H299" t="s">
        <v>18</v>
      </c>
      <c r="I299">
        <v>1.17</v>
      </c>
      <c r="J299">
        <v>1.26</v>
      </c>
      <c r="K299">
        <v>0.09</v>
      </c>
      <c r="L299">
        <v>0</v>
      </c>
      <c r="M299">
        <v>2.52</v>
      </c>
      <c r="N299">
        <v>2.52</v>
      </c>
    </row>
    <row r="300" spans="1:14" x14ac:dyDescent="0.3">
      <c r="A300" s="2">
        <v>43191</v>
      </c>
      <c r="B300" t="s">
        <v>61</v>
      </c>
      <c r="C300">
        <v>2018</v>
      </c>
      <c r="D300">
        <v>4</v>
      </c>
      <c r="E300" t="s">
        <v>62</v>
      </c>
      <c r="F300" t="s">
        <v>37</v>
      </c>
      <c r="G300">
        <v>23</v>
      </c>
      <c r="H300" t="s">
        <v>20</v>
      </c>
      <c r="I300">
        <v>525.89</v>
      </c>
      <c r="J300">
        <v>717.05</v>
      </c>
      <c r="K300">
        <v>646.84</v>
      </c>
      <c r="L300">
        <v>454.56</v>
      </c>
      <c r="M300">
        <v>1889.78</v>
      </c>
      <c r="N300">
        <v>2344.34</v>
      </c>
    </row>
    <row r="301" spans="1:14" x14ac:dyDescent="0.3">
      <c r="A301" s="2">
        <v>43191</v>
      </c>
      <c r="B301" t="s">
        <v>61</v>
      </c>
      <c r="C301">
        <v>2018</v>
      </c>
      <c r="D301">
        <v>4</v>
      </c>
      <c r="E301" t="s">
        <v>62</v>
      </c>
      <c r="F301" t="s">
        <v>38</v>
      </c>
      <c r="G301">
        <v>27</v>
      </c>
      <c r="H301" t="s">
        <v>20</v>
      </c>
      <c r="I301">
        <v>4254.07</v>
      </c>
      <c r="J301">
        <v>5382.56</v>
      </c>
      <c r="K301">
        <v>5963.59</v>
      </c>
      <c r="L301">
        <v>1125.6300000000001</v>
      </c>
      <c r="M301">
        <v>15600.22</v>
      </c>
      <c r="N301">
        <v>16725.849999999999</v>
      </c>
    </row>
    <row r="302" spans="1:14" x14ac:dyDescent="0.3">
      <c r="A302" s="2">
        <v>43191</v>
      </c>
      <c r="B302" t="s">
        <v>61</v>
      </c>
      <c r="C302">
        <v>2018</v>
      </c>
      <c r="D302">
        <v>4</v>
      </c>
      <c r="E302" t="s">
        <v>62</v>
      </c>
      <c r="F302" t="s">
        <v>39</v>
      </c>
      <c r="G302">
        <v>14</v>
      </c>
      <c r="H302" t="s">
        <v>20</v>
      </c>
      <c r="I302">
        <v>13.9</v>
      </c>
      <c r="J302">
        <v>18.420000000000002</v>
      </c>
      <c r="K302">
        <v>1.49</v>
      </c>
      <c r="L302">
        <v>0.03</v>
      </c>
      <c r="M302">
        <v>33.81</v>
      </c>
      <c r="N302">
        <v>33.840000000000003</v>
      </c>
    </row>
    <row r="303" spans="1:14" x14ac:dyDescent="0.3">
      <c r="A303" s="2">
        <v>43191</v>
      </c>
      <c r="B303" t="s">
        <v>61</v>
      </c>
      <c r="C303">
        <v>2018</v>
      </c>
      <c r="D303">
        <v>4</v>
      </c>
      <c r="E303" t="s">
        <v>62</v>
      </c>
      <c r="F303" t="s">
        <v>40</v>
      </c>
      <c r="G303">
        <v>17</v>
      </c>
      <c r="H303" t="s">
        <v>20</v>
      </c>
      <c r="I303">
        <v>23.66</v>
      </c>
      <c r="J303">
        <v>32.799999999999997</v>
      </c>
      <c r="K303">
        <v>92.31</v>
      </c>
      <c r="L303">
        <v>3.64</v>
      </c>
      <c r="M303">
        <v>148.77000000000001</v>
      </c>
      <c r="N303">
        <v>152.41</v>
      </c>
    </row>
    <row r="304" spans="1:14" x14ac:dyDescent="0.3">
      <c r="A304" s="2">
        <v>43191</v>
      </c>
      <c r="B304" t="s">
        <v>61</v>
      </c>
      <c r="C304">
        <v>2018</v>
      </c>
      <c r="D304">
        <v>4</v>
      </c>
      <c r="E304" t="s">
        <v>62</v>
      </c>
      <c r="F304" t="s">
        <v>41</v>
      </c>
      <c r="G304">
        <v>15</v>
      </c>
      <c r="H304" t="s">
        <v>20</v>
      </c>
      <c r="I304">
        <v>5.88</v>
      </c>
      <c r="J304">
        <v>9.41</v>
      </c>
      <c r="K304">
        <v>1.96</v>
      </c>
      <c r="L304">
        <v>0.04</v>
      </c>
      <c r="M304">
        <v>17.25</v>
      </c>
      <c r="N304">
        <v>17.29</v>
      </c>
    </row>
    <row r="305" spans="1:14" x14ac:dyDescent="0.3">
      <c r="A305" s="2">
        <v>43191</v>
      </c>
      <c r="B305" t="s">
        <v>61</v>
      </c>
      <c r="C305">
        <v>2018</v>
      </c>
      <c r="D305">
        <v>4</v>
      </c>
      <c r="E305" t="s">
        <v>62</v>
      </c>
      <c r="F305" t="s">
        <v>42</v>
      </c>
      <c r="G305">
        <v>13</v>
      </c>
      <c r="H305" t="s">
        <v>20</v>
      </c>
      <c r="I305">
        <v>4.43</v>
      </c>
      <c r="J305">
        <v>7.24</v>
      </c>
      <c r="K305">
        <v>5.12</v>
      </c>
      <c r="L305">
        <v>0.17</v>
      </c>
      <c r="M305">
        <v>16.79</v>
      </c>
      <c r="N305">
        <v>16.96</v>
      </c>
    </row>
    <row r="306" spans="1:14" x14ac:dyDescent="0.3">
      <c r="A306" s="2">
        <v>43191</v>
      </c>
      <c r="B306" t="s">
        <v>61</v>
      </c>
      <c r="C306">
        <v>2018</v>
      </c>
      <c r="D306">
        <v>4</v>
      </c>
      <c r="E306" t="s">
        <v>62</v>
      </c>
      <c r="F306" t="s">
        <v>43</v>
      </c>
      <c r="G306">
        <v>21</v>
      </c>
      <c r="H306" t="s">
        <v>20</v>
      </c>
      <c r="I306">
        <v>448.98</v>
      </c>
      <c r="J306">
        <v>639.24</v>
      </c>
      <c r="K306">
        <v>495.94</v>
      </c>
      <c r="L306">
        <v>583.64</v>
      </c>
      <c r="M306">
        <v>1584.16</v>
      </c>
      <c r="N306">
        <v>2167.8000000000002</v>
      </c>
    </row>
    <row r="307" spans="1:14" x14ac:dyDescent="0.3">
      <c r="A307" s="2">
        <v>43191</v>
      </c>
      <c r="B307" t="s">
        <v>61</v>
      </c>
      <c r="C307">
        <v>2018</v>
      </c>
      <c r="D307">
        <v>4</v>
      </c>
      <c r="E307" t="s">
        <v>62</v>
      </c>
      <c r="F307" t="s">
        <v>44</v>
      </c>
      <c r="G307">
        <v>34</v>
      </c>
      <c r="H307" t="s">
        <v>18</v>
      </c>
      <c r="I307">
        <v>20.67</v>
      </c>
      <c r="J307">
        <v>31.38</v>
      </c>
      <c r="K307">
        <v>117.98</v>
      </c>
      <c r="L307">
        <v>0.22</v>
      </c>
      <c r="M307">
        <v>170.03</v>
      </c>
      <c r="N307">
        <v>170.25</v>
      </c>
    </row>
    <row r="308" spans="1:14" x14ac:dyDescent="0.3">
      <c r="A308" s="2">
        <v>43191</v>
      </c>
      <c r="B308" t="s">
        <v>61</v>
      </c>
      <c r="C308">
        <v>2018</v>
      </c>
      <c r="D308">
        <v>4</v>
      </c>
      <c r="E308" t="s">
        <v>62</v>
      </c>
      <c r="F308" t="s">
        <v>45</v>
      </c>
      <c r="G308">
        <v>3</v>
      </c>
      <c r="H308" t="s">
        <v>20</v>
      </c>
      <c r="I308">
        <v>310.48</v>
      </c>
      <c r="J308">
        <v>498.58</v>
      </c>
      <c r="K308">
        <v>432.34</v>
      </c>
      <c r="L308">
        <v>17</v>
      </c>
      <c r="M308">
        <v>1241.4000000000001</v>
      </c>
      <c r="N308">
        <v>1258.4000000000001</v>
      </c>
    </row>
    <row r="309" spans="1:14" x14ac:dyDescent="0.3">
      <c r="A309" s="2">
        <v>43191</v>
      </c>
      <c r="B309" t="s">
        <v>61</v>
      </c>
      <c r="C309">
        <v>2018</v>
      </c>
      <c r="D309">
        <v>4</v>
      </c>
      <c r="E309" t="s">
        <v>62</v>
      </c>
      <c r="F309" t="s">
        <v>46</v>
      </c>
      <c r="G309">
        <v>8</v>
      </c>
      <c r="H309" t="s">
        <v>20</v>
      </c>
      <c r="I309">
        <v>659.25</v>
      </c>
      <c r="J309">
        <v>903.88</v>
      </c>
      <c r="K309">
        <v>903.75</v>
      </c>
      <c r="L309">
        <v>141.83000000000001</v>
      </c>
      <c r="M309">
        <v>2466.88</v>
      </c>
      <c r="N309">
        <v>2608.71</v>
      </c>
    </row>
    <row r="310" spans="1:14" x14ac:dyDescent="0.3">
      <c r="A310" s="2">
        <v>43191</v>
      </c>
      <c r="B310" t="s">
        <v>61</v>
      </c>
      <c r="C310">
        <v>2018</v>
      </c>
      <c r="D310">
        <v>4</v>
      </c>
      <c r="E310" t="s">
        <v>62</v>
      </c>
      <c r="F310" t="s">
        <v>47</v>
      </c>
      <c r="G310">
        <v>11</v>
      </c>
      <c r="H310" t="s">
        <v>20</v>
      </c>
      <c r="I310">
        <v>11.58</v>
      </c>
      <c r="J310">
        <v>15.74</v>
      </c>
      <c r="K310">
        <v>123.22</v>
      </c>
      <c r="L310">
        <v>0</v>
      </c>
      <c r="M310">
        <v>150.54</v>
      </c>
      <c r="N310">
        <v>150.54</v>
      </c>
    </row>
    <row r="311" spans="1:14" x14ac:dyDescent="0.3">
      <c r="A311" s="2">
        <v>43191</v>
      </c>
      <c r="B311" t="s">
        <v>61</v>
      </c>
      <c r="C311">
        <v>2018</v>
      </c>
      <c r="D311">
        <v>4</v>
      </c>
      <c r="E311" t="s">
        <v>62</v>
      </c>
      <c r="F311" t="s">
        <v>48</v>
      </c>
      <c r="G311">
        <v>33</v>
      </c>
      <c r="H311" t="s">
        <v>20</v>
      </c>
      <c r="I311">
        <v>1499.28</v>
      </c>
      <c r="J311">
        <v>2096.08</v>
      </c>
      <c r="K311">
        <v>2395.6</v>
      </c>
      <c r="L311">
        <v>674.98</v>
      </c>
      <c r="M311">
        <v>5990.96</v>
      </c>
      <c r="N311">
        <v>6665.94</v>
      </c>
    </row>
    <row r="312" spans="1:14" x14ac:dyDescent="0.3">
      <c r="A312" s="2">
        <v>43191</v>
      </c>
      <c r="B312" t="s">
        <v>61</v>
      </c>
      <c r="C312">
        <v>2018</v>
      </c>
      <c r="D312">
        <v>4</v>
      </c>
      <c r="E312" t="s">
        <v>62</v>
      </c>
      <c r="F312" t="s">
        <v>49</v>
      </c>
      <c r="G312">
        <v>36</v>
      </c>
      <c r="H312" t="s">
        <v>20</v>
      </c>
      <c r="I312">
        <v>715.3</v>
      </c>
      <c r="J312">
        <v>1021.27</v>
      </c>
      <c r="K312">
        <v>1127.47</v>
      </c>
      <c r="L312">
        <v>513.64</v>
      </c>
      <c r="M312">
        <v>2864.04</v>
      </c>
      <c r="N312">
        <v>3377.68</v>
      </c>
    </row>
    <row r="313" spans="1:14" x14ac:dyDescent="0.3">
      <c r="A313" s="2">
        <v>43191</v>
      </c>
      <c r="B313" t="s">
        <v>61</v>
      </c>
      <c r="C313">
        <v>2018</v>
      </c>
      <c r="D313">
        <v>4</v>
      </c>
      <c r="E313" t="s">
        <v>62</v>
      </c>
      <c r="F313" t="s">
        <v>50</v>
      </c>
      <c r="G313">
        <v>16</v>
      </c>
      <c r="H313" t="s">
        <v>20</v>
      </c>
      <c r="I313">
        <v>16.95</v>
      </c>
      <c r="J313">
        <v>25.48</v>
      </c>
      <c r="K313">
        <v>3.22</v>
      </c>
      <c r="L313">
        <v>0.06</v>
      </c>
      <c r="M313">
        <v>45.65</v>
      </c>
      <c r="N313">
        <v>45.71</v>
      </c>
    </row>
    <row r="314" spans="1:14" x14ac:dyDescent="0.3">
      <c r="A314" s="2">
        <v>43191</v>
      </c>
      <c r="B314" t="s">
        <v>61</v>
      </c>
      <c r="C314">
        <v>2018</v>
      </c>
      <c r="D314">
        <v>4</v>
      </c>
      <c r="E314" t="s">
        <v>62</v>
      </c>
      <c r="F314" t="s">
        <v>51</v>
      </c>
      <c r="G314">
        <v>9</v>
      </c>
      <c r="H314" t="s">
        <v>20</v>
      </c>
      <c r="I314">
        <v>1330.07</v>
      </c>
      <c r="J314">
        <v>2115.0700000000002</v>
      </c>
      <c r="K314">
        <v>1545.28</v>
      </c>
      <c r="L314">
        <v>1029.82</v>
      </c>
      <c r="M314">
        <v>4990.42</v>
      </c>
      <c r="N314">
        <v>6020.24</v>
      </c>
    </row>
    <row r="315" spans="1:14" x14ac:dyDescent="0.3">
      <c r="A315" s="2">
        <v>43191</v>
      </c>
      <c r="B315" t="s">
        <v>61</v>
      </c>
      <c r="C315">
        <v>2018</v>
      </c>
      <c r="D315">
        <v>4</v>
      </c>
      <c r="E315" t="s">
        <v>62</v>
      </c>
      <c r="F315" t="s">
        <v>52</v>
      </c>
      <c r="G315">
        <v>5</v>
      </c>
      <c r="H315" t="s">
        <v>20</v>
      </c>
      <c r="I315">
        <v>211.48</v>
      </c>
      <c r="J315">
        <v>355.83</v>
      </c>
      <c r="K315">
        <v>924.75</v>
      </c>
      <c r="L315">
        <v>22.56</v>
      </c>
      <c r="M315">
        <v>1492.06</v>
      </c>
      <c r="N315">
        <v>1514.62</v>
      </c>
    </row>
    <row r="316" spans="1:14" x14ac:dyDescent="0.3">
      <c r="A316" s="2">
        <v>43191</v>
      </c>
      <c r="B316" t="s">
        <v>61</v>
      </c>
      <c r="C316">
        <v>2018</v>
      </c>
      <c r="D316">
        <v>4</v>
      </c>
      <c r="E316" t="s">
        <v>62</v>
      </c>
      <c r="F316" t="s">
        <v>53</v>
      </c>
      <c r="G316">
        <v>19</v>
      </c>
      <c r="H316" t="s">
        <v>20</v>
      </c>
      <c r="I316">
        <v>1017.02</v>
      </c>
      <c r="J316">
        <v>1359.81</v>
      </c>
      <c r="K316">
        <v>925.64</v>
      </c>
      <c r="L316">
        <v>388.16</v>
      </c>
      <c r="M316">
        <v>3302.47</v>
      </c>
      <c r="N316">
        <v>3690.63</v>
      </c>
    </row>
    <row r="317" spans="1:14" x14ac:dyDescent="0.3">
      <c r="A317" s="2">
        <v>43221</v>
      </c>
      <c r="B317" t="s">
        <v>61</v>
      </c>
      <c r="C317">
        <v>2018</v>
      </c>
      <c r="D317">
        <v>5</v>
      </c>
      <c r="E317" t="s">
        <v>63</v>
      </c>
      <c r="F317" t="s">
        <v>17</v>
      </c>
      <c r="G317">
        <v>35</v>
      </c>
      <c r="H317" t="s">
        <v>18</v>
      </c>
      <c r="I317">
        <v>5.6</v>
      </c>
      <c r="J317">
        <v>8.6300000000000008</v>
      </c>
      <c r="K317">
        <v>1.96</v>
      </c>
      <c r="L317">
        <v>0.03</v>
      </c>
      <c r="M317">
        <v>16.190000000000001</v>
      </c>
      <c r="N317">
        <v>16.22</v>
      </c>
    </row>
    <row r="318" spans="1:14" x14ac:dyDescent="0.3">
      <c r="A318" s="2">
        <v>43221</v>
      </c>
      <c r="B318" t="s">
        <v>61</v>
      </c>
      <c r="C318">
        <v>2018</v>
      </c>
      <c r="D318">
        <v>5</v>
      </c>
      <c r="E318" t="s">
        <v>63</v>
      </c>
      <c r="F318" t="s">
        <v>19</v>
      </c>
      <c r="G318">
        <v>28</v>
      </c>
      <c r="H318" t="s">
        <v>20</v>
      </c>
      <c r="I318">
        <v>488.45</v>
      </c>
      <c r="J318">
        <v>689.92</v>
      </c>
      <c r="K318">
        <v>762.84</v>
      </c>
      <c r="L318">
        <v>20.87</v>
      </c>
      <c r="M318">
        <v>1941.21</v>
      </c>
      <c r="N318">
        <v>1962.08</v>
      </c>
    </row>
    <row r="319" spans="1:14" x14ac:dyDescent="0.3">
      <c r="A319" s="2">
        <v>43221</v>
      </c>
      <c r="B319" t="s">
        <v>61</v>
      </c>
      <c r="C319">
        <v>2018</v>
      </c>
      <c r="D319">
        <v>5</v>
      </c>
      <c r="E319" t="s">
        <v>63</v>
      </c>
      <c r="F319" t="s">
        <v>21</v>
      </c>
      <c r="G319">
        <v>12</v>
      </c>
      <c r="H319" t="s">
        <v>20</v>
      </c>
      <c r="I319">
        <v>9.77</v>
      </c>
      <c r="J319">
        <v>15.39</v>
      </c>
      <c r="K319">
        <v>4.4800000000000004</v>
      </c>
      <c r="L319">
        <v>0.01</v>
      </c>
      <c r="M319">
        <v>29.64</v>
      </c>
      <c r="N319">
        <v>29.65</v>
      </c>
    </row>
    <row r="320" spans="1:14" x14ac:dyDescent="0.3">
      <c r="A320" s="2">
        <v>43221</v>
      </c>
      <c r="B320" t="s">
        <v>61</v>
      </c>
      <c r="C320">
        <v>2018</v>
      </c>
      <c r="D320">
        <v>5</v>
      </c>
      <c r="E320" t="s">
        <v>63</v>
      </c>
      <c r="F320" t="s">
        <v>22</v>
      </c>
      <c r="G320">
        <v>18</v>
      </c>
      <c r="H320" t="s">
        <v>20</v>
      </c>
      <c r="I320">
        <v>314.07</v>
      </c>
      <c r="J320">
        <v>399.25</v>
      </c>
      <c r="K320">
        <v>185.11</v>
      </c>
      <c r="L320">
        <v>25.97</v>
      </c>
      <c r="M320">
        <v>898.43</v>
      </c>
      <c r="N320">
        <v>924.4</v>
      </c>
    </row>
    <row r="321" spans="1:14" x14ac:dyDescent="0.3">
      <c r="A321" s="2">
        <v>43221</v>
      </c>
      <c r="B321" t="s">
        <v>61</v>
      </c>
      <c r="C321">
        <v>2018</v>
      </c>
      <c r="D321">
        <v>5</v>
      </c>
      <c r="E321" t="s">
        <v>63</v>
      </c>
      <c r="F321" t="s">
        <v>23</v>
      </c>
      <c r="G321">
        <v>10</v>
      </c>
      <c r="H321" t="s">
        <v>20</v>
      </c>
      <c r="I321">
        <v>167.85</v>
      </c>
      <c r="J321">
        <v>335.01</v>
      </c>
      <c r="K321">
        <v>119.73</v>
      </c>
      <c r="L321">
        <v>116.8</v>
      </c>
      <c r="M321">
        <v>622.59</v>
      </c>
      <c r="N321">
        <v>739.39</v>
      </c>
    </row>
    <row r="322" spans="1:14" x14ac:dyDescent="0.3">
      <c r="A322" s="2">
        <v>43221</v>
      </c>
      <c r="B322" t="s">
        <v>61</v>
      </c>
      <c r="C322">
        <v>2018</v>
      </c>
      <c r="D322">
        <v>5</v>
      </c>
      <c r="E322" t="s">
        <v>63</v>
      </c>
      <c r="F322" t="s">
        <v>24</v>
      </c>
      <c r="G322">
        <v>4</v>
      </c>
      <c r="H322" t="s">
        <v>18</v>
      </c>
      <c r="I322">
        <v>26.89</v>
      </c>
      <c r="J322">
        <v>36.46</v>
      </c>
      <c r="K322">
        <v>68.8</v>
      </c>
      <c r="L322">
        <v>7.0000000000000007E-2</v>
      </c>
      <c r="M322">
        <v>132.15</v>
      </c>
      <c r="N322">
        <v>132.22</v>
      </c>
    </row>
    <row r="323" spans="1:14" x14ac:dyDescent="0.3">
      <c r="A323" s="2">
        <v>43221</v>
      </c>
      <c r="B323" t="s">
        <v>61</v>
      </c>
      <c r="C323">
        <v>2018</v>
      </c>
      <c r="D323">
        <v>5</v>
      </c>
      <c r="E323" t="s">
        <v>63</v>
      </c>
      <c r="F323" t="s">
        <v>25</v>
      </c>
      <c r="G323">
        <v>22</v>
      </c>
      <c r="H323" t="s">
        <v>20</v>
      </c>
      <c r="I323">
        <v>299.94</v>
      </c>
      <c r="J323">
        <v>378.1</v>
      </c>
      <c r="K323">
        <v>662.44</v>
      </c>
      <c r="L323">
        <v>529.11</v>
      </c>
      <c r="M323">
        <v>1340.48</v>
      </c>
      <c r="N323">
        <v>1869.59</v>
      </c>
    </row>
    <row r="324" spans="1:14" x14ac:dyDescent="0.3">
      <c r="A324" s="2">
        <v>43221</v>
      </c>
      <c r="B324" t="s">
        <v>61</v>
      </c>
      <c r="C324">
        <v>2018</v>
      </c>
      <c r="D324">
        <v>5</v>
      </c>
      <c r="E324" t="s">
        <v>63</v>
      </c>
      <c r="F324" t="s">
        <v>26</v>
      </c>
      <c r="G324">
        <v>38</v>
      </c>
      <c r="H324" t="s">
        <v>18</v>
      </c>
      <c r="I324">
        <v>20.57</v>
      </c>
      <c r="J324">
        <v>29.54</v>
      </c>
      <c r="K324">
        <v>169.47</v>
      </c>
      <c r="L324">
        <v>0.06</v>
      </c>
      <c r="M324">
        <v>219.58</v>
      </c>
      <c r="N324">
        <v>219.64</v>
      </c>
    </row>
    <row r="325" spans="1:14" x14ac:dyDescent="0.3">
      <c r="A325" s="2">
        <v>43221</v>
      </c>
      <c r="B325" t="s">
        <v>61</v>
      </c>
      <c r="C325">
        <v>2018</v>
      </c>
      <c r="D325">
        <v>5</v>
      </c>
      <c r="E325" t="s">
        <v>63</v>
      </c>
      <c r="F325" t="s">
        <v>27</v>
      </c>
      <c r="G325">
        <v>7</v>
      </c>
      <c r="H325" t="s">
        <v>18</v>
      </c>
      <c r="I325">
        <v>631.29</v>
      </c>
      <c r="J325">
        <v>797.35</v>
      </c>
      <c r="K325">
        <v>1402.19</v>
      </c>
      <c r="L325">
        <v>84.07</v>
      </c>
      <c r="M325">
        <v>2830.83</v>
      </c>
      <c r="N325">
        <v>2914.9</v>
      </c>
    </row>
    <row r="326" spans="1:14" x14ac:dyDescent="0.3">
      <c r="A326" s="2">
        <v>43221</v>
      </c>
      <c r="B326" t="s">
        <v>61</v>
      </c>
      <c r="C326">
        <v>2018</v>
      </c>
      <c r="D326">
        <v>5</v>
      </c>
      <c r="E326" t="s">
        <v>63</v>
      </c>
      <c r="F326" t="s">
        <v>28</v>
      </c>
      <c r="G326">
        <v>30</v>
      </c>
      <c r="H326" t="s">
        <v>20</v>
      </c>
      <c r="I326">
        <v>78.8</v>
      </c>
      <c r="J326">
        <v>106.46</v>
      </c>
      <c r="K326">
        <v>129.47999999999999</v>
      </c>
      <c r="L326">
        <v>2.79</v>
      </c>
      <c r="M326">
        <v>314.74</v>
      </c>
      <c r="N326">
        <v>317.52999999999997</v>
      </c>
    </row>
    <row r="327" spans="1:14" x14ac:dyDescent="0.3">
      <c r="A327" s="2">
        <v>43221</v>
      </c>
      <c r="B327" t="s">
        <v>61</v>
      </c>
      <c r="C327">
        <v>2018</v>
      </c>
      <c r="D327">
        <v>5</v>
      </c>
      <c r="E327" t="s">
        <v>63</v>
      </c>
      <c r="F327" t="s">
        <v>29</v>
      </c>
      <c r="G327">
        <v>24</v>
      </c>
      <c r="H327" t="s">
        <v>20</v>
      </c>
      <c r="I327">
        <v>1726.58</v>
      </c>
      <c r="J327">
        <v>2177.27</v>
      </c>
      <c r="K327">
        <v>2016.55</v>
      </c>
      <c r="L327">
        <v>341.56</v>
      </c>
      <c r="M327">
        <v>5920.4</v>
      </c>
      <c r="N327">
        <v>6261.96</v>
      </c>
    </row>
    <row r="328" spans="1:14" x14ac:dyDescent="0.3">
      <c r="A328" s="2">
        <v>43221</v>
      </c>
      <c r="B328" t="s">
        <v>61</v>
      </c>
      <c r="C328">
        <v>2018</v>
      </c>
      <c r="D328">
        <v>5</v>
      </c>
      <c r="E328" t="s">
        <v>63</v>
      </c>
      <c r="F328" t="s">
        <v>30</v>
      </c>
      <c r="G328">
        <v>6</v>
      </c>
      <c r="H328" t="s">
        <v>20</v>
      </c>
      <c r="I328">
        <v>690.59</v>
      </c>
      <c r="J328">
        <v>1015.29</v>
      </c>
      <c r="K328">
        <v>2515.98</v>
      </c>
      <c r="L328">
        <v>351.88</v>
      </c>
      <c r="M328">
        <v>4221.8599999999997</v>
      </c>
      <c r="N328">
        <v>4573.74</v>
      </c>
    </row>
    <row r="329" spans="1:14" x14ac:dyDescent="0.3">
      <c r="A329" s="2">
        <v>43221</v>
      </c>
      <c r="B329" t="s">
        <v>61</v>
      </c>
      <c r="C329">
        <v>2018</v>
      </c>
      <c r="D329">
        <v>5</v>
      </c>
      <c r="E329" t="s">
        <v>63</v>
      </c>
      <c r="F329" t="s">
        <v>31</v>
      </c>
      <c r="G329">
        <v>2</v>
      </c>
      <c r="H329" t="s">
        <v>20</v>
      </c>
      <c r="I329">
        <v>74.38</v>
      </c>
      <c r="J329">
        <v>116.83</v>
      </c>
      <c r="K329">
        <v>453.85</v>
      </c>
      <c r="L329">
        <v>1.05</v>
      </c>
      <c r="M329">
        <v>645.05999999999995</v>
      </c>
      <c r="N329">
        <v>646.11</v>
      </c>
    </row>
    <row r="330" spans="1:14" x14ac:dyDescent="0.3">
      <c r="A330" s="2">
        <v>43221</v>
      </c>
      <c r="B330" t="s">
        <v>61</v>
      </c>
      <c r="C330">
        <v>2018</v>
      </c>
      <c r="D330">
        <v>5</v>
      </c>
      <c r="E330" t="s">
        <v>63</v>
      </c>
      <c r="F330" t="s">
        <v>32</v>
      </c>
      <c r="G330">
        <v>1</v>
      </c>
      <c r="H330" t="s">
        <v>18</v>
      </c>
      <c r="I330">
        <v>70.599999999999994</v>
      </c>
      <c r="J330">
        <v>119.22</v>
      </c>
      <c r="K330">
        <v>72.760000000000005</v>
      </c>
      <c r="L330">
        <v>4.37</v>
      </c>
      <c r="M330">
        <v>262.58</v>
      </c>
      <c r="N330">
        <v>266.95</v>
      </c>
    </row>
    <row r="331" spans="1:14" x14ac:dyDescent="0.3">
      <c r="A331" s="2">
        <v>43221</v>
      </c>
      <c r="B331" t="s">
        <v>61</v>
      </c>
      <c r="C331">
        <v>2018</v>
      </c>
      <c r="D331">
        <v>5</v>
      </c>
      <c r="E331" t="s">
        <v>63</v>
      </c>
      <c r="F331" t="s">
        <v>33</v>
      </c>
      <c r="G331">
        <v>20</v>
      </c>
      <c r="H331" t="s">
        <v>20</v>
      </c>
      <c r="I331">
        <v>251.29</v>
      </c>
      <c r="J331">
        <v>358.41</v>
      </c>
      <c r="K331">
        <v>893.7</v>
      </c>
      <c r="L331">
        <v>454.38</v>
      </c>
      <c r="M331">
        <v>1503.4</v>
      </c>
      <c r="N331">
        <v>1957.78</v>
      </c>
    </row>
    <row r="332" spans="1:14" x14ac:dyDescent="0.3">
      <c r="A332" s="2">
        <v>43221</v>
      </c>
      <c r="B332" t="s">
        <v>61</v>
      </c>
      <c r="C332">
        <v>2018</v>
      </c>
      <c r="D332">
        <v>5</v>
      </c>
      <c r="E332" t="s">
        <v>63</v>
      </c>
      <c r="F332" t="s">
        <v>34</v>
      </c>
      <c r="G332">
        <v>29</v>
      </c>
      <c r="H332" t="s">
        <v>20</v>
      </c>
      <c r="I332">
        <v>1260</v>
      </c>
      <c r="J332">
        <v>1691.95</v>
      </c>
      <c r="K332">
        <v>2102.0500000000002</v>
      </c>
      <c r="L332">
        <v>698.12</v>
      </c>
      <c r="M332">
        <v>5054</v>
      </c>
      <c r="N332">
        <v>5752.12</v>
      </c>
    </row>
    <row r="333" spans="1:14" x14ac:dyDescent="0.3">
      <c r="A333" s="2">
        <v>43221</v>
      </c>
      <c r="B333" t="s">
        <v>61</v>
      </c>
      <c r="C333">
        <v>2018</v>
      </c>
      <c r="D333">
        <v>5</v>
      </c>
      <c r="E333" t="s">
        <v>63</v>
      </c>
      <c r="F333" t="s">
        <v>35</v>
      </c>
      <c r="G333">
        <v>32</v>
      </c>
      <c r="H333" t="s">
        <v>20</v>
      </c>
      <c r="I333">
        <v>419.93</v>
      </c>
      <c r="J333">
        <v>658.95</v>
      </c>
      <c r="K333">
        <v>216.05</v>
      </c>
      <c r="L333">
        <v>5.47</v>
      </c>
      <c r="M333">
        <v>1294.93</v>
      </c>
      <c r="N333">
        <v>1300.4000000000001</v>
      </c>
    </row>
    <row r="334" spans="1:14" x14ac:dyDescent="0.3">
      <c r="A334" s="2">
        <v>43221</v>
      </c>
      <c r="B334" t="s">
        <v>61</v>
      </c>
      <c r="C334">
        <v>2018</v>
      </c>
      <c r="D334">
        <v>5</v>
      </c>
      <c r="E334" t="s">
        <v>63</v>
      </c>
      <c r="F334" t="s">
        <v>36</v>
      </c>
      <c r="G334">
        <v>31</v>
      </c>
      <c r="H334" t="s">
        <v>18</v>
      </c>
      <c r="I334">
        <v>0.06</v>
      </c>
      <c r="J334">
        <v>0.06</v>
      </c>
      <c r="K334">
        <v>0.02</v>
      </c>
      <c r="L334">
        <v>0</v>
      </c>
      <c r="M334">
        <v>0.14000000000000001</v>
      </c>
      <c r="N334">
        <v>0.14000000000000001</v>
      </c>
    </row>
    <row r="335" spans="1:14" x14ac:dyDescent="0.3">
      <c r="A335" s="2">
        <v>43221</v>
      </c>
      <c r="B335" t="s">
        <v>61</v>
      </c>
      <c r="C335">
        <v>2018</v>
      </c>
      <c r="D335">
        <v>5</v>
      </c>
      <c r="E335" t="s">
        <v>63</v>
      </c>
      <c r="F335" t="s">
        <v>37</v>
      </c>
      <c r="G335">
        <v>23</v>
      </c>
      <c r="H335" t="s">
        <v>20</v>
      </c>
      <c r="I335">
        <v>383.89</v>
      </c>
      <c r="J335">
        <v>555.28</v>
      </c>
      <c r="K335">
        <v>527.63</v>
      </c>
      <c r="L335">
        <v>396.84</v>
      </c>
      <c r="M335">
        <v>1466.8</v>
      </c>
      <c r="N335">
        <v>1863.64</v>
      </c>
    </row>
    <row r="336" spans="1:14" x14ac:dyDescent="0.3">
      <c r="A336" s="2">
        <v>43221</v>
      </c>
      <c r="B336" t="s">
        <v>61</v>
      </c>
      <c r="C336">
        <v>2018</v>
      </c>
      <c r="D336">
        <v>5</v>
      </c>
      <c r="E336" t="s">
        <v>63</v>
      </c>
      <c r="F336" t="s">
        <v>38</v>
      </c>
      <c r="G336">
        <v>27</v>
      </c>
      <c r="H336" t="s">
        <v>20</v>
      </c>
      <c r="I336">
        <v>3684.41</v>
      </c>
      <c r="J336">
        <v>4606</v>
      </c>
      <c r="K336">
        <v>3960.49</v>
      </c>
      <c r="L336">
        <v>796.5</v>
      </c>
      <c r="M336">
        <v>12250.9</v>
      </c>
      <c r="N336">
        <v>13047.4</v>
      </c>
    </row>
    <row r="337" spans="1:14" x14ac:dyDescent="0.3">
      <c r="A337" s="2">
        <v>43221</v>
      </c>
      <c r="B337" t="s">
        <v>61</v>
      </c>
      <c r="C337">
        <v>2018</v>
      </c>
      <c r="D337">
        <v>5</v>
      </c>
      <c r="E337" t="s">
        <v>63</v>
      </c>
      <c r="F337" t="s">
        <v>39</v>
      </c>
      <c r="G337">
        <v>14</v>
      </c>
      <c r="H337" t="s">
        <v>20</v>
      </c>
      <c r="I337">
        <v>5.26</v>
      </c>
      <c r="J337">
        <v>9.2799999999999994</v>
      </c>
      <c r="K337">
        <v>1.95</v>
      </c>
      <c r="L337">
        <v>0.17</v>
      </c>
      <c r="M337">
        <v>16.489999999999998</v>
      </c>
      <c r="N337">
        <v>16.66</v>
      </c>
    </row>
    <row r="338" spans="1:14" x14ac:dyDescent="0.3">
      <c r="A338" s="2">
        <v>43221</v>
      </c>
      <c r="B338" t="s">
        <v>61</v>
      </c>
      <c r="C338">
        <v>2018</v>
      </c>
      <c r="D338">
        <v>5</v>
      </c>
      <c r="E338" t="s">
        <v>63</v>
      </c>
      <c r="F338" t="s">
        <v>40</v>
      </c>
      <c r="G338">
        <v>17</v>
      </c>
      <c r="H338" t="s">
        <v>20</v>
      </c>
      <c r="I338">
        <v>13.72</v>
      </c>
      <c r="J338">
        <v>19.920000000000002</v>
      </c>
      <c r="K338">
        <v>89.94</v>
      </c>
      <c r="L338">
        <v>3.02</v>
      </c>
      <c r="M338">
        <v>123.58</v>
      </c>
      <c r="N338">
        <v>126.6</v>
      </c>
    </row>
    <row r="339" spans="1:14" x14ac:dyDescent="0.3">
      <c r="A339" s="2">
        <v>43221</v>
      </c>
      <c r="B339" t="s">
        <v>61</v>
      </c>
      <c r="C339">
        <v>2018</v>
      </c>
      <c r="D339">
        <v>5</v>
      </c>
      <c r="E339" t="s">
        <v>63</v>
      </c>
      <c r="F339" t="s">
        <v>41</v>
      </c>
      <c r="G339">
        <v>15</v>
      </c>
      <c r="H339" t="s">
        <v>20</v>
      </c>
      <c r="I339">
        <v>3.15</v>
      </c>
      <c r="J339">
        <v>6.47</v>
      </c>
      <c r="K339">
        <v>4.1399999999999997</v>
      </c>
      <c r="L339">
        <v>0</v>
      </c>
      <c r="M339">
        <v>13.76</v>
      </c>
      <c r="N339">
        <v>13.76</v>
      </c>
    </row>
    <row r="340" spans="1:14" x14ac:dyDescent="0.3">
      <c r="A340" s="2">
        <v>43221</v>
      </c>
      <c r="B340" t="s">
        <v>61</v>
      </c>
      <c r="C340">
        <v>2018</v>
      </c>
      <c r="D340">
        <v>5</v>
      </c>
      <c r="E340" t="s">
        <v>63</v>
      </c>
      <c r="F340" t="s">
        <v>42</v>
      </c>
      <c r="G340">
        <v>13</v>
      </c>
      <c r="H340" t="s">
        <v>20</v>
      </c>
      <c r="I340">
        <v>3.14</v>
      </c>
      <c r="J340">
        <v>5.98</v>
      </c>
      <c r="K340">
        <v>3.99</v>
      </c>
      <c r="L340">
        <v>0.32</v>
      </c>
      <c r="M340">
        <v>13.11</v>
      </c>
      <c r="N340">
        <v>13.43</v>
      </c>
    </row>
    <row r="341" spans="1:14" x14ac:dyDescent="0.3">
      <c r="A341" s="2">
        <v>43221</v>
      </c>
      <c r="B341" t="s">
        <v>61</v>
      </c>
      <c r="C341">
        <v>2018</v>
      </c>
      <c r="D341">
        <v>5</v>
      </c>
      <c r="E341" t="s">
        <v>63</v>
      </c>
      <c r="F341" t="s">
        <v>43</v>
      </c>
      <c r="G341">
        <v>21</v>
      </c>
      <c r="H341" t="s">
        <v>20</v>
      </c>
      <c r="I341">
        <v>360.08</v>
      </c>
      <c r="J341">
        <v>499.24</v>
      </c>
      <c r="K341">
        <v>637.63</v>
      </c>
      <c r="L341">
        <v>395.01</v>
      </c>
      <c r="M341">
        <v>1496.95</v>
      </c>
      <c r="N341">
        <v>1891.96</v>
      </c>
    </row>
    <row r="342" spans="1:14" x14ac:dyDescent="0.3">
      <c r="A342" s="2">
        <v>43221</v>
      </c>
      <c r="B342" t="s">
        <v>61</v>
      </c>
      <c r="C342">
        <v>2018</v>
      </c>
      <c r="D342">
        <v>5</v>
      </c>
      <c r="E342" t="s">
        <v>63</v>
      </c>
      <c r="F342" t="s">
        <v>44</v>
      </c>
      <c r="G342">
        <v>34</v>
      </c>
      <c r="H342" t="s">
        <v>18</v>
      </c>
      <c r="I342">
        <v>18.21</v>
      </c>
      <c r="J342">
        <v>26.94</v>
      </c>
      <c r="K342">
        <v>110.19</v>
      </c>
      <c r="L342">
        <v>0.16</v>
      </c>
      <c r="M342">
        <v>155.34</v>
      </c>
      <c r="N342">
        <v>155.5</v>
      </c>
    </row>
    <row r="343" spans="1:14" x14ac:dyDescent="0.3">
      <c r="A343" s="2">
        <v>43221</v>
      </c>
      <c r="B343" t="s">
        <v>61</v>
      </c>
      <c r="C343">
        <v>2018</v>
      </c>
      <c r="D343">
        <v>5</v>
      </c>
      <c r="E343" t="s">
        <v>63</v>
      </c>
      <c r="F343" t="s">
        <v>45</v>
      </c>
      <c r="G343">
        <v>3</v>
      </c>
      <c r="H343" t="s">
        <v>20</v>
      </c>
      <c r="I343">
        <v>237.85</v>
      </c>
      <c r="J343">
        <v>397.4</v>
      </c>
      <c r="K343">
        <v>487.8</v>
      </c>
      <c r="L343">
        <v>16.260000000000002</v>
      </c>
      <c r="M343">
        <v>1123.05</v>
      </c>
      <c r="N343">
        <v>1139.31</v>
      </c>
    </row>
    <row r="344" spans="1:14" x14ac:dyDescent="0.3">
      <c r="A344" s="2">
        <v>43221</v>
      </c>
      <c r="B344" t="s">
        <v>61</v>
      </c>
      <c r="C344">
        <v>2018</v>
      </c>
      <c r="D344">
        <v>5</v>
      </c>
      <c r="E344" t="s">
        <v>63</v>
      </c>
      <c r="F344" t="s">
        <v>46</v>
      </c>
      <c r="G344">
        <v>8</v>
      </c>
      <c r="H344" t="s">
        <v>20</v>
      </c>
      <c r="I344">
        <v>637.39</v>
      </c>
      <c r="J344">
        <v>848.79</v>
      </c>
      <c r="K344">
        <v>873.4</v>
      </c>
      <c r="L344">
        <v>132.91999999999999</v>
      </c>
      <c r="M344">
        <v>2359.58</v>
      </c>
      <c r="N344">
        <v>2492.5</v>
      </c>
    </row>
    <row r="345" spans="1:14" x14ac:dyDescent="0.3">
      <c r="A345" s="2">
        <v>43221</v>
      </c>
      <c r="B345" t="s">
        <v>61</v>
      </c>
      <c r="C345">
        <v>2018</v>
      </c>
      <c r="D345">
        <v>5</v>
      </c>
      <c r="E345" t="s">
        <v>63</v>
      </c>
      <c r="F345" t="s">
        <v>47</v>
      </c>
      <c r="G345">
        <v>11</v>
      </c>
      <c r="H345" t="s">
        <v>20</v>
      </c>
      <c r="I345">
        <v>9.94</v>
      </c>
      <c r="J345">
        <v>13.55</v>
      </c>
      <c r="K345">
        <v>143.15</v>
      </c>
      <c r="L345">
        <v>0.66</v>
      </c>
      <c r="M345">
        <v>166.64</v>
      </c>
      <c r="N345">
        <v>167.3</v>
      </c>
    </row>
    <row r="346" spans="1:14" x14ac:dyDescent="0.3">
      <c r="A346" s="2">
        <v>43221</v>
      </c>
      <c r="B346" t="s">
        <v>61</v>
      </c>
      <c r="C346">
        <v>2018</v>
      </c>
      <c r="D346">
        <v>5</v>
      </c>
      <c r="E346" t="s">
        <v>63</v>
      </c>
      <c r="F346" t="s">
        <v>48</v>
      </c>
      <c r="G346">
        <v>33</v>
      </c>
      <c r="H346" t="s">
        <v>20</v>
      </c>
      <c r="I346">
        <v>1388.18</v>
      </c>
      <c r="J346">
        <v>1927.11</v>
      </c>
      <c r="K346">
        <v>1682.28</v>
      </c>
      <c r="L346">
        <v>491.02</v>
      </c>
      <c r="M346">
        <v>4997.57</v>
      </c>
      <c r="N346">
        <v>5488.59</v>
      </c>
    </row>
    <row r="347" spans="1:14" x14ac:dyDescent="0.3">
      <c r="A347" s="2">
        <v>43221</v>
      </c>
      <c r="B347" t="s">
        <v>61</v>
      </c>
      <c r="C347">
        <v>2018</v>
      </c>
      <c r="D347">
        <v>5</v>
      </c>
      <c r="E347" t="s">
        <v>63</v>
      </c>
      <c r="F347" t="s">
        <v>49</v>
      </c>
      <c r="G347">
        <v>36</v>
      </c>
      <c r="H347" t="s">
        <v>20</v>
      </c>
      <c r="I347">
        <v>547.29999999999995</v>
      </c>
      <c r="J347">
        <v>806.81</v>
      </c>
      <c r="K347">
        <v>790.83</v>
      </c>
      <c r="L347">
        <v>474.12</v>
      </c>
      <c r="M347">
        <v>2144.94</v>
      </c>
      <c r="N347">
        <v>2619.06</v>
      </c>
    </row>
    <row r="348" spans="1:14" x14ac:dyDescent="0.3">
      <c r="A348" s="2">
        <v>43221</v>
      </c>
      <c r="B348" t="s">
        <v>61</v>
      </c>
      <c r="C348">
        <v>2018</v>
      </c>
      <c r="D348">
        <v>5</v>
      </c>
      <c r="E348" t="s">
        <v>63</v>
      </c>
      <c r="F348" t="s">
        <v>50</v>
      </c>
      <c r="G348">
        <v>16</v>
      </c>
      <c r="H348" t="s">
        <v>20</v>
      </c>
      <c r="I348">
        <v>16.899999999999999</v>
      </c>
      <c r="J348">
        <v>25.84</v>
      </c>
      <c r="K348">
        <v>2.68</v>
      </c>
      <c r="L348">
        <v>0.24</v>
      </c>
      <c r="M348">
        <v>45.42</v>
      </c>
      <c r="N348">
        <v>45.66</v>
      </c>
    </row>
    <row r="349" spans="1:14" x14ac:dyDescent="0.3">
      <c r="A349" s="2">
        <v>43221</v>
      </c>
      <c r="B349" t="s">
        <v>61</v>
      </c>
      <c r="C349">
        <v>2018</v>
      </c>
      <c r="D349">
        <v>5</v>
      </c>
      <c r="E349" t="s">
        <v>63</v>
      </c>
      <c r="F349" t="s">
        <v>51</v>
      </c>
      <c r="G349">
        <v>9</v>
      </c>
      <c r="H349" t="s">
        <v>20</v>
      </c>
      <c r="I349">
        <v>971.73</v>
      </c>
      <c r="J349">
        <v>1502.79</v>
      </c>
      <c r="K349">
        <v>1302.46</v>
      </c>
      <c r="L349">
        <v>838.84</v>
      </c>
      <c r="M349">
        <v>3776.98</v>
      </c>
      <c r="N349">
        <v>4615.82</v>
      </c>
    </row>
    <row r="350" spans="1:14" x14ac:dyDescent="0.3">
      <c r="A350" s="2">
        <v>43221</v>
      </c>
      <c r="B350" t="s">
        <v>61</v>
      </c>
      <c r="C350">
        <v>2018</v>
      </c>
      <c r="D350">
        <v>5</v>
      </c>
      <c r="E350" t="s">
        <v>63</v>
      </c>
      <c r="F350" t="s">
        <v>52</v>
      </c>
      <c r="G350">
        <v>5</v>
      </c>
      <c r="H350" t="s">
        <v>20</v>
      </c>
      <c r="I350">
        <v>160.37</v>
      </c>
      <c r="J350">
        <v>303.98</v>
      </c>
      <c r="K350">
        <v>761.5</v>
      </c>
      <c r="L350">
        <v>20.84</v>
      </c>
      <c r="M350">
        <v>1225.8499999999999</v>
      </c>
      <c r="N350">
        <v>1246.69</v>
      </c>
    </row>
    <row r="351" spans="1:14" x14ac:dyDescent="0.3">
      <c r="A351" s="2">
        <v>43221</v>
      </c>
      <c r="B351" t="s">
        <v>61</v>
      </c>
      <c r="C351">
        <v>2018</v>
      </c>
      <c r="D351">
        <v>5</v>
      </c>
      <c r="E351" t="s">
        <v>63</v>
      </c>
      <c r="F351" t="s">
        <v>53</v>
      </c>
      <c r="G351">
        <v>19</v>
      </c>
      <c r="H351" t="s">
        <v>20</v>
      </c>
      <c r="I351">
        <v>869.32</v>
      </c>
      <c r="J351">
        <v>1171.3</v>
      </c>
      <c r="K351">
        <v>786.37</v>
      </c>
      <c r="L351">
        <v>281.39999999999998</v>
      </c>
      <c r="M351">
        <v>2826.99</v>
      </c>
      <c r="N351">
        <v>3108.39</v>
      </c>
    </row>
    <row r="352" spans="1:14" x14ac:dyDescent="0.3">
      <c r="A352" s="2">
        <v>43252</v>
      </c>
      <c r="B352" t="s">
        <v>61</v>
      </c>
      <c r="C352">
        <v>2018</v>
      </c>
      <c r="D352">
        <v>6</v>
      </c>
      <c r="E352" t="s">
        <v>64</v>
      </c>
      <c r="F352" t="s">
        <v>17</v>
      </c>
      <c r="G352">
        <v>35</v>
      </c>
      <c r="H352" t="s">
        <v>18</v>
      </c>
      <c r="I352">
        <v>11.29</v>
      </c>
      <c r="J352">
        <v>13.87</v>
      </c>
      <c r="K352">
        <v>2.4700000000000002</v>
      </c>
      <c r="L352">
        <v>0.06</v>
      </c>
      <c r="M352">
        <v>27.63</v>
      </c>
      <c r="N352">
        <v>27.69</v>
      </c>
    </row>
    <row r="353" spans="1:14" x14ac:dyDescent="0.3">
      <c r="A353" s="2">
        <v>43252</v>
      </c>
      <c r="B353" t="s">
        <v>61</v>
      </c>
      <c r="C353">
        <v>2018</v>
      </c>
      <c r="D353">
        <v>6</v>
      </c>
      <c r="E353" t="s">
        <v>64</v>
      </c>
      <c r="F353" t="s">
        <v>19</v>
      </c>
      <c r="G353">
        <v>28</v>
      </c>
      <c r="H353" t="s">
        <v>20</v>
      </c>
      <c r="I353">
        <v>460.33</v>
      </c>
      <c r="J353">
        <v>668.17</v>
      </c>
      <c r="K353">
        <v>780.49</v>
      </c>
      <c r="L353">
        <v>26.61</v>
      </c>
      <c r="M353">
        <v>1908.99</v>
      </c>
      <c r="N353">
        <v>1935.6</v>
      </c>
    </row>
    <row r="354" spans="1:14" x14ac:dyDescent="0.3">
      <c r="A354" s="2">
        <v>43252</v>
      </c>
      <c r="B354" t="s">
        <v>61</v>
      </c>
      <c r="C354">
        <v>2018</v>
      </c>
      <c r="D354">
        <v>6</v>
      </c>
      <c r="E354" t="s">
        <v>64</v>
      </c>
      <c r="F354" t="s">
        <v>21</v>
      </c>
      <c r="G354">
        <v>12</v>
      </c>
      <c r="H354" t="s">
        <v>20</v>
      </c>
      <c r="I354">
        <v>9.32</v>
      </c>
      <c r="J354">
        <v>13.54</v>
      </c>
      <c r="K354">
        <v>3.95</v>
      </c>
      <c r="L354">
        <v>0.01</v>
      </c>
      <c r="M354">
        <v>26.81</v>
      </c>
      <c r="N354">
        <v>26.82</v>
      </c>
    </row>
    <row r="355" spans="1:14" x14ac:dyDescent="0.3">
      <c r="A355" s="2">
        <v>43252</v>
      </c>
      <c r="B355" t="s">
        <v>61</v>
      </c>
      <c r="C355">
        <v>2018</v>
      </c>
      <c r="D355">
        <v>6</v>
      </c>
      <c r="E355" t="s">
        <v>64</v>
      </c>
      <c r="F355" t="s">
        <v>22</v>
      </c>
      <c r="G355">
        <v>18</v>
      </c>
      <c r="H355" t="s">
        <v>20</v>
      </c>
      <c r="I355">
        <v>171.54</v>
      </c>
      <c r="J355">
        <v>250.27</v>
      </c>
      <c r="K355">
        <v>195.99</v>
      </c>
      <c r="L355">
        <v>44.86</v>
      </c>
      <c r="M355">
        <v>617.79999999999995</v>
      </c>
      <c r="N355">
        <v>662.66</v>
      </c>
    </row>
    <row r="356" spans="1:14" x14ac:dyDescent="0.3">
      <c r="A356" s="2">
        <v>43252</v>
      </c>
      <c r="B356" t="s">
        <v>61</v>
      </c>
      <c r="C356">
        <v>2018</v>
      </c>
      <c r="D356">
        <v>6</v>
      </c>
      <c r="E356" t="s">
        <v>64</v>
      </c>
      <c r="F356" t="s">
        <v>23</v>
      </c>
      <c r="G356">
        <v>10</v>
      </c>
      <c r="H356" t="s">
        <v>20</v>
      </c>
      <c r="I356">
        <v>178.75</v>
      </c>
      <c r="J356">
        <v>365.74</v>
      </c>
      <c r="K356">
        <v>87.86</v>
      </c>
      <c r="L356">
        <v>128.78</v>
      </c>
      <c r="M356">
        <v>632.35</v>
      </c>
      <c r="N356">
        <v>761.13</v>
      </c>
    </row>
    <row r="357" spans="1:14" x14ac:dyDescent="0.3">
      <c r="A357" s="2">
        <v>43252</v>
      </c>
      <c r="B357" t="s">
        <v>61</v>
      </c>
      <c r="C357">
        <v>2018</v>
      </c>
      <c r="D357">
        <v>6</v>
      </c>
      <c r="E357" t="s">
        <v>64</v>
      </c>
      <c r="F357" t="s">
        <v>24</v>
      </c>
      <c r="G357">
        <v>4</v>
      </c>
      <c r="H357" t="s">
        <v>18</v>
      </c>
      <c r="I357">
        <v>25.54</v>
      </c>
      <c r="J357">
        <v>39.69</v>
      </c>
      <c r="K357">
        <v>70.78</v>
      </c>
      <c r="L357">
        <v>0.39</v>
      </c>
      <c r="M357">
        <v>136.01</v>
      </c>
      <c r="N357">
        <v>136.4</v>
      </c>
    </row>
    <row r="358" spans="1:14" x14ac:dyDescent="0.3">
      <c r="A358" s="2">
        <v>43252</v>
      </c>
      <c r="B358" t="s">
        <v>61</v>
      </c>
      <c r="C358">
        <v>2018</v>
      </c>
      <c r="D358">
        <v>6</v>
      </c>
      <c r="E358" t="s">
        <v>64</v>
      </c>
      <c r="F358" t="s">
        <v>25</v>
      </c>
      <c r="G358">
        <v>22</v>
      </c>
      <c r="H358" t="s">
        <v>20</v>
      </c>
      <c r="I358">
        <v>303.48</v>
      </c>
      <c r="J358">
        <v>383.21</v>
      </c>
      <c r="K358">
        <v>693.19</v>
      </c>
      <c r="L358">
        <v>521.86</v>
      </c>
      <c r="M358">
        <v>1379.88</v>
      </c>
      <c r="N358">
        <v>1901.74</v>
      </c>
    </row>
    <row r="359" spans="1:14" x14ac:dyDescent="0.3">
      <c r="A359" s="2">
        <v>43252</v>
      </c>
      <c r="B359" t="s">
        <v>61</v>
      </c>
      <c r="C359">
        <v>2018</v>
      </c>
      <c r="D359">
        <v>6</v>
      </c>
      <c r="E359" t="s">
        <v>64</v>
      </c>
      <c r="F359" t="s">
        <v>26</v>
      </c>
      <c r="G359">
        <v>38</v>
      </c>
      <c r="H359" t="s">
        <v>18</v>
      </c>
      <c r="I359">
        <v>22.48</v>
      </c>
      <c r="J359">
        <v>34.520000000000003</v>
      </c>
      <c r="K359">
        <v>158.16</v>
      </c>
      <c r="L359">
        <v>0.03</v>
      </c>
      <c r="M359">
        <v>215.16</v>
      </c>
      <c r="N359">
        <v>215.19</v>
      </c>
    </row>
    <row r="360" spans="1:14" x14ac:dyDescent="0.3">
      <c r="A360" s="2">
        <v>43252</v>
      </c>
      <c r="B360" t="s">
        <v>61</v>
      </c>
      <c r="C360">
        <v>2018</v>
      </c>
      <c r="D360">
        <v>6</v>
      </c>
      <c r="E360" t="s">
        <v>64</v>
      </c>
      <c r="F360" t="s">
        <v>27</v>
      </c>
      <c r="G360">
        <v>7</v>
      </c>
      <c r="H360" t="s">
        <v>18</v>
      </c>
      <c r="I360">
        <v>619.82000000000005</v>
      </c>
      <c r="J360">
        <v>795.19</v>
      </c>
      <c r="K360">
        <v>1601.91</v>
      </c>
      <c r="L360">
        <v>86.36</v>
      </c>
      <c r="M360">
        <v>3016.92</v>
      </c>
      <c r="N360">
        <v>3103.28</v>
      </c>
    </row>
    <row r="361" spans="1:14" x14ac:dyDescent="0.3">
      <c r="A361" s="2">
        <v>43252</v>
      </c>
      <c r="B361" t="s">
        <v>61</v>
      </c>
      <c r="C361">
        <v>2018</v>
      </c>
      <c r="D361">
        <v>6</v>
      </c>
      <c r="E361" t="s">
        <v>64</v>
      </c>
      <c r="F361" t="s">
        <v>28</v>
      </c>
      <c r="G361">
        <v>30</v>
      </c>
      <c r="H361" t="s">
        <v>20</v>
      </c>
      <c r="I361">
        <v>83.28</v>
      </c>
      <c r="J361">
        <v>113.49</v>
      </c>
      <c r="K361">
        <v>135.33000000000001</v>
      </c>
      <c r="L361">
        <v>3.15</v>
      </c>
      <c r="M361">
        <v>332.1</v>
      </c>
      <c r="N361">
        <v>335.25</v>
      </c>
    </row>
    <row r="362" spans="1:14" x14ac:dyDescent="0.3">
      <c r="A362" s="2">
        <v>43252</v>
      </c>
      <c r="B362" t="s">
        <v>61</v>
      </c>
      <c r="C362">
        <v>2018</v>
      </c>
      <c r="D362">
        <v>6</v>
      </c>
      <c r="E362" t="s">
        <v>64</v>
      </c>
      <c r="F362" t="s">
        <v>29</v>
      </c>
      <c r="G362">
        <v>24</v>
      </c>
      <c r="H362" t="s">
        <v>20</v>
      </c>
      <c r="I362">
        <v>1634.99</v>
      </c>
      <c r="J362">
        <v>2075.4899999999998</v>
      </c>
      <c r="K362">
        <v>2251.42</v>
      </c>
      <c r="L362">
        <v>400.6</v>
      </c>
      <c r="M362">
        <v>5961.9</v>
      </c>
      <c r="N362">
        <v>6362.5</v>
      </c>
    </row>
    <row r="363" spans="1:14" x14ac:dyDescent="0.3">
      <c r="A363" s="2">
        <v>43252</v>
      </c>
      <c r="B363" t="s">
        <v>61</v>
      </c>
      <c r="C363">
        <v>2018</v>
      </c>
      <c r="D363">
        <v>6</v>
      </c>
      <c r="E363" t="s">
        <v>64</v>
      </c>
      <c r="F363" t="s">
        <v>30</v>
      </c>
      <c r="G363">
        <v>6</v>
      </c>
      <c r="H363" t="s">
        <v>20</v>
      </c>
      <c r="I363">
        <v>709.28</v>
      </c>
      <c r="J363">
        <v>1090.6600000000001</v>
      </c>
      <c r="K363">
        <v>2436.5300000000002</v>
      </c>
      <c r="L363">
        <v>398.01</v>
      </c>
      <c r="M363">
        <v>4236.47</v>
      </c>
      <c r="N363">
        <v>4634.4799999999996</v>
      </c>
    </row>
    <row r="364" spans="1:14" x14ac:dyDescent="0.3">
      <c r="A364" s="2">
        <v>43252</v>
      </c>
      <c r="B364" t="s">
        <v>61</v>
      </c>
      <c r="C364">
        <v>2018</v>
      </c>
      <c r="D364">
        <v>6</v>
      </c>
      <c r="E364" t="s">
        <v>64</v>
      </c>
      <c r="F364" t="s">
        <v>31</v>
      </c>
      <c r="G364">
        <v>2</v>
      </c>
      <c r="H364" t="s">
        <v>20</v>
      </c>
      <c r="I364">
        <v>81.19</v>
      </c>
      <c r="J364">
        <v>128.47</v>
      </c>
      <c r="K364">
        <v>430.16</v>
      </c>
      <c r="L364">
        <v>1.44</v>
      </c>
      <c r="M364">
        <v>639.82000000000005</v>
      </c>
      <c r="N364">
        <v>641.26</v>
      </c>
    </row>
    <row r="365" spans="1:14" x14ac:dyDescent="0.3">
      <c r="A365" s="2">
        <v>43252</v>
      </c>
      <c r="B365" t="s">
        <v>61</v>
      </c>
      <c r="C365">
        <v>2018</v>
      </c>
      <c r="D365">
        <v>6</v>
      </c>
      <c r="E365" t="s">
        <v>64</v>
      </c>
      <c r="F365" t="s">
        <v>32</v>
      </c>
      <c r="G365">
        <v>1</v>
      </c>
      <c r="H365" t="s">
        <v>18</v>
      </c>
      <c r="I365">
        <v>70.739999999999995</v>
      </c>
      <c r="J365">
        <v>119.02</v>
      </c>
      <c r="K365">
        <v>72.19</v>
      </c>
      <c r="L365">
        <v>4.17</v>
      </c>
      <c r="M365">
        <v>261.95</v>
      </c>
      <c r="N365">
        <v>266.12</v>
      </c>
    </row>
    <row r="366" spans="1:14" x14ac:dyDescent="0.3">
      <c r="A366" s="2">
        <v>43252</v>
      </c>
      <c r="B366" t="s">
        <v>61</v>
      </c>
      <c r="C366">
        <v>2018</v>
      </c>
      <c r="D366">
        <v>6</v>
      </c>
      <c r="E366" t="s">
        <v>64</v>
      </c>
      <c r="F366" t="s">
        <v>33</v>
      </c>
      <c r="G366">
        <v>20</v>
      </c>
      <c r="H366" t="s">
        <v>20</v>
      </c>
      <c r="I366">
        <v>273.36</v>
      </c>
      <c r="J366">
        <v>385.05</v>
      </c>
      <c r="K366">
        <v>849.82</v>
      </c>
      <c r="L366">
        <v>470.87</v>
      </c>
      <c r="M366">
        <v>1508.23</v>
      </c>
      <c r="N366">
        <v>1979.1</v>
      </c>
    </row>
    <row r="367" spans="1:14" x14ac:dyDescent="0.3">
      <c r="A367" s="2">
        <v>43252</v>
      </c>
      <c r="B367" t="s">
        <v>61</v>
      </c>
      <c r="C367">
        <v>2018</v>
      </c>
      <c r="D367">
        <v>6</v>
      </c>
      <c r="E367" t="s">
        <v>64</v>
      </c>
      <c r="F367" t="s">
        <v>34</v>
      </c>
      <c r="G367">
        <v>29</v>
      </c>
      <c r="H367" t="s">
        <v>20</v>
      </c>
      <c r="I367">
        <v>1317.79</v>
      </c>
      <c r="J367">
        <v>1771.66</v>
      </c>
      <c r="K367">
        <v>2285.64</v>
      </c>
      <c r="L367">
        <v>868.72</v>
      </c>
      <c r="M367">
        <v>5375.09</v>
      </c>
      <c r="N367">
        <v>6243.81</v>
      </c>
    </row>
    <row r="368" spans="1:14" x14ac:dyDescent="0.3">
      <c r="A368" s="2">
        <v>43252</v>
      </c>
      <c r="B368" t="s">
        <v>61</v>
      </c>
      <c r="C368">
        <v>2018</v>
      </c>
      <c r="D368">
        <v>6</v>
      </c>
      <c r="E368" t="s">
        <v>64</v>
      </c>
      <c r="F368" t="s">
        <v>35</v>
      </c>
      <c r="G368">
        <v>32</v>
      </c>
      <c r="H368" t="s">
        <v>20</v>
      </c>
      <c r="I368">
        <v>426.52</v>
      </c>
      <c r="J368">
        <v>683.9</v>
      </c>
      <c r="K368">
        <v>190</v>
      </c>
      <c r="L368">
        <v>5.59</v>
      </c>
      <c r="M368">
        <v>1300.42</v>
      </c>
      <c r="N368">
        <v>1306.01</v>
      </c>
    </row>
    <row r="369" spans="1:14" x14ac:dyDescent="0.3">
      <c r="A369" s="2">
        <v>43252</v>
      </c>
      <c r="B369" t="s">
        <v>61</v>
      </c>
      <c r="C369">
        <v>2018</v>
      </c>
      <c r="D369">
        <v>6</v>
      </c>
      <c r="E369" t="s">
        <v>64</v>
      </c>
      <c r="F369" t="s">
        <v>36</v>
      </c>
      <c r="G369">
        <v>31</v>
      </c>
      <c r="H369" t="s">
        <v>18</v>
      </c>
      <c r="I369">
        <v>3.09</v>
      </c>
      <c r="J369">
        <v>3.13</v>
      </c>
      <c r="K369">
        <v>0.13</v>
      </c>
      <c r="L369">
        <v>0</v>
      </c>
      <c r="M369">
        <v>6.35</v>
      </c>
      <c r="N369">
        <v>6.35</v>
      </c>
    </row>
    <row r="370" spans="1:14" x14ac:dyDescent="0.3">
      <c r="A370" s="2">
        <v>43252</v>
      </c>
      <c r="B370" t="s">
        <v>61</v>
      </c>
      <c r="C370">
        <v>2018</v>
      </c>
      <c r="D370">
        <v>6</v>
      </c>
      <c r="E370" t="s">
        <v>64</v>
      </c>
      <c r="F370" t="s">
        <v>37</v>
      </c>
      <c r="G370">
        <v>23</v>
      </c>
      <c r="H370" t="s">
        <v>20</v>
      </c>
      <c r="I370">
        <v>418.54</v>
      </c>
      <c r="J370">
        <v>609.99</v>
      </c>
      <c r="K370">
        <v>543.58000000000004</v>
      </c>
      <c r="L370">
        <v>432.46</v>
      </c>
      <c r="M370">
        <v>1572.11</v>
      </c>
      <c r="N370">
        <v>2004.57</v>
      </c>
    </row>
    <row r="371" spans="1:14" x14ac:dyDescent="0.3">
      <c r="A371" s="2">
        <v>43252</v>
      </c>
      <c r="B371" t="s">
        <v>61</v>
      </c>
      <c r="C371">
        <v>2018</v>
      </c>
      <c r="D371">
        <v>6</v>
      </c>
      <c r="E371" t="s">
        <v>64</v>
      </c>
      <c r="F371" t="s">
        <v>38</v>
      </c>
      <c r="G371">
        <v>27</v>
      </c>
      <c r="H371" t="s">
        <v>20</v>
      </c>
      <c r="I371">
        <v>3898.98</v>
      </c>
      <c r="J371">
        <v>4810.38</v>
      </c>
      <c r="K371">
        <v>4398.22</v>
      </c>
      <c r="L371">
        <v>913.23</v>
      </c>
      <c r="M371">
        <v>13107.58</v>
      </c>
      <c r="N371">
        <v>14020.81</v>
      </c>
    </row>
    <row r="372" spans="1:14" x14ac:dyDescent="0.3">
      <c r="A372" s="2">
        <v>43252</v>
      </c>
      <c r="B372" t="s">
        <v>61</v>
      </c>
      <c r="C372">
        <v>2018</v>
      </c>
      <c r="D372">
        <v>6</v>
      </c>
      <c r="E372" t="s">
        <v>64</v>
      </c>
      <c r="F372" t="s">
        <v>39</v>
      </c>
      <c r="G372">
        <v>14</v>
      </c>
      <c r="H372" t="s">
        <v>20</v>
      </c>
      <c r="I372">
        <v>8.44</v>
      </c>
      <c r="J372">
        <v>12.39</v>
      </c>
      <c r="K372">
        <v>1.0900000000000001</v>
      </c>
      <c r="L372">
        <v>0.06</v>
      </c>
      <c r="M372">
        <v>21.92</v>
      </c>
      <c r="N372">
        <v>21.98</v>
      </c>
    </row>
    <row r="373" spans="1:14" x14ac:dyDescent="0.3">
      <c r="A373" s="2">
        <v>43252</v>
      </c>
      <c r="B373" t="s">
        <v>61</v>
      </c>
      <c r="C373">
        <v>2018</v>
      </c>
      <c r="D373">
        <v>6</v>
      </c>
      <c r="E373" t="s">
        <v>64</v>
      </c>
      <c r="F373" t="s">
        <v>40</v>
      </c>
      <c r="G373">
        <v>17</v>
      </c>
      <c r="H373" t="s">
        <v>20</v>
      </c>
      <c r="I373">
        <v>14.92</v>
      </c>
      <c r="J373">
        <v>20.95</v>
      </c>
      <c r="K373">
        <v>76.040000000000006</v>
      </c>
      <c r="L373">
        <v>4.2699999999999996</v>
      </c>
      <c r="M373">
        <v>111.91</v>
      </c>
      <c r="N373">
        <v>116.18</v>
      </c>
    </row>
    <row r="374" spans="1:14" x14ac:dyDescent="0.3">
      <c r="A374" s="2">
        <v>43252</v>
      </c>
      <c r="B374" t="s">
        <v>61</v>
      </c>
      <c r="C374">
        <v>2018</v>
      </c>
      <c r="D374">
        <v>6</v>
      </c>
      <c r="E374" t="s">
        <v>64</v>
      </c>
      <c r="F374" t="s">
        <v>41</v>
      </c>
      <c r="G374">
        <v>15</v>
      </c>
      <c r="H374" t="s">
        <v>20</v>
      </c>
      <c r="I374">
        <v>3.25</v>
      </c>
      <c r="J374">
        <v>6.24</v>
      </c>
      <c r="K374">
        <v>0.74</v>
      </c>
      <c r="L374">
        <v>0.03</v>
      </c>
      <c r="M374">
        <v>10.23</v>
      </c>
      <c r="N374">
        <v>10.26</v>
      </c>
    </row>
    <row r="375" spans="1:14" x14ac:dyDescent="0.3">
      <c r="A375" s="2">
        <v>43252</v>
      </c>
      <c r="B375" t="s">
        <v>61</v>
      </c>
      <c r="C375">
        <v>2018</v>
      </c>
      <c r="D375">
        <v>6</v>
      </c>
      <c r="E375" t="s">
        <v>64</v>
      </c>
      <c r="F375" t="s">
        <v>42</v>
      </c>
      <c r="G375">
        <v>13</v>
      </c>
      <c r="H375" t="s">
        <v>20</v>
      </c>
      <c r="I375">
        <v>2.85</v>
      </c>
      <c r="J375">
        <v>5.54</v>
      </c>
      <c r="K375">
        <v>4.4400000000000004</v>
      </c>
      <c r="L375">
        <v>0.6</v>
      </c>
      <c r="M375">
        <v>12.83</v>
      </c>
      <c r="N375">
        <v>13.43</v>
      </c>
    </row>
    <row r="376" spans="1:14" x14ac:dyDescent="0.3">
      <c r="A376" s="2">
        <v>43252</v>
      </c>
      <c r="B376" t="s">
        <v>61</v>
      </c>
      <c r="C376">
        <v>2018</v>
      </c>
      <c r="D376">
        <v>6</v>
      </c>
      <c r="E376" t="s">
        <v>64</v>
      </c>
      <c r="F376" t="s">
        <v>43</v>
      </c>
      <c r="G376">
        <v>21</v>
      </c>
      <c r="H376" t="s">
        <v>20</v>
      </c>
      <c r="I376">
        <v>407.43</v>
      </c>
      <c r="J376">
        <v>535.87</v>
      </c>
      <c r="K376">
        <v>786.43</v>
      </c>
      <c r="L376">
        <v>422.17</v>
      </c>
      <c r="M376">
        <v>1729.73</v>
      </c>
      <c r="N376">
        <v>2151.9</v>
      </c>
    </row>
    <row r="377" spans="1:14" x14ac:dyDescent="0.3">
      <c r="A377" s="2">
        <v>43252</v>
      </c>
      <c r="B377" t="s">
        <v>61</v>
      </c>
      <c r="C377">
        <v>2018</v>
      </c>
      <c r="D377">
        <v>6</v>
      </c>
      <c r="E377" t="s">
        <v>64</v>
      </c>
      <c r="F377" t="s">
        <v>44</v>
      </c>
      <c r="G377">
        <v>34</v>
      </c>
      <c r="H377" t="s">
        <v>18</v>
      </c>
      <c r="I377">
        <v>19.61</v>
      </c>
      <c r="J377">
        <v>27.2</v>
      </c>
      <c r="K377">
        <v>98.99</v>
      </c>
      <c r="L377">
        <v>0.24</v>
      </c>
      <c r="M377">
        <v>145.80000000000001</v>
      </c>
      <c r="N377">
        <v>146.04</v>
      </c>
    </row>
    <row r="378" spans="1:14" x14ac:dyDescent="0.3">
      <c r="A378" s="2">
        <v>43252</v>
      </c>
      <c r="B378" t="s">
        <v>61</v>
      </c>
      <c r="C378">
        <v>2018</v>
      </c>
      <c r="D378">
        <v>6</v>
      </c>
      <c r="E378" t="s">
        <v>64</v>
      </c>
      <c r="F378" t="s">
        <v>45</v>
      </c>
      <c r="G378">
        <v>3</v>
      </c>
      <c r="H378" t="s">
        <v>20</v>
      </c>
      <c r="I378">
        <v>250.79</v>
      </c>
      <c r="J378">
        <v>441.5</v>
      </c>
      <c r="K378">
        <v>489.74</v>
      </c>
      <c r="L378">
        <v>18.2</v>
      </c>
      <c r="M378">
        <v>1182.03</v>
      </c>
      <c r="N378">
        <v>1200.23</v>
      </c>
    </row>
    <row r="379" spans="1:14" x14ac:dyDescent="0.3">
      <c r="A379" s="2">
        <v>43252</v>
      </c>
      <c r="B379" t="s">
        <v>61</v>
      </c>
      <c r="C379">
        <v>2018</v>
      </c>
      <c r="D379">
        <v>6</v>
      </c>
      <c r="E379" t="s">
        <v>64</v>
      </c>
      <c r="F379" t="s">
        <v>46</v>
      </c>
      <c r="G379">
        <v>8</v>
      </c>
      <c r="H379" t="s">
        <v>20</v>
      </c>
      <c r="I379">
        <v>606.74</v>
      </c>
      <c r="J379">
        <v>833.94</v>
      </c>
      <c r="K379">
        <v>850.17</v>
      </c>
      <c r="L379">
        <v>133.24</v>
      </c>
      <c r="M379">
        <v>2290.85</v>
      </c>
      <c r="N379">
        <v>2424.09</v>
      </c>
    </row>
    <row r="380" spans="1:14" x14ac:dyDescent="0.3">
      <c r="A380" s="2">
        <v>43252</v>
      </c>
      <c r="B380" t="s">
        <v>61</v>
      </c>
      <c r="C380">
        <v>2018</v>
      </c>
      <c r="D380">
        <v>6</v>
      </c>
      <c r="E380" t="s">
        <v>64</v>
      </c>
      <c r="F380" t="s">
        <v>47</v>
      </c>
      <c r="G380">
        <v>11</v>
      </c>
      <c r="H380" t="s">
        <v>20</v>
      </c>
      <c r="I380">
        <v>10.119999999999999</v>
      </c>
      <c r="J380">
        <v>14.44</v>
      </c>
      <c r="K380">
        <v>146.41</v>
      </c>
      <c r="L380">
        <v>0.01</v>
      </c>
      <c r="M380">
        <v>170.97</v>
      </c>
      <c r="N380">
        <v>170.98</v>
      </c>
    </row>
    <row r="381" spans="1:14" x14ac:dyDescent="0.3">
      <c r="A381" s="2">
        <v>43252</v>
      </c>
      <c r="B381" t="s">
        <v>61</v>
      </c>
      <c r="C381">
        <v>2018</v>
      </c>
      <c r="D381">
        <v>6</v>
      </c>
      <c r="E381" t="s">
        <v>64</v>
      </c>
      <c r="F381" t="s">
        <v>48</v>
      </c>
      <c r="G381">
        <v>33</v>
      </c>
      <c r="H381" t="s">
        <v>20</v>
      </c>
      <c r="I381">
        <v>1278.2</v>
      </c>
      <c r="J381">
        <v>1806.52</v>
      </c>
      <c r="K381">
        <v>1526.61</v>
      </c>
      <c r="L381">
        <v>575.66</v>
      </c>
      <c r="M381">
        <v>4611.33</v>
      </c>
      <c r="N381">
        <v>5186.99</v>
      </c>
    </row>
    <row r="382" spans="1:14" x14ac:dyDescent="0.3">
      <c r="A382" s="2">
        <v>43252</v>
      </c>
      <c r="B382" t="s">
        <v>61</v>
      </c>
      <c r="C382">
        <v>2018</v>
      </c>
      <c r="D382">
        <v>6</v>
      </c>
      <c r="E382" t="s">
        <v>64</v>
      </c>
      <c r="F382" t="s">
        <v>49</v>
      </c>
      <c r="G382">
        <v>36</v>
      </c>
      <c r="H382" t="s">
        <v>20</v>
      </c>
      <c r="I382">
        <v>563.42999999999995</v>
      </c>
      <c r="J382">
        <v>797.96</v>
      </c>
      <c r="K382">
        <v>792.22</v>
      </c>
      <c r="L382">
        <v>547.87</v>
      </c>
      <c r="M382">
        <v>2153.61</v>
      </c>
      <c r="N382">
        <v>2701.48</v>
      </c>
    </row>
    <row r="383" spans="1:14" x14ac:dyDescent="0.3">
      <c r="A383" s="2">
        <v>43252</v>
      </c>
      <c r="B383" t="s">
        <v>61</v>
      </c>
      <c r="C383">
        <v>2018</v>
      </c>
      <c r="D383">
        <v>6</v>
      </c>
      <c r="E383" t="s">
        <v>64</v>
      </c>
      <c r="F383" t="s">
        <v>50</v>
      </c>
      <c r="G383">
        <v>16</v>
      </c>
      <c r="H383" t="s">
        <v>20</v>
      </c>
      <c r="I383">
        <v>12.06</v>
      </c>
      <c r="J383">
        <v>19.46</v>
      </c>
      <c r="K383">
        <v>3.68</v>
      </c>
      <c r="L383">
        <v>0.06</v>
      </c>
      <c r="M383">
        <v>35.200000000000003</v>
      </c>
      <c r="N383">
        <v>35.26</v>
      </c>
    </row>
    <row r="384" spans="1:14" x14ac:dyDescent="0.3">
      <c r="A384" s="2">
        <v>43252</v>
      </c>
      <c r="B384" t="s">
        <v>61</v>
      </c>
      <c r="C384">
        <v>2018</v>
      </c>
      <c r="D384">
        <v>6</v>
      </c>
      <c r="E384" t="s">
        <v>64</v>
      </c>
      <c r="F384" t="s">
        <v>51</v>
      </c>
      <c r="G384">
        <v>9</v>
      </c>
      <c r="H384" t="s">
        <v>20</v>
      </c>
      <c r="I384">
        <v>1034.74</v>
      </c>
      <c r="J384">
        <v>1624.02</v>
      </c>
      <c r="K384">
        <v>1374.16</v>
      </c>
      <c r="L384">
        <v>999.74</v>
      </c>
      <c r="M384">
        <v>4032.92</v>
      </c>
      <c r="N384">
        <v>5032.66</v>
      </c>
    </row>
    <row r="385" spans="1:14" x14ac:dyDescent="0.3">
      <c r="A385" s="2">
        <v>43252</v>
      </c>
      <c r="B385" t="s">
        <v>61</v>
      </c>
      <c r="C385">
        <v>2018</v>
      </c>
      <c r="D385">
        <v>6</v>
      </c>
      <c r="E385" t="s">
        <v>64</v>
      </c>
      <c r="F385" t="s">
        <v>52</v>
      </c>
      <c r="G385">
        <v>5</v>
      </c>
      <c r="H385" t="s">
        <v>20</v>
      </c>
      <c r="I385">
        <v>164.16</v>
      </c>
      <c r="J385">
        <v>309.88</v>
      </c>
      <c r="K385">
        <v>770.71</v>
      </c>
      <c r="L385">
        <v>21.28</v>
      </c>
      <c r="M385">
        <v>1244.75</v>
      </c>
      <c r="N385">
        <v>1266.03</v>
      </c>
    </row>
    <row r="386" spans="1:14" x14ac:dyDescent="0.3">
      <c r="A386" s="2">
        <v>43252</v>
      </c>
      <c r="B386" t="s">
        <v>61</v>
      </c>
      <c r="C386">
        <v>2018</v>
      </c>
      <c r="D386">
        <v>6</v>
      </c>
      <c r="E386" t="s">
        <v>64</v>
      </c>
      <c r="F386" t="s">
        <v>53</v>
      </c>
      <c r="G386">
        <v>19</v>
      </c>
      <c r="H386" t="s">
        <v>20</v>
      </c>
      <c r="I386">
        <v>857.67</v>
      </c>
      <c r="J386">
        <v>1188.32</v>
      </c>
      <c r="K386">
        <v>747.79</v>
      </c>
      <c r="L386">
        <v>318.08</v>
      </c>
      <c r="M386">
        <v>2793.78</v>
      </c>
      <c r="N386">
        <v>3111.86</v>
      </c>
    </row>
    <row r="387" spans="1:14" x14ac:dyDescent="0.3">
      <c r="A387" s="2">
        <v>43282</v>
      </c>
      <c r="B387" t="s">
        <v>61</v>
      </c>
      <c r="C387">
        <v>2018</v>
      </c>
      <c r="D387">
        <v>7</v>
      </c>
      <c r="E387" t="s">
        <v>65</v>
      </c>
      <c r="F387" t="s">
        <v>17</v>
      </c>
      <c r="G387">
        <v>35</v>
      </c>
      <c r="H387" t="s">
        <v>18</v>
      </c>
      <c r="I387">
        <v>4.28</v>
      </c>
      <c r="J387">
        <v>8.3800000000000008</v>
      </c>
      <c r="K387">
        <v>1.74</v>
      </c>
      <c r="L387">
        <v>0.02</v>
      </c>
      <c r="M387">
        <v>14.4</v>
      </c>
      <c r="N387">
        <v>14.42</v>
      </c>
    </row>
    <row r="388" spans="1:14" x14ac:dyDescent="0.3">
      <c r="A388" s="2">
        <v>43282</v>
      </c>
      <c r="B388" t="s">
        <v>61</v>
      </c>
      <c r="C388">
        <v>2018</v>
      </c>
      <c r="D388">
        <v>7</v>
      </c>
      <c r="E388" t="s">
        <v>65</v>
      </c>
      <c r="F388" t="s">
        <v>19</v>
      </c>
      <c r="G388">
        <v>28</v>
      </c>
      <c r="H388" t="s">
        <v>20</v>
      </c>
      <c r="I388">
        <v>483.57</v>
      </c>
      <c r="J388">
        <v>723.34</v>
      </c>
      <c r="K388">
        <v>776.03</v>
      </c>
      <c r="L388">
        <v>43.2</v>
      </c>
      <c r="M388">
        <v>1982.94</v>
      </c>
      <c r="N388">
        <v>2026.14</v>
      </c>
    </row>
    <row r="389" spans="1:14" x14ac:dyDescent="0.3">
      <c r="A389" s="2">
        <v>43282</v>
      </c>
      <c r="B389" t="s">
        <v>61</v>
      </c>
      <c r="C389">
        <v>2018</v>
      </c>
      <c r="D389">
        <v>7</v>
      </c>
      <c r="E389" t="s">
        <v>65</v>
      </c>
      <c r="F389" t="s">
        <v>21</v>
      </c>
      <c r="G389">
        <v>12</v>
      </c>
      <c r="H389" t="s">
        <v>20</v>
      </c>
      <c r="I389">
        <v>10.050000000000001</v>
      </c>
      <c r="J389">
        <v>14.69</v>
      </c>
      <c r="K389">
        <v>3.89</v>
      </c>
      <c r="L389">
        <v>0.02</v>
      </c>
      <c r="M389">
        <v>28.63</v>
      </c>
      <c r="N389">
        <v>28.65</v>
      </c>
    </row>
    <row r="390" spans="1:14" x14ac:dyDescent="0.3">
      <c r="A390" s="2">
        <v>43282</v>
      </c>
      <c r="B390" t="s">
        <v>61</v>
      </c>
      <c r="C390">
        <v>2018</v>
      </c>
      <c r="D390">
        <v>7</v>
      </c>
      <c r="E390" t="s">
        <v>65</v>
      </c>
      <c r="F390" t="s">
        <v>22</v>
      </c>
      <c r="G390">
        <v>18</v>
      </c>
      <c r="H390" t="s">
        <v>20</v>
      </c>
      <c r="I390">
        <v>162.93</v>
      </c>
      <c r="J390">
        <v>259.52999999999997</v>
      </c>
      <c r="K390">
        <v>197.37</v>
      </c>
      <c r="L390">
        <v>41.19</v>
      </c>
      <c r="M390">
        <v>619.83000000000004</v>
      </c>
      <c r="N390">
        <v>661.02</v>
      </c>
    </row>
    <row r="391" spans="1:14" x14ac:dyDescent="0.3">
      <c r="A391" s="2">
        <v>43282</v>
      </c>
      <c r="B391" t="s">
        <v>61</v>
      </c>
      <c r="C391">
        <v>2018</v>
      </c>
      <c r="D391">
        <v>7</v>
      </c>
      <c r="E391" t="s">
        <v>65</v>
      </c>
      <c r="F391" t="s">
        <v>23</v>
      </c>
      <c r="G391">
        <v>10</v>
      </c>
      <c r="H391" t="s">
        <v>20</v>
      </c>
      <c r="I391">
        <v>194.84</v>
      </c>
      <c r="J391">
        <v>393.18</v>
      </c>
      <c r="K391">
        <v>100.65</v>
      </c>
      <c r="L391">
        <v>162.54</v>
      </c>
      <c r="M391">
        <v>688.67</v>
      </c>
      <c r="N391">
        <v>851.21</v>
      </c>
    </row>
    <row r="392" spans="1:14" x14ac:dyDescent="0.3">
      <c r="A392" s="2">
        <v>43282</v>
      </c>
      <c r="B392" t="s">
        <v>61</v>
      </c>
      <c r="C392">
        <v>2018</v>
      </c>
      <c r="D392">
        <v>7</v>
      </c>
      <c r="E392" t="s">
        <v>65</v>
      </c>
      <c r="F392" t="s">
        <v>24</v>
      </c>
      <c r="G392">
        <v>4</v>
      </c>
      <c r="H392" t="s">
        <v>18</v>
      </c>
      <c r="I392">
        <v>29.85</v>
      </c>
      <c r="J392">
        <v>41.03</v>
      </c>
      <c r="K392">
        <v>76.75</v>
      </c>
      <c r="L392">
        <v>0.3</v>
      </c>
      <c r="M392">
        <v>147.63</v>
      </c>
      <c r="N392">
        <v>147.93</v>
      </c>
    </row>
    <row r="393" spans="1:14" x14ac:dyDescent="0.3">
      <c r="A393" s="2">
        <v>43282</v>
      </c>
      <c r="B393" t="s">
        <v>61</v>
      </c>
      <c r="C393">
        <v>2018</v>
      </c>
      <c r="D393">
        <v>7</v>
      </c>
      <c r="E393" t="s">
        <v>65</v>
      </c>
      <c r="F393" t="s">
        <v>25</v>
      </c>
      <c r="G393">
        <v>22</v>
      </c>
      <c r="H393" t="s">
        <v>20</v>
      </c>
      <c r="I393">
        <v>337.88</v>
      </c>
      <c r="J393">
        <v>420.32</v>
      </c>
      <c r="K393">
        <v>550.54999999999995</v>
      </c>
      <c r="L393">
        <v>601.32000000000005</v>
      </c>
      <c r="M393">
        <v>1308.75</v>
      </c>
      <c r="N393">
        <v>1910.07</v>
      </c>
    </row>
    <row r="394" spans="1:14" x14ac:dyDescent="0.3">
      <c r="A394" s="2">
        <v>43282</v>
      </c>
      <c r="B394" t="s">
        <v>61</v>
      </c>
      <c r="C394">
        <v>2018</v>
      </c>
      <c r="D394">
        <v>7</v>
      </c>
      <c r="E394" t="s">
        <v>65</v>
      </c>
      <c r="F394" t="s">
        <v>26</v>
      </c>
      <c r="G394">
        <v>38</v>
      </c>
      <c r="H394" t="s">
        <v>18</v>
      </c>
      <c r="I394">
        <v>23.37</v>
      </c>
      <c r="J394">
        <v>35.4</v>
      </c>
      <c r="K394">
        <v>176.35</v>
      </c>
      <c r="L394">
        <v>0.03</v>
      </c>
      <c r="M394">
        <v>235.12</v>
      </c>
      <c r="N394">
        <v>235.15</v>
      </c>
    </row>
    <row r="395" spans="1:14" x14ac:dyDescent="0.3">
      <c r="A395" s="2">
        <v>43282</v>
      </c>
      <c r="B395" t="s">
        <v>61</v>
      </c>
      <c r="C395">
        <v>2018</v>
      </c>
      <c r="D395">
        <v>7</v>
      </c>
      <c r="E395" t="s">
        <v>65</v>
      </c>
      <c r="F395" t="s">
        <v>27</v>
      </c>
      <c r="G395">
        <v>7</v>
      </c>
      <c r="H395" t="s">
        <v>18</v>
      </c>
      <c r="I395">
        <v>662.98</v>
      </c>
      <c r="J395">
        <v>834.08</v>
      </c>
      <c r="K395">
        <v>1513.8</v>
      </c>
      <c r="L395">
        <v>83.97</v>
      </c>
      <c r="M395">
        <v>3010.86</v>
      </c>
      <c r="N395">
        <v>3094.83</v>
      </c>
    </row>
    <row r="396" spans="1:14" x14ac:dyDescent="0.3">
      <c r="A396" s="2">
        <v>43282</v>
      </c>
      <c r="B396" t="s">
        <v>61</v>
      </c>
      <c r="C396">
        <v>2018</v>
      </c>
      <c r="D396">
        <v>7</v>
      </c>
      <c r="E396" t="s">
        <v>65</v>
      </c>
      <c r="F396" t="s">
        <v>28</v>
      </c>
      <c r="G396">
        <v>30</v>
      </c>
      <c r="H396" t="s">
        <v>20</v>
      </c>
      <c r="I396">
        <v>73.709999999999994</v>
      </c>
      <c r="J396">
        <v>106.01</v>
      </c>
      <c r="K396">
        <v>137.69</v>
      </c>
      <c r="L396">
        <v>1.28</v>
      </c>
      <c r="M396">
        <v>317.41000000000003</v>
      </c>
      <c r="N396">
        <v>318.69</v>
      </c>
    </row>
    <row r="397" spans="1:14" x14ac:dyDescent="0.3">
      <c r="A397" s="2">
        <v>43282</v>
      </c>
      <c r="B397" t="s">
        <v>61</v>
      </c>
      <c r="C397">
        <v>2018</v>
      </c>
      <c r="D397">
        <v>7</v>
      </c>
      <c r="E397" t="s">
        <v>65</v>
      </c>
      <c r="F397" t="s">
        <v>29</v>
      </c>
      <c r="G397">
        <v>24</v>
      </c>
      <c r="H397" t="s">
        <v>20</v>
      </c>
      <c r="I397">
        <v>1543.92</v>
      </c>
      <c r="J397">
        <v>1997.23</v>
      </c>
      <c r="K397">
        <v>2189.6799999999998</v>
      </c>
      <c r="L397">
        <v>348.87</v>
      </c>
      <c r="M397">
        <v>5730.83</v>
      </c>
      <c r="N397">
        <v>6079.7</v>
      </c>
    </row>
    <row r="398" spans="1:14" x14ac:dyDescent="0.3">
      <c r="A398" s="2">
        <v>43282</v>
      </c>
      <c r="B398" t="s">
        <v>61</v>
      </c>
      <c r="C398">
        <v>2018</v>
      </c>
      <c r="D398">
        <v>7</v>
      </c>
      <c r="E398" t="s">
        <v>65</v>
      </c>
      <c r="F398" t="s">
        <v>30</v>
      </c>
      <c r="G398">
        <v>6</v>
      </c>
      <c r="H398" t="s">
        <v>20</v>
      </c>
      <c r="I398">
        <v>680.22</v>
      </c>
      <c r="J398">
        <v>1003.56</v>
      </c>
      <c r="K398">
        <v>2311.71</v>
      </c>
      <c r="L398">
        <v>299.16000000000003</v>
      </c>
      <c r="M398">
        <v>3995.49</v>
      </c>
      <c r="N398">
        <v>4294.6499999999996</v>
      </c>
    </row>
    <row r="399" spans="1:14" x14ac:dyDescent="0.3">
      <c r="A399" s="2">
        <v>43282</v>
      </c>
      <c r="B399" t="s">
        <v>61</v>
      </c>
      <c r="C399">
        <v>2018</v>
      </c>
      <c r="D399">
        <v>7</v>
      </c>
      <c r="E399" t="s">
        <v>65</v>
      </c>
      <c r="F399" t="s">
        <v>31</v>
      </c>
      <c r="G399">
        <v>2</v>
      </c>
      <c r="H399" t="s">
        <v>20</v>
      </c>
      <c r="I399">
        <v>85.42</v>
      </c>
      <c r="J399">
        <v>131.11000000000001</v>
      </c>
      <c r="K399">
        <v>399.77</v>
      </c>
      <c r="L399">
        <v>1.2</v>
      </c>
      <c r="M399">
        <v>616.29999999999995</v>
      </c>
      <c r="N399">
        <v>617.5</v>
      </c>
    </row>
    <row r="400" spans="1:14" x14ac:dyDescent="0.3">
      <c r="A400" s="2">
        <v>43282</v>
      </c>
      <c r="B400" t="s">
        <v>61</v>
      </c>
      <c r="C400">
        <v>2018</v>
      </c>
      <c r="D400">
        <v>7</v>
      </c>
      <c r="E400" t="s">
        <v>65</v>
      </c>
      <c r="F400" t="s">
        <v>32</v>
      </c>
      <c r="G400">
        <v>1</v>
      </c>
      <c r="H400" t="s">
        <v>18</v>
      </c>
      <c r="I400">
        <v>80.44</v>
      </c>
      <c r="J400">
        <v>134.72</v>
      </c>
      <c r="K400">
        <v>95.6</v>
      </c>
      <c r="L400">
        <v>7.18</v>
      </c>
      <c r="M400">
        <v>310.76</v>
      </c>
      <c r="N400">
        <v>317.94</v>
      </c>
    </row>
    <row r="401" spans="1:14" x14ac:dyDescent="0.3">
      <c r="A401" s="2">
        <v>43282</v>
      </c>
      <c r="B401" t="s">
        <v>61</v>
      </c>
      <c r="C401">
        <v>2018</v>
      </c>
      <c r="D401">
        <v>7</v>
      </c>
      <c r="E401" t="s">
        <v>65</v>
      </c>
      <c r="F401" t="s">
        <v>33</v>
      </c>
      <c r="G401">
        <v>20</v>
      </c>
      <c r="H401" t="s">
        <v>20</v>
      </c>
      <c r="I401">
        <v>300.68</v>
      </c>
      <c r="J401">
        <v>429.5</v>
      </c>
      <c r="K401">
        <v>710.62</v>
      </c>
      <c r="L401">
        <v>407.15</v>
      </c>
      <c r="M401">
        <v>1440.8</v>
      </c>
      <c r="N401">
        <v>1847.95</v>
      </c>
    </row>
    <row r="402" spans="1:14" x14ac:dyDescent="0.3">
      <c r="A402" s="2">
        <v>43282</v>
      </c>
      <c r="B402" t="s">
        <v>61</v>
      </c>
      <c r="C402">
        <v>2018</v>
      </c>
      <c r="D402">
        <v>7</v>
      </c>
      <c r="E402" t="s">
        <v>65</v>
      </c>
      <c r="F402" t="s">
        <v>34</v>
      </c>
      <c r="G402">
        <v>29</v>
      </c>
      <c r="H402" t="s">
        <v>20</v>
      </c>
      <c r="I402">
        <v>1389.42</v>
      </c>
      <c r="J402">
        <v>1919.36</v>
      </c>
      <c r="K402">
        <v>2473.9499999999998</v>
      </c>
      <c r="L402">
        <v>993.51</v>
      </c>
      <c r="M402">
        <v>5782.73</v>
      </c>
      <c r="N402">
        <v>6776.24</v>
      </c>
    </row>
    <row r="403" spans="1:14" x14ac:dyDescent="0.3">
      <c r="A403" s="2">
        <v>43282</v>
      </c>
      <c r="B403" t="s">
        <v>61</v>
      </c>
      <c r="C403">
        <v>2018</v>
      </c>
      <c r="D403">
        <v>7</v>
      </c>
      <c r="E403" t="s">
        <v>65</v>
      </c>
      <c r="F403" t="s">
        <v>35</v>
      </c>
      <c r="G403">
        <v>32</v>
      </c>
      <c r="H403" t="s">
        <v>20</v>
      </c>
      <c r="I403">
        <v>404.76</v>
      </c>
      <c r="J403">
        <v>657.7</v>
      </c>
      <c r="K403">
        <v>210.7</v>
      </c>
      <c r="L403">
        <v>3.52</v>
      </c>
      <c r="M403">
        <v>1273.1600000000001</v>
      </c>
      <c r="N403">
        <v>1276.68</v>
      </c>
    </row>
    <row r="404" spans="1:14" x14ac:dyDescent="0.3">
      <c r="A404" s="2">
        <v>43282</v>
      </c>
      <c r="B404" t="s">
        <v>61</v>
      </c>
      <c r="C404">
        <v>2018</v>
      </c>
      <c r="D404">
        <v>7</v>
      </c>
      <c r="E404" t="s">
        <v>65</v>
      </c>
      <c r="F404" t="s">
        <v>36</v>
      </c>
      <c r="G404">
        <v>31</v>
      </c>
      <c r="H404" t="s">
        <v>18</v>
      </c>
      <c r="I404">
        <v>0.38</v>
      </c>
      <c r="J404">
        <v>0.42</v>
      </c>
      <c r="K404">
        <v>0.08</v>
      </c>
      <c r="L404">
        <v>0</v>
      </c>
      <c r="M404">
        <v>0.88</v>
      </c>
      <c r="N404">
        <v>0.88</v>
      </c>
    </row>
    <row r="405" spans="1:14" x14ac:dyDescent="0.3">
      <c r="A405" s="2">
        <v>43282</v>
      </c>
      <c r="B405" t="s">
        <v>61</v>
      </c>
      <c r="C405">
        <v>2018</v>
      </c>
      <c r="D405">
        <v>7</v>
      </c>
      <c r="E405" t="s">
        <v>65</v>
      </c>
      <c r="F405" t="s">
        <v>37</v>
      </c>
      <c r="G405">
        <v>23</v>
      </c>
      <c r="H405" t="s">
        <v>20</v>
      </c>
      <c r="I405">
        <v>455.35</v>
      </c>
      <c r="J405">
        <v>657.97</v>
      </c>
      <c r="K405">
        <v>554.41</v>
      </c>
      <c r="L405">
        <v>400.88</v>
      </c>
      <c r="M405">
        <v>1667.73</v>
      </c>
      <c r="N405">
        <v>2068.61</v>
      </c>
    </row>
    <row r="406" spans="1:14" x14ac:dyDescent="0.3">
      <c r="A406" s="2">
        <v>43282</v>
      </c>
      <c r="B406" t="s">
        <v>61</v>
      </c>
      <c r="C406">
        <v>2018</v>
      </c>
      <c r="D406">
        <v>7</v>
      </c>
      <c r="E406" t="s">
        <v>65</v>
      </c>
      <c r="F406" t="s">
        <v>38</v>
      </c>
      <c r="G406">
        <v>27</v>
      </c>
      <c r="H406" t="s">
        <v>20</v>
      </c>
      <c r="I406">
        <v>3478.17</v>
      </c>
      <c r="J406">
        <v>4529.76</v>
      </c>
      <c r="K406">
        <v>4726.5</v>
      </c>
      <c r="L406">
        <v>1016.69</v>
      </c>
      <c r="M406">
        <v>12734.43</v>
      </c>
      <c r="N406">
        <v>13751.12</v>
      </c>
    </row>
    <row r="407" spans="1:14" x14ac:dyDescent="0.3">
      <c r="A407" s="2">
        <v>43282</v>
      </c>
      <c r="B407" t="s">
        <v>61</v>
      </c>
      <c r="C407">
        <v>2018</v>
      </c>
      <c r="D407">
        <v>7</v>
      </c>
      <c r="E407" t="s">
        <v>65</v>
      </c>
      <c r="F407" t="s">
        <v>39</v>
      </c>
      <c r="G407">
        <v>14</v>
      </c>
      <c r="H407" t="s">
        <v>20</v>
      </c>
      <c r="I407">
        <v>6.71</v>
      </c>
      <c r="J407">
        <v>16.47</v>
      </c>
      <c r="K407">
        <v>1.05</v>
      </c>
      <c r="L407">
        <v>0.12</v>
      </c>
      <c r="M407">
        <v>24.23</v>
      </c>
      <c r="N407">
        <v>24.35</v>
      </c>
    </row>
    <row r="408" spans="1:14" x14ac:dyDescent="0.3">
      <c r="A408" s="2">
        <v>43282</v>
      </c>
      <c r="B408" t="s">
        <v>61</v>
      </c>
      <c r="C408">
        <v>2018</v>
      </c>
      <c r="D408">
        <v>7</v>
      </c>
      <c r="E408" t="s">
        <v>65</v>
      </c>
      <c r="F408" t="s">
        <v>40</v>
      </c>
      <c r="G408">
        <v>17</v>
      </c>
      <c r="H408" t="s">
        <v>20</v>
      </c>
      <c r="I408">
        <v>15.42</v>
      </c>
      <c r="J408">
        <v>22.28</v>
      </c>
      <c r="K408">
        <v>74.739999999999995</v>
      </c>
      <c r="L408">
        <v>1.41</v>
      </c>
      <c r="M408">
        <v>112.44</v>
      </c>
      <c r="N408">
        <v>113.85</v>
      </c>
    </row>
    <row r="409" spans="1:14" x14ac:dyDescent="0.3">
      <c r="A409" s="2">
        <v>43282</v>
      </c>
      <c r="B409" t="s">
        <v>61</v>
      </c>
      <c r="C409">
        <v>2018</v>
      </c>
      <c r="D409">
        <v>7</v>
      </c>
      <c r="E409" t="s">
        <v>65</v>
      </c>
      <c r="F409" t="s">
        <v>41</v>
      </c>
      <c r="G409">
        <v>15</v>
      </c>
      <c r="H409" t="s">
        <v>20</v>
      </c>
      <c r="I409">
        <v>3.05</v>
      </c>
      <c r="J409">
        <v>5.65</v>
      </c>
      <c r="K409">
        <v>1.52</v>
      </c>
      <c r="L409">
        <v>0</v>
      </c>
      <c r="M409">
        <v>10.220000000000001</v>
      </c>
      <c r="N409">
        <v>10.220000000000001</v>
      </c>
    </row>
    <row r="410" spans="1:14" x14ac:dyDescent="0.3">
      <c r="A410" s="2">
        <v>43282</v>
      </c>
      <c r="B410" t="s">
        <v>61</v>
      </c>
      <c r="C410">
        <v>2018</v>
      </c>
      <c r="D410">
        <v>7</v>
      </c>
      <c r="E410" t="s">
        <v>65</v>
      </c>
      <c r="F410" t="s">
        <v>42</v>
      </c>
      <c r="G410">
        <v>13</v>
      </c>
      <c r="H410" t="s">
        <v>20</v>
      </c>
      <c r="I410">
        <v>2.91</v>
      </c>
      <c r="J410">
        <v>4.7300000000000004</v>
      </c>
      <c r="K410">
        <v>4.34</v>
      </c>
      <c r="L410">
        <v>0.51</v>
      </c>
      <c r="M410">
        <v>11.98</v>
      </c>
      <c r="N410">
        <v>12.49</v>
      </c>
    </row>
    <row r="411" spans="1:14" x14ac:dyDescent="0.3">
      <c r="A411" s="2">
        <v>43282</v>
      </c>
      <c r="B411" t="s">
        <v>61</v>
      </c>
      <c r="C411">
        <v>2018</v>
      </c>
      <c r="D411">
        <v>7</v>
      </c>
      <c r="E411" t="s">
        <v>65</v>
      </c>
      <c r="F411" t="s">
        <v>43</v>
      </c>
      <c r="G411">
        <v>21</v>
      </c>
      <c r="H411" t="s">
        <v>20</v>
      </c>
      <c r="I411">
        <v>400.58</v>
      </c>
      <c r="J411">
        <v>546.84</v>
      </c>
      <c r="K411">
        <v>651.11</v>
      </c>
      <c r="L411">
        <v>460.35</v>
      </c>
      <c r="M411">
        <v>1598.53</v>
      </c>
      <c r="N411">
        <v>2058.88</v>
      </c>
    </row>
    <row r="412" spans="1:14" x14ac:dyDescent="0.3">
      <c r="A412" s="2">
        <v>43282</v>
      </c>
      <c r="B412" t="s">
        <v>61</v>
      </c>
      <c r="C412">
        <v>2018</v>
      </c>
      <c r="D412">
        <v>7</v>
      </c>
      <c r="E412" t="s">
        <v>65</v>
      </c>
      <c r="F412" t="s">
        <v>44</v>
      </c>
      <c r="G412">
        <v>34</v>
      </c>
      <c r="H412" t="s">
        <v>18</v>
      </c>
      <c r="I412">
        <v>20.09</v>
      </c>
      <c r="J412">
        <v>29.17</v>
      </c>
      <c r="K412">
        <v>111.55</v>
      </c>
      <c r="L412">
        <v>0.15</v>
      </c>
      <c r="M412">
        <v>160.81</v>
      </c>
      <c r="N412">
        <v>160.96</v>
      </c>
    </row>
    <row r="413" spans="1:14" x14ac:dyDescent="0.3">
      <c r="A413" s="2">
        <v>43282</v>
      </c>
      <c r="B413" t="s">
        <v>61</v>
      </c>
      <c r="C413">
        <v>2018</v>
      </c>
      <c r="D413">
        <v>7</v>
      </c>
      <c r="E413" t="s">
        <v>65</v>
      </c>
      <c r="F413" t="s">
        <v>45</v>
      </c>
      <c r="G413">
        <v>3</v>
      </c>
      <c r="H413" t="s">
        <v>20</v>
      </c>
      <c r="I413">
        <v>265.76</v>
      </c>
      <c r="J413">
        <v>453.4</v>
      </c>
      <c r="K413">
        <v>436.09</v>
      </c>
      <c r="L413">
        <v>16.18</v>
      </c>
      <c r="M413">
        <v>1155.25</v>
      </c>
      <c r="N413">
        <v>1171.43</v>
      </c>
    </row>
    <row r="414" spans="1:14" x14ac:dyDescent="0.3">
      <c r="A414" s="2">
        <v>43282</v>
      </c>
      <c r="B414" t="s">
        <v>61</v>
      </c>
      <c r="C414">
        <v>2018</v>
      </c>
      <c r="D414">
        <v>7</v>
      </c>
      <c r="E414" t="s">
        <v>65</v>
      </c>
      <c r="F414" t="s">
        <v>46</v>
      </c>
      <c r="G414">
        <v>8</v>
      </c>
      <c r="H414" t="s">
        <v>20</v>
      </c>
      <c r="I414">
        <v>642.58000000000004</v>
      </c>
      <c r="J414">
        <v>891.91</v>
      </c>
      <c r="K414">
        <v>788.09</v>
      </c>
      <c r="L414">
        <v>130.94</v>
      </c>
      <c r="M414">
        <v>2322.58</v>
      </c>
      <c r="N414">
        <v>2453.52</v>
      </c>
    </row>
    <row r="415" spans="1:14" x14ac:dyDescent="0.3">
      <c r="A415" s="2">
        <v>43282</v>
      </c>
      <c r="B415" t="s">
        <v>61</v>
      </c>
      <c r="C415">
        <v>2018</v>
      </c>
      <c r="D415">
        <v>7</v>
      </c>
      <c r="E415" t="s">
        <v>65</v>
      </c>
      <c r="F415" t="s">
        <v>47</v>
      </c>
      <c r="G415">
        <v>11</v>
      </c>
      <c r="H415" t="s">
        <v>20</v>
      </c>
      <c r="I415">
        <v>16.38</v>
      </c>
      <c r="J415">
        <v>23.58</v>
      </c>
      <c r="K415">
        <v>141.16999999999999</v>
      </c>
      <c r="L415">
        <v>0.13</v>
      </c>
      <c r="M415">
        <v>181.13</v>
      </c>
      <c r="N415">
        <v>181.26</v>
      </c>
    </row>
    <row r="416" spans="1:14" x14ac:dyDescent="0.3">
      <c r="A416" s="2">
        <v>43282</v>
      </c>
      <c r="B416" t="s">
        <v>61</v>
      </c>
      <c r="C416">
        <v>2018</v>
      </c>
      <c r="D416">
        <v>7</v>
      </c>
      <c r="E416" t="s">
        <v>65</v>
      </c>
      <c r="F416" t="s">
        <v>48</v>
      </c>
      <c r="G416">
        <v>33</v>
      </c>
      <c r="H416" t="s">
        <v>20</v>
      </c>
      <c r="I416">
        <v>1367.35</v>
      </c>
      <c r="J416">
        <v>1956.13</v>
      </c>
      <c r="K416">
        <v>1636.15</v>
      </c>
      <c r="L416">
        <v>656.16</v>
      </c>
      <c r="M416">
        <v>4959.63</v>
      </c>
      <c r="N416">
        <v>5615.79</v>
      </c>
    </row>
    <row r="417" spans="1:14" x14ac:dyDescent="0.3">
      <c r="A417" s="2">
        <v>43282</v>
      </c>
      <c r="B417" t="s">
        <v>61</v>
      </c>
      <c r="C417">
        <v>2018</v>
      </c>
      <c r="D417">
        <v>7</v>
      </c>
      <c r="E417" t="s">
        <v>65</v>
      </c>
      <c r="F417" t="s">
        <v>49</v>
      </c>
      <c r="G417">
        <v>36</v>
      </c>
      <c r="H417" t="s">
        <v>20</v>
      </c>
      <c r="I417">
        <v>592.32000000000005</v>
      </c>
      <c r="J417">
        <v>843.92</v>
      </c>
      <c r="K417">
        <v>854.61</v>
      </c>
      <c r="L417">
        <v>511.7</v>
      </c>
      <c r="M417">
        <v>2290.85</v>
      </c>
      <c r="N417">
        <v>2802.55</v>
      </c>
    </row>
    <row r="418" spans="1:14" x14ac:dyDescent="0.3">
      <c r="A418" s="2">
        <v>43282</v>
      </c>
      <c r="B418" t="s">
        <v>61</v>
      </c>
      <c r="C418">
        <v>2018</v>
      </c>
      <c r="D418">
        <v>7</v>
      </c>
      <c r="E418" t="s">
        <v>65</v>
      </c>
      <c r="F418" t="s">
        <v>50</v>
      </c>
      <c r="G418">
        <v>16</v>
      </c>
      <c r="H418" t="s">
        <v>20</v>
      </c>
      <c r="I418">
        <v>17.41</v>
      </c>
      <c r="J418">
        <v>24.48</v>
      </c>
      <c r="K418">
        <v>3.51</v>
      </c>
      <c r="L418">
        <v>0.57999999999999996</v>
      </c>
      <c r="M418">
        <v>45.4</v>
      </c>
      <c r="N418">
        <v>45.98</v>
      </c>
    </row>
    <row r="419" spans="1:14" x14ac:dyDescent="0.3">
      <c r="A419" s="2">
        <v>43282</v>
      </c>
      <c r="B419" t="s">
        <v>61</v>
      </c>
      <c r="C419">
        <v>2018</v>
      </c>
      <c r="D419">
        <v>7</v>
      </c>
      <c r="E419" t="s">
        <v>65</v>
      </c>
      <c r="F419" t="s">
        <v>51</v>
      </c>
      <c r="G419">
        <v>9</v>
      </c>
      <c r="H419" t="s">
        <v>20</v>
      </c>
      <c r="I419">
        <v>1055.82</v>
      </c>
      <c r="J419">
        <v>1637.23</v>
      </c>
      <c r="K419">
        <v>1280.82</v>
      </c>
      <c r="L419">
        <v>1009.23</v>
      </c>
      <c r="M419">
        <v>3973.87</v>
      </c>
      <c r="N419">
        <v>4983.1000000000004</v>
      </c>
    </row>
    <row r="420" spans="1:14" x14ac:dyDescent="0.3">
      <c r="A420" s="2">
        <v>43282</v>
      </c>
      <c r="B420" t="s">
        <v>61</v>
      </c>
      <c r="C420">
        <v>2018</v>
      </c>
      <c r="D420">
        <v>7</v>
      </c>
      <c r="E420" t="s">
        <v>65</v>
      </c>
      <c r="F420" t="s">
        <v>52</v>
      </c>
      <c r="G420">
        <v>5</v>
      </c>
      <c r="H420" t="s">
        <v>20</v>
      </c>
      <c r="I420">
        <v>179.41</v>
      </c>
      <c r="J420">
        <v>321.93</v>
      </c>
      <c r="K420">
        <v>889.7</v>
      </c>
      <c r="L420">
        <v>17.07</v>
      </c>
      <c r="M420">
        <v>1391.04</v>
      </c>
      <c r="N420">
        <v>1408.11</v>
      </c>
    </row>
    <row r="421" spans="1:14" x14ac:dyDescent="0.3">
      <c r="A421" s="2">
        <v>43282</v>
      </c>
      <c r="B421" t="s">
        <v>61</v>
      </c>
      <c r="C421">
        <v>2018</v>
      </c>
      <c r="D421">
        <v>7</v>
      </c>
      <c r="E421" t="s">
        <v>65</v>
      </c>
      <c r="F421" t="s">
        <v>53</v>
      </c>
      <c r="G421">
        <v>19</v>
      </c>
      <c r="H421" t="s">
        <v>20</v>
      </c>
      <c r="I421">
        <v>875.78</v>
      </c>
      <c r="J421">
        <v>1195.3900000000001</v>
      </c>
      <c r="K421">
        <v>866.14</v>
      </c>
      <c r="L421">
        <v>351.42</v>
      </c>
      <c r="M421">
        <v>2937.31</v>
      </c>
      <c r="N421">
        <v>3288.73</v>
      </c>
    </row>
    <row r="422" spans="1:14" x14ac:dyDescent="0.3">
      <c r="A422" s="2">
        <v>43313</v>
      </c>
      <c r="B422" t="s">
        <v>61</v>
      </c>
      <c r="C422">
        <v>2018</v>
      </c>
      <c r="D422">
        <v>8</v>
      </c>
      <c r="E422" t="s">
        <v>16</v>
      </c>
      <c r="F422" t="s">
        <v>17</v>
      </c>
      <c r="G422">
        <v>35</v>
      </c>
      <c r="H422" t="s">
        <v>18</v>
      </c>
      <c r="I422">
        <v>4.12</v>
      </c>
      <c r="J422">
        <v>8.17</v>
      </c>
      <c r="K422">
        <v>1.22</v>
      </c>
      <c r="L422">
        <v>0.09</v>
      </c>
      <c r="M422">
        <v>13.51</v>
      </c>
      <c r="N422">
        <v>13.6</v>
      </c>
    </row>
    <row r="423" spans="1:14" x14ac:dyDescent="0.3">
      <c r="A423" s="2">
        <v>43313</v>
      </c>
      <c r="B423" t="s">
        <v>61</v>
      </c>
      <c r="C423">
        <v>2018</v>
      </c>
      <c r="D423">
        <v>8</v>
      </c>
      <c r="E423" t="s">
        <v>16</v>
      </c>
      <c r="F423" t="s">
        <v>19</v>
      </c>
      <c r="G423">
        <v>28</v>
      </c>
      <c r="H423" t="s">
        <v>20</v>
      </c>
      <c r="I423">
        <v>448.51</v>
      </c>
      <c r="J423">
        <v>646.09</v>
      </c>
      <c r="K423">
        <v>777.33</v>
      </c>
      <c r="L423">
        <v>18.829999999999998</v>
      </c>
      <c r="M423">
        <v>1871.93</v>
      </c>
      <c r="N423">
        <v>1890.76</v>
      </c>
    </row>
    <row r="424" spans="1:14" x14ac:dyDescent="0.3">
      <c r="A424" s="2">
        <v>43313</v>
      </c>
      <c r="B424" t="s">
        <v>61</v>
      </c>
      <c r="C424">
        <v>2018</v>
      </c>
      <c r="D424">
        <v>8</v>
      </c>
      <c r="E424" t="s">
        <v>16</v>
      </c>
      <c r="F424" t="s">
        <v>21</v>
      </c>
      <c r="G424">
        <v>12</v>
      </c>
      <c r="H424" t="s">
        <v>20</v>
      </c>
      <c r="I424">
        <v>7.14</v>
      </c>
      <c r="J424">
        <v>11.08</v>
      </c>
      <c r="K424">
        <v>4.22</v>
      </c>
      <c r="L424">
        <v>0.23</v>
      </c>
      <c r="M424">
        <v>22.44</v>
      </c>
      <c r="N424">
        <v>22.67</v>
      </c>
    </row>
    <row r="425" spans="1:14" x14ac:dyDescent="0.3">
      <c r="A425" s="2">
        <v>43313</v>
      </c>
      <c r="B425" t="s">
        <v>61</v>
      </c>
      <c r="C425">
        <v>2018</v>
      </c>
      <c r="D425">
        <v>8</v>
      </c>
      <c r="E425" t="s">
        <v>16</v>
      </c>
      <c r="F425" t="s">
        <v>22</v>
      </c>
      <c r="G425">
        <v>18</v>
      </c>
      <c r="H425" t="s">
        <v>20</v>
      </c>
      <c r="I425">
        <v>172.95</v>
      </c>
      <c r="J425">
        <v>246.78</v>
      </c>
      <c r="K425">
        <v>201.88</v>
      </c>
      <c r="L425">
        <v>24.35</v>
      </c>
      <c r="M425">
        <v>621.61</v>
      </c>
      <c r="N425">
        <v>645.96</v>
      </c>
    </row>
    <row r="426" spans="1:14" x14ac:dyDescent="0.3">
      <c r="A426" s="2">
        <v>43313</v>
      </c>
      <c r="B426" t="s">
        <v>61</v>
      </c>
      <c r="C426">
        <v>2018</v>
      </c>
      <c r="D426">
        <v>8</v>
      </c>
      <c r="E426" t="s">
        <v>16</v>
      </c>
      <c r="F426" t="s">
        <v>23</v>
      </c>
      <c r="G426">
        <v>10</v>
      </c>
      <c r="H426" t="s">
        <v>20</v>
      </c>
      <c r="I426">
        <v>192.94</v>
      </c>
      <c r="J426">
        <v>357.08</v>
      </c>
      <c r="K426">
        <v>127.57</v>
      </c>
      <c r="L426">
        <v>168.23</v>
      </c>
      <c r="M426">
        <v>677.59</v>
      </c>
      <c r="N426">
        <v>845.82</v>
      </c>
    </row>
    <row r="427" spans="1:14" x14ac:dyDescent="0.3">
      <c r="A427" s="2">
        <v>43313</v>
      </c>
      <c r="B427" t="s">
        <v>61</v>
      </c>
      <c r="C427">
        <v>2018</v>
      </c>
      <c r="D427">
        <v>8</v>
      </c>
      <c r="E427" t="s">
        <v>16</v>
      </c>
      <c r="F427" t="s">
        <v>24</v>
      </c>
      <c r="G427">
        <v>4</v>
      </c>
      <c r="H427" t="s">
        <v>18</v>
      </c>
      <c r="I427">
        <v>28.64</v>
      </c>
      <c r="J427">
        <v>39.93</v>
      </c>
      <c r="K427">
        <v>70.849999999999994</v>
      </c>
      <c r="L427">
        <v>0.16</v>
      </c>
      <c r="M427">
        <v>139.41999999999999</v>
      </c>
      <c r="N427">
        <v>139.58000000000001</v>
      </c>
    </row>
    <row r="428" spans="1:14" x14ac:dyDescent="0.3">
      <c r="A428" s="2">
        <v>43313</v>
      </c>
      <c r="B428" t="s">
        <v>61</v>
      </c>
      <c r="C428">
        <v>2018</v>
      </c>
      <c r="D428">
        <v>8</v>
      </c>
      <c r="E428" t="s">
        <v>16</v>
      </c>
      <c r="F428" t="s">
        <v>25</v>
      </c>
      <c r="G428">
        <v>22</v>
      </c>
      <c r="H428" t="s">
        <v>20</v>
      </c>
      <c r="I428">
        <v>309.88</v>
      </c>
      <c r="J428">
        <v>398.68</v>
      </c>
      <c r="K428">
        <v>576.66999999999996</v>
      </c>
      <c r="L428">
        <v>535.74</v>
      </c>
      <c r="M428">
        <v>1285.23</v>
      </c>
      <c r="N428">
        <v>1820.97</v>
      </c>
    </row>
    <row r="429" spans="1:14" x14ac:dyDescent="0.3">
      <c r="A429" s="2">
        <v>43313</v>
      </c>
      <c r="B429" t="s">
        <v>61</v>
      </c>
      <c r="C429">
        <v>2018</v>
      </c>
      <c r="D429">
        <v>8</v>
      </c>
      <c r="E429" t="s">
        <v>16</v>
      </c>
      <c r="F429" t="s">
        <v>26</v>
      </c>
      <c r="G429">
        <v>38</v>
      </c>
      <c r="H429" t="s">
        <v>18</v>
      </c>
      <c r="I429">
        <v>23.83</v>
      </c>
      <c r="J429">
        <v>36.340000000000003</v>
      </c>
      <c r="K429">
        <v>153.13999999999999</v>
      </c>
      <c r="L429">
        <v>0.15</v>
      </c>
      <c r="M429">
        <v>213.31</v>
      </c>
      <c r="N429">
        <v>213.46</v>
      </c>
    </row>
    <row r="430" spans="1:14" x14ac:dyDescent="0.3">
      <c r="A430" s="2">
        <v>43313</v>
      </c>
      <c r="B430" t="s">
        <v>61</v>
      </c>
      <c r="C430">
        <v>2018</v>
      </c>
      <c r="D430">
        <v>8</v>
      </c>
      <c r="E430" t="s">
        <v>16</v>
      </c>
      <c r="F430" t="s">
        <v>27</v>
      </c>
      <c r="G430">
        <v>7</v>
      </c>
      <c r="H430" t="s">
        <v>18</v>
      </c>
      <c r="I430">
        <v>655.04</v>
      </c>
      <c r="J430">
        <v>825.96</v>
      </c>
      <c r="K430">
        <v>1440.66</v>
      </c>
      <c r="L430">
        <v>92.92</v>
      </c>
      <c r="M430">
        <v>2921.66</v>
      </c>
      <c r="N430">
        <v>3014.58</v>
      </c>
    </row>
    <row r="431" spans="1:14" x14ac:dyDescent="0.3">
      <c r="A431" s="2">
        <v>43313</v>
      </c>
      <c r="B431" t="s">
        <v>61</v>
      </c>
      <c r="C431">
        <v>2018</v>
      </c>
      <c r="D431">
        <v>8</v>
      </c>
      <c r="E431" t="s">
        <v>16</v>
      </c>
      <c r="F431" t="s">
        <v>28</v>
      </c>
      <c r="G431">
        <v>30</v>
      </c>
      <c r="H431" t="s">
        <v>20</v>
      </c>
      <c r="I431">
        <v>77.069999999999993</v>
      </c>
      <c r="J431">
        <v>107.74</v>
      </c>
      <c r="K431">
        <v>120.58</v>
      </c>
      <c r="L431">
        <v>1.41</v>
      </c>
      <c r="M431">
        <v>305.39</v>
      </c>
      <c r="N431">
        <v>306.8</v>
      </c>
    </row>
    <row r="432" spans="1:14" x14ac:dyDescent="0.3">
      <c r="A432" s="2">
        <v>43313</v>
      </c>
      <c r="B432" t="s">
        <v>61</v>
      </c>
      <c r="C432">
        <v>2018</v>
      </c>
      <c r="D432">
        <v>8</v>
      </c>
      <c r="E432" t="s">
        <v>16</v>
      </c>
      <c r="F432" t="s">
        <v>29</v>
      </c>
      <c r="G432">
        <v>24</v>
      </c>
      <c r="H432" t="s">
        <v>20</v>
      </c>
      <c r="I432">
        <v>1413.49</v>
      </c>
      <c r="J432">
        <v>1815.81</v>
      </c>
      <c r="K432">
        <v>1701.42</v>
      </c>
      <c r="L432">
        <v>321.54000000000002</v>
      </c>
      <c r="M432">
        <v>4930.72</v>
      </c>
      <c r="N432">
        <v>5252.26</v>
      </c>
    </row>
    <row r="433" spans="1:14" x14ac:dyDescent="0.3">
      <c r="A433" s="2">
        <v>43313</v>
      </c>
      <c r="B433" t="s">
        <v>61</v>
      </c>
      <c r="C433">
        <v>2018</v>
      </c>
      <c r="D433">
        <v>8</v>
      </c>
      <c r="E433" t="s">
        <v>16</v>
      </c>
      <c r="F433" t="s">
        <v>30</v>
      </c>
      <c r="G433">
        <v>6</v>
      </c>
      <c r="H433" t="s">
        <v>20</v>
      </c>
      <c r="I433">
        <v>711.49</v>
      </c>
      <c r="J433">
        <v>1088.28</v>
      </c>
      <c r="K433">
        <v>2281.42</v>
      </c>
      <c r="L433">
        <v>292.7</v>
      </c>
      <c r="M433">
        <v>4081.19</v>
      </c>
      <c r="N433">
        <v>4373.8900000000003</v>
      </c>
    </row>
    <row r="434" spans="1:14" x14ac:dyDescent="0.3">
      <c r="A434" s="2">
        <v>43313</v>
      </c>
      <c r="B434" t="s">
        <v>61</v>
      </c>
      <c r="C434">
        <v>2018</v>
      </c>
      <c r="D434">
        <v>8</v>
      </c>
      <c r="E434" t="s">
        <v>16</v>
      </c>
      <c r="F434" t="s">
        <v>31</v>
      </c>
      <c r="G434">
        <v>2</v>
      </c>
      <c r="H434" t="s">
        <v>20</v>
      </c>
      <c r="I434">
        <v>77.459999999999994</v>
      </c>
      <c r="J434">
        <v>121.38</v>
      </c>
      <c r="K434">
        <v>362.27</v>
      </c>
      <c r="L434">
        <v>1.2</v>
      </c>
      <c r="M434">
        <v>561.11</v>
      </c>
      <c r="N434">
        <v>562.30999999999995</v>
      </c>
    </row>
    <row r="435" spans="1:14" x14ac:dyDescent="0.3">
      <c r="A435" s="2">
        <v>43313</v>
      </c>
      <c r="B435" t="s">
        <v>61</v>
      </c>
      <c r="C435">
        <v>2018</v>
      </c>
      <c r="D435">
        <v>8</v>
      </c>
      <c r="E435" t="s">
        <v>16</v>
      </c>
      <c r="F435" t="s">
        <v>32</v>
      </c>
      <c r="G435">
        <v>1</v>
      </c>
      <c r="H435" t="s">
        <v>18</v>
      </c>
      <c r="I435">
        <v>72.77</v>
      </c>
      <c r="J435">
        <v>129.47</v>
      </c>
      <c r="K435">
        <v>99.01</v>
      </c>
      <c r="L435">
        <v>4.0199999999999996</v>
      </c>
      <c r="M435">
        <v>301.25</v>
      </c>
      <c r="N435">
        <v>305.27</v>
      </c>
    </row>
    <row r="436" spans="1:14" x14ac:dyDescent="0.3">
      <c r="A436" s="2">
        <v>43313</v>
      </c>
      <c r="B436" t="s">
        <v>61</v>
      </c>
      <c r="C436">
        <v>2018</v>
      </c>
      <c r="D436">
        <v>8</v>
      </c>
      <c r="E436" t="s">
        <v>16</v>
      </c>
      <c r="F436" t="s">
        <v>33</v>
      </c>
      <c r="G436">
        <v>20</v>
      </c>
      <c r="H436" t="s">
        <v>20</v>
      </c>
      <c r="I436">
        <v>256.19</v>
      </c>
      <c r="J436">
        <v>364.84</v>
      </c>
      <c r="K436">
        <v>664.51</v>
      </c>
      <c r="L436">
        <v>383.7</v>
      </c>
      <c r="M436">
        <v>1285.54</v>
      </c>
      <c r="N436">
        <v>1669.24</v>
      </c>
    </row>
    <row r="437" spans="1:14" x14ac:dyDescent="0.3">
      <c r="A437" s="2">
        <v>43313</v>
      </c>
      <c r="B437" t="s">
        <v>61</v>
      </c>
      <c r="C437">
        <v>2018</v>
      </c>
      <c r="D437">
        <v>8</v>
      </c>
      <c r="E437" t="s">
        <v>16</v>
      </c>
      <c r="F437" t="s">
        <v>34</v>
      </c>
      <c r="G437">
        <v>29</v>
      </c>
      <c r="H437" t="s">
        <v>20</v>
      </c>
      <c r="I437">
        <v>1370.2</v>
      </c>
      <c r="J437">
        <v>1845.95</v>
      </c>
      <c r="K437">
        <v>2225.44</v>
      </c>
      <c r="L437">
        <v>829.63</v>
      </c>
      <c r="M437">
        <v>5441.59</v>
      </c>
      <c r="N437">
        <v>6271.22</v>
      </c>
    </row>
    <row r="438" spans="1:14" x14ac:dyDescent="0.3">
      <c r="A438" s="2">
        <v>43313</v>
      </c>
      <c r="B438" t="s">
        <v>61</v>
      </c>
      <c r="C438">
        <v>2018</v>
      </c>
      <c r="D438">
        <v>8</v>
      </c>
      <c r="E438" t="s">
        <v>16</v>
      </c>
      <c r="F438" t="s">
        <v>35</v>
      </c>
      <c r="G438">
        <v>32</v>
      </c>
      <c r="H438" t="s">
        <v>20</v>
      </c>
      <c r="I438">
        <v>351.82</v>
      </c>
      <c r="J438">
        <v>529.94000000000005</v>
      </c>
      <c r="K438">
        <v>243.79</v>
      </c>
      <c r="L438">
        <v>3.75</v>
      </c>
      <c r="M438">
        <v>1125.55</v>
      </c>
      <c r="N438">
        <v>1129.3</v>
      </c>
    </row>
    <row r="439" spans="1:14" x14ac:dyDescent="0.3">
      <c r="A439" s="2">
        <v>43313</v>
      </c>
      <c r="B439" t="s">
        <v>61</v>
      </c>
      <c r="C439">
        <v>2018</v>
      </c>
      <c r="D439">
        <v>8</v>
      </c>
      <c r="E439" t="s">
        <v>16</v>
      </c>
      <c r="F439" t="s">
        <v>36</v>
      </c>
      <c r="G439">
        <v>31</v>
      </c>
      <c r="H439" t="s">
        <v>18</v>
      </c>
      <c r="I439">
        <v>0.17</v>
      </c>
      <c r="J439">
        <v>0.18</v>
      </c>
      <c r="K439">
        <v>0.04</v>
      </c>
      <c r="L439">
        <v>0</v>
      </c>
      <c r="M439">
        <v>0.39</v>
      </c>
      <c r="N439">
        <v>0.39</v>
      </c>
    </row>
    <row r="440" spans="1:14" x14ac:dyDescent="0.3">
      <c r="A440" s="2">
        <v>43313</v>
      </c>
      <c r="B440" t="s">
        <v>61</v>
      </c>
      <c r="C440">
        <v>2018</v>
      </c>
      <c r="D440">
        <v>8</v>
      </c>
      <c r="E440" t="s">
        <v>16</v>
      </c>
      <c r="F440" t="s">
        <v>37</v>
      </c>
      <c r="G440">
        <v>23</v>
      </c>
      <c r="H440" t="s">
        <v>20</v>
      </c>
      <c r="I440">
        <v>414.22</v>
      </c>
      <c r="J440">
        <v>596.15</v>
      </c>
      <c r="K440">
        <v>573.91999999999996</v>
      </c>
      <c r="L440">
        <v>378.26</v>
      </c>
      <c r="M440">
        <v>1584.29</v>
      </c>
      <c r="N440">
        <v>1962.55</v>
      </c>
    </row>
    <row r="441" spans="1:14" x14ac:dyDescent="0.3">
      <c r="A441" s="2">
        <v>43313</v>
      </c>
      <c r="B441" t="s">
        <v>61</v>
      </c>
      <c r="C441">
        <v>2018</v>
      </c>
      <c r="D441">
        <v>8</v>
      </c>
      <c r="E441" t="s">
        <v>16</v>
      </c>
      <c r="F441" t="s">
        <v>38</v>
      </c>
      <c r="G441">
        <v>27</v>
      </c>
      <c r="H441" t="s">
        <v>20</v>
      </c>
      <c r="I441">
        <v>3468.06</v>
      </c>
      <c r="J441">
        <v>4385.3</v>
      </c>
      <c r="K441">
        <v>4142.54</v>
      </c>
      <c r="L441">
        <v>836.03</v>
      </c>
      <c r="M441">
        <v>11995.9</v>
      </c>
      <c r="N441">
        <v>12831.93</v>
      </c>
    </row>
    <row r="442" spans="1:14" x14ac:dyDescent="0.3">
      <c r="A442" s="2">
        <v>43313</v>
      </c>
      <c r="B442" t="s">
        <v>61</v>
      </c>
      <c r="C442">
        <v>2018</v>
      </c>
      <c r="D442">
        <v>8</v>
      </c>
      <c r="E442" t="s">
        <v>16</v>
      </c>
      <c r="F442" t="s">
        <v>39</v>
      </c>
      <c r="G442">
        <v>14</v>
      </c>
      <c r="H442" t="s">
        <v>20</v>
      </c>
      <c r="I442">
        <v>6.11</v>
      </c>
      <c r="J442">
        <v>9.56</v>
      </c>
      <c r="K442">
        <v>0.89</v>
      </c>
      <c r="L442">
        <v>0.05</v>
      </c>
      <c r="M442">
        <v>16.559999999999999</v>
      </c>
      <c r="N442">
        <v>16.61</v>
      </c>
    </row>
    <row r="443" spans="1:14" x14ac:dyDescent="0.3">
      <c r="A443" s="2">
        <v>43313</v>
      </c>
      <c r="B443" t="s">
        <v>61</v>
      </c>
      <c r="C443">
        <v>2018</v>
      </c>
      <c r="D443">
        <v>8</v>
      </c>
      <c r="E443" t="s">
        <v>16</v>
      </c>
      <c r="F443" t="s">
        <v>40</v>
      </c>
      <c r="G443">
        <v>17</v>
      </c>
      <c r="H443" t="s">
        <v>20</v>
      </c>
      <c r="I443">
        <v>15.66</v>
      </c>
      <c r="J443">
        <v>21.27</v>
      </c>
      <c r="K443">
        <v>64.73</v>
      </c>
      <c r="L443">
        <v>0.68</v>
      </c>
      <c r="M443">
        <v>101.66</v>
      </c>
      <c r="N443">
        <v>102.34</v>
      </c>
    </row>
    <row r="444" spans="1:14" x14ac:dyDescent="0.3">
      <c r="A444" s="2">
        <v>43313</v>
      </c>
      <c r="B444" t="s">
        <v>61</v>
      </c>
      <c r="C444">
        <v>2018</v>
      </c>
      <c r="D444">
        <v>8</v>
      </c>
      <c r="E444" t="s">
        <v>16</v>
      </c>
      <c r="F444" t="s">
        <v>41</v>
      </c>
      <c r="G444">
        <v>15</v>
      </c>
      <c r="H444" t="s">
        <v>20</v>
      </c>
      <c r="I444">
        <v>3.47</v>
      </c>
      <c r="J444">
        <v>6.68</v>
      </c>
      <c r="K444">
        <v>0.63</v>
      </c>
      <c r="L444">
        <v>0.02</v>
      </c>
      <c r="M444">
        <v>10.78</v>
      </c>
      <c r="N444">
        <v>10.8</v>
      </c>
    </row>
    <row r="445" spans="1:14" x14ac:dyDescent="0.3">
      <c r="A445" s="2">
        <v>43313</v>
      </c>
      <c r="B445" t="s">
        <v>61</v>
      </c>
      <c r="C445">
        <v>2018</v>
      </c>
      <c r="D445">
        <v>8</v>
      </c>
      <c r="E445" t="s">
        <v>16</v>
      </c>
      <c r="F445" t="s">
        <v>42</v>
      </c>
      <c r="G445">
        <v>13</v>
      </c>
      <c r="H445" t="s">
        <v>20</v>
      </c>
      <c r="I445">
        <v>4.58</v>
      </c>
      <c r="J445">
        <v>6.73</v>
      </c>
      <c r="K445">
        <v>3.6</v>
      </c>
      <c r="L445">
        <v>0.39</v>
      </c>
      <c r="M445">
        <v>14.91</v>
      </c>
      <c r="N445">
        <v>15.3</v>
      </c>
    </row>
    <row r="446" spans="1:14" x14ac:dyDescent="0.3">
      <c r="A446" s="2">
        <v>43313</v>
      </c>
      <c r="B446" t="s">
        <v>61</v>
      </c>
      <c r="C446">
        <v>2018</v>
      </c>
      <c r="D446">
        <v>8</v>
      </c>
      <c r="E446" t="s">
        <v>16</v>
      </c>
      <c r="F446" t="s">
        <v>43</v>
      </c>
      <c r="G446">
        <v>21</v>
      </c>
      <c r="H446" t="s">
        <v>20</v>
      </c>
      <c r="I446">
        <v>400.97</v>
      </c>
      <c r="J446">
        <v>525.89</v>
      </c>
      <c r="K446">
        <v>837.7</v>
      </c>
      <c r="L446">
        <v>477.2</v>
      </c>
      <c r="M446">
        <v>1764.56</v>
      </c>
      <c r="N446">
        <v>2241.7600000000002</v>
      </c>
    </row>
    <row r="447" spans="1:14" x14ac:dyDescent="0.3">
      <c r="A447" s="2">
        <v>43313</v>
      </c>
      <c r="B447" t="s">
        <v>61</v>
      </c>
      <c r="C447">
        <v>2018</v>
      </c>
      <c r="D447">
        <v>8</v>
      </c>
      <c r="E447" t="s">
        <v>16</v>
      </c>
      <c r="F447" t="s">
        <v>44</v>
      </c>
      <c r="G447">
        <v>34</v>
      </c>
      <c r="H447" t="s">
        <v>18</v>
      </c>
      <c r="I447">
        <v>16.95</v>
      </c>
      <c r="J447">
        <v>30.7</v>
      </c>
      <c r="K447">
        <v>101.37</v>
      </c>
      <c r="L447">
        <v>0.1</v>
      </c>
      <c r="M447">
        <v>149.02000000000001</v>
      </c>
      <c r="N447">
        <v>149.12</v>
      </c>
    </row>
    <row r="448" spans="1:14" x14ac:dyDescent="0.3">
      <c r="A448" s="2">
        <v>43313</v>
      </c>
      <c r="B448" t="s">
        <v>61</v>
      </c>
      <c r="C448">
        <v>2018</v>
      </c>
      <c r="D448">
        <v>8</v>
      </c>
      <c r="E448" t="s">
        <v>16</v>
      </c>
      <c r="F448" t="s">
        <v>45</v>
      </c>
      <c r="G448">
        <v>3</v>
      </c>
      <c r="H448" t="s">
        <v>20</v>
      </c>
      <c r="I448">
        <v>247.75</v>
      </c>
      <c r="J448">
        <v>409.91</v>
      </c>
      <c r="K448">
        <v>427.29</v>
      </c>
      <c r="L448">
        <v>11.83</v>
      </c>
      <c r="M448">
        <v>1084.95</v>
      </c>
      <c r="N448">
        <v>1096.78</v>
      </c>
    </row>
    <row r="449" spans="1:14" x14ac:dyDescent="0.3">
      <c r="A449" s="2">
        <v>43313</v>
      </c>
      <c r="B449" t="s">
        <v>61</v>
      </c>
      <c r="C449">
        <v>2018</v>
      </c>
      <c r="D449">
        <v>8</v>
      </c>
      <c r="E449" t="s">
        <v>16</v>
      </c>
      <c r="F449" t="s">
        <v>46</v>
      </c>
      <c r="G449">
        <v>8</v>
      </c>
      <c r="H449" t="s">
        <v>20</v>
      </c>
      <c r="I449">
        <v>570.64</v>
      </c>
      <c r="J449">
        <v>796.9</v>
      </c>
      <c r="K449">
        <v>748.83</v>
      </c>
      <c r="L449">
        <v>124.02</v>
      </c>
      <c r="M449">
        <v>2116.37</v>
      </c>
      <c r="N449">
        <v>2240.39</v>
      </c>
    </row>
    <row r="450" spans="1:14" x14ac:dyDescent="0.3">
      <c r="A450" s="2">
        <v>43313</v>
      </c>
      <c r="B450" t="s">
        <v>61</v>
      </c>
      <c r="C450">
        <v>2018</v>
      </c>
      <c r="D450">
        <v>8</v>
      </c>
      <c r="E450" t="s">
        <v>16</v>
      </c>
      <c r="F450" t="s">
        <v>47</v>
      </c>
      <c r="G450">
        <v>11</v>
      </c>
      <c r="H450" t="s">
        <v>20</v>
      </c>
      <c r="I450">
        <v>7.08</v>
      </c>
      <c r="J450">
        <v>12.23</v>
      </c>
      <c r="K450">
        <v>143.79</v>
      </c>
      <c r="L450">
        <v>0.03</v>
      </c>
      <c r="M450">
        <v>163.1</v>
      </c>
      <c r="N450">
        <v>163.13</v>
      </c>
    </row>
    <row r="451" spans="1:14" x14ac:dyDescent="0.3">
      <c r="A451" s="2">
        <v>43313</v>
      </c>
      <c r="B451" t="s">
        <v>61</v>
      </c>
      <c r="C451">
        <v>2018</v>
      </c>
      <c r="D451">
        <v>8</v>
      </c>
      <c r="E451" t="s">
        <v>16</v>
      </c>
      <c r="F451" t="s">
        <v>48</v>
      </c>
      <c r="G451">
        <v>33</v>
      </c>
      <c r="H451" t="s">
        <v>20</v>
      </c>
      <c r="I451">
        <v>1395.26</v>
      </c>
      <c r="J451">
        <v>2000.38</v>
      </c>
      <c r="K451">
        <v>1567.42</v>
      </c>
      <c r="L451">
        <v>472.53</v>
      </c>
      <c r="M451">
        <v>4963.0600000000004</v>
      </c>
      <c r="N451">
        <v>5435.59</v>
      </c>
    </row>
    <row r="452" spans="1:14" x14ac:dyDescent="0.3">
      <c r="A452" s="2">
        <v>43313</v>
      </c>
      <c r="B452" t="s">
        <v>61</v>
      </c>
      <c r="C452">
        <v>2018</v>
      </c>
      <c r="D452">
        <v>8</v>
      </c>
      <c r="E452" t="s">
        <v>16</v>
      </c>
      <c r="F452" t="s">
        <v>49</v>
      </c>
      <c r="G452">
        <v>36</v>
      </c>
      <c r="H452" t="s">
        <v>20</v>
      </c>
      <c r="I452">
        <v>566.23</v>
      </c>
      <c r="J452">
        <v>792.95</v>
      </c>
      <c r="K452">
        <v>833.04</v>
      </c>
      <c r="L452">
        <v>467.53</v>
      </c>
      <c r="M452">
        <v>2192.2199999999998</v>
      </c>
      <c r="N452">
        <v>2659.75</v>
      </c>
    </row>
    <row r="453" spans="1:14" x14ac:dyDescent="0.3">
      <c r="A453" s="2">
        <v>43313</v>
      </c>
      <c r="B453" t="s">
        <v>61</v>
      </c>
      <c r="C453">
        <v>2018</v>
      </c>
      <c r="D453">
        <v>8</v>
      </c>
      <c r="E453" t="s">
        <v>16</v>
      </c>
      <c r="F453" t="s">
        <v>50</v>
      </c>
      <c r="G453">
        <v>16</v>
      </c>
      <c r="H453" t="s">
        <v>20</v>
      </c>
      <c r="I453">
        <v>14.18</v>
      </c>
      <c r="J453">
        <v>20.12</v>
      </c>
      <c r="K453">
        <v>3.9</v>
      </c>
      <c r="L453">
        <v>0.1</v>
      </c>
      <c r="M453">
        <v>38.200000000000003</v>
      </c>
      <c r="N453">
        <v>38.299999999999997</v>
      </c>
    </row>
    <row r="454" spans="1:14" x14ac:dyDescent="0.3">
      <c r="A454" s="2">
        <v>43313</v>
      </c>
      <c r="B454" t="s">
        <v>61</v>
      </c>
      <c r="C454">
        <v>2018</v>
      </c>
      <c r="D454">
        <v>8</v>
      </c>
      <c r="E454" t="s">
        <v>16</v>
      </c>
      <c r="F454" t="s">
        <v>51</v>
      </c>
      <c r="G454">
        <v>9</v>
      </c>
      <c r="H454" t="s">
        <v>20</v>
      </c>
      <c r="I454">
        <v>935.42</v>
      </c>
      <c r="J454">
        <v>1452.78</v>
      </c>
      <c r="K454">
        <v>1353.17</v>
      </c>
      <c r="L454">
        <v>1022.19</v>
      </c>
      <c r="M454">
        <v>3741.37</v>
      </c>
      <c r="N454">
        <v>4763.5600000000004</v>
      </c>
    </row>
    <row r="455" spans="1:14" x14ac:dyDescent="0.3">
      <c r="A455" s="2">
        <v>43313</v>
      </c>
      <c r="B455" t="s">
        <v>61</v>
      </c>
      <c r="C455">
        <v>2018</v>
      </c>
      <c r="D455">
        <v>8</v>
      </c>
      <c r="E455" t="s">
        <v>16</v>
      </c>
      <c r="F455" t="s">
        <v>52</v>
      </c>
      <c r="G455">
        <v>5</v>
      </c>
      <c r="H455" t="s">
        <v>20</v>
      </c>
      <c r="I455">
        <v>158.9</v>
      </c>
      <c r="J455">
        <v>297.24</v>
      </c>
      <c r="K455">
        <v>549.46</v>
      </c>
      <c r="L455">
        <v>14.57</v>
      </c>
      <c r="M455">
        <v>1005.6</v>
      </c>
      <c r="N455">
        <v>1020.17</v>
      </c>
    </row>
    <row r="456" spans="1:14" x14ac:dyDescent="0.3">
      <c r="A456" s="2">
        <v>43313</v>
      </c>
      <c r="B456" t="s">
        <v>61</v>
      </c>
      <c r="C456">
        <v>2018</v>
      </c>
      <c r="D456">
        <v>8</v>
      </c>
      <c r="E456" t="s">
        <v>16</v>
      </c>
      <c r="F456" t="s">
        <v>53</v>
      </c>
      <c r="G456">
        <v>19</v>
      </c>
      <c r="H456" t="s">
        <v>20</v>
      </c>
      <c r="I456">
        <v>883.31</v>
      </c>
      <c r="J456">
        <v>1178.5</v>
      </c>
      <c r="K456">
        <v>768.88</v>
      </c>
      <c r="L456">
        <v>293.85000000000002</v>
      </c>
      <c r="M456">
        <v>2830.69</v>
      </c>
      <c r="N456">
        <v>3124.54</v>
      </c>
    </row>
    <row r="457" spans="1:14" x14ac:dyDescent="0.3">
      <c r="A457" s="2">
        <v>43344</v>
      </c>
      <c r="B457" t="s">
        <v>61</v>
      </c>
      <c r="C457">
        <v>2018</v>
      </c>
      <c r="D457">
        <v>9</v>
      </c>
      <c r="E457" t="s">
        <v>54</v>
      </c>
      <c r="F457" t="s">
        <v>17</v>
      </c>
      <c r="G457">
        <v>35</v>
      </c>
      <c r="H457" t="s">
        <v>18</v>
      </c>
      <c r="I457">
        <v>9.2200000000000006</v>
      </c>
      <c r="J457">
        <v>12.51</v>
      </c>
      <c r="K457">
        <v>1.17</v>
      </c>
      <c r="L457">
        <v>0.02</v>
      </c>
      <c r="M457">
        <v>22.9</v>
      </c>
      <c r="N457">
        <v>22.92</v>
      </c>
    </row>
    <row r="458" spans="1:14" x14ac:dyDescent="0.3">
      <c r="A458" s="2">
        <v>43344</v>
      </c>
      <c r="B458" t="s">
        <v>61</v>
      </c>
      <c r="C458">
        <v>2018</v>
      </c>
      <c r="D458">
        <v>9</v>
      </c>
      <c r="E458" t="s">
        <v>54</v>
      </c>
      <c r="F458" t="s">
        <v>19</v>
      </c>
      <c r="G458">
        <v>28</v>
      </c>
      <c r="H458" t="s">
        <v>20</v>
      </c>
      <c r="I458">
        <v>493.36</v>
      </c>
      <c r="J458">
        <v>692.61</v>
      </c>
      <c r="K458">
        <v>808.7</v>
      </c>
      <c r="L458">
        <v>28.62</v>
      </c>
      <c r="M458">
        <v>1994.67</v>
      </c>
      <c r="N458">
        <v>2023.29</v>
      </c>
    </row>
    <row r="459" spans="1:14" x14ac:dyDescent="0.3">
      <c r="A459" s="2">
        <v>43344</v>
      </c>
      <c r="B459" t="s">
        <v>61</v>
      </c>
      <c r="C459">
        <v>2018</v>
      </c>
      <c r="D459">
        <v>9</v>
      </c>
      <c r="E459" t="s">
        <v>54</v>
      </c>
      <c r="F459" t="s">
        <v>21</v>
      </c>
      <c r="G459">
        <v>12</v>
      </c>
      <c r="H459" t="s">
        <v>20</v>
      </c>
      <c r="I459">
        <v>10.23</v>
      </c>
      <c r="J459">
        <v>13.41</v>
      </c>
      <c r="K459">
        <v>2.16</v>
      </c>
      <c r="L459">
        <v>0.14000000000000001</v>
      </c>
      <c r="M459">
        <v>25.8</v>
      </c>
      <c r="N459">
        <v>25.94</v>
      </c>
    </row>
    <row r="460" spans="1:14" x14ac:dyDescent="0.3">
      <c r="A460" s="2">
        <v>43344</v>
      </c>
      <c r="B460" t="s">
        <v>61</v>
      </c>
      <c r="C460">
        <v>2018</v>
      </c>
      <c r="D460">
        <v>9</v>
      </c>
      <c r="E460" t="s">
        <v>54</v>
      </c>
      <c r="F460" t="s">
        <v>22</v>
      </c>
      <c r="G460">
        <v>18</v>
      </c>
      <c r="H460" t="s">
        <v>20</v>
      </c>
      <c r="I460">
        <v>184.27</v>
      </c>
      <c r="J460">
        <v>256.83999999999997</v>
      </c>
      <c r="K460">
        <v>223.82</v>
      </c>
      <c r="L460">
        <v>31.82</v>
      </c>
      <c r="M460">
        <v>664.93</v>
      </c>
      <c r="N460">
        <v>696.75</v>
      </c>
    </row>
    <row r="461" spans="1:14" x14ac:dyDescent="0.3">
      <c r="A461" s="2">
        <v>43344</v>
      </c>
      <c r="B461" t="s">
        <v>61</v>
      </c>
      <c r="C461">
        <v>2018</v>
      </c>
      <c r="D461">
        <v>9</v>
      </c>
      <c r="E461" t="s">
        <v>54</v>
      </c>
      <c r="F461" t="s">
        <v>23</v>
      </c>
      <c r="G461">
        <v>10</v>
      </c>
      <c r="H461" t="s">
        <v>20</v>
      </c>
      <c r="I461">
        <v>195.55</v>
      </c>
      <c r="J461">
        <v>374.04</v>
      </c>
      <c r="K461">
        <v>90.67</v>
      </c>
      <c r="L461">
        <v>170.28</v>
      </c>
      <c r="M461">
        <v>660.26</v>
      </c>
      <c r="N461">
        <v>830.54</v>
      </c>
    </row>
    <row r="462" spans="1:14" x14ac:dyDescent="0.3">
      <c r="A462" s="2">
        <v>43344</v>
      </c>
      <c r="B462" t="s">
        <v>61</v>
      </c>
      <c r="C462">
        <v>2018</v>
      </c>
      <c r="D462">
        <v>9</v>
      </c>
      <c r="E462" t="s">
        <v>54</v>
      </c>
      <c r="F462" t="s">
        <v>24</v>
      </c>
      <c r="G462">
        <v>4</v>
      </c>
      <c r="H462" t="s">
        <v>18</v>
      </c>
      <c r="I462">
        <v>26.98</v>
      </c>
      <c r="J462">
        <v>40.93</v>
      </c>
      <c r="K462">
        <v>75.28</v>
      </c>
      <c r="L462">
        <v>0.18</v>
      </c>
      <c r="M462">
        <v>143.19</v>
      </c>
      <c r="N462">
        <v>143.37</v>
      </c>
    </row>
    <row r="463" spans="1:14" x14ac:dyDescent="0.3">
      <c r="A463" s="2">
        <v>43344</v>
      </c>
      <c r="B463" t="s">
        <v>61</v>
      </c>
      <c r="C463">
        <v>2018</v>
      </c>
      <c r="D463">
        <v>9</v>
      </c>
      <c r="E463" t="s">
        <v>54</v>
      </c>
      <c r="F463" t="s">
        <v>25</v>
      </c>
      <c r="G463">
        <v>22</v>
      </c>
      <c r="H463" t="s">
        <v>20</v>
      </c>
      <c r="I463">
        <v>287.07</v>
      </c>
      <c r="J463">
        <v>361.02</v>
      </c>
      <c r="K463">
        <v>509.3</v>
      </c>
      <c r="L463">
        <v>513.6</v>
      </c>
      <c r="M463">
        <v>1157.3900000000001</v>
      </c>
      <c r="N463">
        <v>1670.99</v>
      </c>
    </row>
    <row r="464" spans="1:14" x14ac:dyDescent="0.3">
      <c r="A464" s="2">
        <v>43344</v>
      </c>
      <c r="B464" t="s">
        <v>61</v>
      </c>
      <c r="C464">
        <v>2018</v>
      </c>
      <c r="D464">
        <v>9</v>
      </c>
      <c r="E464" t="s">
        <v>54</v>
      </c>
      <c r="F464" t="s">
        <v>26</v>
      </c>
      <c r="G464">
        <v>38</v>
      </c>
      <c r="H464" t="s">
        <v>18</v>
      </c>
      <c r="I464">
        <v>21.83</v>
      </c>
      <c r="J464">
        <v>32.950000000000003</v>
      </c>
      <c r="K464">
        <v>168.82</v>
      </c>
      <c r="L464">
        <v>0.2</v>
      </c>
      <c r="M464">
        <v>223.6</v>
      </c>
      <c r="N464">
        <v>223.8</v>
      </c>
    </row>
    <row r="465" spans="1:14" x14ac:dyDescent="0.3">
      <c r="A465" s="2">
        <v>43344</v>
      </c>
      <c r="B465" t="s">
        <v>61</v>
      </c>
      <c r="C465">
        <v>2018</v>
      </c>
      <c r="D465">
        <v>9</v>
      </c>
      <c r="E465" t="s">
        <v>54</v>
      </c>
      <c r="F465" t="s">
        <v>27</v>
      </c>
      <c r="G465">
        <v>7</v>
      </c>
      <c r="H465" t="s">
        <v>18</v>
      </c>
      <c r="I465">
        <v>620.52</v>
      </c>
      <c r="J465">
        <v>787.04</v>
      </c>
      <c r="K465">
        <v>1642.9</v>
      </c>
      <c r="L465">
        <v>89.04</v>
      </c>
      <c r="M465">
        <v>3050.46</v>
      </c>
      <c r="N465">
        <v>3139.5</v>
      </c>
    </row>
    <row r="466" spans="1:14" x14ac:dyDescent="0.3">
      <c r="A466" s="2">
        <v>43344</v>
      </c>
      <c r="B466" t="s">
        <v>61</v>
      </c>
      <c r="C466">
        <v>2018</v>
      </c>
      <c r="D466">
        <v>9</v>
      </c>
      <c r="E466" t="s">
        <v>54</v>
      </c>
      <c r="F466" t="s">
        <v>28</v>
      </c>
      <c r="G466">
        <v>30</v>
      </c>
      <c r="H466" t="s">
        <v>20</v>
      </c>
      <c r="I466">
        <v>69.23</v>
      </c>
      <c r="J466">
        <v>101.03</v>
      </c>
      <c r="K466">
        <v>134.41999999999999</v>
      </c>
      <c r="L466">
        <v>3.83</v>
      </c>
      <c r="M466">
        <v>304.68</v>
      </c>
      <c r="N466">
        <v>308.51</v>
      </c>
    </row>
    <row r="467" spans="1:14" x14ac:dyDescent="0.3">
      <c r="A467" s="2">
        <v>43344</v>
      </c>
      <c r="B467" t="s">
        <v>61</v>
      </c>
      <c r="C467">
        <v>2018</v>
      </c>
      <c r="D467">
        <v>9</v>
      </c>
      <c r="E467" t="s">
        <v>54</v>
      </c>
      <c r="F467" t="s">
        <v>29</v>
      </c>
      <c r="G467">
        <v>24</v>
      </c>
      <c r="H467" t="s">
        <v>20</v>
      </c>
      <c r="I467">
        <v>1547.8</v>
      </c>
      <c r="J467">
        <v>1999.97</v>
      </c>
      <c r="K467">
        <v>2229.5700000000002</v>
      </c>
      <c r="L467">
        <v>322.81</v>
      </c>
      <c r="M467">
        <v>5777.34</v>
      </c>
      <c r="N467">
        <v>6100.15</v>
      </c>
    </row>
    <row r="468" spans="1:14" x14ac:dyDescent="0.3">
      <c r="A468" s="2">
        <v>43344</v>
      </c>
      <c r="B468" t="s">
        <v>61</v>
      </c>
      <c r="C468">
        <v>2018</v>
      </c>
      <c r="D468">
        <v>9</v>
      </c>
      <c r="E468" t="s">
        <v>54</v>
      </c>
      <c r="F468" t="s">
        <v>30</v>
      </c>
      <c r="G468">
        <v>6</v>
      </c>
      <c r="H468" t="s">
        <v>20</v>
      </c>
      <c r="I468">
        <v>688.69</v>
      </c>
      <c r="J468">
        <v>1039.9100000000001</v>
      </c>
      <c r="K468">
        <v>2156.4299999999998</v>
      </c>
      <c r="L468">
        <v>307.10000000000002</v>
      </c>
      <c r="M468">
        <v>3885.03</v>
      </c>
      <c r="N468">
        <v>4192.13</v>
      </c>
    </row>
    <row r="469" spans="1:14" x14ac:dyDescent="0.3">
      <c r="A469" s="2">
        <v>43344</v>
      </c>
      <c r="B469" t="s">
        <v>61</v>
      </c>
      <c r="C469">
        <v>2018</v>
      </c>
      <c r="D469">
        <v>9</v>
      </c>
      <c r="E469" t="s">
        <v>54</v>
      </c>
      <c r="F469" t="s">
        <v>31</v>
      </c>
      <c r="G469">
        <v>2</v>
      </c>
      <c r="H469" t="s">
        <v>20</v>
      </c>
      <c r="I469">
        <v>79.099999999999994</v>
      </c>
      <c r="J469">
        <v>118.53</v>
      </c>
      <c r="K469">
        <v>450.11</v>
      </c>
      <c r="L469">
        <v>0.8</v>
      </c>
      <c r="M469">
        <v>647.74</v>
      </c>
      <c r="N469">
        <v>648.54</v>
      </c>
    </row>
    <row r="470" spans="1:14" x14ac:dyDescent="0.3">
      <c r="A470" s="2">
        <v>43344</v>
      </c>
      <c r="B470" t="s">
        <v>61</v>
      </c>
      <c r="C470">
        <v>2018</v>
      </c>
      <c r="D470">
        <v>9</v>
      </c>
      <c r="E470" t="s">
        <v>54</v>
      </c>
      <c r="F470" t="s">
        <v>32</v>
      </c>
      <c r="G470">
        <v>1</v>
      </c>
      <c r="H470" t="s">
        <v>18</v>
      </c>
      <c r="I470">
        <v>78.61</v>
      </c>
      <c r="J470">
        <v>129.74</v>
      </c>
      <c r="K470">
        <v>123.85</v>
      </c>
      <c r="L470">
        <v>4.6500000000000004</v>
      </c>
      <c r="M470">
        <v>332.2</v>
      </c>
      <c r="N470">
        <v>336.85</v>
      </c>
    </row>
    <row r="471" spans="1:14" x14ac:dyDescent="0.3">
      <c r="A471" s="2">
        <v>43344</v>
      </c>
      <c r="B471" t="s">
        <v>61</v>
      </c>
      <c r="C471">
        <v>2018</v>
      </c>
      <c r="D471">
        <v>9</v>
      </c>
      <c r="E471" t="s">
        <v>54</v>
      </c>
      <c r="F471" t="s">
        <v>33</v>
      </c>
      <c r="G471">
        <v>20</v>
      </c>
      <c r="H471" t="s">
        <v>20</v>
      </c>
      <c r="I471">
        <v>264.31</v>
      </c>
      <c r="J471">
        <v>367.6</v>
      </c>
      <c r="K471">
        <v>755.85</v>
      </c>
      <c r="L471">
        <v>347.83</v>
      </c>
      <c r="M471">
        <v>1387.76</v>
      </c>
      <c r="N471">
        <v>1735.59</v>
      </c>
    </row>
    <row r="472" spans="1:14" x14ac:dyDescent="0.3">
      <c r="A472" s="2">
        <v>43344</v>
      </c>
      <c r="B472" t="s">
        <v>61</v>
      </c>
      <c r="C472">
        <v>2018</v>
      </c>
      <c r="D472">
        <v>9</v>
      </c>
      <c r="E472" t="s">
        <v>54</v>
      </c>
      <c r="F472" t="s">
        <v>34</v>
      </c>
      <c r="G472">
        <v>29</v>
      </c>
      <c r="H472" t="s">
        <v>20</v>
      </c>
      <c r="I472">
        <v>1316.81</v>
      </c>
      <c r="J472">
        <v>1809.4</v>
      </c>
      <c r="K472">
        <v>2287.52</v>
      </c>
      <c r="L472">
        <v>898.26</v>
      </c>
      <c r="M472">
        <v>5413.73</v>
      </c>
      <c r="N472">
        <v>6311.99</v>
      </c>
    </row>
    <row r="473" spans="1:14" x14ac:dyDescent="0.3">
      <c r="A473" s="2">
        <v>43344</v>
      </c>
      <c r="B473" t="s">
        <v>61</v>
      </c>
      <c r="C473">
        <v>2018</v>
      </c>
      <c r="D473">
        <v>9</v>
      </c>
      <c r="E473" t="s">
        <v>54</v>
      </c>
      <c r="F473" t="s">
        <v>35</v>
      </c>
      <c r="G473">
        <v>32</v>
      </c>
      <c r="H473" t="s">
        <v>20</v>
      </c>
      <c r="I473">
        <v>345.11</v>
      </c>
      <c r="J473">
        <v>529.42999999999995</v>
      </c>
      <c r="K473">
        <v>164.83</v>
      </c>
      <c r="L473">
        <v>2.87</v>
      </c>
      <c r="M473">
        <v>1039.3699999999999</v>
      </c>
      <c r="N473">
        <v>1042.24</v>
      </c>
    </row>
    <row r="474" spans="1:14" x14ac:dyDescent="0.3">
      <c r="A474" s="2">
        <v>43344</v>
      </c>
      <c r="B474" t="s">
        <v>61</v>
      </c>
      <c r="C474">
        <v>2018</v>
      </c>
      <c r="D474">
        <v>9</v>
      </c>
      <c r="E474" t="s">
        <v>54</v>
      </c>
      <c r="F474" t="s">
        <v>36</v>
      </c>
      <c r="G474">
        <v>31</v>
      </c>
      <c r="H474" t="s">
        <v>18</v>
      </c>
      <c r="I474">
        <v>0.06</v>
      </c>
      <c r="J474">
        <v>0.47</v>
      </c>
      <c r="K474">
        <v>0</v>
      </c>
      <c r="L474">
        <v>0</v>
      </c>
      <c r="M474">
        <v>0.53</v>
      </c>
      <c r="N474">
        <v>0.53</v>
      </c>
    </row>
    <row r="475" spans="1:14" x14ac:dyDescent="0.3">
      <c r="A475" s="2">
        <v>43344</v>
      </c>
      <c r="B475" t="s">
        <v>61</v>
      </c>
      <c r="C475">
        <v>2018</v>
      </c>
      <c r="D475">
        <v>9</v>
      </c>
      <c r="E475" t="s">
        <v>54</v>
      </c>
      <c r="F475" t="s">
        <v>37</v>
      </c>
      <c r="G475">
        <v>23</v>
      </c>
      <c r="H475" t="s">
        <v>20</v>
      </c>
      <c r="I475">
        <v>400.14</v>
      </c>
      <c r="J475">
        <v>572.94000000000005</v>
      </c>
      <c r="K475">
        <v>528.69000000000005</v>
      </c>
      <c r="L475">
        <v>397.17</v>
      </c>
      <c r="M475">
        <v>1501.77</v>
      </c>
      <c r="N475">
        <v>1898.94</v>
      </c>
    </row>
    <row r="476" spans="1:14" x14ac:dyDescent="0.3">
      <c r="A476" s="2">
        <v>43344</v>
      </c>
      <c r="B476" t="s">
        <v>61</v>
      </c>
      <c r="C476">
        <v>2018</v>
      </c>
      <c r="D476">
        <v>9</v>
      </c>
      <c r="E476" t="s">
        <v>54</v>
      </c>
      <c r="F476" t="s">
        <v>38</v>
      </c>
      <c r="G476">
        <v>27</v>
      </c>
      <c r="H476" t="s">
        <v>20</v>
      </c>
      <c r="I476">
        <v>3428.64</v>
      </c>
      <c r="J476">
        <v>4292.71</v>
      </c>
      <c r="K476">
        <v>4307.92</v>
      </c>
      <c r="L476">
        <v>1052.22</v>
      </c>
      <c r="M476">
        <v>12029.27</v>
      </c>
      <c r="N476">
        <v>13081.49</v>
      </c>
    </row>
    <row r="477" spans="1:14" x14ac:dyDescent="0.3">
      <c r="A477" s="2">
        <v>43344</v>
      </c>
      <c r="B477" t="s">
        <v>61</v>
      </c>
      <c r="C477">
        <v>2018</v>
      </c>
      <c r="D477">
        <v>9</v>
      </c>
      <c r="E477" t="s">
        <v>54</v>
      </c>
      <c r="F477" t="s">
        <v>39</v>
      </c>
      <c r="G477">
        <v>14</v>
      </c>
      <c r="H477" t="s">
        <v>20</v>
      </c>
      <c r="I477">
        <v>10.65</v>
      </c>
      <c r="J477">
        <v>20.16</v>
      </c>
      <c r="K477">
        <v>1.02</v>
      </c>
      <c r="L477">
        <v>0</v>
      </c>
      <c r="M477">
        <v>31.83</v>
      </c>
      <c r="N477">
        <v>31.83</v>
      </c>
    </row>
    <row r="478" spans="1:14" x14ac:dyDescent="0.3">
      <c r="A478" s="2">
        <v>43344</v>
      </c>
      <c r="B478" t="s">
        <v>61</v>
      </c>
      <c r="C478">
        <v>2018</v>
      </c>
      <c r="D478">
        <v>9</v>
      </c>
      <c r="E478" t="s">
        <v>54</v>
      </c>
      <c r="F478" t="s">
        <v>40</v>
      </c>
      <c r="G478">
        <v>17</v>
      </c>
      <c r="H478" t="s">
        <v>20</v>
      </c>
      <c r="I478">
        <v>13.41</v>
      </c>
      <c r="J478">
        <v>19.91</v>
      </c>
      <c r="K478">
        <v>57.73</v>
      </c>
      <c r="L478">
        <v>1.49</v>
      </c>
      <c r="M478">
        <v>91.05</v>
      </c>
      <c r="N478">
        <v>92.54</v>
      </c>
    </row>
    <row r="479" spans="1:14" x14ac:dyDescent="0.3">
      <c r="A479" s="2">
        <v>43344</v>
      </c>
      <c r="B479" t="s">
        <v>61</v>
      </c>
      <c r="C479">
        <v>2018</v>
      </c>
      <c r="D479">
        <v>9</v>
      </c>
      <c r="E479" t="s">
        <v>54</v>
      </c>
      <c r="F479" t="s">
        <v>41</v>
      </c>
      <c r="G479">
        <v>15</v>
      </c>
      <c r="H479" t="s">
        <v>20</v>
      </c>
      <c r="I479">
        <v>5.3</v>
      </c>
      <c r="J479">
        <v>7.56</v>
      </c>
      <c r="K479">
        <v>0.46</v>
      </c>
      <c r="L479">
        <v>7.0000000000000007E-2</v>
      </c>
      <c r="M479">
        <v>13.32</v>
      </c>
      <c r="N479">
        <v>13.39</v>
      </c>
    </row>
    <row r="480" spans="1:14" x14ac:dyDescent="0.3">
      <c r="A480" s="2">
        <v>43344</v>
      </c>
      <c r="B480" t="s">
        <v>61</v>
      </c>
      <c r="C480">
        <v>2018</v>
      </c>
      <c r="D480">
        <v>9</v>
      </c>
      <c r="E480" t="s">
        <v>54</v>
      </c>
      <c r="F480" t="s">
        <v>42</v>
      </c>
      <c r="G480">
        <v>13</v>
      </c>
      <c r="H480" t="s">
        <v>20</v>
      </c>
      <c r="I480">
        <v>5.45</v>
      </c>
      <c r="J480">
        <v>7.74</v>
      </c>
      <c r="K480">
        <v>8.6300000000000008</v>
      </c>
      <c r="L480">
        <v>0.17</v>
      </c>
      <c r="M480">
        <v>21.82</v>
      </c>
      <c r="N480">
        <v>21.99</v>
      </c>
    </row>
    <row r="481" spans="1:14" x14ac:dyDescent="0.3">
      <c r="A481" s="2">
        <v>43344</v>
      </c>
      <c r="B481" t="s">
        <v>61</v>
      </c>
      <c r="C481">
        <v>2018</v>
      </c>
      <c r="D481">
        <v>9</v>
      </c>
      <c r="E481" t="s">
        <v>54</v>
      </c>
      <c r="F481" t="s">
        <v>43</v>
      </c>
      <c r="G481">
        <v>21</v>
      </c>
      <c r="H481" t="s">
        <v>20</v>
      </c>
      <c r="I481">
        <v>403.92</v>
      </c>
      <c r="J481">
        <v>527.58000000000004</v>
      </c>
      <c r="K481">
        <v>808.73</v>
      </c>
      <c r="L481">
        <v>446.53</v>
      </c>
      <c r="M481">
        <v>1740.23</v>
      </c>
      <c r="N481">
        <v>2186.7600000000002</v>
      </c>
    </row>
    <row r="482" spans="1:14" x14ac:dyDescent="0.3">
      <c r="A482" s="2">
        <v>43344</v>
      </c>
      <c r="B482" t="s">
        <v>61</v>
      </c>
      <c r="C482">
        <v>2018</v>
      </c>
      <c r="D482">
        <v>9</v>
      </c>
      <c r="E482" t="s">
        <v>54</v>
      </c>
      <c r="F482" t="s">
        <v>44</v>
      </c>
      <c r="G482">
        <v>34</v>
      </c>
      <c r="H482" t="s">
        <v>18</v>
      </c>
      <c r="I482">
        <v>18.899999999999999</v>
      </c>
      <c r="J482">
        <v>29.82</v>
      </c>
      <c r="K482">
        <v>111.9</v>
      </c>
      <c r="L482">
        <v>0.2</v>
      </c>
      <c r="M482">
        <v>160.62</v>
      </c>
      <c r="N482">
        <v>160.82</v>
      </c>
    </row>
    <row r="483" spans="1:14" x14ac:dyDescent="0.3">
      <c r="A483" s="2">
        <v>43344</v>
      </c>
      <c r="B483" t="s">
        <v>61</v>
      </c>
      <c r="C483">
        <v>2018</v>
      </c>
      <c r="D483">
        <v>9</v>
      </c>
      <c r="E483" t="s">
        <v>54</v>
      </c>
      <c r="F483" t="s">
        <v>45</v>
      </c>
      <c r="G483">
        <v>3</v>
      </c>
      <c r="H483" t="s">
        <v>20</v>
      </c>
      <c r="I483">
        <v>250.89</v>
      </c>
      <c r="J483">
        <v>406.1</v>
      </c>
      <c r="K483">
        <v>445.78</v>
      </c>
      <c r="L483">
        <v>14.31</v>
      </c>
      <c r="M483">
        <v>1102.77</v>
      </c>
      <c r="N483">
        <v>1117.08</v>
      </c>
    </row>
    <row r="484" spans="1:14" x14ac:dyDescent="0.3">
      <c r="A484" s="2">
        <v>43344</v>
      </c>
      <c r="B484" t="s">
        <v>61</v>
      </c>
      <c r="C484">
        <v>2018</v>
      </c>
      <c r="D484">
        <v>9</v>
      </c>
      <c r="E484" t="s">
        <v>54</v>
      </c>
      <c r="F484" t="s">
        <v>46</v>
      </c>
      <c r="G484">
        <v>8</v>
      </c>
      <c r="H484" t="s">
        <v>20</v>
      </c>
      <c r="I484">
        <v>559.53</v>
      </c>
      <c r="J484">
        <v>773.57</v>
      </c>
      <c r="K484">
        <v>781.36</v>
      </c>
      <c r="L484">
        <v>129.02000000000001</v>
      </c>
      <c r="M484">
        <v>2114.46</v>
      </c>
      <c r="N484">
        <v>2243.48</v>
      </c>
    </row>
    <row r="485" spans="1:14" x14ac:dyDescent="0.3">
      <c r="A485" s="2">
        <v>43344</v>
      </c>
      <c r="B485" t="s">
        <v>61</v>
      </c>
      <c r="C485">
        <v>2018</v>
      </c>
      <c r="D485">
        <v>9</v>
      </c>
      <c r="E485" t="s">
        <v>54</v>
      </c>
      <c r="F485" t="s">
        <v>47</v>
      </c>
      <c r="G485">
        <v>11</v>
      </c>
      <c r="H485" t="s">
        <v>20</v>
      </c>
      <c r="I485">
        <v>7.82</v>
      </c>
      <c r="J485">
        <v>11.34</v>
      </c>
      <c r="K485">
        <v>145.91999999999999</v>
      </c>
      <c r="L485">
        <v>0.01</v>
      </c>
      <c r="M485">
        <v>165.08</v>
      </c>
      <c r="N485">
        <v>165.09</v>
      </c>
    </row>
    <row r="486" spans="1:14" x14ac:dyDescent="0.3">
      <c r="A486" s="2">
        <v>43344</v>
      </c>
      <c r="B486" t="s">
        <v>61</v>
      </c>
      <c r="C486">
        <v>2018</v>
      </c>
      <c r="D486">
        <v>9</v>
      </c>
      <c r="E486" t="s">
        <v>54</v>
      </c>
      <c r="F486" t="s">
        <v>48</v>
      </c>
      <c r="G486">
        <v>33</v>
      </c>
      <c r="H486" t="s">
        <v>20</v>
      </c>
      <c r="I486">
        <v>1384.41</v>
      </c>
      <c r="J486">
        <v>1976.47</v>
      </c>
      <c r="K486">
        <v>1756.48</v>
      </c>
      <c r="L486">
        <v>616.03</v>
      </c>
      <c r="M486">
        <v>5117.3599999999997</v>
      </c>
      <c r="N486">
        <v>5733.39</v>
      </c>
    </row>
    <row r="487" spans="1:14" x14ac:dyDescent="0.3">
      <c r="A487" s="2">
        <v>43344</v>
      </c>
      <c r="B487" t="s">
        <v>61</v>
      </c>
      <c r="C487">
        <v>2018</v>
      </c>
      <c r="D487">
        <v>9</v>
      </c>
      <c r="E487" t="s">
        <v>54</v>
      </c>
      <c r="F487" t="s">
        <v>49</v>
      </c>
      <c r="G487">
        <v>36</v>
      </c>
      <c r="H487" t="s">
        <v>20</v>
      </c>
      <c r="I487">
        <v>614.97</v>
      </c>
      <c r="J487">
        <v>854.31</v>
      </c>
      <c r="K487">
        <v>784.23</v>
      </c>
      <c r="L487">
        <v>468.28</v>
      </c>
      <c r="M487">
        <v>2253.5100000000002</v>
      </c>
      <c r="N487">
        <v>2721.79</v>
      </c>
    </row>
    <row r="488" spans="1:14" x14ac:dyDescent="0.3">
      <c r="A488" s="2">
        <v>43344</v>
      </c>
      <c r="B488" t="s">
        <v>61</v>
      </c>
      <c r="C488">
        <v>2018</v>
      </c>
      <c r="D488">
        <v>9</v>
      </c>
      <c r="E488" t="s">
        <v>54</v>
      </c>
      <c r="F488" t="s">
        <v>50</v>
      </c>
      <c r="G488">
        <v>16</v>
      </c>
      <c r="H488" t="s">
        <v>20</v>
      </c>
      <c r="I488">
        <v>18.239999999999998</v>
      </c>
      <c r="J488">
        <v>25.94</v>
      </c>
      <c r="K488">
        <v>4.63</v>
      </c>
      <c r="L488">
        <v>0.68</v>
      </c>
      <c r="M488">
        <v>48.81</v>
      </c>
      <c r="N488">
        <v>49.49</v>
      </c>
    </row>
    <row r="489" spans="1:14" x14ac:dyDescent="0.3">
      <c r="A489" s="2">
        <v>43344</v>
      </c>
      <c r="B489" t="s">
        <v>61</v>
      </c>
      <c r="C489">
        <v>2018</v>
      </c>
      <c r="D489">
        <v>9</v>
      </c>
      <c r="E489" t="s">
        <v>54</v>
      </c>
      <c r="F489" t="s">
        <v>51</v>
      </c>
      <c r="G489">
        <v>9</v>
      </c>
      <c r="H489" t="s">
        <v>20</v>
      </c>
      <c r="I489">
        <v>917.49</v>
      </c>
      <c r="J489">
        <v>1408.93</v>
      </c>
      <c r="K489">
        <v>1438.67</v>
      </c>
      <c r="L489">
        <v>1046.8499999999999</v>
      </c>
      <c r="M489">
        <v>3765.09</v>
      </c>
      <c r="N489">
        <v>4811.9399999999996</v>
      </c>
    </row>
    <row r="490" spans="1:14" x14ac:dyDescent="0.3">
      <c r="A490" s="2">
        <v>43344</v>
      </c>
      <c r="B490" t="s">
        <v>61</v>
      </c>
      <c r="C490">
        <v>2018</v>
      </c>
      <c r="D490">
        <v>9</v>
      </c>
      <c r="E490" t="s">
        <v>54</v>
      </c>
      <c r="F490" t="s">
        <v>52</v>
      </c>
      <c r="G490">
        <v>5</v>
      </c>
      <c r="H490" t="s">
        <v>20</v>
      </c>
      <c r="I490">
        <v>157.81</v>
      </c>
      <c r="J490">
        <v>289.72000000000003</v>
      </c>
      <c r="K490">
        <v>779.54</v>
      </c>
      <c r="L490">
        <v>19.52</v>
      </c>
      <c r="M490">
        <v>1227.07</v>
      </c>
      <c r="N490">
        <v>1246.5899999999999</v>
      </c>
    </row>
    <row r="491" spans="1:14" x14ac:dyDescent="0.3">
      <c r="A491" s="2">
        <v>43344</v>
      </c>
      <c r="B491" t="s">
        <v>61</v>
      </c>
      <c r="C491">
        <v>2018</v>
      </c>
      <c r="D491">
        <v>9</v>
      </c>
      <c r="E491" t="s">
        <v>54</v>
      </c>
      <c r="F491" t="s">
        <v>53</v>
      </c>
      <c r="G491">
        <v>19</v>
      </c>
      <c r="H491" t="s">
        <v>20</v>
      </c>
      <c r="I491">
        <v>870.93</v>
      </c>
      <c r="J491">
        <v>1150.44</v>
      </c>
      <c r="K491">
        <v>799.75</v>
      </c>
      <c r="L491">
        <v>309.05</v>
      </c>
      <c r="M491">
        <v>2821.12</v>
      </c>
      <c r="N491">
        <v>3130.17</v>
      </c>
    </row>
    <row r="492" spans="1:14" x14ac:dyDescent="0.3">
      <c r="A492" s="2">
        <v>43374</v>
      </c>
      <c r="B492" t="s">
        <v>61</v>
      </c>
      <c r="C492">
        <v>2018</v>
      </c>
      <c r="D492">
        <v>10</v>
      </c>
      <c r="E492" t="s">
        <v>55</v>
      </c>
      <c r="F492" t="s">
        <v>17</v>
      </c>
      <c r="G492">
        <v>35</v>
      </c>
      <c r="H492" t="s">
        <v>18</v>
      </c>
      <c r="I492">
        <v>3.89</v>
      </c>
      <c r="J492">
        <v>7.43</v>
      </c>
      <c r="K492">
        <v>1.58</v>
      </c>
      <c r="L492">
        <v>0</v>
      </c>
      <c r="M492">
        <v>12.9</v>
      </c>
      <c r="N492">
        <v>12.9</v>
      </c>
    </row>
    <row r="493" spans="1:14" x14ac:dyDescent="0.3">
      <c r="A493" s="2">
        <v>43374</v>
      </c>
      <c r="B493" t="s">
        <v>61</v>
      </c>
      <c r="C493">
        <v>2018</v>
      </c>
      <c r="D493">
        <v>10</v>
      </c>
      <c r="E493" t="s">
        <v>55</v>
      </c>
      <c r="F493" t="s">
        <v>19</v>
      </c>
      <c r="G493">
        <v>28</v>
      </c>
      <c r="H493" t="s">
        <v>20</v>
      </c>
      <c r="I493">
        <v>548.30999999999995</v>
      </c>
      <c r="J493">
        <v>786.62</v>
      </c>
      <c r="K493">
        <v>856.42</v>
      </c>
      <c r="L493">
        <v>20.9</v>
      </c>
      <c r="M493">
        <v>2191.35</v>
      </c>
      <c r="N493">
        <v>2212.25</v>
      </c>
    </row>
    <row r="494" spans="1:14" x14ac:dyDescent="0.3">
      <c r="A494" s="2">
        <v>43374</v>
      </c>
      <c r="B494" t="s">
        <v>61</v>
      </c>
      <c r="C494">
        <v>2018</v>
      </c>
      <c r="D494">
        <v>10</v>
      </c>
      <c r="E494" t="s">
        <v>55</v>
      </c>
      <c r="F494" t="s">
        <v>21</v>
      </c>
      <c r="G494">
        <v>12</v>
      </c>
      <c r="H494" t="s">
        <v>20</v>
      </c>
      <c r="I494">
        <v>9.7899999999999991</v>
      </c>
      <c r="J494">
        <v>14.67</v>
      </c>
      <c r="K494">
        <v>3.25</v>
      </c>
      <c r="L494">
        <v>0.49</v>
      </c>
      <c r="M494">
        <v>27.71</v>
      </c>
      <c r="N494">
        <v>28.2</v>
      </c>
    </row>
    <row r="495" spans="1:14" x14ac:dyDescent="0.3">
      <c r="A495" s="2">
        <v>43374</v>
      </c>
      <c r="B495" t="s">
        <v>61</v>
      </c>
      <c r="C495">
        <v>2018</v>
      </c>
      <c r="D495">
        <v>10</v>
      </c>
      <c r="E495" t="s">
        <v>55</v>
      </c>
      <c r="F495" t="s">
        <v>22</v>
      </c>
      <c r="G495">
        <v>18</v>
      </c>
      <c r="H495" t="s">
        <v>20</v>
      </c>
      <c r="I495">
        <v>203.19</v>
      </c>
      <c r="J495">
        <v>288.75</v>
      </c>
      <c r="K495">
        <v>227</v>
      </c>
      <c r="L495">
        <v>37.85</v>
      </c>
      <c r="M495">
        <v>718.94</v>
      </c>
      <c r="N495">
        <v>756.79</v>
      </c>
    </row>
    <row r="496" spans="1:14" x14ac:dyDescent="0.3">
      <c r="A496" s="2">
        <v>43374</v>
      </c>
      <c r="B496" t="s">
        <v>61</v>
      </c>
      <c r="C496">
        <v>2018</v>
      </c>
      <c r="D496">
        <v>10</v>
      </c>
      <c r="E496" t="s">
        <v>55</v>
      </c>
      <c r="F496" t="s">
        <v>23</v>
      </c>
      <c r="G496">
        <v>10</v>
      </c>
      <c r="H496" t="s">
        <v>20</v>
      </c>
      <c r="I496">
        <v>197.94</v>
      </c>
      <c r="J496">
        <v>397.09</v>
      </c>
      <c r="K496">
        <v>92.46</v>
      </c>
      <c r="L496">
        <v>124.94</v>
      </c>
      <c r="M496">
        <v>687.49</v>
      </c>
      <c r="N496">
        <v>812.43</v>
      </c>
    </row>
    <row r="497" spans="1:14" x14ac:dyDescent="0.3">
      <c r="A497" s="2">
        <v>43374</v>
      </c>
      <c r="B497" t="s">
        <v>61</v>
      </c>
      <c r="C497">
        <v>2018</v>
      </c>
      <c r="D497">
        <v>10</v>
      </c>
      <c r="E497" t="s">
        <v>55</v>
      </c>
      <c r="F497" t="s">
        <v>24</v>
      </c>
      <c r="G497">
        <v>4</v>
      </c>
      <c r="H497" t="s">
        <v>18</v>
      </c>
      <c r="I497">
        <v>26.08</v>
      </c>
      <c r="J497">
        <v>34.78</v>
      </c>
      <c r="K497">
        <v>80.06</v>
      </c>
      <c r="L497">
        <v>0.3</v>
      </c>
      <c r="M497">
        <v>140.91999999999999</v>
      </c>
      <c r="N497">
        <v>141.22</v>
      </c>
    </row>
    <row r="498" spans="1:14" x14ac:dyDescent="0.3">
      <c r="A498" s="2">
        <v>43374</v>
      </c>
      <c r="B498" t="s">
        <v>61</v>
      </c>
      <c r="C498">
        <v>2018</v>
      </c>
      <c r="D498">
        <v>10</v>
      </c>
      <c r="E498" t="s">
        <v>55</v>
      </c>
      <c r="F498" t="s">
        <v>25</v>
      </c>
      <c r="G498">
        <v>22</v>
      </c>
      <c r="H498" t="s">
        <v>20</v>
      </c>
      <c r="I498">
        <v>321.97000000000003</v>
      </c>
      <c r="J498">
        <v>423.92</v>
      </c>
      <c r="K498">
        <v>523.27</v>
      </c>
      <c r="L498">
        <v>467.54</v>
      </c>
      <c r="M498">
        <v>1269.1600000000001</v>
      </c>
      <c r="N498">
        <v>1736.7</v>
      </c>
    </row>
    <row r="499" spans="1:14" x14ac:dyDescent="0.3">
      <c r="A499" s="2">
        <v>43374</v>
      </c>
      <c r="B499" t="s">
        <v>61</v>
      </c>
      <c r="C499">
        <v>2018</v>
      </c>
      <c r="D499">
        <v>10</v>
      </c>
      <c r="E499" t="s">
        <v>55</v>
      </c>
      <c r="F499" t="s">
        <v>26</v>
      </c>
      <c r="G499">
        <v>38</v>
      </c>
      <c r="H499" t="s">
        <v>18</v>
      </c>
      <c r="I499">
        <v>25.55</v>
      </c>
      <c r="J499">
        <v>37.619999999999997</v>
      </c>
      <c r="K499">
        <v>178.73</v>
      </c>
      <c r="L499">
        <v>0.05</v>
      </c>
      <c r="M499">
        <v>241.9</v>
      </c>
      <c r="N499">
        <v>241.95</v>
      </c>
    </row>
    <row r="500" spans="1:14" x14ac:dyDescent="0.3">
      <c r="A500" s="2">
        <v>43374</v>
      </c>
      <c r="B500" t="s">
        <v>61</v>
      </c>
      <c r="C500">
        <v>2018</v>
      </c>
      <c r="D500">
        <v>10</v>
      </c>
      <c r="E500" t="s">
        <v>55</v>
      </c>
      <c r="F500" t="s">
        <v>27</v>
      </c>
      <c r="G500">
        <v>7</v>
      </c>
      <c r="H500" t="s">
        <v>18</v>
      </c>
      <c r="I500">
        <v>666.38</v>
      </c>
      <c r="J500">
        <v>859.74</v>
      </c>
      <c r="K500">
        <v>1671.1</v>
      </c>
      <c r="L500">
        <v>89.82</v>
      </c>
      <c r="M500">
        <v>3197.22</v>
      </c>
      <c r="N500">
        <v>3287.04</v>
      </c>
    </row>
    <row r="501" spans="1:14" x14ac:dyDescent="0.3">
      <c r="A501" s="2">
        <v>43374</v>
      </c>
      <c r="B501" t="s">
        <v>61</v>
      </c>
      <c r="C501">
        <v>2018</v>
      </c>
      <c r="D501">
        <v>10</v>
      </c>
      <c r="E501" t="s">
        <v>55</v>
      </c>
      <c r="F501" t="s">
        <v>28</v>
      </c>
      <c r="G501">
        <v>30</v>
      </c>
      <c r="H501" t="s">
        <v>20</v>
      </c>
      <c r="I501">
        <v>76.39</v>
      </c>
      <c r="J501">
        <v>112.69</v>
      </c>
      <c r="K501">
        <v>122.16</v>
      </c>
      <c r="L501">
        <v>1.46</v>
      </c>
      <c r="M501">
        <v>311.24</v>
      </c>
      <c r="N501">
        <v>312.7</v>
      </c>
    </row>
    <row r="502" spans="1:14" x14ac:dyDescent="0.3">
      <c r="A502" s="2">
        <v>43374</v>
      </c>
      <c r="B502" t="s">
        <v>61</v>
      </c>
      <c r="C502">
        <v>2018</v>
      </c>
      <c r="D502">
        <v>10</v>
      </c>
      <c r="E502" t="s">
        <v>55</v>
      </c>
      <c r="F502" t="s">
        <v>29</v>
      </c>
      <c r="G502">
        <v>24</v>
      </c>
      <c r="H502" t="s">
        <v>20</v>
      </c>
      <c r="I502">
        <v>1591.84</v>
      </c>
      <c r="J502">
        <v>1998.91</v>
      </c>
      <c r="K502">
        <v>2260.9699999999998</v>
      </c>
      <c r="L502">
        <v>307.48</v>
      </c>
      <c r="M502">
        <v>5851.72</v>
      </c>
      <c r="N502">
        <v>6159.2</v>
      </c>
    </row>
    <row r="503" spans="1:14" x14ac:dyDescent="0.3">
      <c r="A503" s="2">
        <v>43374</v>
      </c>
      <c r="B503" t="s">
        <v>61</v>
      </c>
      <c r="C503">
        <v>2018</v>
      </c>
      <c r="D503">
        <v>10</v>
      </c>
      <c r="E503" t="s">
        <v>55</v>
      </c>
      <c r="F503" t="s">
        <v>30</v>
      </c>
      <c r="G503">
        <v>6</v>
      </c>
      <c r="H503" t="s">
        <v>20</v>
      </c>
      <c r="I503">
        <v>707.76</v>
      </c>
      <c r="J503">
        <v>1053.8399999999999</v>
      </c>
      <c r="K503">
        <v>2373.9499999999998</v>
      </c>
      <c r="L503">
        <v>325.75</v>
      </c>
      <c r="M503">
        <v>4135.55</v>
      </c>
      <c r="N503">
        <v>4461.3</v>
      </c>
    </row>
    <row r="504" spans="1:14" x14ac:dyDescent="0.3">
      <c r="A504" s="2">
        <v>43374</v>
      </c>
      <c r="B504" t="s">
        <v>61</v>
      </c>
      <c r="C504">
        <v>2018</v>
      </c>
      <c r="D504">
        <v>10</v>
      </c>
      <c r="E504" t="s">
        <v>55</v>
      </c>
      <c r="F504" t="s">
        <v>31</v>
      </c>
      <c r="G504">
        <v>2</v>
      </c>
      <c r="H504" t="s">
        <v>20</v>
      </c>
      <c r="I504">
        <v>78.77</v>
      </c>
      <c r="J504">
        <v>124.54</v>
      </c>
      <c r="K504">
        <v>445.78</v>
      </c>
      <c r="L504">
        <v>1.55</v>
      </c>
      <c r="M504">
        <v>649.09</v>
      </c>
      <c r="N504">
        <v>650.64</v>
      </c>
    </row>
    <row r="505" spans="1:14" x14ac:dyDescent="0.3">
      <c r="A505" s="2">
        <v>43374</v>
      </c>
      <c r="B505" t="s">
        <v>61</v>
      </c>
      <c r="C505">
        <v>2018</v>
      </c>
      <c r="D505">
        <v>10</v>
      </c>
      <c r="E505" t="s">
        <v>55</v>
      </c>
      <c r="F505" t="s">
        <v>32</v>
      </c>
      <c r="G505">
        <v>1</v>
      </c>
      <c r="H505" t="s">
        <v>18</v>
      </c>
      <c r="I505">
        <v>84.91</v>
      </c>
      <c r="J505">
        <v>133.22999999999999</v>
      </c>
      <c r="K505">
        <v>103.03</v>
      </c>
      <c r="L505">
        <v>2.89</v>
      </c>
      <c r="M505">
        <v>321.17</v>
      </c>
      <c r="N505">
        <v>324.06</v>
      </c>
    </row>
    <row r="506" spans="1:14" x14ac:dyDescent="0.3">
      <c r="A506" s="2">
        <v>43374</v>
      </c>
      <c r="B506" t="s">
        <v>61</v>
      </c>
      <c r="C506">
        <v>2018</v>
      </c>
      <c r="D506">
        <v>10</v>
      </c>
      <c r="E506" t="s">
        <v>55</v>
      </c>
      <c r="F506" t="s">
        <v>33</v>
      </c>
      <c r="G506">
        <v>20</v>
      </c>
      <c r="H506" t="s">
        <v>20</v>
      </c>
      <c r="I506">
        <v>359.99</v>
      </c>
      <c r="J506">
        <v>469.16</v>
      </c>
      <c r="K506">
        <v>894.17</v>
      </c>
      <c r="L506">
        <v>368.01</v>
      </c>
      <c r="M506">
        <v>1723.32</v>
      </c>
      <c r="N506">
        <v>2091.33</v>
      </c>
    </row>
    <row r="507" spans="1:14" x14ac:dyDescent="0.3">
      <c r="A507" s="2">
        <v>43374</v>
      </c>
      <c r="B507" t="s">
        <v>61</v>
      </c>
      <c r="C507">
        <v>2018</v>
      </c>
      <c r="D507">
        <v>10</v>
      </c>
      <c r="E507" t="s">
        <v>55</v>
      </c>
      <c r="F507" t="s">
        <v>34</v>
      </c>
      <c r="G507">
        <v>29</v>
      </c>
      <c r="H507" t="s">
        <v>20</v>
      </c>
      <c r="I507">
        <v>1385.81</v>
      </c>
      <c r="J507">
        <v>1880.13</v>
      </c>
      <c r="K507">
        <v>2445.1799999999998</v>
      </c>
      <c r="L507">
        <v>876.38</v>
      </c>
      <c r="M507">
        <v>5711.12</v>
      </c>
      <c r="N507">
        <v>6587.5</v>
      </c>
    </row>
    <row r="508" spans="1:14" x14ac:dyDescent="0.3">
      <c r="A508" s="2">
        <v>43374</v>
      </c>
      <c r="B508" t="s">
        <v>61</v>
      </c>
      <c r="C508">
        <v>2018</v>
      </c>
      <c r="D508">
        <v>10</v>
      </c>
      <c r="E508" t="s">
        <v>55</v>
      </c>
      <c r="F508" t="s">
        <v>35</v>
      </c>
      <c r="G508">
        <v>32</v>
      </c>
      <c r="H508" t="s">
        <v>20</v>
      </c>
      <c r="I508">
        <v>451.48</v>
      </c>
      <c r="J508">
        <v>787.77</v>
      </c>
      <c r="K508">
        <v>256.72000000000003</v>
      </c>
      <c r="L508">
        <v>4.66</v>
      </c>
      <c r="M508">
        <v>1495.97</v>
      </c>
      <c r="N508">
        <v>1500.63</v>
      </c>
    </row>
    <row r="509" spans="1:14" x14ac:dyDescent="0.3">
      <c r="A509" s="2">
        <v>43374</v>
      </c>
      <c r="B509" t="s">
        <v>61</v>
      </c>
      <c r="C509">
        <v>2018</v>
      </c>
      <c r="D509">
        <v>10</v>
      </c>
      <c r="E509" t="s">
        <v>55</v>
      </c>
      <c r="F509" t="s">
        <v>36</v>
      </c>
      <c r="G509">
        <v>31</v>
      </c>
      <c r="H509" t="s">
        <v>18</v>
      </c>
      <c r="I509">
        <v>0.04</v>
      </c>
      <c r="J509">
        <v>0.05</v>
      </c>
      <c r="K509">
        <v>0.05</v>
      </c>
      <c r="L509">
        <v>0</v>
      </c>
      <c r="M509">
        <v>0.14000000000000001</v>
      </c>
      <c r="N509">
        <v>0.14000000000000001</v>
      </c>
    </row>
    <row r="510" spans="1:14" x14ac:dyDescent="0.3">
      <c r="A510" s="2">
        <v>43374</v>
      </c>
      <c r="B510" t="s">
        <v>61</v>
      </c>
      <c r="C510">
        <v>2018</v>
      </c>
      <c r="D510">
        <v>10</v>
      </c>
      <c r="E510" t="s">
        <v>55</v>
      </c>
      <c r="F510" t="s">
        <v>37</v>
      </c>
      <c r="G510">
        <v>23</v>
      </c>
      <c r="H510" t="s">
        <v>20</v>
      </c>
      <c r="I510">
        <v>435.69</v>
      </c>
      <c r="J510">
        <v>640.66</v>
      </c>
      <c r="K510">
        <v>514.66</v>
      </c>
      <c r="L510">
        <v>401.5</v>
      </c>
      <c r="M510">
        <v>1591.01</v>
      </c>
      <c r="N510">
        <v>1992.51</v>
      </c>
    </row>
    <row r="511" spans="1:14" x14ac:dyDescent="0.3">
      <c r="A511" s="2">
        <v>43374</v>
      </c>
      <c r="B511" t="s">
        <v>61</v>
      </c>
      <c r="C511">
        <v>2018</v>
      </c>
      <c r="D511">
        <v>10</v>
      </c>
      <c r="E511" t="s">
        <v>55</v>
      </c>
      <c r="F511" t="s">
        <v>38</v>
      </c>
      <c r="G511">
        <v>27</v>
      </c>
      <c r="H511" t="s">
        <v>20</v>
      </c>
      <c r="I511">
        <v>3671.84</v>
      </c>
      <c r="J511">
        <v>4595.09</v>
      </c>
      <c r="K511">
        <v>5314.06</v>
      </c>
      <c r="L511">
        <v>953.39</v>
      </c>
      <c r="M511">
        <v>13580.99</v>
      </c>
      <c r="N511">
        <v>14534.38</v>
      </c>
    </row>
    <row r="512" spans="1:14" x14ac:dyDescent="0.3">
      <c r="A512" s="2">
        <v>43374</v>
      </c>
      <c r="B512" t="s">
        <v>61</v>
      </c>
      <c r="C512">
        <v>2018</v>
      </c>
      <c r="D512">
        <v>10</v>
      </c>
      <c r="E512" t="s">
        <v>55</v>
      </c>
      <c r="F512" t="s">
        <v>39</v>
      </c>
      <c r="G512">
        <v>14</v>
      </c>
      <c r="H512" t="s">
        <v>20</v>
      </c>
      <c r="I512">
        <v>7.76</v>
      </c>
      <c r="J512">
        <v>15.18</v>
      </c>
      <c r="K512">
        <v>1.23</v>
      </c>
      <c r="L512">
        <v>0.15</v>
      </c>
      <c r="M512">
        <v>24.17</v>
      </c>
      <c r="N512">
        <v>24.32</v>
      </c>
    </row>
    <row r="513" spans="1:14" x14ac:dyDescent="0.3">
      <c r="A513" s="2">
        <v>43374</v>
      </c>
      <c r="B513" t="s">
        <v>61</v>
      </c>
      <c r="C513">
        <v>2018</v>
      </c>
      <c r="D513">
        <v>10</v>
      </c>
      <c r="E513" t="s">
        <v>55</v>
      </c>
      <c r="F513" t="s">
        <v>40</v>
      </c>
      <c r="G513">
        <v>17</v>
      </c>
      <c r="H513" t="s">
        <v>20</v>
      </c>
      <c r="I513">
        <v>16.260000000000002</v>
      </c>
      <c r="J513">
        <v>25.76</v>
      </c>
      <c r="K513">
        <v>52.4</v>
      </c>
      <c r="L513">
        <v>1.18</v>
      </c>
      <c r="M513">
        <v>94.42</v>
      </c>
      <c r="N513">
        <v>95.6</v>
      </c>
    </row>
    <row r="514" spans="1:14" x14ac:dyDescent="0.3">
      <c r="A514" s="2">
        <v>43374</v>
      </c>
      <c r="B514" t="s">
        <v>61</v>
      </c>
      <c r="C514">
        <v>2018</v>
      </c>
      <c r="D514">
        <v>10</v>
      </c>
      <c r="E514" t="s">
        <v>55</v>
      </c>
      <c r="F514" t="s">
        <v>41</v>
      </c>
      <c r="G514">
        <v>15</v>
      </c>
      <c r="H514" t="s">
        <v>20</v>
      </c>
      <c r="I514">
        <v>2.42</v>
      </c>
      <c r="J514">
        <v>5.01</v>
      </c>
      <c r="K514">
        <v>2.77</v>
      </c>
      <c r="L514">
        <v>0</v>
      </c>
      <c r="M514">
        <v>10.199999999999999</v>
      </c>
      <c r="N514">
        <v>10.199999999999999</v>
      </c>
    </row>
    <row r="515" spans="1:14" x14ac:dyDescent="0.3">
      <c r="A515" s="2">
        <v>43374</v>
      </c>
      <c r="B515" t="s">
        <v>61</v>
      </c>
      <c r="C515">
        <v>2018</v>
      </c>
      <c r="D515">
        <v>10</v>
      </c>
      <c r="E515" t="s">
        <v>55</v>
      </c>
      <c r="F515" t="s">
        <v>42</v>
      </c>
      <c r="G515">
        <v>13</v>
      </c>
      <c r="H515" t="s">
        <v>20</v>
      </c>
      <c r="I515">
        <v>4.8099999999999996</v>
      </c>
      <c r="J515">
        <v>8</v>
      </c>
      <c r="K515">
        <v>5.25</v>
      </c>
      <c r="L515">
        <v>0.52</v>
      </c>
      <c r="M515">
        <v>18.059999999999999</v>
      </c>
      <c r="N515">
        <v>18.579999999999998</v>
      </c>
    </row>
    <row r="516" spans="1:14" x14ac:dyDescent="0.3">
      <c r="A516" s="2">
        <v>43374</v>
      </c>
      <c r="B516" t="s">
        <v>61</v>
      </c>
      <c r="C516">
        <v>2018</v>
      </c>
      <c r="D516">
        <v>10</v>
      </c>
      <c r="E516" t="s">
        <v>55</v>
      </c>
      <c r="F516" t="s">
        <v>43</v>
      </c>
      <c r="G516">
        <v>21</v>
      </c>
      <c r="H516" t="s">
        <v>20</v>
      </c>
      <c r="I516">
        <v>423.29</v>
      </c>
      <c r="J516">
        <v>555.94000000000005</v>
      </c>
      <c r="K516">
        <v>755.75</v>
      </c>
      <c r="L516">
        <v>454.71</v>
      </c>
      <c r="M516">
        <v>1734.98</v>
      </c>
      <c r="N516">
        <v>2189.69</v>
      </c>
    </row>
    <row r="517" spans="1:14" x14ac:dyDescent="0.3">
      <c r="A517" s="2">
        <v>43374</v>
      </c>
      <c r="B517" t="s">
        <v>61</v>
      </c>
      <c r="C517">
        <v>2018</v>
      </c>
      <c r="D517">
        <v>10</v>
      </c>
      <c r="E517" t="s">
        <v>55</v>
      </c>
      <c r="F517" t="s">
        <v>44</v>
      </c>
      <c r="G517">
        <v>34</v>
      </c>
      <c r="H517" t="s">
        <v>18</v>
      </c>
      <c r="I517">
        <v>18.72</v>
      </c>
      <c r="J517">
        <v>30.56</v>
      </c>
      <c r="K517">
        <v>91.66</v>
      </c>
      <c r="L517">
        <v>0.09</v>
      </c>
      <c r="M517">
        <v>140.94</v>
      </c>
      <c r="N517">
        <v>141.03</v>
      </c>
    </row>
    <row r="518" spans="1:14" x14ac:dyDescent="0.3">
      <c r="A518" s="2">
        <v>43374</v>
      </c>
      <c r="B518" t="s">
        <v>61</v>
      </c>
      <c r="C518">
        <v>2018</v>
      </c>
      <c r="D518">
        <v>10</v>
      </c>
      <c r="E518" t="s">
        <v>55</v>
      </c>
      <c r="F518" t="s">
        <v>45</v>
      </c>
      <c r="G518">
        <v>3</v>
      </c>
      <c r="H518" t="s">
        <v>20</v>
      </c>
      <c r="I518">
        <v>268.77999999999997</v>
      </c>
      <c r="J518">
        <v>431.2</v>
      </c>
      <c r="K518">
        <v>417.09</v>
      </c>
      <c r="L518">
        <v>12.39</v>
      </c>
      <c r="M518">
        <v>1117.07</v>
      </c>
      <c r="N518">
        <v>1129.46</v>
      </c>
    </row>
    <row r="519" spans="1:14" x14ac:dyDescent="0.3">
      <c r="A519" s="2">
        <v>43374</v>
      </c>
      <c r="B519" t="s">
        <v>61</v>
      </c>
      <c r="C519">
        <v>2018</v>
      </c>
      <c r="D519">
        <v>10</v>
      </c>
      <c r="E519" t="s">
        <v>55</v>
      </c>
      <c r="F519" t="s">
        <v>46</v>
      </c>
      <c r="G519">
        <v>8</v>
      </c>
      <c r="H519" t="s">
        <v>20</v>
      </c>
      <c r="I519">
        <v>672.05</v>
      </c>
      <c r="J519">
        <v>949.11</v>
      </c>
      <c r="K519">
        <v>820.3</v>
      </c>
      <c r="L519">
        <v>112.44</v>
      </c>
      <c r="M519">
        <v>2441.46</v>
      </c>
      <c r="N519">
        <v>2553.9</v>
      </c>
    </row>
    <row r="520" spans="1:14" x14ac:dyDescent="0.3">
      <c r="A520" s="2">
        <v>43374</v>
      </c>
      <c r="B520" t="s">
        <v>61</v>
      </c>
      <c r="C520">
        <v>2018</v>
      </c>
      <c r="D520">
        <v>10</v>
      </c>
      <c r="E520" t="s">
        <v>55</v>
      </c>
      <c r="F520" t="s">
        <v>47</v>
      </c>
      <c r="G520">
        <v>11</v>
      </c>
      <c r="H520" t="s">
        <v>20</v>
      </c>
      <c r="I520">
        <v>9.89</v>
      </c>
      <c r="J520">
        <v>15.23</v>
      </c>
      <c r="K520">
        <v>115.51</v>
      </c>
      <c r="L520">
        <v>0.32</v>
      </c>
      <c r="M520">
        <v>140.63</v>
      </c>
      <c r="N520">
        <v>140.94999999999999</v>
      </c>
    </row>
    <row r="521" spans="1:14" x14ac:dyDescent="0.3">
      <c r="A521" s="2">
        <v>43374</v>
      </c>
      <c r="B521" t="s">
        <v>61</v>
      </c>
      <c r="C521">
        <v>2018</v>
      </c>
      <c r="D521">
        <v>10</v>
      </c>
      <c r="E521" t="s">
        <v>55</v>
      </c>
      <c r="F521" t="s">
        <v>48</v>
      </c>
      <c r="G521">
        <v>33</v>
      </c>
      <c r="H521" t="s">
        <v>20</v>
      </c>
      <c r="I521">
        <v>1389.87</v>
      </c>
      <c r="J521">
        <v>2045.88</v>
      </c>
      <c r="K521">
        <v>1902.12</v>
      </c>
      <c r="L521">
        <v>752.69</v>
      </c>
      <c r="M521">
        <v>5337.87</v>
      </c>
      <c r="N521">
        <v>6090.56</v>
      </c>
    </row>
    <row r="522" spans="1:14" x14ac:dyDescent="0.3">
      <c r="A522" s="2">
        <v>43374</v>
      </c>
      <c r="B522" t="s">
        <v>61</v>
      </c>
      <c r="C522">
        <v>2018</v>
      </c>
      <c r="D522">
        <v>10</v>
      </c>
      <c r="E522" t="s">
        <v>55</v>
      </c>
      <c r="F522" t="s">
        <v>49</v>
      </c>
      <c r="G522">
        <v>36</v>
      </c>
      <c r="H522" t="s">
        <v>20</v>
      </c>
      <c r="I522">
        <v>646.02</v>
      </c>
      <c r="J522">
        <v>904.44</v>
      </c>
      <c r="K522">
        <v>820.14</v>
      </c>
      <c r="L522">
        <v>522.32000000000005</v>
      </c>
      <c r="M522">
        <v>2370.6</v>
      </c>
      <c r="N522">
        <v>2892.92</v>
      </c>
    </row>
    <row r="523" spans="1:14" x14ac:dyDescent="0.3">
      <c r="A523" s="2">
        <v>43374</v>
      </c>
      <c r="B523" t="s">
        <v>61</v>
      </c>
      <c r="C523">
        <v>2018</v>
      </c>
      <c r="D523">
        <v>10</v>
      </c>
      <c r="E523" t="s">
        <v>55</v>
      </c>
      <c r="F523" t="s">
        <v>50</v>
      </c>
      <c r="G523">
        <v>16</v>
      </c>
      <c r="H523" t="s">
        <v>20</v>
      </c>
      <c r="I523">
        <v>15.31</v>
      </c>
      <c r="J523">
        <v>23.78</v>
      </c>
      <c r="K523">
        <v>4.95</v>
      </c>
      <c r="L523">
        <v>0.27</v>
      </c>
      <c r="M523">
        <v>44.04</v>
      </c>
      <c r="N523">
        <v>44.31</v>
      </c>
    </row>
    <row r="524" spans="1:14" x14ac:dyDescent="0.3">
      <c r="A524" s="2">
        <v>43374</v>
      </c>
      <c r="B524" t="s">
        <v>61</v>
      </c>
      <c r="C524">
        <v>2018</v>
      </c>
      <c r="D524">
        <v>10</v>
      </c>
      <c r="E524" t="s">
        <v>55</v>
      </c>
      <c r="F524" t="s">
        <v>51</v>
      </c>
      <c r="G524">
        <v>9</v>
      </c>
      <c r="H524" t="s">
        <v>20</v>
      </c>
      <c r="I524">
        <v>1023.37</v>
      </c>
      <c r="J524">
        <v>1580.76</v>
      </c>
      <c r="K524">
        <v>1327.72</v>
      </c>
      <c r="L524">
        <v>903.22</v>
      </c>
      <c r="M524">
        <v>3931.85</v>
      </c>
      <c r="N524">
        <v>4835.07</v>
      </c>
    </row>
    <row r="525" spans="1:14" x14ac:dyDescent="0.3">
      <c r="A525" s="2">
        <v>43374</v>
      </c>
      <c r="B525" t="s">
        <v>61</v>
      </c>
      <c r="C525">
        <v>2018</v>
      </c>
      <c r="D525">
        <v>10</v>
      </c>
      <c r="E525" t="s">
        <v>55</v>
      </c>
      <c r="F525" t="s">
        <v>52</v>
      </c>
      <c r="G525">
        <v>5</v>
      </c>
      <c r="H525" t="s">
        <v>20</v>
      </c>
      <c r="I525">
        <v>179.39</v>
      </c>
      <c r="J525">
        <v>341.43</v>
      </c>
      <c r="K525">
        <v>868.64</v>
      </c>
      <c r="L525">
        <v>21.38</v>
      </c>
      <c r="M525">
        <v>1389.46</v>
      </c>
      <c r="N525">
        <v>1410.84</v>
      </c>
    </row>
    <row r="526" spans="1:14" x14ac:dyDescent="0.3">
      <c r="A526" s="2">
        <v>43374</v>
      </c>
      <c r="B526" t="s">
        <v>61</v>
      </c>
      <c r="C526">
        <v>2018</v>
      </c>
      <c r="D526">
        <v>10</v>
      </c>
      <c r="E526" t="s">
        <v>55</v>
      </c>
      <c r="F526" t="s">
        <v>53</v>
      </c>
      <c r="G526">
        <v>19</v>
      </c>
      <c r="H526" t="s">
        <v>20</v>
      </c>
      <c r="I526">
        <v>921.37</v>
      </c>
      <c r="J526">
        <v>1223.78</v>
      </c>
      <c r="K526">
        <v>811.59</v>
      </c>
      <c r="L526">
        <v>278.66000000000003</v>
      </c>
      <c r="M526">
        <v>2956.74</v>
      </c>
      <c r="N526">
        <v>3235.4</v>
      </c>
    </row>
    <row r="527" spans="1:14" x14ac:dyDescent="0.3">
      <c r="A527" s="2">
        <v>43405</v>
      </c>
      <c r="B527" t="s">
        <v>61</v>
      </c>
      <c r="C527">
        <v>2018</v>
      </c>
      <c r="D527">
        <v>11</v>
      </c>
      <c r="E527" t="s">
        <v>56</v>
      </c>
      <c r="F527" t="s">
        <v>17</v>
      </c>
      <c r="G527">
        <v>35</v>
      </c>
      <c r="H527" t="s">
        <v>18</v>
      </c>
      <c r="I527">
        <v>12.67</v>
      </c>
      <c r="J527">
        <v>16.59</v>
      </c>
      <c r="K527">
        <v>1.45</v>
      </c>
      <c r="L527">
        <v>7.0000000000000007E-2</v>
      </c>
      <c r="M527">
        <v>30.71</v>
      </c>
      <c r="N527">
        <v>30.78</v>
      </c>
    </row>
    <row r="528" spans="1:14" x14ac:dyDescent="0.3">
      <c r="A528" s="2">
        <v>43405</v>
      </c>
      <c r="B528" t="s">
        <v>61</v>
      </c>
      <c r="C528">
        <v>2018</v>
      </c>
      <c r="D528">
        <v>11</v>
      </c>
      <c r="E528" t="s">
        <v>56</v>
      </c>
      <c r="F528" t="s">
        <v>19</v>
      </c>
      <c r="G528">
        <v>28</v>
      </c>
      <c r="H528" t="s">
        <v>20</v>
      </c>
      <c r="I528">
        <v>528.97</v>
      </c>
      <c r="J528">
        <v>741.88</v>
      </c>
      <c r="K528">
        <v>858.34</v>
      </c>
      <c r="L528">
        <v>15.73</v>
      </c>
      <c r="M528">
        <v>2129.19</v>
      </c>
      <c r="N528">
        <v>2144.92</v>
      </c>
    </row>
    <row r="529" spans="1:14" x14ac:dyDescent="0.3">
      <c r="A529" s="2">
        <v>43405</v>
      </c>
      <c r="B529" t="s">
        <v>61</v>
      </c>
      <c r="C529">
        <v>2018</v>
      </c>
      <c r="D529">
        <v>11</v>
      </c>
      <c r="E529" t="s">
        <v>56</v>
      </c>
      <c r="F529" t="s">
        <v>21</v>
      </c>
      <c r="G529">
        <v>12</v>
      </c>
      <c r="H529" t="s">
        <v>20</v>
      </c>
      <c r="I529">
        <v>6.47</v>
      </c>
      <c r="J529">
        <v>11.59</v>
      </c>
      <c r="K529">
        <v>3.54</v>
      </c>
      <c r="L529">
        <v>0.11</v>
      </c>
      <c r="M529">
        <v>21.6</v>
      </c>
      <c r="N529">
        <v>21.71</v>
      </c>
    </row>
    <row r="530" spans="1:14" x14ac:dyDescent="0.3">
      <c r="A530" s="2">
        <v>43405</v>
      </c>
      <c r="B530" t="s">
        <v>61</v>
      </c>
      <c r="C530">
        <v>2018</v>
      </c>
      <c r="D530">
        <v>11</v>
      </c>
      <c r="E530" t="s">
        <v>56</v>
      </c>
      <c r="F530" t="s">
        <v>22</v>
      </c>
      <c r="G530">
        <v>18</v>
      </c>
      <c r="H530" t="s">
        <v>20</v>
      </c>
      <c r="I530">
        <v>203.03</v>
      </c>
      <c r="J530">
        <v>275.19</v>
      </c>
      <c r="K530">
        <v>218.37</v>
      </c>
      <c r="L530">
        <v>42.9</v>
      </c>
      <c r="M530">
        <v>696.59</v>
      </c>
      <c r="N530">
        <v>739.49</v>
      </c>
    </row>
    <row r="531" spans="1:14" x14ac:dyDescent="0.3">
      <c r="A531" s="2">
        <v>43405</v>
      </c>
      <c r="B531" t="s">
        <v>61</v>
      </c>
      <c r="C531">
        <v>2018</v>
      </c>
      <c r="D531">
        <v>11</v>
      </c>
      <c r="E531" t="s">
        <v>56</v>
      </c>
      <c r="F531" t="s">
        <v>23</v>
      </c>
      <c r="G531">
        <v>10</v>
      </c>
      <c r="H531" t="s">
        <v>20</v>
      </c>
      <c r="I531">
        <v>217.43</v>
      </c>
      <c r="J531">
        <v>393.99</v>
      </c>
      <c r="K531">
        <v>141.33000000000001</v>
      </c>
      <c r="L531">
        <v>161.93</v>
      </c>
      <c r="M531">
        <v>752.75</v>
      </c>
      <c r="N531">
        <v>914.68</v>
      </c>
    </row>
    <row r="532" spans="1:14" x14ac:dyDescent="0.3">
      <c r="A532" s="2">
        <v>43405</v>
      </c>
      <c r="B532" t="s">
        <v>61</v>
      </c>
      <c r="C532">
        <v>2018</v>
      </c>
      <c r="D532">
        <v>11</v>
      </c>
      <c r="E532" t="s">
        <v>56</v>
      </c>
      <c r="F532" t="s">
        <v>24</v>
      </c>
      <c r="G532">
        <v>4</v>
      </c>
      <c r="H532" t="s">
        <v>18</v>
      </c>
      <c r="I532">
        <v>30.18</v>
      </c>
      <c r="J532">
        <v>40.81</v>
      </c>
      <c r="K532">
        <v>74.400000000000006</v>
      </c>
      <c r="L532">
        <v>0.12</v>
      </c>
      <c r="M532">
        <v>145.38999999999999</v>
      </c>
      <c r="N532">
        <v>145.51</v>
      </c>
    </row>
    <row r="533" spans="1:14" x14ac:dyDescent="0.3">
      <c r="A533" s="2">
        <v>43405</v>
      </c>
      <c r="B533" t="s">
        <v>61</v>
      </c>
      <c r="C533">
        <v>2018</v>
      </c>
      <c r="D533">
        <v>11</v>
      </c>
      <c r="E533" t="s">
        <v>56</v>
      </c>
      <c r="F533" t="s">
        <v>25</v>
      </c>
      <c r="G533">
        <v>22</v>
      </c>
      <c r="H533" t="s">
        <v>20</v>
      </c>
      <c r="I533">
        <v>322.52</v>
      </c>
      <c r="J533">
        <v>410.95</v>
      </c>
      <c r="K533">
        <v>721.94</v>
      </c>
      <c r="L533">
        <v>549.88</v>
      </c>
      <c r="M533">
        <v>1455.41</v>
      </c>
      <c r="N533">
        <v>2005.29</v>
      </c>
    </row>
    <row r="534" spans="1:14" x14ac:dyDescent="0.3">
      <c r="A534" s="2">
        <v>43405</v>
      </c>
      <c r="B534" t="s">
        <v>61</v>
      </c>
      <c r="C534">
        <v>2018</v>
      </c>
      <c r="D534">
        <v>11</v>
      </c>
      <c r="E534" t="s">
        <v>56</v>
      </c>
      <c r="F534" t="s">
        <v>26</v>
      </c>
      <c r="G534">
        <v>38</v>
      </c>
      <c r="H534" t="s">
        <v>18</v>
      </c>
      <c r="I534">
        <v>23.27</v>
      </c>
      <c r="J534">
        <v>32.17</v>
      </c>
      <c r="K534">
        <v>173.37</v>
      </c>
      <c r="L534">
        <v>0.04</v>
      </c>
      <c r="M534">
        <v>228.81</v>
      </c>
      <c r="N534">
        <v>228.85</v>
      </c>
    </row>
    <row r="535" spans="1:14" x14ac:dyDescent="0.3">
      <c r="A535" s="2">
        <v>43405</v>
      </c>
      <c r="B535" t="s">
        <v>61</v>
      </c>
      <c r="C535">
        <v>2018</v>
      </c>
      <c r="D535">
        <v>11</v>
      </c>
      <c r="E535" t="s">
        <v>56</v>
      </c>
      <c r="F535" t="s">
        <v>27</v>
      </c>
      <c r="G535">
        <v>7</v>
      </c>
      <c r="H535" t="s">
        <v>18</v>
      </c>
      <c r="I535">
        <v>670.85</v>
      </c>
      <c r="J535">
        <v>878.22</v>
      </c>
      <c r="K535">
        <v>1632.11</v>
      </c>
      <c r="L535">
        <v>95.54</v>
      </c>
      <c r="M535">
        <v>3181.18</v>
      </c>
      <c r="N535">
        <v>3276.72</v>
      </c>
    </row>
    <row r="536" spans="1:14" x14ac:dyDescent="0.3">
      <c r="A536" s="2">
        <v>43405</v>
      </c>
      <c r="B536" t="s">
        <v>61</v>
      </c>
      <c r="C536">
        <v>2018</v>
      </c>
      <c r="D536">
        <v>11</v>
      </c>
      <c r="E536" t="s">
        <v>56</v>
      </c>
      <c r="F536" t="s">
        <v>28</v>
      </c>
      <c r="G536">
        <v>30</v>
      </c>
      <c r="H536" t="s">
        <v>20</v>
      </c>
      <c r="I536">
        <v>75.97</v>
      </c>
      <c r="J536">
        <v>112.42</v>
      </c>
      <c r="K536">
        <v>134.87</v>
      </c>
      <c r="L536">
        <v>2.1800000000000002</v>
      </c>
      <c r="M536">
        <v>323.26</v>
      </c>
      <c r="N536">
        <v>325.44</v>
      </c>
    </row>
    <row r="537" spans="1:14" x14ac:dyDescent="0.3">
      <c r="A537" s="2">
        <v>43405</v>
      </c>
      <c r="B537" t="s">
        <v>61</v>
      </c>
      <c r="C537">
        <v>2018</v>
      </c>
      <c r="D537">
        <v>11</v>
      </c>
      <c r="E537" t="s">
        <v>56</v>
      </c>
      <c r="F537" t="s">
        <v>29</v>
      </c>
      <c r="G537">
        <v>24</v>
      </c>
      <c r="H537" t="s">
        <v>20</v>
      </c>
      <c r="I537">
        <v>1626.01</v>
      </c>
      <c r="J537">
        <v>2124.8200000000002</v>
      </c>
      <c r="K537">
        <v>1960.7</v>
      </c>
      <c r="L537">
        <v>352.18</v>
      </c>
      <c r="M537">
        <v>5711.53</v>
      </c>
      <c r="N537">
        <v>6063.71</v>
      </c>
    </row>
    <row r="538" spans="1:14" x14ac:dyDescent="0.3">
      <c r="A538" s="2">
        <v>43405</v>
      </c>
      <c r="B538" t="s">
        <v>61</v>
      </c>
      <c r="C538">
        <v>2018</v>
      </c>
      <c r="D538">
        <v>11</v>
      </c>
      <c r="E538" t="s">
        <v>56</v>
      </c>
      <c r="F538" t="s">
        <v>30</v>
      </c>
      <c r="G538">
        <v>6</v>
      </c>
      <c r="H538" t="s">
        <v>20</v>
      </c>
      <c r="I538">
        <v>779.12</v>
      </c>
      <c r="J538">
        <v>1068.69</v>
      </c>
      <c r="K538">
        <v>2522.08</v>
      </c>
      <c r="L538">
        <v>307.7</v>
      </c>
      <c r="M538">
        <v>4369.8900000000003</v>
      </c>
      <c r="N538">
        <v>4677.59</v>
      </c>
    </row>
    <row r="539" spans="1:14" x14ac:dyDescent="0.3">
      <c r="A539" s="2">
        <v>43405</v>
      </c>
      <c r="B539" t="s">
        <v>61</v>
      </c>
      <c r="C539">
        <v>2018</v>
      </c>
      <c r="D539">
        <v>11</v>
      </c>
      <c r="E539" t="s">
        <v>56</v>
      </c>
      <c r="F539" t="s">
        <v>31</v>
      </c>
      <c r="G539">
        <v>2</v>
      </c>
      <c r="H539" t="s">
        <v>20</v>
      </c>
      <c r="I539">
        <v>97.55</v>
      </c>
      <c r="J539">
        <v>141.13</v>
      </c>
      <c r="K539">
        <v>427.71</v>
      </c>
      <c r="L539">
        <v>0.99</v>
      </c>
      <c r="M539">
        <v>666.39</v>
      </c>
      <c r="N539">
        <v>667.38</v>
      </c>
    </row>
    <row r="540" spans="1:14" x14ac:dyDescent="0.3">
      <c r="A540" s="2">
        <v>43405</v>
      </c>
      <c r="B540" t="s">
        <v>61</v>
      </c>
      <c r="C540">
        <v>2018</v>
      </c>
      <c r="D540">
        <v>11</v>
      </c>
      <c r="E540" t="s">
        <v>56</v>
      </c>
      <c r="F540" t="s">
        <v>32</v>
      </c>
      <c r="G540">
        <v>1</v>
      </c>
      <c r="H540" t="s">
        <v>18</v>
      </c>
      <c r="I540">
        <v>75.86</v>
      </c>
      <c r="J540">
        <v>126.52</v>
      </c>
      <c r="K540">
        <v>82.08</v>
      </c>
      <c r="L540">
        <v>1.83</v>
      </c>
      <c r="M540">
        <v>284.45999999999998</v>
      </c>
      <c r="N540">
        <v>286.29000000000002</v>
      </c>
    </row>
    <row r="541" spans="1:14" x14ac:dyDescent="0.3">
      <c r="A541" s="2">
        <v>43405</v>
      </c>
      <c r="B541" t="s">
        <v>61</v>
      </c>
      <c r="C541">
        <v>2018</v>
      </c>
      <c r="D541">
        <v>11</v>
      </c>
      <c r="E541" t="s">
        <v>56</v>
      </c>
      <c r="F541" t="s">
        <v>33</v>
      </c>
      <c r="G541">
        <v>20</v>
      </c>
      <c r="H541" t="s">
        <v>20</v>
      </c>
      <c r="I541">
        <v>310.08999999999997</v>
      </c>
      <c r="J541">
        <v>425.2</v>
      </c>
      <c r="K541">
        <v>872.31</v>
      </c>
      <c r="L541">
        <v>408.15</v>
      </c>
      <c r="M541">
        <v>1607.6</v>
      </c>
      <c r="N541">
        <v>2015.75</v>
      </c>
    </row>
    <row r="542" spans="1:14" x14ac:dyDescent="0.3">
      <c r="A542" s="2">
        <v>43405</v>
      </c>
      <c r="B542" t="s">
        <v>61</v>
      </c>
      <c r="C542">
        <v>2018</v>
      </c>
      <c r="D542">
        <v>11</v>
      </c>
      <c r="E542" t="s">
        <v>56</v>
      </c>
      <c r="F542" t="s">
        <v>34</v>
      </c>
      <c r="G542">
        <v>29</v>
      </c>
      <c r="H542" t="s">
        <v>20</v>
      </c>
      <c r="I542">
        <v>1373.42</v>
      </c>
      <c r="J542">
        <v>1862.27</v>
      </c>
      <c r="K542">
        <v>2486.7399999999998</v>
      </c>
      <c r="L542">
        <v>776.08</v>
      </c>
      <c r="M542">
        <v>5722.43</v>
      </c>
      <c r="N542">
        <v>6498.51</v>
      </c>
    </row>
    <row r="543" spans="1:14" x14ac:dyDescent="0.3">
      <c r="A543" s="2">
        <v>43405</v>
      </c>
      <c r="B543" t="s">
        <v>61</v>
      </c>
      <c r="C543">
        <v>2018</v>
      </c>
      <c r="D543">
        <v>11</v>
      </c>
      <c r="E543" t="s">
        <v>56</v>
      </c>
      <c r="F543" t="s">
        <v>35</v>
      </c>
      <c r="G543">
        <v>32</v>
      </c>
      <c r="H543" t="s">
        <v>20</v>
      </c>
      <c r="I543">
        <v>440.65</v>
      </c>
      <c r="J543">
        <v>676.36</v>
      </c>
      <c r="K543">
        <v>218.21</v>
      </c>
      <c r="L543">
        <v>4.13</v>
      </c>
      <c r="M543">
        <v>1335.22</v>
      </c>
      <c r="N543">
        <v>1339.35</v>
      </c>
    </row>
    <row r="544" spans="1:14" x14ac:dyDescent="0.3">
      <c r="A544" s="2">
        <v>43405</v>
      </c>
      <c r="B544" t="s">
        <v>61</v>
      </c>
      <c r="C544">
        <v>2018</v>
      </c>
      <c r="D544">
        <v>11</v>
      </c>
      <c r="E544" t="s">
        <v>56</v>
      </c>
      <c r="F544" t="s">
        <v>36</v>
      </c>
      <c r="G544">
        <v>31</v>
      </c>
      <c r="H544" t="s">
        <v>18</v>
      </c>
      <c r="I544">
        <v>0.28000000000000003</v>
      </c>
      <c r="J544">
        <v>0.57999999999999996</v>
      </c>
      <c r="K544">
        <v>0.02</v>
      </c>
      <c r="L544">
        <v>0</v>
      </c>
      <c r="M544">
        <v>0.88</v>
      </c>
      <c r="N544">
        <v>0.88</v>
      </c>
    </row>
    <row r="545" spans="1:14" x14ac:dyDescent="0.3">
      <c r="A545" s="2">
        <v>43405</v>
      </c>
      <c r="B545" t="s">
        <v>61</v>
      </c>
      <c r="C545">
        <v>2018</v>
      </c>
      <c r="D545">
        <v>11</v>
      </c>
      <c r="E545" t="s">
        <v>56</v>
      </c>
      <c r="F545" t="s">
        <v>37</v>
      </c>
      <c r="G545">
        <v>23</v>
      </c>
      <c r="H545" t="s">
        <v>20</v>
      </c>
      <c r="I545">
        <v>477.85</v>
      </c>
      <c r="J545">
        <v>651.16999999999996</v>
      </c>
      <c r="K545">
        <v>580.91</v>
      </c>
      <c r="L545">
        <v>414.15</v>
      </c>
      <c r="M545">
        <v>1709.93</v>
      </c>
      <c r="N545">
        <v>2124.08</v>
      </c>
    </row>
    <row r="546" spans="1:14" x14ac:dyDescent="0.3">
      <c r="A546" s="2">
        <v>43405</v>
      </c>
      <c r="B546" t="s">
        <v>61</v>
      </c>
      <c r="C546">
        <v>2018</v>
      </c>
      <c r="D546">
        <v>11</v>
      </c>
      <c r="E546" t="s">
        <v>56</v>
      </c>
      <c r="F546" t="s">
        <v>38</v>
      </c>
      <c r="G546">
        <v>27</v>
      </c>
      <c r="H546" t="s">
        <v>20</v>
      </c>
      <c r="I546">
        <v>3784.05</v>
      </c>
      <c r="J546">
        <v>4771.82</v>
      </c>
      <c r="K546">
        <v>4452.76</v>
      </c>
      <c r="L546">
        <v>924.68</v>
      </c>
      <c r="M546">
        <v>13008.63</v>
      </c>
      <c r="N546">
        <v>13933.31</v>
      </c>
    </row>
    <row r="547" spans="1:14" x14ac:dyDescent="0.3">
      <c r="A547" s="2">
        <v>43405</v>
      </c>
      <c r="B547" t="s">
        <v>61</v>
      </c>
      <c r="C547">
        <v>2018</v>
      </c>
      <c r="D547">
        <v>11</v>
      </c>
      <c r="E547" t="s">
        <v>56</v>
      </c>
      <c r="F547" t="s">
        <v>39</v>
      </c>
      <c r="G547">
        <v>14</v>
      </c>
      <c r="H547" t="s">
        <v>20</v>
      </c>
      <c r="I547">
        <v>6.75</v>
      </c>
      <c r="J547">
        <v>11.49</v>
      </c>
      <c r="K547">
        <v>3.19</v>
      </c>
      <c r="L547">
        <v>0.06</v>
      </c>
      <c r="M547">
        <v>21.43</v>
      </c>
      <c r="N547">
        <v>21.49</v>
      </c>
    </row>
    <row r="548" spans="1:14" x14ac:dyDescent="0.3">
      <c r="A548" s="2">
        <v>43405</v>
      </c>
      <c r="B548" t="s">
        <v>61</v>
      </c>
      <c r="C548">
        <v>2018</v>
      </c>
      <c r="D548">
        <v>11</v>
      </c>
      <c r="E548" t="s">
        <v>56</v>
      </c>
      <c r="F548" t="s">
        <v>40</v>
      </c>
      <c r="G548">
        <v>17</v>
      </c>
      <c r="H548" t="s">
        <v>20</v>
      </c>
      <c r="I548">
        <v>13.2</v>
      </c>
      <c r="J548">
        <v>20.36</v>
      </c>
      <c r="K548">
        <v>66.3</v>
      </c>
      <c r="L548">
        <v>1.43</v>
      </c>
      <c r="M548">
        <v>99.86</v>
      </c>
      <c r="N548">
        <v>101.29</v>
      </c>
    </row>
    <row r="549" spans="1:14" x14ac:dyDescent="0.3">
      <c r="A549" s="2">
        <v>43405</v>
      </c>
      <c r="B549" t="s">
        <v>61</v>
      </c>
      <c r="C549">
        <v>2018</v>
      </c>
      <c r="D549">
        <v>11</v>
      </c>
      <c r="E549" t="s">
        <v>56</v>
      </c>
      <c r="F549" t="s">
        <v>41</v>
      </c>
      <c r="G549">
        <v>15</v>
      </c>
      <c r="H549" t="s">
        <v>20</v>
      </c>
      <c r="I549">
        <v>4.6500000000000004</v>
      </c>
      <c r="J549">
        <v>7.6</v>
      </c>
      <c r="K549">
        <v>3.4</v>
      </c>
      <c r="L549">
        <v>0.14000000000000001</v>
      </c>
      <c r="M549">
        <v>15.65</v>
      </c>
      <c r="N549">
        <v>15.79</v>
      </c>
    </row>
    <row r="550" spans="1:14" x14ac:dyDescent="0.3">
      <c r="A550" s="2">
        <v>43405</v>
      </c>
      <c r="B550" t="s">
        <v>61</v>
      </c>
      <c r="C550">
        <v>2018</v>
      </c>
      <c r="D550">
        <v>11</v>
      </c>
      <c r="E550" t="s">
        <v>56</v>
      </c>
      <c r="F550" t="s">
        <v>42</v>
      </c>
      <c r="G550">
        <v>13</v>
      </c>
      <c r="H550" t="s">
        <v>20</v>
      </c>
      <c r="I550">
        <v>4.2</v>
      </c>
      <c r="J550">
        <v>6.38</v>
      </c>
      <c r="K550">
        <v>3.98</v>
      </c>
      <c r="L550">
        <v>0.53</v>
      </c>
      <c r="M550">
        <v>14.56</v>
      </c>
      <c r="N550">
        <v>15.09</v>
      </c>
    </row>
    <row r="551" spans="1:14" x14ac:dyDescent="0.3">
      <c r="A551" s="2">
        <v>43405</v>
      </c>
      <c r="B551" t="s">
        <v>61</v>
      </c>
      <c r="C551">
        <v>2018</v>
      </c>
      <c r="D551">
        <v>11</v>
      </c>
      <c r="E551" t="s">
        <v>56</v>
      </c>
      <c r="F551" t="s">
        <v>43</v>
      </c>
      <c r="G551">
        <v>21</v>
      </c>
      <c r="H551" t="s">
        <v>20</v>
      </c>
      <c r="I551">
        <v>424.62</v>
      </c>
      <c r="J551">
        <v>551.02</v>
      </c>
      <c r="K551">
        <v>895.26</v>
      </c>
      <c r="L551">
        <v>503.4</v>
      </c>
      <c r="M551">
        <v>1870.9</v>
      </c>
      <c r="N551">
        <v>2374.3000000000002</v>
      </c>
    </row>
    <row r="552" spans="1:14" x14ac:dyDescent="0.3">
      <c r="A552" s="2">
        <v>43405</v>
      </c>
      <c r="B552" t="s">
        <v>61</v>
      </c>
      <c r="C552">
        <v>2018</v>
      </c>
      <c r="D552">
        <v>11</v>
      </c>
      <c r="E552" t="s">
        <v>56</v>
      </c>
      <c r="F552" t="s">
        <v>44</v>
      </c>
      <c r="G552">
        <v>34</v>
      </c>
      <c r="H552" t="s">
        <v>18</v>
      </c>
      <c r="I552">
        <v>18.75</v>
      </c>
      <c r="J552">
        <v>30.75</v>
      </c>
      <c r="K552">
        <v>117.52</v>
      </c>
      <c r="L552">
        <v>3.18</v>
      </c>
      <c r="M552">
        <v>167.02</v>
      </c>
      <c r="N552">
        <v>170.2</v>
      </c>
    </row>
    <row r="553" spans="1:14" x14ac:dyDescent="0.3">
      <c r="A553" s="2">
        <v>43405</v>
      </c>
      <c r="B553" t="s">
        <v>61</v>
      </c>
      <c r="C553">
        <v>2018</v>
      </c>
      <c r="D553">
        <v>11</v>
      </c>
      <c r="E553" t="s">
        <v>56</v>
      </c>
      <c r="F553" t="s">
        <v>45</v>
      </c>
      <c r="G553">
        <v>3</v>
      </c>
      <c r="H553" t="s">
        <v>20</v>
      </c>
      <c r="I553">
        <v>270.58999999999997</v>
      </c>
      <c r="J553">
        <v>469.34</v>
      </c>
      <c r="K553">
        <v>472.79</v>
      </c>
      <c r="L553">
        <v>7.04</v>
      </c>
      <c r="M553">
        <v>1212.72</v>
      </c>
      <c r="N553">
        <v>1219.76</v>
      </c>
    </row>
    <row r="554" spans="1:14" x14ac:dyDescent="0.3">
      <c r="A554" s="2">
        <v>43405</v>
      </c>
      <c r="B554" t="s">
        <v>61</v>
      </c>
      <c r="C554">
        <v>2018</v>
      </c>
      <c r="D554">
        <v>11</v>
      </c>
      <c r="E554" t="s">
        <v>56</v>
      </c>
      <c r="F554" t="s">
        <v>46</v>
      </c>
      <c r="G554">
        <v>8</v>
      </c>
      <c r="H554" t="s">
        <v>20</v>
      </c>
      <c r="I554">
        <v>691.17</v>
      </c>
      <c r="J554">
        <v>970.8</v>
      </c>
      <c r="K554">
        <v>877.69</v>
      </c>
      <c r="L554">
        <v>124.38</v>
      </c>
      <c r="M554">
        <v>2539.66</v>
      </c>
      <c r="N554">
        <v>2664.04</v>
      </c>
    </row>
    <row r="555" spans="1:14" x14ac:dyDescent="0.3">
      <c r="A555" s="2">
        <v>43405</v>
      </c>
      <c r="B555" t="s">
        <v>61</v>
      </c>
      <c r="C555">
        <v>2018</v>
      </c>
      <c r="D555">
        <v>11</v>
      </c>
      <c r="E555" t="s">
        <v>56</v>
      </c>
      <c r="F555" t="s">
        <v>47</v>
      </c>
      <c r="G555">
        <v>11</v>
      </c>
      <c r="H555" t="s">
        <v>20</v>
      </c>
      <c r="I555">
        <v>10.01</v>
      </c>
      <c r="J555">
        <v>19.5</v>
      </c>
      <c r="K555">
        <v>118.82</v>
      </c>
      <c r="L555">
        <v>0.1</v>
      </c>
      <c r="M555">
        <v>148.33000000000001</v>
      </c>
      <c r="N555">
        <v>148.43</v>
      </c>
    </row>
    <row r="556" spans="1:14" x14ac:dyDescent="0.3">
      <c r="A556" s="2">
        <v>43405</v>
      </c>
      <c r="B556" t="s">
        <v>61</v>
      </c>
      <c r="C556">
        <v>2018</v>
      </c>
      <c r="D556">
        <v>11</v>
      </c>
      <c r="E556" t="s">
        <v>56</v>
      </c>
      <c r="F556" t="s">
        <v>48</v>
      </c>
      <c r="G556">
        <v>33</v>
      </c>
      <c r="H556" t="s">
        <v>20</v>
      </c>
      <c r="I556">
        <v>1462.3</v>
      </c>
      <c r="J556">
        <v>2073.2399999999998</v>
      </c>
      <c r="K556">
        <v>1747.47</v>
      </c>
      <c r="L556">
        <v>530.33000000000004</v>
      </c>
      <c r="M556">
        <v>5283.01</v>
      </c>
      <c r="N556">
        <v>5813.34</v>
      </c>
    </row>
    <row r="557" spans="1:14" x14ac:dyDescent="0.3">
      <c r="A557" s="2">
        <v>43405</v>
      </c>
      <c r="B557" t="s">
        <v>61</v>
      </c>
      <c r="C557">
        <v>2018</v>
      </c>
      <c r="D557">
        <v>11</v>
      </c>
      <c r="E557" t="s">
        <v>56</v>
      </c>
      <c r="F557" t="s">
        <v>49</v>
      </c>
      <c r="G557">
        <v>36</v>
      </c>
      <c r="H557" t="s">
        <v>20</v>
      </c>
      <c r="I557">
        <v>717.16</v>
      </c>
      <c r="J557">
        <v>1004.77</v>
      </c>
      <c r="K557">
        <v>795.38</v>
      </c>
      <c r="L557">
        <v>549.22</v>
      </c>
      <c r="M557">
        <v>2517.31</v>
      </c>
      <c r="N557">
        <v>3066.53</v>
      </c>
    </row>
    <row r="558" spans="1:14" x14ac:dyDescent="0.3">
      <c r="A558" s="2">
        <v>43405</v>
      </c>
      <c r="B558" t="s">
        <v>61</v>
      </c>
      <c r="C558">
        <v>2018</v>
      </c>
      <c r="D558">
        <v>11</v>
      </c>
      <c r="E558" t="s">
        <v>56</v>
      </c>
      <c r="F558" t="s">
        <v>50</v>
      </c>
      <c r="G558">
        <v>16</v>
      </c>
      <c r="H558" t="s">
        <v>20</v>
      </c>
      <c r="I558">
        <v>15.39</v>
      </c>
      <c r="J558">
        <v>21.59</v>
      </c>
      <c r="K558">
        <v>4.28</v>
      </c>
      <c r="L558">
        <v>0.1</v>
      </c>
      <c r="M558">
        <v>41.26</v>
      </c>
      <c r="N558">
        <v>41.36</v>
      </c>
    </row>
    <row r="559" spans="1:14" x14ac:dyDescent="0.3">
      <c r="A559" s="2">
        <v>43405</v>
      </c>
      <c r="B559" t="s">
        <v>61</v>
      </c>
      <c r="C559">
        <v>2018</v>
      </c>
      <c r="D559">
        <v>11</v>
      </c>
      <c r="E559" t="s">
        <v>56</v>
      </c>
      <c r="F559" t="s">
        <v>51</v>
      </c>
      <c r="G559">
        <v>9</v>
      </c>
      <c r="H559" t="s">
        <v>20</v>
      </c>
      <c r="I559">
        <v>1048.55</v>
      </c>
      <c r="J559">
        <v>1616.45</v>
      </c>
      <c r="K559">
        <v>1386.28</v>
      </c>
      <c r="L559">
        <v>1107.06</v>
      </c>
      <c r="M559">
        <v>4051.28</v>
      </c>
      <c r="N559">
        <v>5158.34</v>
      </c>
    </row>
    <row r="560" spans="1:14" x14ac:dyDescent="0.3">
      <c r="A560" s="2">
        <v>43405</v>
      </c>
      <c r="B560" t="s">
        <v>61</v>
      </c>
      <c r="C560">
        <v>2018</v>
      </c>
      <c r="D560">
        <v>11</v>
      </c>
      <c r="E560" t="s">
        <v>56</v>
      </c>
      <c r="F560" t="s">
        <v>52</v>
      </c>
      <c r="G560">
        <v>5</v>
      </c>
      <c r="H560" t="s">
        <v>20</v>
      </c>
      <c r="I560">
        <v>167.82</v>
      </c>
      <c r="J560">
        <v>339.53</v>
      </c>
      <c r="K560">
        <v>616.85</v>
      </c>
      <c r="L560">
        <v>23.36</v>
      </c>
      <c r="M560">
        <v>1124.2</v>
      </c>
      <c r="N560">
        <v>1147.56</v>
      </c>
    </row>
    <row r="561" spans="1:14" x14ac:dyDescent="0.3">
      <c r="A561" s="2">
        <v>43405</v>
      </c>
      <c r="B561" t="s">
        <v>61</v>
      </c>
      <c r="C561">
        <v>2018</v>
      </c>
      <c r="D561">
        <v>11</v>
      </c>
      <c r="E561" t="s">
        <v>56</v>
      </c>
      <c r="F561" t="s">
        <v>53</v>
      </c>
      <c r="G561">
        <v>19</v>
      </c>
      <c r="H561" t="s">
        <v>20</v>
      </c>
      <c r="I561">
        <v>873.78</v>
      </c>
      <c r="J561">
        <v>1125.81</v>
      </c>
      <c r="K561">
        <v>755.08</v>
      </c>
      <c r="L561">
        <v>280.11</v>
      </c>
      <c r="M561">
        <v>2754.67</v>
      </c>
      <c r="N561">
        <v>3034.78</v>
      </c>
    </row>
    <row r="562" spans="1:14" x14ac:dyDescent="0.3">
      <c r="A562" s="2">
        <v>43435</v>
      </c>
      <c r="B562" t="s">
        <v>61</v>
      </c>
      <c r="C562">
        <v>2018</v>
      </c>
      <c r="D562">
        <v>12</v>
      </c>
      <c r="E562" t="s">
        <v>57</v>
      </c>
      <c r="F562" t="s">
        <v>17</v>
      </c>
      <c r="G562">
        <v>35</v>
      </c>
      <c r="H562" t="s">
        <v>18</v>
      </c>
      <c r="I562">
        <v>7.57</v>
      </c>
      <c r="J562">
        <v>11.78</v>
      </c>
      <c r="K562">
        <v>2.54</v>
      </c>
      <c r="L562">
        <v>0</v>
      </c>
      <c r="M562">
        <v>21.89</v>
      </c>
      <c r="N562">
        <v>21.89</v>
      </c>
    </row>
    <row r="563" spans="1:14" x14ac:dyDescent="0.3">
      <c r="A563" s="2">
        <v>43435</v>
      </c>
      <c r="B563" t="s">
        <v>61</v>
      </c>
      <c r="C563">
        <v>2018</v>
      </c>
      <c r="D563">
        <v>12</v>
      </c>
      <c r="E563" t="s">
        <v>57</v>
      </c>
      <c r="F563" t="s">
        <v>19</v>
      </c>
      <c r="G563">
        <v>28</v>
      </c>
      <c r="H563" t="s">
        <v>20</v>
      </c>
      <c r="I563">
        <v>503.75</v>
      </c>
      <c r="J563">
        <v>697.53</v>
      </c>
      <c r="K563">
        <v>831.58</v>
      </c>
      <c r="L563">
        <v>15.9</v>
      </c>
      <c r="M563">
        <v>2032.86</v>
      </c>
      <c r="N563">
        <v>2048.7600000000002</v>
      </c>
    </row>
    <row r="564" spans="1:14" x14ac:dyDescent="0.3">
      <c r="A564" s="2">
        <v>43435</v>
      </c>
      <c r="B564" t="s">
        <v>61</v>
      </c>
      <c r="C564">
        <v>2018</v>
      </c>
      <c r="D564">
        <v>12</v>
      </c>
      <c r="E564" t="s">
        <v>57</v>
      </c>
      <c r="F564" t="s">
        <v>21</v>
      </c>
      <c r="G564">
        <v>12</v>
      </c>
      <c r="H564" t="s">
        <v>20</v>
      </c>
      <c r="I564">
        <v>9.25</v>
      </c>
      <c r="J564">
        <v>12.41</v>
      </c>
      <c r="K564">
        <v>4.18</v>
      </c>
      <c r="L564">
        <v>0.11</v>
      </c>
      <c r="M564">
        <v>25.84</v>
      </c>
      <c r="N564">
        <v>25.95</v>
      </c>
    </row>
    <row r="565" spans="1:14" x14ac:dyDescent="0.3">
      <c r="A565" s="2">
        <v>43435</v>
      </c>
      <c r="B565" t="s">
        <v>61</v>
      </c>
      <c r="C565">
        <v>2018</v>
      </c>
      <c r="D565">
        <v>12</v>
      </c>
      <c r="E565" t="s">
        <v>57</v>
      </c>
      <c r="F565" t="s">
        <v>22</v>
      </c>
      <c r="G565">
        <v>18</v>
      </c>
      <c r="H565" t="s">
        <v>20</v>
      </c>
      <c r="I565">
        <v>198.43</v>
      </c>
      <c r="J565">
        <v>270</v>
      </c>
      <c r="K565">
        <v>231.22</v>
      </c>
      <c r="L565">
        <v>43.52</v>
      </c>
      <c r="M565">
        <v>699.65</v>
      </c>
      <c r="N565">
        <v>743.17</v>
      </c>
    </row>
    <row r="566" spans="1:14" x14ac:dyDescent="0.3">
      <c r="A566" s="2">
        <v>43435</v>
      </c>
      <c r="B566" t="s">
        <v>61</v>
      </c>
      <c r="C566">
        <v>2018</v>
      </c>
      <c r="D566">
        <v>12</v>
      </c>
      <c r="E566" t="s">
        <v>57</v>
      </c>
      <c r="F566" t="s">
        <v>23</v>
      </c>
      <c r="G566">
        <v>10</v>
      </c>
      <c r="H566" t="s">
        <v>20</v>
      </c>
      <c r="I566">
        <v>220.52</v>
      </c>
      <c r="J566">
        <v>393.52</v>
      </c>
      <c r="K566">
        <v>118.85</v>
      </c>
      <c r="L566">
        <v>176.37</v>
      </c>
      <c r="M566">
        <v>732.89</v>
      </c>
      <c r="N566">
        <v>909.26</v>
      </c>
    </row>
    <row r="567" spans="1:14" x14ac:dyDescent="0.3">
      <c r="A567" s="2">
        <v>43435</v>
      </c>
      <c r="B567" t="s">
        <v>61</v>
      </c>
      <c r="C567">
        <v>2018</v>
      </c>
      <c r="D567">
        <v>12</v>
      </c>
      <c r="E567" t="s">
        <v>57</v>
      </c>
      <c r="F567" t="s">
        <v>24</v>
      </c>
      <c r="G567">
        <v>4</v>
      </c>
      <c r="H567" t="s">
        <v>18</v>
      </c>
      <c r="I567">
        <v>28.68</v>
      </c>
      <c r="J567">
        <v>40.64</v>
      </c>
      <c r="K567">
        <v>73.33</v>
      </c>
      <c r="L567">
        <v>0.22</v>
      </c>
      <c r="M567">
        <v>142.65</v>
      </c>
      <c r="N567">
        <v>142.87</v>
      </c>
    </row>
    <row r="568" spans="1:14" x14ac:dyDescent="0.3">
      <c r="A568" s="2">
        <v>43435</v>
      </c>
      <c r="B568" t="s">
        <v>61</v>
      </c>
      <c r="C568">
        <v>2018</v>
      </c>
      <c r="D568">
        <v>12</v>
      </c>
      <c r="E568" t="s">
        <v>57</v>
      </c>
      <c r="F568" t="s">
        <v>25</v>
      </c>
      <c r="G568">
        <v>22</v>
      </c>
      <c r="H568" t="s">
        <v>20</v>
      </c>
      <c r="I568">
        <v>314.83999999999997</v>
      </c>
      <c r="J568">
        <v>409.71</v>
      </c>
      <c r="K568">
        <v>554.25</v>
      </c>
      <c r="L568">
        <v>573.20000000000005</v>
      </c>
      <c r="M568">
        <v>1278.8</v>
      </c>
      <c r="N568">
        <v>1852</v>
      </c>
    </row>
    <row r="569" spans="1:14" x14ac:dyDescent="0.3">
      <c r="A569" s="2">
        <v>43435</v>
      </c>
      <c r="B569" t="s">
        <v>61</v>
      </c>
      <c r="C569">
        <v>2018</v>
      </c>
      <c r="D569">
        <v>12</v>
      </c>
      <c r="E569" t="s">
        <v>57</v>
      </c>
      <c r="F569" t="s">
        <v>26</v>
      </c>
      <c r="G569">
        <v>38</v>
      </c>
      <c r="H569" t="s">
        <v>18</v>
      </c>
      <c r="I569">
        <v>24.77</v>
      </c>
      <c r="J569">
        <v>34.29</v>
      </c>
      <c r="K569">
        <v>146.28</v>
      </c>
      <c r="L569">
        <v>0.03</v>
      </c>
      <c r="M569">
        <v>205.34</v>
      </c>
      <c r="N569">
        <v>205.37</v>
      </c>
    </row>
    <row r="570" spans="1:14" x14ac:dyDescent="0.3">
      <c r="A570" s="2">
        <v>43435</v>
      </c>
      <c r="B570" t="s">
        <v>61</v>
      </c>
      <c r="C570">
        <v>2018</v>
      </c>
      <c r="D570">
        <v>12</v>
      </c>
      <c r="E570" t="s">
        <v>57</v>
      </c>
      <c r="F570" t="s">
        <v>27</v>
      </c>
      <c r="G570">
        <v>7</v>
      </c>
      <c r="H570" t="s">
        <v>18</v>
      </c>
      <c r="I570">
        <v>651.25</v>
      </c>
      <c r="J570">
        <v>845.01</v>
      </c>
      <c r="K570">
        <v>1560.65</v>
      </c>
      <c r="L570">
        <v>89.23</v>
      </c>
      <c r="M570">
        <v>3056.91</v>
      </c>
      <c r="N570">
        <v>3146.14</v>
      </c>
    </row>
    <row r="571" spans="1:14" x14ac:dyDescent="0.3">
      <c r="A571" s="2">
        <v>43435</v>
      </c>
      <c r="B571" t="s">
        <v>61</v>
      </c>
      <c r="C571">
        <v>2018</v>
      </c>
      <c r="D571">
        <v>12</v>
      </c>
      <c r="E571" t="s">
        <v>57</v>
      </c>
      <c r="F571" t="s">
        <v>28</v>
      </c>
      <c r="G571">
        <v>30</v>
      </c>
      <c r="H571" t="s">
        <v>20</v>
      </c>
      <c r="I571">
        <v>90.59</v>
      </c>
      <c r="J571">
        <v>126.43</v>
      </c>
      <c r="K571">
        <v>122.79</v>
      </c>
      <c r="L571">
        <v>2.2200000000000002</v>
      </c>
      <c r="M571">
        <v>339.81</v>
      </c>
      <c r="N571">
        <v>342.03</v>
      </c>
    </row>
    <row r="572" spans="1:14" x14ac:dyDescent="0.3">
      <c r="A572" s="2">
        <v>43435</v>
      </c>
      <c r="B572" t="s">
        <v>61</v>
      </c>
      <c r="C572">
        <v>2018</v>
      </c>
      <c r="D572">
        <v>12</v>
      </c>
      <c r="E572" t="s">
        <v>57</v>
      </c>
      <c r="F572" t="s">
        <v>29</v>
      </c>
      <c r="G572">
        <v>24</v>
      </c>
      <c r="H572" t="s">
        <v>20</v>
      </c>
      <c r="I572">
        <v>1514.08</v>
      </c>
      <c r="J572">
        <v>1971.89</v>
      </c>
      <c r="K572">
        <v>1850.79</v>
      </c>
      <c r="L572">
        <v>282.38</v>
      </c>
      <c r="M572">
        <v>5336.76</v>
      </c>
      <c r="N572">
        <v>5619.14</v>
      </c>
    </row>
    <row r="573" spans="1:14" x14ac:dyDescent="0.3">
      <c r="A573" s="2">
        <v>43435</v>
      </c>
      <c r="B573" t="s">
        <v>61</v>
      </c>
      <c r="C573">
        <v>2018</v>
      </c>
      <c r="D573">
        <v>12</v>
      </c>
      <c r="E573" t="s">
        <v>57</v>
      </c>
      <c r="F573" t="s">
        <v>30</v>
      </c>
      <c r="G573">
        <v>6</v>
      </c>
      <c r="H573" t="s">
        <v>20</v>
      </c>
      <c r="I573">
        <v>657.02</v>
      </c>
      <c r="J573">
        <v>971.08</v>
      </c>
      <c r="K573">
        <v>2690.77</v>
      </c>
      <c r="L573">
        <v>327.43</v>
      </c>
      <c r="M573">
        <v>4318.87</v>
      </c>
      <c r="N573">
        <v>4646.3</v>
      </c>
    </row>
    <row r="574" spans="1:14" x14ac:dyDescent="0.3">
      <c r="A574" s="2">
        <v>43435</v>
      </c>
      <c r="B574" t="s">
        <v>61</v>
      </c>
      <c r="C574">
        <v>2018</v>
      </c>
      <c r="D574">
        <v>12</v>
      </c>
      <c r="E574" t="s">
        <v>57</v>
      </c>
      <c r="F574" t="s">
        <v>31</v>
      </c>
      <c r="G574">
        <v>2</v>
      </c>
      <c r="H574" t="s">
        <v>20</v>
      </c>
      <c r="I574">
        <v>89.7</v>
      </c>
      <c r="J574">
        <v>139.61000000000001</v>
      </c>
      <c r="K574">
        <v>364.69</v>
      </c>
      <c r="L574">
        <v>0.73</v>
      </c>
      <c r="M574">
        <v>594</v>
      </c>
      <c r="N574">
        <v>594.73</v>
      </c>
    </row>
    <row r="575" spans="1:14" x14ac:dyDescent="0.3">
      <c r="A575" s="2">
        <v>43435</v>
      </c>
      <c r="B575" t="s">
        <v>61</v>
      </c>
      <c r="C575">
        <v>2018</v>
      </c>
      <c r="D575">
        <v>12</v>
      </c>
      <c r="E575" t="s">
        <v>57</v>
      </c>
      <c r="F575" t="s">
        <v>32</v>
      </c>
      <c r="G575">
        <v>1</v>
      </c>
      <c r="H575" t="s">
        <v>18</v>
      </c>
      <c r="I575">
        <v>77.94</v>
      </c>
      <c r="J575">
        <v>135.15</v>
      </c>
      <c r="K575">
        <v>78.59</v>
      </c>
      <c r="L575">
        <v>0.87</v>
      </c>
      <c r="M575">
        <v>291.68</v>
      </c>
      <c r="N575">
        <v>292.55</v>
      </c>
    </row>
    <row r="576" spans="1:14" x14ac:dyDescent="0.3">
      <c r="A576" s="2">
        <v>43435</v>
      </c>
      <c r="B576" t="s">
        <v>61</v>
      </c>
      <c r="C576">
        <v>2018</v>
      </c>
      <c r="D576">
        <v>12</v>
      </c>
      <c r="E576" t="s">
        <v>57</v>
      </c>
      <c r="F576" t="s">
        <v>33</v>
      </c>
      <c r="G576">
        <v>20</v>
      </c>
      <c r="H576" t="s">
        <v>20</v>
      </c>
      <c r="I576">
        <v>298.32</v>
      </c>
      <c r="J576">
        <v>411.15</v>
      </c>
      <c r="K576">
        <v>855.44</v>
      </c>
      <c r="L576">
        <v>430.57</v>
      </c>
      <c r="M576">
        <v>1564.91</v>
      </c>
      <c r="N576">
        <v>1995.48</v>
      </c>
    </row>
    <row r="577" spans="1:14" x14ac:dyDescent="0.3">
      <c r="A577" s="2">
        <v>43435</v>
      </c>
      <c r="B577" t="s">
        <v>61</v>
      </c>
      <c r="C577">
        <v>2018</v>
      </c>
      <c r="D577">
        <v>12</v>
      </c>
      <c r="E577" t="s">
        <v>57</v>
      </c>
      <c r="F577" t="s">
        <v>34</v>
      </c>
      <c r="G577">
        <v>29</v>
      </c>
      <c r="H577" t="s">
        <v>20</v>
      </c>
      <c r="I577">
        <v>1453.78</v>
      </c>
      <c r="J577">
        <v>1950.98</v>
      </c>
      <c r="K577">
        <v>2021.54</v>
      </c>
      <c r="L577">
        <v>782.34</v>
      </c>
      <c r="M577">
        <v>5426.3</v>
      </c>
      <c r="N577">
        <v>6208.64</v>
      </c>
    </row>
    <row r="578" spans="1:14" x14ac:dyDescent="0.3">
      <c r="A578" s="2">
        <v>43435</v>
      </c>
      <c r="B578" t="s">
        <v>61</v>
      </c>
      <c r="C578">
        <v>2018</v>
      </c>
      <c r="D578">
        <v>12</v>
      </c>
      <c r="E578" t="s">
        <v>57</v>
      </c>
      <c r="F578" t="s">
        <v>35</v>
      </c>
      <c r="G578">
        <v>32</v>
      </c>
      <c r="H578" t="s">
        <v>20</v>
      </c>
      <c r="I578">
        <v>461.35</v>
      </c>
      <c r="J578">
        <v>722.55</v>
      </c>
      <c r="K578">
        <v>227.61</v>
      </c>
      <c r="L578">
        <v>4.45</v>
      </c>
      <c r="M578">
        <v>1411.51</v>
      </c>
      <c r="N578">
        <v>1415.96</v>
      </c>
    </row>
    <row r="579" spans="1:14" x14ac:dyDescent="0.3">
      <c r="A579" s="2">
        <v>43435</v>
      </c>
      <c r="B579" t="s">
        <v>61</v>
      </c>
      <c r="C579">
        <v>2018</v>
      </c>
      <c r="D579">
        <v>12</v>
      </c>
      <c r="E579" t="s">
        <v>57</v>
      </c>
      <c r="F579" t="s">
        <v>36</v>
      </c>
      <c r="G579">
        <v>31</v>
      </c>
      <c r="H579" t="s">
        <v>18</v>
      </c>
      <c r="I579">
        <v>1.67</v>
      </c>
      <c r="J579">
        <v>1.85</v>
      </c>
      <c r="K579">
        <v>0.03</v>
      </c>
      <c r="L579">
        <v>0</v>
      </c>
      <c r="M579">
        <v>3.55</v>
      </c>
      <c r="N579">
        <v>3.55</v>
      </c>
    </row>
    <row r="580" spans="1:14" x14ac:dyDescent="0.3">
      <c r="A580" s="2">
        <v>43435</v>
      </c>
      <c r="B580" t="s">
        <v>61</v>
      </c>
      <c r="C580">
        <v>2018</v>
      </c>
      <c r="D580">
        <v>12</v>
      </c>
      <c r="E580" t="s">
        <v>57</v>
      </c>
      <c r="F580" t="s">
        <v>37</v>
      </c>
      <c r="G580">
        <v>23</v>
      </c>
      <c r="H580" t="s">
        <v>20</v>
      </c>
      <c r="I580">
        <v>478.27</v>
      </c>
      <c r="J580">
        <v>663.38</v>
      </c>
      <c r="K580">
        <v>560.78</v>
      </c>
      <c r="L580">
        <v>391.92</v>
      </c>
      <c r="M580">
        <v>1702.43</v>
      </c>
      <c r="N580">
        <v>2094.35</v>
      </c>
    </row>
    <row r="581" spans="1:14" x14ac:dyDescent="0.3">
      <c r="A581" s="2">
        <v>43435</v>
      </c>
      <c r="B581" t="s">
        <v>61</v>
      </c>
      <c r="C581">
        <v>2018</v>
      </c>
      <c r="D581">
        <v>12</v>
      </c>
      <c r="E581" t="s">
        <v>57</v>
      </c>
      <c r="F581" t="s">
        <v>38</v>
      </c>
      <c r="G581">
        <v>27</v>
      </c>
      <c r="H581" t="s">
        <v>20</v>
      </c>
      <c r="I581">
        <v>3689.91</v>
      </c>
      <c r="J581">
        <v>4503.08</v>
      </c>
      <c r="K581">
        <v>4517.03</v>
      </c>
      <c r="L581">
        <v>814.08</v>
      </c>
      <c r="M581">
        <v>12710.02</v>
      </c>
      <c r="N581">
        <v>13524.1</v>
      </c>
    </row>
    <row r="582" spans="1:14" x14ac:dyDescent="0.3">
      <c r="A582" s="2">
        <v>43435</v>
      </c>
      <c r="B582" t="s">
        <v>61</v>
      </c>
      <c r="C582">
        <v>2018</v>
      </c>
      <c r="D582">
        <v>12</v>
      </c>
      <c r="E582" t="s">
        <v>57</v>
      </c>
      <c r="F582" t="s">
        <v>39</v>
      </c>
      <c r="G582">
        <v>14</v>
      </c>
      <c r="H582" t="s">
        <v>20</v>
      </c>
      <c r="I582">
        <v>9.77</v>
      </c>
      <c r="J582">
        <v>15.65</v>
      </c>
      <c r="K582">
        <v>1.44</v>
      </c>
      <c r="L582">
        <v>0.25</v>
      </c>
      <c r="M582">
        <v>26.86</v>
      </c>
      <c r="N582">
        <v>27.11</v>
      </c>
    </row>
    <row r="583" spans="1:14" x14ac:dyDescent="0.3">
      <c r="A583" s="2">
        <v>43435</v>
      </c>
      <c r="B583" t="s">
        <v>61</v>
      </c>
      <c r="C583">
        <v>2018</v>
      </c>
      <c r="D583">
        <v>12</v>
      </c>
      <c r="E583" t="s">
        <v>57</v>
      </c>
      <c r="F583" t="s">
        <v>40</v>
      </c>
      <c r="G583">
        <v>17</v>
      </c>
      <c r="H583" t="s">
        <v>20</v>
      </c>
      <c r="I583">
        <v>14.05</v>
      </c>
      <c r="J583">
        <v>20.98</v>
      </c>
      <c r="K583">
        <v>72.87</v>
      </c>
      <c r="L583">
        <v>0.14000000000000001</v>
      </c>
      <c r="M583">
        <v>107.9</v>
      </c>
      <c r="N583">
        <v>108.04</v>
      </c>
    </row>
    <row r="584" spans="1:14" x14ac:dyDescent="0.3">
      <c r="A584" s="2">
        <v>43435</v>
      </c>
      <c r="B584" t="s">
        <v>61</v>
      </c>
      <c r="C584">
        <v>2018</v>
      </c>
      <c r="D584">
        <v>12</v>
      </c>
      <c r="E584" t="s">
        <v>57</v>
      </c>
      <c r="F584" t="s">
        <v>41</v>
      </c>
      <c r="G584">
        <v>15</v>
      </c>
      <c r="H584" t="s">
        <v>20</v>
      </c>
      <c r="I584">
        <v>3.58</v>
      </c>
      <c r="J584">
        <v>6.07</v>
      </c>
      <c r="K584">
        <v>3.31</v>
      </c>
      <c r="L584">
        <v>0.11</v>
      </c>
      <c r="M584">
        <v>12.96</v>
      </c>
      <c r="N584">
        <v>13.07</v>
      </c>
    </row>
    <row r="585" spans="1:14" x14ac:dyDescent="0.3">
      <c r="A585" s="2">
        <v>43435</v>
      </c>
      <c r="B585" t="s">
        <v>61</v>
      </c>
      <c r="C585">
        <v>2018</v>
      </c>
      <c r="D585">
        <v>12</v>
      </c>
      <c r="E585" t="s">
        <v>57</v>
      </c>
      <c r="F585" t="s">
        <v>42</v>
      </c>
      <c r="G585">
        <v>13</v>
      </c>
      <c r="H585" t="s">
        <v>20</v>
      </c>
      <c r="I585">
        <v>4.25</v>
      </c>
      <c r="J585">
        <v>6.87</v>
      </c>
      <c r="K585">
        <v>4.55</v>
      </c>
      <c r="L585">
        <v>0.87</v>
      </c>
      <c r="M585">
        <v>15.67</v>
      </c>
      <c r="N585">
        <v>16.54</v>
      </c>
    </row>
    <row r="586" spans="1:14" x14ac:dyDescent="0.3">
      <c r="A586" s="2">
        <v>43435</v>
      </c>
      <c r="B586" t="s">
        <v>61</v>
      </c>
      <c r="C586">
        <v>2018</v>
      </c>
      <c r="D586">
        <v>12</v>
      </c>
      <c r="E586" t="s">
        <v>57</v>
      </c>
      <c r="F586" t="s">
        <v>43</v>
      </c>
      <c r="G586">
        <v>21</v>
      </c>
      <c r="H586" t="s">
        <v>20</v>
      </c>
      <c r="I586">
        <v>443.58</v>
      </c>
      <c r="J586">
        <v>572.38</v>
      </c>
      <c r="K586">
        <v>823.6</v>
      </c>
      <c r="L586">
        <v>507.03</v>
      </c>
      <c r="M586">
        <v>1839.56</v>
      </c>
      <c r="N586">
        <v>2346.59</v>
      </c>
    </row>
    <row r="587" spans="1:14" x14ac:dyDescent="0.3">
      <c r="A587" s="2">
        <v>43435</v>
      </c>
      <c r="B587" t="s">
        <v>61</v>
      </c>
      <c r="C587">
        <v>2018</v>
      </c>
      <c r="D587">
        <v>12</v>
      </c>
      <c r="E587" t="s">
        <v>57</v>
      </c>
      <c r="F587" t="s">
        <v>44</v>
      </c>
      <c r="G587">
        <v>34</v>
      </c>
      <c r="H587" t="s">
        <v>18</v>
      </c>
      <c r="I587">
        <v>17.88</v>
      </c>
      <c r="J587">
        <v>29.22</v>
      </c>
      <c r="K587">
        <v>104.65</v>
      </c>
      <c r="L587">
        <v>0.15</v>
      </c>
      <c r="M587">
        <v>151.75</v>
      </c>
      <c r="N587">
        <v>151.9</v>
      </c>
    </row>
    <row r="588" spans="1:14" x14ac:dyDescent="0.3">
      <c r="A588" s="2">
        <v>43435</v>
      </c>
      <c r="B588" t="s">
        <v>61</v>
      </c>
      <c r="C588">
        <v>2018</v>
      </c>
      <c r="D588">
        <v>12</v>
      </c>
      <c r="E588" t="s">
        <v>57</v>
      </c>
      <c r="F588" t="s">
        <v>45</v>
      </c>
      <c r="G588">
        <v>3</v>
      </c>
      <c r="H588" t="s">
        <v>20</v>
      </c>
      <c r="I588">
        <v>273.49</v>
      </c>
      <c r="J588">
        <v>459.58</v>
      </c>
      <c r="K588">
        <v>422.78</v>
      </c>
      <c r="L588">
        <v>6.62</v>
      </c>
      <c r="M588">
        <v>1155.8499999999999</v>
      </c>
      <c r="N588">
        <v>1162.47</v>
      </c>
    </row>
    <row r="589" spans="1:14" x14ac:dyDescent="0.3">
      <c r="A589" s="2">
        <v>43435</v>
      </c>
      <c r="B589" t="s">
        <v>61</v>
      </c>
      <c r="C589">
        <v>2018</v>
      </c>
      <c r="D589">
        <v>12</v>
      </c>
      <c r="E589" t="s">
        <v>57</v>
      </c>
      <c r="F589" t="s">
        <v>46</v>
      </c>
      <c r="G589">
        <v>8</v>
      </c>
      <c r="H589" t="s">
        <v>20</v>
      </c>
      <c r="I589">
        <v>668.7</v>
      </c>
      <c r="J589">
        <v>924.61</v>
      </c>
      <c r="K589">
        <v>752.85</v>
      </c>
      <c r="L589">
        <v>110.26</v>
      </c>
      <c r="M589">
        <v>2346.16</v>
      </c>
      <c r="N589">
        <v>2456.42</v>
      </c>
    </row>
    <row r="590" spans="1:14" x14ac:dyDescent="0.3">
      <c r="A590" s="2">
        <v>43435</v>
      </c>
      <c r="B590" t="s">
        <v>61</v>
      </c>
      <c r="C590">
        <v>2018</v>
      </c>
      <c r="D590">
        <v>12</v>
      </c>
      <c r="E590" t="s">
        <v>57</v>
      </c>
      <c r="F590" t="s">
        <v>47</v>
      </c>
      <c r="G590">
        <v>11</v>
      </c>
      <c r="H590" t="s">
        <v>20</v>
      </c>
      <c r="I590">
        <v>7.3</v>
      </c>
      <c r="J590">
        <v>11.49</v>
      </c>
      <c r="K590">
        <v>130.66</v>
      </c>
      <c r="L590">
        <v>0.28000000000000003</v>
      </c>
      <c r="M590">
        <v>149.44999999999999</v>
      </c>
      <c r="N590">
        <v>149.72999999999999</v>
      </c>
    </row>
    <row r="591" spans="1:14" x14ac:dyDescent="0.3">
      <c r="A591" s="2">
        <v>43435</v>
      </c>
      <c r="B591" t="s">
        <v>61</v>
      </c>
      <c r="C591">
        <v>2018</v>
      </c>
      <c r="D591">
        <v>12</v>
      </c>
      <c r="E591" t="s">
        <v>57</v>
      </c>
      <c r="F591" t="s">
        <v>48</v>
      </c>
      <c r="G591">
        <v>33</v>
      </c>
      <c r="H591" t="s">
        <v>20</v>
      </c>
      <c r="I591">
        <v>1383.79</v>
      </c>
      <c r="J591">
        <v>1987.28</v>
      </c>
      <c r="K591">
        <v>1536.21</v>
      </c>
      <c r="L591">
        <v>507.8</v>
      </c>
      <c r="M591">
        <v>4907.28</v>
      </c>
      <c r="N591">
        <v>5415.08</v>
      </c>
    </row>
    <row r="592" spans="1:14" x14ac:dyDescent="0.3">
      <c r="A592" s="2">
        <v>43435</v>
      </c>
      <c r="B592" t="s">
        <v>61</v>
      </c>
      <c r="C592">
        <v>2018</v>
      </c>
      <c r="D592">
        <v>12</v>
      </c>
      <c r="E592" t="s">
        <v>57</v>
      </c>
      <c r="F592" t="s">
        <v>49</v>
      </c>
      <c r="G592">
        <v>36</v>
      </c>
      <c r="H592" t="s">
        <v>20</v>
      </c>
      <c r="I592">
        <v>649.70000000000005</v>
      </c>
      <c r="J592">
        <v>907.83</v>
      </c>
      <c r="K592">
        <v>879.44</v>
      </c>
      <c r="L592">
        <v>577.33000000000004</v>
      </c>
      <c r="M592">
        <v>2436.9699999999998</v>
      </c>
      <c r="N592">
        <v>3014.3</v>
      </c>
    </row>
    <row r="593" spans="1:14" x14ac:dyDescent="0.3">
      <c r="A593" s="2">
        <v>43435</v>
      </c>
      <c r="B593" t="s">
        <v>61</v>
      </c>
      <c r="C593">
        <v>2018</v>
      </c>
      <c r="D593">
        <v>12</v>
      </c>
      <c r="E593" t="s">
        <v>57</v>
      </c>
      <c r="F593" t="s">
        <v>50</v>
      </c>
      <c r="G593">
        <v>16</v>
      </c>
      <c r="H593" t="s">
        <v>20</v>
      </c>
      <c r="I593">
        <v>17.29</v>
      </c>
      <c r="J593">
        <v>25.65</v>
      </c>
      <c r="K593">
        <v>4.8899999999999997</v>
      </c>
      <c r="L593">
        <v>0.14000000000000001</v>
      </c>
      <c r="M593">
        <v>47.83</v>
      </c>
      <c r="N593">
        <v>47.97</v>
      </c>
    </row>
    <row r="594" spans="1:14" x14ac:dyDescent="0.3">
      <c r="A594" s="2">
        <v>43435</v>
      </c>
      <c r="B594" t="s">
        <v>61</v>
      </c>
      <c r="C594">
        <v>2018</v>
      </c>
      <c r="D594">
        <v>12</v>
      </c>
      <c r="E594" t="s">
        <v>57</v>
      </c>
      <c r="F594" t="s">
        <v>51</v>
      </c>
      <c r="G594">
        <v>9</v>
      </c>
      <c r="H594" t="s">
        <v>20</v>
      </c>
      <c r="I594">
        <v>1065.01</v>
      </c>
      <c r="J594">
        <v>1622.84</v>
      </c>
      <c r="K594">
        <v>1206.53</v>
      </c>
      <c r="L594">
        <v>1062.4000000000001</v>
      </c>
      <c r="M594">
        <v>3894.38</v>
      </c>
      <c r="N594">
        <v>4956.78</v>
      </c>
    </row>
    <row r="595" spans="1:14" x14ac:dyDescent="0.3">
      <c r="A595" s="2">
        <v>43435</v>
      </c>
      <c r="B595" t="s">
        <v>61</v>
      </c>
      <c r="C595">
        <v>2018</v>
      </c>
      <c r="D595">
        <v>12</v>
      </c>
      <c r="E595" t="s">
        <v>57</v>
      </c>
      <c r="F595" t="s">
        <v>52</v>
      </c>
      <c r="G595">
        <v>5</v>
      </c>
      <c r="H595" t="s">
        <v>20</v>
      </c>
      <c r="I595">
        <v>154.25</v>
      </c>
      <c r="J595">
        <v>292.68</v>
      </c>
      <c r="K595">
        <v>591.46</v>
      </c>
      <c r="L595">
        <v>16.84</v>
      </c>
      <c r="M595">
        <v>1038.3900000000001</v>
      </c>
      <c r="N595">
        <v>1055.23</v>
      </c>
    </row>
    <row r="596" spans="1:14" x14ac:dyDescent="0.3">
      <c r="A596" s="2">
        <v>43435</v>
      </c>
      <c r="B596" t="s">
        <v>61</v>
      </c>
      <c r="C596">
        <v>2018</v>
      </c>
      <c r="D596">
        <v>12</v>
      </c>
      <c r="E596" t="s">
        <v>57</v>
      </c>
      <c r="F596" t="s">
        <v>53</v>
      </c>
      <c r="G596">
        <v>19</v>
      </c>
      <c r="H596" t="s">
        <v>20</v>
      </c>
      <c r="I596">
        <v>937.4</v>
      </c>
      <c r="J596">
        <v>1230.53</v>
      </c>
      <c r="K596">
        <v>737.13</v>
      </c>
      <c r="L596">
        <v>324.94</v>
      </c>
      <c r="M596">
        <v>2905.06</v>
      </c>
      <c r="N596">
        <v>3230</v>
      </c>
    </row>
    <row r="597" spans="1:14" x14ac:dyDescent="0.3">
      <c r="A597" s="2">
        <v>43466</v>
      </c>
      <c r="B597" t="s">
        <v>61</v>
      </c>
      <c r="C597">
        <v>2019</v>
      </c>
      <c r="D597">
        <v>1</v>
      </c>
      <c r="E597" t="s">
        <v>58</v>
      </c>
      <c r="F597" t="s">
        <v>17</v>
      </c>
      <c r="G597">
        <v>35</v>
      </c>
      <c r="H597" t="s">
        <v>18</v>
      </c>
      <c r="I597">
        <v>12.48</v>
      </c>
      <c r="J597">
        <v>18.079999999999998</v>
      </c>
      <c r="K597">
        <v>3.95</v>
      </c>
      <c r="L597">
        <v>0.02</v>
      </c>
      <c r="M597">
        <v>34.51</v>
      </c>
      <c r="N597">
        <v>34.53</v>
      </c>
    </row>
    <row r="598" spans="1:14" x14ac:dyDescent="0.3">
      <c r="A598" s="2">
        <v>43466</v>
      </c>
      <c r="B598" t="s">
        <v>61</v>
      </c>
      <c r="C598">
        <v>2019</v>
      </c>
      <c r="D598">
        <v>1</v>
      </c>
      <c r="E598" t="s">
        <v>58</v>
      </c>
      <c r="F598" t="s">
        <v>19</v>
      </c>
      <c r="G598">
        <v>28</v>
      </c>
      <c r="H598" t="s">
        <v>20</v>
      </c>
      <c r="I598">
        <v>538.51</v>
      </c>
      <c r="J598">
        <v>785.8</v>
      </c>
      <c r="K598">
        <v>811.71</v>
      </c>
      <c r="L598">
        <v>22.71</v>
      </c>
      <c r="M598">
        <v>2136.02</v>
      </c>
      <c r="N598">
        <v>2158.73</v>
      </c>
    </row>
    <row r="599" spans="1:14" x14ac:dyDescent="0.3">
      <c r="A599" s="2">
        <v>43466</v>
      </c>
      <c r="B599" t="s">
        <v>61</v>
      </c>
      <c r="C599">
        <v>2019</v>
      </c>
      <c r="D599">
        <v>1</v>
      </c>
      <c r="E599" t="s">
        <v>58</v>
      </c>
      <c r="F599" t="s">
        <v>21</v>
      </c>
      <c r="G599">
        <v>12</v>
      </c>
      <c r="H599" t="s">
        <v>20</v>
      </c>
      <c r="I599">
        <v>14.39</v>
      </c>
      <c r="J599">
        <v>19.440000000000001</v>
      </c>
      <c r="K599">
        <v>4.37</v>
      </c>
      <c r="L599">
        <v>0.04</v>
      </c>
      <c r="M599">
        <v>38.200000000000003</v>
      </c>
      <c r="N599">
        <v>38.24</v>
      </c>
    </row>
    <row r="600" spans="1:14" x14ac:dyDescent="0.3">
      <c r="A600" s="2">
        <v>43466</v>
      </c>
      <c r="B600" t="s">
        <v>61</v>
      </c>
      <c r="C600">
        <v>2019</v>
      </c>
      <c r="D600">
        <v>1</v>
      </c>
      <c r="E600" t="s">
        <v>58</v>
      </c>
      <c r="F600" t="s">
        <v>22</v>
      </c>
      <c r="G600">
        <v>18</v>
      </c>
      <c r="H600" t="s">
        <v>20</v>
      </c>
      <c r="I600">
        <v>206.59</v>
      </c>
      <c r="J600">
        <v>318.58999999999997</v>
      </c>
      <c r="K600">
        <v>214.71</v>
      </c>
      <c r="L600">
        <v>47.01</v>
      </c>
      <c r="M600">
        <v>739.89</v>
      </c>
      <c r="N600">
        <v>786.9</v>
      </c>
    </row>
    <row r="601" spans="1:14" x14ac:dyDescent="0.3">
      <c r="A601" s="2">
        <v>43466</v>
      </c>
      <c r="B601" t="s">
        <v>61</v>
      </c>
      <c r="C601">
        <v>2019</v>
      </c>
      <c r="D601">
        <v>1</v>
      </c>
      <c r="E601" t="s">
        <v>58</v>
      </c>
      <c r="F601" t="s">
        <v>23</v>
      </c>
      <c r="G601">
        <v>10</v>
      </c>
      <c r="H601" t="s">
        <v>20</v>
      </c>
      <c r="I601">
        <v>253.9</v>
      </c>
      <c r="J601">
        <v>453.13</v>
      </c>
      <c r="K601">
        <v>137.63999999999999</v>
      </c>
      <c r="L601">
        <v>194.78</v>
      </c>
      <c r="M601">
        <v>844.67</v>
      </c>
      <c r="N601">
        <v>1039.45</v>
      </c>
    </row>
    <row r="602" spans="1:14" x14ac:dyDescent="0.3">
      <c r="A602" s="2">
        <v>43466</v>
      </c>
      <c r="B602" t="s">
        <v>61</v>
      </c>
      <c r="C602">
        <v>2019</v>
      </c>
      <c r="D602">
        <v>1</v>
      </c>
      <c r="E602" t="s">
        <v>58</v>
      </c>
      <c r="F602" t="s">
        <v>24</v>
      </c>
      <c r="G602">
        <v>4</v>
      </c>
      <c r="H602" t="s">
        <v>18</v>
      </c>
      <c r="I602">
        <v>31.08</v>
      </c>
      <c r="J602">
        <v>50.15</v>
      </c>
      <c r="K602">
        <v>76.459999999999994</v>
      </c>
      <c r="L602">
        <v>1.35</v>
      </c>
      <c r="M602">
        <v>157.69</v>
      </c>
      <c r="N602">
        <v>159.04</v>
      </c>
    </row>
    <row r="603" spans="1:14" x14ac:dyDescent="0.3">
      <c r="A603" s="2">
        <v>43466</v>
      </c>
      <c r="B603" t="s">
        <v>61</v>
      </c>
      <c r="C603">
        <v>2019</v>
      </c>
      <c r="D603">
        <v>1</v>
      </c>
      <c r="E603" t="s">
        <v>58</v>
      </c>
      <c r="F603" t="s">
        <v>25</v>
      </c>
      <c r="G603">
        <v>22</v>
      </c>
      <c r="H603" t="s">
        <v>20</v>
      </c>
      <c r="I603">
        <v>347.93</v>
      </c>
      <c r="J603">
        <v>453.89</v>
      </c>
      <c r="K603">
        <v>702.93</v>
      </c>
      <c r="L603">
        <v>559.34</v>
      </c>
      <c r="M603">
        <v>1504.75</v>
      </c>
      <c r="N603">
        <v>2064.09</v>
      </c>
    </row>
    <row r="604" spans="1:14" x14ac:dyDescent="0.3">
      <c r="A604" s="2">
        <v>43466</v>
      </c>
      <c r="B604" t="s">
        <v>61</v>
      </c>
      <c r="C604">
        <v>2019</v>
      </c>
      <c r="D604">
        <v>1</v>
      </c>
      <c r="E604" t="s">
        <v>58</v>
      </c>
      <c r="F604" t="s">
        <v>26</v>
      </c>
      <c r="G604">
        <v>38</v>
      </c>
      <c r="H604" t="s">
        <v>18</v>
      </c>
      <c r="I604">
        <v>27.79</v>
      </c>
      <c r="J604">
        <v>44.22</v>
      </c>
      <c r="K604">
        <v>201.29</v>
      </c>
      <c r="L604">
        <v>0.41</v>
      </c>
      <c r="M604">
        <v>273.3</v>
      </c>
      <c r="N604">
        <v>273.70999999999998</v>
      </c>
    </row>
    <row r="605" spans="1:14" x14ac:dyDescent="0.3">
      <c r="A605" s="2">
        <v>43466</v>
      </c>
      <c r="B605" t="s">
        <v>61</v>
      </c>
      <c r="C605">
        <v>2019</v>
      </c>
      <c r="D605">
        <v>1</v>
      </c>
      <c r="E605" t="s">
        <v>58</v>
      </c>
      <c r="F605" t="s">
        <v>27</v>
      </c>
      <c r="G605">
        <v>7</v>
      </c>
      <c r="H605" t="s">
        <v>18</v>
      </c>
      <c r="I605">
        <v>693.59</v>
      </c>
      <c r="J605">
        <v>945.91</v>
      </c>
      <c r="K605">
        <v>1782.94</v>
      </c>
      <c r="L605">
        <v>102.72</v>
      </c>
      <c r="M605">
        <v>3422.44</v>
      </c>
      <c r="N605">
        <v>3525.16</v>
      </c>
    </row>
    <row r="606" spans="1:14" x14ac:dyDescent="0.3">
      <c r="A606" s="2">
        <v>43466</v>
      </c>
      <c r="B606" t="s">
        <v>61</v>
      </c>
      <c r="C606">
        <v>2019</v>
      </c>
      <c r="D606">
        <v>1</v>
      </c>
      <c r="E606" t="s">
        <v>58</v>
      </c>
      <c r="F606" t="s">
        <v>28</v>
      </c>
      <c r="G606">
        <v>30</v>
      </c>
      <c r="H606" t="s">
        <v>20</v>
      </c>
      <c r="I606">
        <v>99.47</v>
      </c>
      <c r="J606">
        <v>150.80000000000001</v>
      </c>
      <c r="K606">
        <v>140.79</v>
      </c>
      <c r="L606">
        <v>2.75</v>
      </c>
      <c r="M606">
        <v>391.06</v>
      </c>
      <c r="N606">
        <v>393.81</v>
      </c>
    </row>
    <row r="607" spans="1:14" x14ac:dyDescent="0.3">
      <c r="A607" s="2">
        <v>43466</v>
      </c>
      <c r="B607" t="s">
        <v>61</v>
      </c>
      <c r="C607">
        <v>2019</v>
      </c>
      <c r="D607">
        <v>1</v>
      </c>
      <c r="E607" t="s">
        <v>58</v>
      </c>
      <c r="F607" t="s">
        <v>29</v>
      </c>
      <c r="G607">
        <v>24</v>
      </c>
      <c r="H607" t="s">
        <v>20</v>
      </c>
      <c r="I607">
        <v>1722.12</v>
      </c>
      <c r="J607">
        <v>2227.25</v>
      </c>
      <c r="K607">
        <v>1932.56</v>
      </c>
      <c r="L607">
        <v>302.92</v>
      </c>
      <c r="M607">
        <v>5881.93</v>
      </c>
      <c r="N607">
        <v>6184.85</v>
      </c>
    </row>
    <row r="608" spans="1:14" x14ac:dyDescent="0.3">
      <c r="A608" s="2">
        <v>43466</v>
      </c>
      <c r="B608" t="s">
        <v>61</v>
      </c>
      <c r="C608">
        <v>2019</v>
      </c>
      <c r="D608">
        <v>1</v>
      </c>
      <c r="E608" t="s">
        <v>58</v>
      </c>
      <c r="F608" t="s">
        <v>30</v>
      </c>
      <c r="G608">
        <v>6</v>
      </c>
      <c r="H608" t="s">
        <v>20</v>
      </c>
      <c r="I608">
        <v>728.94</v>
      </c>
      <c r="J608">
        <v>1065.1500000000001</v>
      </c>
      <c r="K608">
        <v>2679.34</v>
      </c>
      <c r="L608">
        <v>341.3</v>
      </c>
      <c r="M608">
        <v>4473.43</v>
      </c>
      <c r="N608">
        <v>4814.7299999999996</v>
      </c>
    </row>
    <row r="609" spans="1:14" x14ac:dyDescent="0.3">
      <c r="A609" s="2">
        <v>43466</v>
      </c>
      <c r="B609" t="s">
        <v>61</v>
      </c>
      <c r="C609">
        <v>2019</v>
      </c>
      <c r="D609">
        <v>1</v>
      </c>
      <c r="E609" t="s">
        <v>58</v>
      </c>
      <c r="F609" t="s">
        <v>31</v>
      </c>
      <c r="G609">
        <v>2</v>
      </c>
      <c r="H609" t="s">
        <v>20</v>
      </c>
      <c r="I609">
        <v>88.48</v>
      </c>
      <c r="J609">
        <v>145.29</v>
      </c>
      <c r="K609">
        <v>410.31</v>
      </c>
      <c r="L609">
        <v>2.67</v>
      </c>
      <c r="M609">
        <v>644.08000000000004</v>
      </c>
      <c r="N609">
        <v>646.75</v>
      </c>
    </row>
    <row r="610" spans="1:14" x14ac:dyDescent="0.3">
      <c r="A610" s="2">
        <v>43466</v>
      </c>
      <c r="B610" t="s">
        <v>61</v>
      </c>
      <c r="C610">
        <v>2019</v>
      </c>
      <c r="D610">
        <v>1</v>
      </c>
      <c r="E610" t="s">
        <v>58</v>
      </c>
      <c r="F610" t="s">
        <v>32</v>
      </c>
      <c r="G610">
        <v>1</v>
      </c>
      <c r="H610" t="s">
        <v>18</v>
      </c>
      <c r="I610">
        <v>94.44</v>
      </c>
      <c r="J610">
        <v>160.06</v>
      </c>
      <c r="K610">
        <v>75.290000000000006</v>
      </c>
      <c r="L610">
        <v>1.41</v>
      </c>
      <c r="M610">
        <v>329.79</v>
      </c>
      <c r="N610">
        <v>331.2</v>
      </c>
    </row>
    <row r="611" spans="1:14" x14ac:dyDescent="0.3">
      <c r="A611" s="2">
        <v>43466</v>
      </c>
      <c r="B611" t="s">
        <v>61</v>
      </c>
      <c r="C611">
        <v>2019</v>
      </c>
      <c r="D611">
        <v>1</v>
      </c>
      <c r="E611" t="s">
        <v>58</v>
      </c>
      <c r="F611" t="s">
        <v>33</v>
      </c>
      <c r="G611">
        <v>20</v>
      </c>
      <c r="H611" t="s">
        <v>20</v>
      </c>
      <c r="I611">
        <v>319.85000000000002</v>
      </c>
      <c r="J611">
        <v>447.26</v>
      </c>
      <c r="K611">
        <v>755.72</v>
      </c>
      <c r="L611">
        <v>441.95</v>
      </c>
      <c r="M611">
        <v>1522.83</v>
      </c>
      <c r="N611">
        <v>1964.78</v>
      </c>
    </row>
    <row r="612" spans="1:14" x14ac:dyDescent="0.3">
      <c r="A612" s="2">
        <v>43466</v>
      </c>
      <c r="B612" t="s">
        <v>61</v>
      </c>
      <c r="C612">
        <v>2019</v>
      </c>
      <c r="D612">
        <v>1</v>
      </c>
      <c r="E612" t="s">
        <v>58</v>
      </c>
      <c r="F612" t="s">
        <v>34</v>
      </c>
      <c r="G612">
        <v>29</v>
      </c>
      <c r="H612" t="s">
        <v>20</v>
      </c>
      <c r="I612">
        <v>1619.03</v>
      </c>
      <c r="J612">
        <v>2193.54</v>
      </c>
      <c r="K612">
        <v>2546.5700000000002</v>
      </c>
      <c r="L612">
        <v>970.16</v>
      </c>
      <c r="M612">
        <v>6359.14</v>
      </c>
      <c r="N612">
        <v>7329.3</v>
      </c>
    </row>
    <row r="613" spans="1:14" x14ac:dyDescent="0.3">
      <c r="A613" s="2">
        <v>43466</v>
      </c>
      <c r="B613" t="s">
        <v>61</v>
      </c>
      <c r="C613">
        <v>2019</v>
      </c>
      <c r="D613">
        <v>1</v>
      </c>
      <c r="E613" t="s">
        <v>58</v>
      </c>
      <c r="F613" t="s">
        <v>35</v>
      </c>
      <c r="G613">
        <v>32</v>
      </c>
      <c r="H613" t="s">
        <v>20</v>
      </c>
      <c r="I613">
        <v>474.91</v>
      </c>
      <c r="J613">
        <v>821.39</v>
      </c>
      <c r="K613">
        <v>275.22000000000003</v>
      </c>
      <c r="L613">
        <v>12.83</v>
      </c>
      <c r="M613">
        <v>1571.52</v>
      </c>
      <c r="N613">
        <v>1584.35</v>
      </c>
    </row>
    <row r="614" spans="1:14" x14ac:dyDescent="0.3">
      <c r="A614" s="2">
        <v>43466</v>
      </c>
      <c r="B614" t="s">
        <v>61</v>
      </c>
      <c r="C614">
        <v>2019</v>
      </c>
      <c r="D614">
        <v>1</v>
      </c>
      <c r="E614" t="s">
        <v>58</v>
      </c>
      <c r="F614" t="s">
        <v>36</v>
      </c>
      <c r="G614">
        <v>31</v>
      </c>
      <c r="H614" t="s">
        <v>18</v>
      </c>
      <c r="I614">
        <v>0.44</v>
      </c>
      <c r="J614">
        <v>0.6</v>
      </c>
      <c r="K614">
        <v>0.04</v>
      </c>
      <c r="L614">
        <v>0</v>
      </c>
      <c r="M614">
        <v>1.08</v>
      </c>
      <c r="N614">
        <v>1.08</v>
      </c>
    </row>
    <row r="615" spans="1:14" x14ac:dyDescent="0.3">
      <c r="A615" s="2">
        <v>43466</v>
      </c>
      <c r="B615" t="s">
        <v>61</v>
      </c>
      <c r="C615">
        <v>2019</v>
      </c>
      <c r="D615">
        <v>1</v>
      </c>
      <c r="E615" t="s">
        <v>58</v>
      </c>
      <c r="F615" t="s">
        <v>37</v>
      </c>
      <c r="G615">
        <v>23</v>
      </c>
      <c r="H615" t="s">
        <v>20</v>
      </c>
      <c r="I615">
        <v>548.04999999999995</v>
      </c>
      <c r="J615">
        <v>756.42</v>
      </c>
      <c r="K615">
        <v>656.76</v>
      </c>
      <c r="L615">
        <v>452.89</v>
      </c>
      <c r="M615">
        <v>1961.23</v>
      </c>
      <c r="N615">
        <v>2414.12</v>
      </c>
    </row>
    <row r="616" spans="1:14" x14ac:dyDescent="0.3">
      <c r="A616" s="2">
        <v>43466</v>
      </c>
      <c r="B616" t="s">
        <v>61</v>
      </c>
      <c r="C616">
        <v>2019</v>
      </c>
      <c r="D616">
        <v>1</v>
      </c>
      <c r="E616" t="s">
        <v>58</v>
      </c>
      <c r="F616" t="s">
        <v>38</v>
      </c>
      <c r="G616">
        <v>27</v>
      </c>
      <c r="H616" t="s">
        <v>20</v>
      </c>
      <c r="I616">
        <v>3850.33</v>
      </c>
      <c r="J616">
        <v>4837.32</v>
      </c>
      <c r="K616">
        <v>5491.97</v>
      </c>
      <c r="L616">
        <v>971.06</v>
      </c>
      <c r="M616">
        <v>14179.62</v>
      </c>
      <c r="N616">
        <v>15150.68</v>
      </c>
    </row>
    <row r="617" spans="1:14" x14ac:dyDescent="0.3">
      <c r="A617" s="2">
        <v>43466</v>
      </c>
      <c r="B617" t="s">
        <v>61</v>
      </c>
      <c r="C617">
        <v>2019</v>
      </c>
      <c r="D617">
        <v>1</v>
      </c>
      <c r="E617" t="s">
        <v>58</v>
      </c>
      <c r="F617" t="s">
        <v>39</v>
      </c>
      <c r="G617">
        <v>14</v>
      </c>
      <c r="H617" t="s">
        <v>20</v>
      </c>
      <c r="I617">
        <v>8.5299999999999994</v>
      </c>
      <c r="J617">
        <v>13.54</v>
      </c>
      <c r="K617">
        <v>1.51</v>
      </c>
      <c r="L617">
        <v>0.13</v>
      </c>
      <c r="M617">
        <v>23.58</v>
      </c>
      <c r="N617">
        <v>23.71</v>
      </c>
    </row>
    <row r="618" spans="1:14" x14ac:dyDescent="0.3">
      <c r="A618" s="2">
        <v>43466</v>
      </c>
      <c r="B618" t="s">
        <v>61</v>
      </c>
      <c r="C618">
        <v>2019</v>
      </c>
      <c r="D618">
        <v>1</v>
      </c>
      <c r="E618" t="s">
        <v>58</v>
      </c>
      <c r="F618" t="s">
        <v>40</v>
      </c>
      <c r="G618">
        <v>17</v>
      </c>
      <c r="H618" t="s">
        <v>20</v>
      </c>
      <c r="I618">
        <v>16.61</v>
      </c>
      <c r="J618">
        <v>23.74</v>
      </c>
      <c r="K618">
        <v>62.76</v>
      </c>
      <c r="L618">
        <v>0.81</v>
      </c>
      <c r="M618">
        <v>103.11</v>
      </c>
      <c r="N618">
        <v>103.92</v>
      </c>
    </row>
    <row r="619" spans="1:14" x14ac:dyDescent="0.3">
      <c r="A619" s="2">
        <v>43466</v>
      </c>
      <c r="B619" t="s">
        <v>61</v>
      </c>
      <c r="C619">
        <v>2019</v>
      </c>
      <c r="D619">
        <v>1</v>
      </c>
      <c r="E619" t="s">
        <v>58</v>
      </c>
      <c r="F619" t="s">
        <v>41</v>
      </c>
      <c r="G619">
        <v>15</v>
      </c>
      <c r="H619" t="s">
        <v>20</v>
      </c>
      <c r="I619">
        <v>7.1</v>
      </c>
      <c r="J619">
        <v>11.91</v>
      </c>
      <c r="K619">
        <v>7.26</v>
      </c>
      <c r="L619">
        <v>0.14000000000000001</v>
      </c>
      <c r="M619">
        <v>26.27</v>
      </c>
      <c r="N619">
        <v>26.41</v>
      </c>
    </row>
    <row r="620" spans="1:14" x14ac:dyDescent="0.3">
      <c r="A620" s="2">
        <v>43466</v>
      </c>
      <c r="B620" t="s">
        <v>61</v>
      </c>
      <c r="C620">
        <v>2019</v>
      </c>
      <c r="D620">
        <v>1</v>
      </c>
      <c r="E620" t="s">
        <v>58</v>
      </c>
      <c r="F620" t="s">
        <v>42</v>
      </c>
      <c r="G620">
        <v>13</v>
      </c>
      <c r="H620" t="s">
        <v>20</v>
      </c>
      <c r="I620">
        <v>4.8600000000000003</v>
      </c>
      <c r="J620">
        <v>6.93</v>
      </c>
      <c r="K620">
        <v>4.74</v>
      </c>
      <c r="L620">
        <v>0.9</v>
      </c>
      <c r="M620">
        <v>16.53</v>
      </c>
      <c r="N620">
        <v>17.43</v>
      </c>
    </row>
    <row r="621" spans="1:14" x14ac:dyDescent="0.3">
      <c r="A621" s="2">
        <v>43466</v>
      </c>
      <c r="B621" t="s">
        <v>61</v>
      </c>
      <c r="C621">
        <v>2019</v>
      </c>
      <c r="D621">
        <v>1</v>
      </c>
      <c r="E621" t="s">
        <v>58</v>
      </c>
      <c r="F621" t="s">
        <v>43</v>
      </c>
      <c r="G621">
        <v>21</v>
      </c>
      <c r="H621" t="s">
        <v>20</v>
      </c>
      <c r="I621">
        <v>448.85</v>
      </c>
      <c r="J621">
        <v>596.19000000000005</v>
      </c>
      <c r="K621">
        <v>821.84</v>
      </c>
      <c r="L621">
        <v>471.15</v>
      </c>
      <c r="M621">
        <v>1866.88</v>
      </c>
      <c r="N621">
        <v>2338.0300000000002</v>
      </c>
    </row>
    <row r="622" spans="1:14" x14ac:dyDescent="0.3">
      <c r="A622" s="2">
        <v>43466</v>
      </c>
      <c r="B622" t="s">
        <v>61</v>
      </c>
      <c r="C622">
        <v>2019</v>
      </c>
      <c r="D622">
        <v>1</v>
      </c>
      <c r="E622" t="s">
        <v>58</v>
      </c>
      <c r="F622" t="s">
        <v>44</v>
      </c>
      <c r="G622">
        <v>34</v>
      </c>
      <c r="H622" t="s">
        <v>18</v>
      </c>
      <c r="I622">
        <v>20.72</v>
      </c>
      <c r="J622">
        <v>35.54</v>
      </c>
      <c r="K622">
        <v>101.43</v>
      </c>
      <c r="L622">
        <v>1.28</v>
      </c>
      <c r="M622">
        <v>157.69</v>
      </c>
      <c r="N622">
        <v>158.97</v>
      </c>
    </row>
    <row r="623" spans="1:14" x14ac:dyDescent="0.3">
      <c r="A623" s="2">
        <v>43466</v>
      </c>
      <c r="B623" t="s">
        <v>61</v>
      </c>
      <c r="C623">
        <v>2019</v>
      </c>
      <c r="D623">
        <v>1</v>
      </c>
      <c r="E623" t="s">
        <v>58</v>
      </c>
      <c r="F623" t="s">
        <v>45</v>
      </c>
      <c r="G623">
        <v>3</v>
      </c>
      <c r="H623" t="s">
        <v>20</v>
      </c>
      <c r="I623">
        <v>296.89</v>
      </c>
      <c r="J623">
        <v>529.1</v>
      </c>
      <c r="K623">
        <v>374.68</v>
      </c>
      <c r="L623">
        <v>15.36</v>
      </c>
      <c r="M623">
        <v>1200.67</v>
      </c>
      <c r="N623">
        <v>1216.03</v>
      </c>
    </row>
    <row r="624" spans="1:14" x14ac:dyDescent="0.3">
      <c r="A624" s="2">
        <v>43466</v>
      </c>
      <c r="B624" t="s">
        <v>61</v>
      </c>
      <c r="C624">
        <v>2019</v>
      </c>
      <c r="D624">
        <v>1</v>
      </c>
      <c r="E624" t="s">
        <v>58</v>
      </c>
      <c r="F624" t="s">
        <v>46</v>
      </c>
      <c r="G624">
        <v>8</v>
      </c>
      <c r="H624" t="s">
        <v>20</v>
      </c>
      <c r="I624">
        <v>709.63</v>
      </c>
      <c r="J624">
        <v>1036.73</v>
      </c>
      <c r="K624">
        <v>898.3</v>
      </c>
      <c r="L624">
        <v>131.28</v>
      </c>
      <c r="M624">
        <v>2644.66</v>
      </c>
      <c r="N624">
        <v>2775.94</v>
      </c>
    </row>
    <row r="625" spans="1:14" x14ac:dyDescent="0.3">
      <c r="A625" s="2">
        <v>43466</v>
      </c>
      <c r="B625" t="s">
        <v>61</v>
      </c>
      <c r="C625">
        <v>2019</v>
      </c>
      <c r="D625">
        <v>1</v>
      </c>
      <c r="E625" t="s">
        <v>58</v>
      </c>
      <c r="F625" t="s">
        <v>47</v>
      </c>
      <c r="G625">
        <v>11</v>
      </c>
      <c r="H625" t="s">
        <v>20</v>
      </c>
      <c r="I625">
        <v>8.59</v>
      </c>
      <c r="J625">
        <v>14.55</v>
      </c>
      <c r="K625">
        <v>151.94</v>
      </c>
      <c r="L625">
        <v>0.44</v>
      </c>
      <c r="M625">
        <v>175.08</v>
      </c>
      <c r="N625">
        <v>175.52</v>
      </c>
    </row>
    <row r="626" spans="1:14" x14ac:dyDescent="0.3">
      <c r="A626" s="2">
        <v>43466</v>
      </c>
      <c r="B626" t="s">
        <v>61</v>
      </c>
      <c r="C626">
        <v>2019</v>
      </c>
      <c r="D626">
        <v>1</v>
      </c>
      <c r="E626" t="s">
        <v>58</v>
      </c>
      <c r="F626" t="s">
        <v>48</v>
      </c>
      <c r="G626">
        <v>33</v>
      </c>
      <c r="H626" t="s">
        <v>20</v>
      </c>
      <c r="I626">
        <v>1479.07</v>
      </c>
      <c r="J626">
        <v>2178.52</v>
      </c>
      <c r="K626">
        <v>1917.79</v>
      </c>
      <c r="L626">
        <v>625.91999999999996</v>
      </c>
      <c r="M626">
        <v>5575.38</v>
      </c>
      <c r="N626">
        <v>6201.3</v>
      </c>
    </row>
    <row r="627" spans="1:14" x14ac:dyDescent="0.3">
      <c r="A627" s="2">
        <v>43466</v>
      </c>
      <c r="B627" t="s">
        <v>61</v>
      </c>
      <c r="C627">
        <v>2019</v>
      </c>
      <c r="D627">
        <v>1</v>
      </c>
      <c r="E627" t="s">
        <v>58</v>
      </c>
      <c r="F627" t="s">
        <v>49</v>
      </c>
      <c r="G627">
        <v>36</v>
      </c>
      <c r="H627" t="s">
        <v>20</v>
      </c>
      <c r="I627">
        <v>711.7</v>
      </c>
      <c r="J627">
        <v>992.46</v>
      </c>
      <c r="K627">
        <v>886.05</v>
      </c>
      <c r="L627">
        <v>604.74</v>
      </c>
      <c r="M627">
        <v>2590.21</v>
      </c>
      <c r="N627">
        <v>3194.95</v>
      </c>
    </row>
    <row r="628" spans="1:14" x14ac:dyDescent="0.3">
      <c r="A628" s="2">
        <v>43466</v>
      </c>
      <c r="B628" t="s">
        <v>61</v>
      </c>
      <c r="C628">
        <v>2019</v>
      </c>
      <c r="D628">
        <v>1</v>
      </c>
      <c r="E628" t="s">
        <v>58</v>
      </c>
      <c r="F628" t="s">
        <v>50</v>
      </c>
      <c r="G628">
        <v>16</v>
      </c>
      <c r="H628" t="s">
        <v>20</v>
      </c>
      <c r="I628">
        <v>18.73</v>
      </c>
      <c r="J628">
        <v>26.75</v>
      </c>
      <c r="K628">
        <v>6.45</v>
      </c>
      <c r="L628">
        <v>0.23</v>
      </c>
      <c r="M628">
        <v>51.93</v>
      </c>
      <c r="N628">
        <v>52.16</v>
      </c>
    </row>
    <row r="629" spans="1:14" x14ac:dyDescent="0.3">
      <c r="A629" s="2">
        <v>43466</v>
      </c>
      <c r="B629" t="s">
        <v>61</v>
      </c>
      <c r="C629">
        <v>2019</v>
      </c>
      <c r="D629">
        <v>1</v>
      </c>
      <c r="E629" t="s">
        <v>58</v>
      </c>
      <c r="F629" t="s">
        <v>51</v>
      </c>
      <c r="G629">
        <v>9</v>
      </c>
      <c r="H629" t="s">
        <v>20</v>
      </c>
      <c r="I629">
        <v>1159.57</v>
      </c>
      <c r="J629">
        <v>1864.76</v>
      </c>
      <c r="K629">
        <v>1336.79</v>
      </c>
      <c r="L629">
        <v>1123.98</v>
      </c>
      <c r="M629">
        <v>4361.12</v>
      </c>
      <c r="N629">
        <v>5485.1</v>
      </c>
    </row>
    <row r="630" spans="1:14" x14ac:dyDescent="0.3">
      <c r="A630" s="2">
        <v>43466</v>
      </c>
      <c r="B630" t="s">
        <v>61</v>
      </c>
      <c r="C630">
        <v>2019</v>
      </c>
      <c r="D630">
        <v>1</v>
      </c>
      <c r="E630" t="s">
        <v>58</v>
      </c>
      <c r="F630" t="s">
        <v>52</v>
      </c>
      <c r="G630">
        <v>5</v>
      </c>
      <c r="H630" t="s">
        <v>20</v>
      </c>
      <c r="I630">
        <v>175.9</v>
      </c>
      <c r="J630">
        <v>303.33</v>
      </c>
      <c r="K630">
        <v>652.76</v>
      </c>
      <c r="L630">
        <v>13.63</v>
      </c>
      <c r="M630">
        <v>1131.99</v>
      </c>
      <c r="N630">
        <v>1145.6199999999999</v>
      </c>
    </row>
    <row r="631" spans="1:14" x14ac:dyDescent="0.3">
      <c r="A631" s="2">
        <v>43466</v>
      </c>
      <c r="B631" t="s">
        <v>61</v>
      </c>
      <c r="C631">
        <v>2019</v>
      </c>
      <c r="D631">
        <v>1</v>
      </c>
      <c r="E631" t="s">
        <v>58</v>
      </c>
      <c r="F631" t="s">
        <v>53</v>
      </c>
      <c r="G631">
        <v>19</v>
      </c>
      <c r="H631" t="s">
        <v>20</v>
      </c>
      <c r="I631">
        <v>996.6</v>
      </c>
      <c r="J631">
        <v>1262.49</v>
      </c>
      <c r="K631">
        <v>866.97</v>
      </c>
      <c r="L631">
        <v>369.3</v>
      </c>
      <c r="M631">
        <v>3126.06</v>
      </c>
      <c r="N631">
        <v>3495.36</v>
      </c>
    </row>
    <row r="632" spans="1:14" x14ac:dyDescent="0.3">
      <c r="A632" s="2">
        <v>43497</v>
      </c>
      <c r="B632" t="s">
        <v>61</v>
      </c>
      <c r="C632">
        <v>2019</v>
      </c>
      <c r="D632">
        <v>2</v>
      </c>
      <c r="E632" t="s">
        <v>59</v>
      </c>
      <c r="F632" t="s">
        <v>17</v>
      </c>
      <c r="G632">
        <v>35</v>
      </c>
      <c r="H632" t="s">
        <v>18</v>
      </c>
      <c r="I632">
        <v>9.2899999999999991</v>
      </c>
      <c r="J632">
        <v>13.27</v>
      </c>
      <c r="K632">
        <v>2.06</v>
      </c>
      <c r="L632">
        <v>0.15</v>
      </c>
      <c r="M632">
        <v>24.62</v>
      </c>
      <c r="N632">
        <v>24.77</v>
      </c>
    </row>
    <row r="633" spans="1:14" x14ac:dyDescent="0.3">
      <c r="A633" s="2">
        <v>43497</v>
      </c>
      <c r="B633" t="s">
        <v>61</v>
      </c>
      <c r="C633">
        <v>2019</v>
      </c>
      <c r="D633">
        <v>2</v>
      </c>
      <c r="E633" t="s">
        <v>59</v>
      </c>
      <c r="F633" t="s">
        <v>19</v>
      </c>
      <c r="G633">
        <v>28</v>
      </c>
      <c r="H633" t="s">
        <v>20</v>
      </c>
      <c r="I633">
        <v>536.88</v>
      </c>
      <c r="J633">
        <v>740.28</v>
      </c>
      <c r="K633">
        <v>795.66</v>
      </c>
      <c r="L633">
        <v>15.56</v>
      </c>
      <c r="M633">
        <v>2072.8200000000002</v>
      </c>
      <c r="N633">
        <v>2088.38</v>
      </c>
    </row>
    <row r="634" spans="1:14" x14ac:dyDescent="0.3">
      <c r="A634" s="2">
        <v>43497</v>
      </c>
      <c r="B634" t="s">
        <v>61</v>
      </c>
      <c r="C634">
        <v>2019</v>
      </c>
      <c r="D634">
        <v>2</v>
      </c>
      <c r="E634" t="s">
        <v>59</v>
      </c>
      <c r="F634" t="s">
        <v>21</v>
      </c>
      <c r="G634">
        <v>12</v>
      </c>
      <c r="H634" t="s">
        <v>20</v>
      </c>
      <c r="I634">
        <v>11.85</v>
      </c>
      <c r="J634">
        <v>15.83</v>
      </c>
      <c r="K634">
        <v>4.09</v>
      </c>
      <c r="L634">
        <v>0.19</v>
      </c>
      <c r="M634">
        <v>31.77</v>
      </c>
      <c r="N634">
        <v>31.96</v>
      </c>
    </row>
    <row r="635" spans="1:14" x14ac:dyDescent="0.3">
      <c r="A635" s="2">
        <v>43497</v>
      </c>
      <c r="B635" t="s">
        <v>61</v>
      </c>
      <c r="C635">
        <v>2019</v>
      </c>
      <c r="D635">
        <v>2</v>
      </c>
      <c r="E635" t="s">
        <v>59</v>
      </c>
      <c r="F635" t="s">
        <v>22</v>
      </c>
      <c r="G635">
        <v>18</v>
      </c>
      <c r="H635" t="s">
        <v>20</v>
      </c>
      <c r="I635">
        <v>221.52</v>
      </c>
      <c r="J635">
        <v>311.02999999999997</v>
      </c>
      <c r="K635">
        <v>170.13</v>
      </c>
      <c r="L635">
        <v>33.630000000000003</v>
      </c>
      <c r="M635">
        <v>702.68</v>
      </c>
      <c r="N635">
        <v>736.31</v>
      </c>
    </row>
    <row r="636" spans="1:14" x14ac:dyDescent="0.3">
      <c r="A636" s="2">
        <v>43497</v>
      </c>
      <c r="B636" t="s">
        <v>61</v>
      </c>
      <c r="C636">
        <v>2019</v>
      </c>
      <c r="D636">
        <v>2</v>
      </c>
      <c r="E636" t="s">
        <v>59</v>
      </c>
      <c r="F636" t="s">
        <v>23</v>
      </c>
      <c r="G636">
        <v>10</v>
      </c>
      <c r="H636" t="s">
        <v>20</v>
      </c>
      <c r="I636">
        <v>244.27</v>
      </c>
      <c r="J636">
        <v>433.15</v>
      </c>
      <c r="K636">
        <v>113.4</v>
      </c>
      <c r="L636">
        <v>170.2</v>
      </c>
      <c r="M636">
        <v>790.82</v>
      </c>
      <c r="N636">
        <v>961.02</v>
      </c>
    </row>
    <row r="637" spans="1:14" x14ac:dyDescent="0.3">
      <c r="A637" s="2">
        <v>43497</v>
      </c>
      <c r="B637" t="s">
        <v>61</v>
      </c>
      <c r="C637">
        <v>2019</v>
      </c>
      <c r="D637">
        <v>2</v>
      </c>
      <c r="E637" t="s">
        <v>59</v>
      </c>
      <c r="F637" t="s">
        <v>24</v>
      </c>
      <c r="G637">
        <v>4</v>
      </c>
      <c r="H637" t="s">
        <v>18</v>
      </c>
      <c r="I637">
        <v>27.91</v>
      </c>
      <c r="J637">
        <v>41.39</v>
      </c>
      <c r="K637">
        <v>76.98</v>
      </c>
      <c r="L637">
        <v>0.32</v>
      </c>
      <c r="M637">
        <v>146.28</v>
      </c>
      <c r="N637">
        <v>146.6</v>
      </c>
    </row>
    <row r="638" spans="1:14" x14ac:dyDescent="0.3">
      <c r="A638" s="2">
        <v>43497</v>
      </c>
      <c r="B638" t="s">
        <v>61</v>
      </c>
      <c r="C638">
        <v>2019</v>
      </c>
      <c r="D638">
        <v>2</v>
      </c>
      <c r="E638" t="s">
        <v>59</v>
      </c>
      <c r="F638" t="s">
        <v>25</v>
      </c>
      <c r="G638">
        <v>22</v>
      </c>
      <c r="H638" t="s">
        <v>20</v>
      </c>
      <c r="I638">
        <v>405.9</v>
      </c>
      <c r="J638">
        <v>514.54999999999995</v>
      </c>
      <c r="K638">
        <v>648.95000000000005</v>
      </c>
      <c r="L638">
        <v>498.23</v>
      </c>
      <c r="M638">
        <v>1569.4</v>
      </c>
      <c r="N638">
        <v>2067.63</v>
      </c>
    </row>
    <row r="639" spans="1:14" x14ac:dyDescent="0.3">
      <c r="A639" s="2">
        <v>43497</v>
      </c>
      <c r="B639" t="s">
        <v>61</v>
      </c>
      <c r="C639">
        <v>2019</v>
      </c>
      <c r="D639">
        <v>2</v>
      </c>
      <c r="E639" t="s">
        <v>59</v>
      </c>
      <c r="F639" t="s">
        <v>26</v>
      </c>
      <c r="G639">
        <v>38</v>
      </c>
      <c r="H639" t="s">
        <v>18</v>
      </c>
      <c r="I639">
        <v>27.37</v>
      </c>
      <c r="J639">
        <v>37.42</v>
      </c>
      <c r="K639">
        <v>166.22</v>
      </c>
      <c r="L639">
        <v>7.0000000000000007E-2</v>
      </c>
      <c r="M639">
        <v>231.01</v>
      </c>
      <c r="N639">
        <v>231.08</v>
      </c>
    </row>
    <row r="640" spans="1:14" x14ac:dyDescent="0.3">
      <c r="A640" s="2">
        <v>43497</v>
      </c>
      <c r="B640" t="s">
        <v>61</v>
      </c>
      <c r="C640">
        <v>2019</v>
      </c>
      <c r="D640">
        <v>2</v>
      </c>
      <c r="E640" t="s">
        <v>59</v>
      </c>
      <c r="F640" t="s">
        <v>27</v>
      </c>
      <c r="G640">
        <v>7</v>
      </c>
      <c r="H640" t="s">
        <v>18</v>
      </c>
      <c r="I640">
        <v>712.48</v>
      </c>
      <c r="J640">
        <v>918.21</v>
      </c>
      <c r="K640">
        <v>1704.35</v>
      </c>
      <c r="L640">
        <v>87.15</v>
      </c>
      <c r="M640">
        <v>3335.04</v>
      </c>
      <c r="N640">
        <v>3422.19</v>
      </c>
    </row>
    <row r="641" spans="1:14" x14ac:dyDescent="0.3">
      <c r="A641" s="2">
        <v>43497</v>
      </c>
      <c r="B641" t="s">
        <v>61</v>
      </c>
      <c r="C641">
        <v>2019</v>
      </c>
      <c r="D641">
        <v>2</v>
      </c>
      <c r="E641" t="s">
        <v>59</v>
      </c>
      <c r="F641" t="s">
        <v>28</v>
      </c>
      <c r="G641">
        <v>30</v>
      </c>
      <c r="H641" t="s">
        <v>20</v>
      </c>
      <c r="I641">
        <v>90.55</v>
      </c>
      <c r="J641">
        <v>140.52000000000001</v>
      </c>
      <c r="K641">
        <v>167.16</v>
      </c>
      <c r="L641">
        <v>2.5099999999999998</v>
      </c>
      <c r="M641">
        <v>398.23</v>
      </c>
      <c r="N641">
        <v>400.74</v>
      </c>
    </row>
    <row r="642" spans="1:14" x14ac:dyDescent="0.3">
      <c r="A642" s="2">
        <v>43497</v>
      </c>
      <c r="B642" t="s">
        <v>61</v>
      </c>
      <c r="C642">
        <v>2019</v>
      </c>
      <c r="D642">
        <v>2</v>
      </c>
      <c r="E642" t="s">
        <v>59</v>
      </c>
      <c r="F642" t="s">
        <v>29</v>
      </c>
      <c r="G642">
        <v>24</v>
      </c>
      <c r="H642" t="s">
        <v>20</v>
      </c>
      <c r="I642">
        <v>1729.6</v>
      </c>
      <c r="J642">
        <v>2256.59</v>
      </c>
      <c r="K642">
        <v>2108.14</v>
      </c>
      <c r="L642">
        <v>412.69</v>
      </c>
      <c r="M642">
        <v>6094.33</v>
      </c>
      <c r="N642">
        <v>6507.02</v>
      </c>
    </row>
    <row r="643" spans="1:14" x14ac:dyDescent="0.3">
      <c r="A643" s="2">
        <v>43497</v>
      </c>
      <c r="B643" t="s">
        <v>61</v>
      </c>
      <c r="C643">
        <v>2019</v>
      </c>
      <c r="D643">
        <v>2</v>
      </c>
      <c r="E643" t="s">
        <v>59</v>
      </c>
      <c r="F643" t="s">
        <v>30</v>
      </c>
      <c r="G643">
        <v>6</v>
      </c>
      <c r="H643" t="s">
        <v>20</v>
      </c>
      <c r="I643">
        <v>694.39</v>
      </c>
      <c r="J643">
        <v>1063.1500000000001</v>
      </c>
      <c r="K643">
        <v>2819.9</v>
      </c>
      <c r="L643">
        <v>295.48</v>
      </c>
      <c r="M643">
        <v>4577.4399999999996</v>
      </c>
      <c r="N643">
        <v>4872.92</v>
      </c>
    </row>
    <row r="644" spans="1:14" x14ac:dyDescent="0.3">
      <c r="A644" s="2">
        <v>43497</v>
      </c>
      <c r="B644" t="s">
        <v>61</v>
      </c>
      <c r="C644">
        <v>2019</v>
      </c>
      <c r="D644">
        <v>2</v>
      </c>
      <c r="E644" t="s">
        <v>59</v>
      </c>
      <c r="F644" t="s">
        <v>31</v>
      </c>
      <c r="G644">
        <v>2</v>
      </c>
      <c r="H644" t="s">
        <v>20</v>
      </c>
      <c r="I644">
        <v>89.32</v>
      </c>
      <c r="J644">
        <v>131.21</v>
      </c>
      <c r="K644">
        <v>388.59</v>
      </c>
      <c r="L644">
        <v>0.87</v>
      </c>
      <c r="M644">
        <v>609.12</v>
      </c>
      <c r="N644">
        <v>609.99</v>
      </c>
    </row>
    <row r="645" spans="1:14" x14ac:dyDescent="0.3">
      <c r="A645" s="2">
        <v>43497</v>
      </c>
      <c r="B645" t="s">
        <v>61</v>
      </c>
      <c r="C645">
        <v>2019</v>
      </c>
      <c r="D645">
        <v>2</v>
      </c>
      <c r="E645" t="s">
        <v>59</v>
      </c>
      <c r="F645" t="s">
        <v>32</v>
      </c>
      <c r="G645">
        <v>1</v>
      </c>
      <c r="H645" t="s">
        <v>18</v>
      </c>
      <c r="I645">
        <v>97.02</v>
      </c>
      <c r="J645">
        <v>139.24</v>
      </c>
      <c r="K645">
        <v>67.290000000000006</v>
      </c>
      <c r="L645">
        <v>1.95</v>
      </c>
      <c r="M645">
        <v>303.55</v>
      </c>
      <c r="N645">
        <v>305.5</v>
      </c>
    </row>
    <row r="646" spans="1:14" x14ac:dyDescent="0.3">
      <c r="A646" s="2">
        <v>43497</v>
      </c>
      <c r="B646" t="s">
        <v>61</v>
      </c>
      <c r="C646">
        <v>2019</v>
      </c>
      <c r="D646">
        <v>2</v>
      </c>
      <c r="E646" t="s">
        <v>59</v>
      </c>
      <c r="F646" t="s">
        <v>33</v>
      </c>
      <c r="G646">
        <v>20</v>
      </c>
      <c r="H646" t="s">
        <v>20</v>
      </c>
      <c r="I646">
        <v>325.70999999999998</v>
      </c>
      <c r="J646">
        <v>432.22</v>
      </c>
      <c r="K646">
        <v>877.14</v>
      </c>
      <c r="L646">
        <v>485.84</v>
      </c>
      <c r="M646">
        <v>1635.07</v>
      </c>
      <c r="N646">
        <v>2120.91</v>
      </c>
    </row>
    <row r="647" spans="1:14" x14ac:dyDescent="0.3">
      <c r="A647" s="2">
        <v>43497</v>
      </c>
      <c r="B647" t="s">
        <v>61</v>
      </c>
      <c r="C647">
        <v>2019</v>
      </c>
      <c r="D647">
        <v>2</v>
      </c>
      <c r="E647" t="s">
        <v>59</v>
      </c>
      <c r="F647" t="s">
        <v>34</v>
      </c>
      <c r="G647">
        <v>29</v>
      </c>
      <c r="H647" t="s">
        <v>20</v>
      </c>
      <c r="I647">
        <v>1513</v>
      </c>
      <c r="J647">
        <v>2058.35</v>
      </c>
      <c r="K647">
        <v>2133.29</v>
      </c>
      <c r="L647">
        <v>748.64</v>
      </c>
      <c r="M647">
        <v>5704.64</v>
      </c>
      <c r="N647">
        <v>6453.28</v>
      </c>
    </row>
    <row r="648" spans="1:14" x14ac:dyDescent="0.3">
      <c r="A648" s="2">
        <v>43497</v>
      </c>
      <c r="B648" t="s">
        <v>61</v>
      </c>
      <c r="C648">
        <v>2019</v>
      </c>
      <c r="D648">
        <v>2</v>
      </c>
      <c r="E648" t="s">
        <v>59</v>
      </c>
      <c r="F648" t="s">
        <v>35</v>
      </c>
      <c r="G648">
        <v>32</v>
      </c>
      <c r="H648" t="s">
        <v>20</v>
      </c>
      <c r="I648">
        <v>447.04</v>
      </c>
      <c r="J648">
        <v>717.8</v>
      </c>
      <c r="K648">
        <v>244.58</v>
      </c>
      <c r="L648">
        <v>6.59</v>
      </c>
      <c r="M648">
        <v>1409.42</v>
      </c>
      <c r="N648">
        <v>1416.01</v>
      </c>
    </row>
    <row r="649" spans="1:14" x14ac:dyDescent="0.3">
      <c r="A649" s="2">
        <v>43497</v>
      </c>
      <c r="B649" t="s">
        <v>61</v>
      </c>
      <c r="C649">
        <v>2019</v>
      </c>
      <c r="D649">
        <v>2</v>
      </c>
      <c r="E649" t="s">
        <v>59</v>
      </c>
      <c r="F649" t="s">
        <v>36</v>
      </c>
      <c r="G649">
        <v>31</v>
      </c>
      <c r="H649" t="s">
        <v>18</v>
      </c>
      <c r="I649">
        <v>0.92</v>
      </c>
      <c r="J649">
        <v>1.72</v>
      </c>
      <c r="K649">
        <v>0.05</v>
      </c>
      <c r="L649">
        <v>0</v>
      </c>
      <c r="M649">
        <v>2.69</v>
      </c>
      <c r="N649">
        <v>2.69</v>
      </c>
    </row>
    <row r="650" spans="1:14" x14ac:dyDescent="0.3">
      <c r="A650" s="2">
        <v>43497</v>
      </c>
      <c r="B650" t="s">
        <v>61</v>
      </c>
      <c r="C650">
        <v>2019</v>
      </c>
      <c r="D650">
        <v>2</v>
      </c>
      <c r="E650" t="s">
        <v>59</v>
      </c>
      <c r="F650" t="s">
        <v>37</v>
      </c>
      <c r="G650">
        <v>23</v>
      </c>
      <c r="H650" t="s">
        <v>20</v>
      </c>
      <c r="I650">
        <v>541.87</v>
      </c>
      <c r="J650">
        <v>734.57</v>
      </c>
      <c r="K650">
        <v>588.15</v>
      </c>
      <c r="L650">
        <v>426.81</v>
      </c>
      <c r="M650">
        <v>1864.59</v>
      </c>
      <c r="N650">
        <v>2291.4</v>
      </c>
    </row>
    <row r="651" spans="1:14" x14ac:dyDescent="0.3">
      <c r="A651" s="2">
        <v>43497</v>
      </c>
      <c r="B651" t="s">
        <v>61</v>
      </c>
      <c r="C651">
        <v>2019</v>
      </c>
      <c r="D651">
        <v>2</v>
      </c>
      <c r="E651" t="s">
        <v>59</v>
      </c>
      <c r="F651" t="s">
        <v>38</v>
      </c>
      <c r="G651">
        <v>27</v>
      </c>
      <c r="H651" t="s">
        <v>20</v>
      </c>
      <c r="I651">
        <v>3762.15</v>
      </c>
      <c r="J651">
        <v>4750.96</v>
      </c>
      <c r="K651">
        <v>4514.5600000000004</v>
      </c>
      <c r="L651">
        <v>1064.0999999999999</v>
      </c>
      <c r="M651">
        <v>13027.67</v>
      </c>
      <c r="N651">
        <v>14091.77</v>
      </c>
    </row>
    <row r="652" spans="1:14" x14ac:dyDescent="0.3">
      <c r="A652" s="2">
        <v>43497</v>
      </c>
      <c r="B652" t="s">
        <v>61</v>
      </c>
      <c r="C652">
        <v>2019</v>
      </c>
      <c r="D652">
        <v>2</v>
      </c>
      <c r="E652" t="s">
        <v>59</v>
      </c>
      <c r="F652" t="s">
        <v>39</v>
      </c>
      <c r="G652">
        <v>14</v>
      </c>
      <c r="H652" t="s">
        <v>20</v>
      </c>
      <c r="I652">
        <v>6.75</v>
      </c>
      <c r="J652">
        <v>12.59</v>
      </c>
      <c r="K652">
        <v>1.68</v>
      </c>
      <c r="L652">
        <v>0.09</v>
      </c>
      <c r="M652">
        <v>21.02</v>
      </c>
      <c r="N652">
        <v>21.11</v>
      </c>
    </row>
    <row r="653" spans="1:14" x14ac:dyDescent="0.3">
      <c r="A653" s="2">
        <v>43497</v>
      </c>
      <c r="B653" t="s">
        <v>61</v>
      </c>
      <c r="C653">
        <v>2019</v>
      </c>
      <c r="D653">
        <v>2</v>
      </c>
      <c r="E653" t="s">
        <v>59</v>
      </c>
      <c r="F653" t="s">
        <v>40</v>
      </c>
      <c r="G653">
        <v>17</v>
      </c>
      <c r="H653" t="s">
        <v>20</v>
      </c>
      <c r="I653">
        <v>18.3</v>
      </c>
      <c r="J653">
        <v>23.92</v>
      </c>
      <c r="K653">
        <v>85.71</v>
      </c>
      <c r="L653">
        <v>0.95</v>
      </c>
      <c r="M653">
        <v>127.93</v>
      </c>
      <c r="N653">
        <v>128.88</v>
      </c>
    </row>
    <row r="654" spans="1:14" x14ac:dyDescent="0.3">
      <c r="A654" s="2">
        <v>43497</v>
      </c>
      <c r="B654" t="s">
        <v>61</v>
      </c>
      <c r="C654">
        <v>2019</v>
      </c>
      <c r="D654">
        <v>2</v>
      </c>
      <c r="E654" t="s">
        <v>59</v>
      </c>
      <c r="F654" t="s">
        <v>41</v>
      </c>
      <c r="G654">
        <v>15</v>
      </c>
      <c r="H654" t="s">
        <v>20</v>
      </c>
      <c r="I654">
        <v>6.22</v>
      </c>
      <c r="J654">
        <v>10.45</v>
      </c>
      <c r="K654">
        <v>5.46</v>
      </c>
      <c r="L654">
        <v>0</v>
      </c>
      <c r="M654">
        <v>22.13</v>
      </c>
      <c r="N654">
        <v>22.13</v>
      </c>
    </row>
    <row r="655" spans="1:14" x14ac:dyDescent="0.3">
      <c r="A655" s="2">
        <v>43497</v>
      </c>
      <c r="B655" t="s">
        <v>61</v>
      </c>
      <c r="C655">
        <v>2019</v>
      </c>
      <c r="D655">
        <v>2</v>
      </c>
      <c r="E655" t="s">
        <v>59</v>
      </c>
      <c r="F655" t="s">
        <v>42</v>
      </c>
      <c r="G655">
        <v>13</v>
      </c>
      <c r="H655" t="s">
        <v>20</v>
      </c>
      <c r="I655">
        <v>5.0999999999999996</v>
      </c>
      <c r="J655">
        <v>8.18</v>
      </c>
      <c r="K655">
        <v>4.21</v>
      </c>
      <c r="L655">
        <v>2.16</v>
      </c>
      <c r="M655">
        <v>17.489999999999998</v>
      </c>
      <c r="N655">
        <v>19.649999999999999</v>
      </c>
    </row>
    <row r="656" spans="1:14" x14ac:dyDescent="0.3">
      <c r="A656" s="2">
        <v>43497</v>
      </c>
      <c r="B656" t="s">
        <v>61</v>
      </c>
      <c r="C656">
        <v>2019</v>
      </c>
      <c r="D656">
        <v>2</v>
      </c>
      <c r="E656" t="s">
        <v>59</v>
      </c>
      <c r="F656" t="s">
        <v>43</v>
      </c>
      <c r="G656">
        <v>21</v>
      </c>
      <c r="H656" t="s">
        <v>20</v>
      </c>
      <c r="I656">
        <v>526.17999999999995</v>
      </c>
      <c r="J656">
        <v>672.99</v>
      </c>
      <c r="K656">
        <v>725.24</v>
      </c>
      <c r="L656">
        <v>449.63</v>
      </c>
      <c r="M656">
        <v>1924.41</v>
      </c>
      <c r="N656">
        <v>2374.04</v>
      </c>
    </row>
    <row r="657" spans="1:14" x14ac:dyDescent="0.3">
      <c r="A657" s="2">
        <v>43497</v>
      </c>
      <c r="B657" t="s">
        <v>61</v>
      </c>
      <c r="C657">
        <v>2019</v>
      </c>
      <c r="D657">
        <v>2</v>
      </c>
      <c r="E657" t="s">
        <v>59</v>
      </c>
      <c r="F657" t="s">
        <v>44</v>
      </c>
      <c r="G657">
        <v>34</v>
      </c>
      <c r="H657" t="s">
        <v>18</v>
      </c>
      <c r="I657">
        <v>19.39</v>
      </c>
      <c r="J657">
        <v>32.479999999999997</v>
      </c>
      <c r="K657">
        <v>123.27</v>
      </c>
      <c r="L657">
        <v>0.16</v>
      </c>
      <c r="M657">
        <v>175.14</v>
      </c>
      <c r="N657">
        <v>175.3</v>
      </c>
    </row>
    <row r="658" spans="1:14" x14ac:dyDescent="0.3">
      <c r="A658" s="2">
        <v>43497</v>
      </c>
      <c r="B658" t="s">
        <v>61</v>
      </c>
      <c r="C658">
        <v>2019</v>
      </c>
      <c r="D658">
        <v>2</v>
      </c>
      <c r="E658" t="s">
        <v>59</v>
      </c>
      <c r="F658" t="s">
        <v>45</v>
      </c>
      <c r="G658">
        <v>3</v>
      </c>
      <c r="H658" t="s">
        <v>20</v>
      </c>
      <c r="I658">
        <v>267.7</v>
      </c>
      <c r="J658">
        <v>453.2</v>
      </c>
      <c r="K658">
        <v>370.14</v>
      </c>
      <c r="L658">
        <v>9.01</v>
      </c>
      <c r="M658">
        <v>1091.04</v>
      </c>
      <c r="N658">
        <v>1100.05</v>
      </c>
    </row>
    <row r="659" spans="1:14" x14ac:dyDescent="0.3">
      <c r="A659" s="2">
        <v>43497</v>
      </c>
      <c r="B659" t="s">
        <v>61</v>
      </c>
      <c r="C659">
        <v>2019</v>
      </c>
      <c r="D659">
        <v>2</v>
      </c>
      <c r="E659" t="s">
        <v>59</v>
      </c>
      <c r="F659" t="s">
        <v>46</v>
      </c>
      <c r="G659">
        <v>8</v>
      </c>
      <c r="H659" t="s">
        <v>20</v>
      </c>
      <c r="I659">
        <v>693.05</v>
      </c>
      <c r="J659">
        <v>986.86</v>
      </c>
      <c r="K659">
        <v>875.79</v>
      </c>
      <c r="L659">
        <v>120.23</v>
      </c>
      <c r="M659">
        <v>2555.6999999999998</v>
      </c>
      <c r="N659">
        <v>2675.93</v>
      </c>
    </row>
    <row r="660" spans="1:14" x14ac:dyDescent="0.3">
      <c r="A660" s="2">
        <v>43497</v>
      </c>
      <c r="B660" t="s">
        <v>61</v>
      </c>
      <c r="C660">
        <v>2019</v>
      </c>
      <c r="D660">
        <v>2</v>
      </c>
      <c r="E660" t="s">
        <v>59</v>
      </c>
      <c r="F660" t="s">
        <v>47</v>
      </c>
      <c r="G660">
        <v>11</v>
      </c>
      <c r="H660" t="s">
        <v>20</v>
      </c>
      <c r="I660">
        <v>8.9700000000000006</v>
      </c>
      <c r="J660">
        <v>13.98</v>
      </c>
      <c r="K660">
        <v>121.92</v>
      </c>
      <c r="L660">
        <v>0.02</v>
      </c>
      <c r="M660">
        <v>144.87</v>
      </c>
      <c r="N660">
        <v>144.88999999999999</v>
      </c>
    </row>
    <row r="661" spans="1:14" x14ac:dyDescent="0.3">
      <c r="A661" s="2">
        <v>43497</v>
      </c>
      <c r="B661" t="s">
        <v>61</v>
      </c>
      <c r="C661">
        <v>2019</v>
      </c>
      <c r="D661">
        <v>2</v>
      </c>
      <c r="E661" t="s">
        <v>59</v>
      </c>
      <c r="F661" t="s">
        <v>48</v>
      </c>
      <c r="G661">
        <v>33</v>
      </c>
      <c r="H661" t="s">
        <v>20</v>
      </c>
      <c r="I661">
        <v>1509.93</v>
      </c>
      <c r="J661">
        <v>2115.9299999999998</v>
      </c>
      <c r="K661">
        <v>1797.3</v>
      </c>
      <c r="L661">
        <v>551.04999999999995</v>
      </c>
      <c r="M661">
        <v>5423.16</v>
      </c>
      <c r="N661">
        <v>5974.21</v>
      </c>
    </row>
    <row r="662" spans="1:14" x14ac:dyDescent="0.3">
      <c r="A662" s="2">
        <v>43497</v>
      </c>
      <c r="B662" t="s">
        <v>61</v>
      </c>
      <c r="C662">
        <v>2019</v>
      </c>
      <c r="D662">
        <v>2</v>
      </c>
      <c r="E662" t="s">
        <v>59</v>
      </c>
      <c r="F662" t="s">
        <v>49</v>
      </c>
      <c r="G662">
        <v>36</v>
      </c>
      <c r="H662" t="s">
        <v>20</v>
      </c>
      <c r="I662">
        <v>786.13</v>
      </c>
      <c r="J662">
        <v>1040.23</v>
      </c>
      <c r="K662">
        <v>934.48</v>
      </c>
      <c r="L662">
        <v>699.09</v>
      </c>
      <c r="M662">
        <v>2760.84</v>
      </c>
      <c r="N662">
        <v>3459.93</v>
      </c>
    </row>
    <row r="663" spans="1:14" x14ac:dyDescent="0.3">
      <c r="A663" s="2">
        <v>43497</v>
      </c>
      <c r="B663" t="s">
        <v>61</v>
      </c>
      <c r="C663">
        <v>2019</v>
      </c>
      <c r="D663">
        <v>2</v>
      </c>
      <c r="E663" t="s">
        <v>59</v>
      </c>
      <c r="F663" t="s">
        <v>50</v>
      </c>
      <c r="G663">
        <v>16</v>
      </c>
      <c r="H663" t="s">
        <v>20</v>
      </c>
      <c r="I663">
        <v>16.670000000000002</v>
      </c>
      <c r="J663">
        <v>23.58</v>
      </c>
      <c r="K663">
        <v>5.65</v>
      </c>
      <c r="L663">
        <v>0.21</v>
      </c>
      <c r="M663">
        <v>45.9</v>
      </c>
      <c r="N663">
        <v>46.11</v>
      </c>
    </row>
    <row r="664" spans="1:14" x14ac:dyDescent="0.3">
      <c r="A664" s="2">
        <v>43497</v>
      </c>
      <c r="B664" t="s">
        <v>61</v>
      </c>
      <c r="C664">
        <v>2019</v>
      </c>
      <c r="D664">
        <v>2</v>
      </c>
      <c r="E664" t="s">
        <v>59</v>
      </c>
      <c r="F664" t="s">
        <v>51</v>
      </c>
      <c r="G664">
        <v>9</v>
      </c>
      <c r="H664" t="s">
        <v>20</v>
      </c>
      <c r="I664">
        <v>1064.1199999999999</v>
      </c>
      <c r="J664">
        <v>1672.16</v>
      </c>
      <c r="K664">
        <v>1299.44</v>
      </c>
      <c r="L664">
        <v>1076.6099999999999</v>
      </c>
      <c r="M664">
        <v>4035.72</v>
      </c>
      <c r="N664">
        <v>5112.33</v>
      </c>
    </row>
    <row r="665" spans="1:14" x14ac:dyDescent="0.3">
      <c r="A665" s="2">
        <v>43497</v>
      </c>
      <c r="B665" t="s">
        <v>61</v>
      </c>
      <c r="C665">
        <v>2019</v>
      </c>
      <c r="D665">
        <v>2</v>
      </c>
      <c r="E665" t="s">
        <v>59</v>
      </c>
      <c r="F665" t="s">
        <v>52</v>
      </c>
      <c r="G665">
        <v>5</v>
      </c>
      <c r="H665" t="s">
        <v>20</v>
      </c>
      <c r="I665">
        <v>187.99</v>
      </c>
      <c r="J665">
        <v>333.92</v>
      </c>
      <c r="K665">
        <v>691.58</v>
      </c>
      <c r="L665">
        <v>23.87</v>
      </c>
      <c r="M665">
        <v>1213.49</v>
      </c>
      <c r="N665">
        <v>1237.3599999999999</v>
      </c>
    </row>
    <row r="666" spans="1:14" x14ac:dyDescent="0.3">
      <c r="A666" s="2">
        <v>43497</v>
      </c>
      <c r="B666" t="s">
        <v>61</v>
      </c>
      <c r="C666">
        <v>2019</v>
      </c>
      <c r="D666">
        <v>2</v>
      </c>
      <c r="E666" t="s">
        <v>59</v>
      </c>
      <c r="F666" t="s">
        <v>53</v>
      </c>
      <c r="G666">
        <v>19</v>
      </c>
      <c r="H666" t="s">
        <v>20</v>
      </c>
      <c r="I666">
        <v>1006.3</v>
      </c>
      <c r="J666">
        <v>1320.63</v>
      </c>
      <c r="K666">
        <v>781.03</v>
      </c>
      <c r="L666">
        <v>381.73</v>
      </c>
      <c r="M666">
        <v>3107.96</v>
      </c>
      <c r="N666">
        <v>3489.69</v>
      </c>
    </row>
    <row r="667" spans="1:14" x14ac:dyDescent="0.3">
      <c r="A667" s="2">
        <v>43525</v>
      </c>
      <c r="B667" t="s">
        <v>61</v>
      </c>
      <c r="C667">
        <v>2019</v>
      </c>
      <c r="D667">
        <v>3</v>
      </c>
      <c r="E667" t="s">
        <v>60</v>
      </c>
      <c r="F667" t="s">
        <v>17</v>
      </c>
      <c r="G667">
        <v>35</v>
      </c>
      <c r="H667" t="s">
        <v>18</v>
      </c>
      <c r="I667">
        <v>9.65</v>
      </c>
      <c r="J667">
        <v>15.33</v>
      </c>
      <c r="K667">
        <v>2.58</v>
      </c>
      <c r="L667">
        <v>0.08</v>
      </c>
      <c r="M667">
        <v>27.56</v>
      </c>
      <c r="N667">
        <v>27.64</v>
      </c>
    </row>
    <row r="668" spans="1:14" x14ac:dyDescent="0.3">
      <c r="A668" s="2">
        <v>43525</v>
      </c>
      <c r="B668" t="s">
        <v>61</v>
      </c>
      <c r="C668">
        <v>2019</v>
      </c>
      <c r="D668">
        <v>3</v>
      </c>
      <c r="E668" t="s">
        <v>60</v>
      </c>
      <c r="F668" t="s">
        <v>19</v>
      </c>
      <c r="G668">
        <v>28</v>
      </c>
      <c r="H668" t="s">
        <v>20</v>
      </c>
      <c r="I668">
        <v>671.84</v>
      </c>
      <c r="J668">
        <v>912.22</v>
      </c>
      <c r="K668">
        <v>987.55</v>
      </c>
      <c r="L668">
        <v>17.72</v>
      </c>
      <c r="M668">
        <v>2571.61</v>
      </c>
      <c r="N668">
        <v>2589.33</v>
      </c>
    </row>
    <row r="669" spans="1:14" x14ac:dyDescent="0.3">
      <c r="A669" s="2">
        <v>43525</v>
      </c>
      <c r="B669" t="s">
        <v>61</v>
      </c>
      <c r="C669">
        <v>2019</v>
      </c>
      <c r="D669">
        <v>3</v>
      </c>
      <c r="E669" t="s">
        <v>60</v>
      </c>
      <c r="F669" t="s">
        <v>21</v>
      </c>
      <c r="G669">
        <v>12</v>
      </c>
      <c r="H669" t="s">
        <v>20</v>
      </c>
      <c r="I669">
        <v>33.090000000000003</v>
      </c>
      <c r="J669">
        <v>42.1</v>
      </c>
      <c r="K669">
        <v>9.91</v>
      </c>
      <c r="L669">
        <v>0.24</v>
      </c>
      <c r="M669">
        <v>85.1</v>
      </c>
      <c r="N669">
        <v>85.34</v>
      </c>
    </row>
    <row r="670" spans="1:14" x14ac:dyDescent="0.3">
      <c r="A670" s="2">
        <v>43525</v>
      </c>
      <c r="B670" t="s">
        <v>61</v>
      </c>
      <c r="C670">
        <v>2019</v>
      </c>
      <c r="D670">
        <v>3</v>
      </c>
      <c r="E670" t="s">
        <v>60</v>
      </c>
      <c r="F670" t="s">
        <v>22</v>
      </c>
      <c r="G670">
        <v>18</v>
      </c>
      <c r="H670" t="s">
        <v>20</v>
      </c>
      <c r="I670">
        <v>277.75</v>
      </c>
      <c r="J670">
        <v>407.62</v>
      </c>
      <c r="K670">
        <v>228.19</v>
      </c>
      <c r="L670">
        <v>42.16</v>
      </c>
      <c r="M670">
        <v>913.56</v>
      </c>
      <c r="N670">
        <v>955.72</v>
      </c>
    </row>
    <row r="671" spans="1:14" x14ac:dyDescent="0.3">
      <c r="A671" s="2">
        <v>43525</v>
      </c>
      <c r="B671" t="s">
        <v>61</v>
      </c>
      <c r="C671">
        <v>2019</v>
      </c>
      <c r="D671">
        <v>3</v>
      </c>
      <c r="E671" t="s">
        <v>60</v>
      </c>
      <c r="F671" t="s">
        <v>23</v>
      </c>
      <c r="G671">
        <v>10</v>
      </c>
      <c r="H671" t="s">
        <v>20</v>
      </c>
      <c r="I671">
        <v>325.70999999999998</v>
      </c>
      <c r="J671">
        <v>551.15</v>
      </c>
      <c r="K671">
        <v>125.81</v>
      </c>
      <c r="L671">
        <v>174.32</v>
      </c>
      <c r="M671">
        <v>1002.67</v>
      </c>
      <c r="N671">
        <v>1176.99</v>
      </c>
    </row>
    <row r="672" spans="1:14" x14ac:dyDescent="0.3">
      <c r="A672" s="2">
        <v>43525</v>
      </c>
      <c r="B672" t="s">
        <v>61</v>
      </c>
      <c r="C672">
        <v>2019</v>
      </c>
      <c r="D672">
        <v>3</v>
      </c>
      <c r="E672" t="s">
        <v>60</v>
      </c>
      <c r="F672" t="s">
        <v>24</v>
      </c>
      <c r="G672">
        <v>4</v>
      </c>
      <c r="H672" t="s">
        <v>18</v>
      </c>
      <c r="I672">
        <v>32.950000000000003</v>
      </c>
      <c r="J672">
        <v>44.79</v>
      </c>
      <c r="K672">
        <v>84.06</v>
      </c>
      <c r="L672">
        <v>0.19</v>
      </c>
      <c r="M672">
        <v>161.80000000000001</v>
      </c>
      <c r="N672">
        <v>161.99</v>
      </c>
    </row>
    <row r="673" spans="1:14" x14ac:dyDescent="0.3">
      <c r="A673" s="2">
        <v>43525</v>
      </c>
      <c r="B673" t="s">
        <v>61</v>
      </c>
      <c r="C673">
        <v>2019</v>
      </c>
      <c r="D673">
        <v>3</v>
      </c>
      <c r="E673" t="s">
        <v>60</v>
      </c>
      <c r="F673" t="s">
        <v>25</v>
      </c>
      <c r="G673">
        <v>22</v>
      </c>
      <c r="H673" t="s">
        <v>20</v>
      </c>
      <c r="I673">
        <v>416.76</v>
      </c>
      <c r="J673">
        <v>526.23</v>
      </c>
      <c r="K673">
        <v>563.09</v>
      </c>
      <c r="L673">
        <v>636.91999999999996</v>
      </c>
      <c r="M673">
        <v>1506.08</v>
      </c>
      <c r="N673">
        <v>2143</v>
      </c>
    </row>
    <row r="674" spans="1:14" x14ac:dyDescent="0.3">
      <c r="A674" s="2">
        <v>43525</v>
      </c>
      <c r="B674" t="s">
        <v>61</v>
      </c>
      <c r="C674">
        <v>2019</v>
      </c>
      <c r="D674">
        <v>3</v>
      </c>
      <c r="E674" t="s">
        <v>60</v>
      </c>
      <c r="F674" t="s">
        <v>26</v>
      </c>
      <c r="G674">
        <v>38</v>
      </c>
      <c r="H674" t="s">
        <v>18</v>
      </c>
      <c r="I674">
        <v>30.53</v>
      </c>
      <c r="J674">
        <v>43.64</v>
      </c>
      <c r="K674">
        <v>202.76</v>
      </c>
      <c r="L674">
        <v>0.18</v>
      </c>
      <c r="M674">
        <v>276.93</v>
      </c>
      <c r="N674">
        <v>277.11</v>
      </c>
    </row>
    <row r="675" spans="1:14" x14ac:dyDescent="0.3">
      <c r="A675" s="2">
        <v>43525</v>
      </c>
      <c r="B675" t="s">
        <v>61</v>
      </c>
      <c r="C675">
        <v>2019</v>
      </c>
      <c r="D675">
        <v>3</v>
      </c>
      <c r="E675" t="s">
        <v>60</v>
      </c>
      <c r="F675" t="s">
        <v>27</v>
      </c>
      <c r="G675">
        <v>7</v>
      </c>
      <c r="H675" t="s">
        <v>18</v>
      </c>
      <c r="I675">
        <v>796.37</v>
      </c>
      <c r="J675">
        <v>1020.89</v>
      </c>
      <c r="K675">
        <v>1812.43</v>
      </c>
      <c r="L675">
        <v>92.73</v>
      </c>
      <c r="M675">
        <v>3629.69</v>
      </c>
      <c r="N675">
        <v>3722.42</v>
      </c>
    </row>
    <row r="676" spans="1:14" x14ac:dyDescent="0.3">
      <c r="A676" s="2">
        <v>43525</v>
      </c>
      <c r="B676" t="s">
        <v>61</v>
      </c>
      <c r="C676">
        <v>2019</v>
      </c>
      <c r="D676">
        <v>3</v>
      </c>
      <c r="E676" t="s">
        <v>60</v>
      </c>
      <c r="F676" t="s">
        <v>28</v>
      </c>
      <c r="G676">
        <v>30</v>
      </c>
      <c r="H676" t="s">
        <v>20</v>
      </c>
      <c r="I676">
        <v>103.81</v>
      </c>
      <c r="J676">
        <v>148.93</v>
      </c>
      <c r="K676">
        <v>134.44</v>
      </c>
      <c r="L676">
        <v>2</v>
      </c>
      <c r="M676">
        <v>387.18</v>
      </c>
      <c r="N676">
        <v>389.18</v>
      </c>
    </row>
    <row r="677" spans="1:14" x14ac:dyDescent="0.3">
      <c r="A677" s="2">
        <v>43525</v>
      </c>
      <c r="B677" t="s">
        <v>61</v>
      </c>
      <c r="C677">
        <v>2019</v>
      </c>
      <c r="D677">
        <v>3</v>
      </c>
      <c r="E677" t="s">
        <v>60</v>
      </c>
      <c r="F677" t="s">
        <v>29</v>
      </c>
      <c r="G677">
        <v>24</v>
      </c>
      <c r="H677" t="s">
        <v>20</v>
      </c>
      <c r="I677">
        <v>1824.12</v>
      </c>
      <c r="J677">
        <v>2446.0700000000002</v>
      </c>
      <c r="K677">
        <v>1972.83</v>
      </c>
      <c r="L677">
        <v>278.08999999999997</v>
      </c>
      <c r="M677">
        <v>6243.02</v>
      </c>
      <c r="N677">
        <v>6521.11</v>
      </c>
    </row>
    <row r="678" spans="1:14" x14ac:dyDescent="0.3">
      <c r="A678" s="2">
        <v>43525</v>
      </c>
      <c r="B678" t="s">
        <v>61</v>
      </c>
      <c r="C678">
        <v>2019</v>
      </c>
      <c r="D678">
        <v>3</v>
      </c>
      <c r="E678" t="s">
        <v>60</v>
      </c>
      <c r="F678" t="s">
        <v>30</v>
      </c>
      <c r="G678">
        <v>6</v>
      </c>
      <c r="H678" t="s">
        <v>20</v>
      </c>
      <c r="I678">
        <v>758.85</v>
      </c>
      <c r="J678">
        <v>1130.3900000000001</v>
      </c>
      <c r="K678">
        <v>2363.1999999999998</v>
      </c>
      <c r="L678">
        <v>308.61</v>
      </c>
      <c r="M678">
        <v>4252.4399999999996</v>
      </c>
      <c r="N678">
        <v>4561.05</v>
      </c>
    </row>
    <row r="679" spans="1:14" x14ac:dyDescent="0.3">
      <c r="A679" s="2">
        <v>43525</v>
      </c>
      <c r="B679" t="s">
        <v>61</v>
      </c>
      <c r="C679">
        <v>2019</v>
      </c>
      <c r="D679">
        <v>3</v>
      </c>
      <c r="E679" t="s">
        <v>60</v>
      </c>
      <c r="F679" t="s">
        <v>31</v>
      </c>
      <c r="G679">
        <v>2</v>
      </c>
      <c r="H679" t="s">
        <v>20</v>
      </c>
      <c r="I679">
        <v>99.83</v>
      </c>
      <c r="J679">
        <v>156.91</v>
      </c>
      <c r="K679">
        <v>402.95</v>
      </c>
      <c r="L679">
        <v>0.56000000000000005</v>
      </c>
      <c r="M679">
        <v>659.69</v>
      </c>
      <c r="N679">
        <v>660.25</v>
      </c>
    </row>
    <row r="680" spans="1:14" x14ac:dyDescent="0.3">
      <c r="A680" s="2">
        <v>43525</v>
      </c>
      <c r="B680" t="s">
        <v>61</v>
      </c>
      <c r="C680">
        <v>2019</v>
      </c>
      <c r="D680">
        <v>3</v>
      </c>
      <c r="E680" t="s">
        <v>60</v>
      </c>
      <c r="F680" t="s">
        <v>32</v>
      </c>
      <c r="G680">
        <v>1</v>
      </c>
      <c r="H680" t="s">
        <v>18</v>
      </c>
      <c r="I680">
        <v>125.1</v>
      </c>
      <c r="J680">
        <v>180.28</v>
      </c>
      <c r="K680">
        <v>77.31</v>
      </c>
      <c r="L680">
        <v>4.93</v>
      </c>
      <c r="M680">
        <v>382.69</v>
      </c>
      <c r="N680">
        <v>387.62</v>
      </c>
    </row>
    <row r="681" spans="1:14" x14ac:dyDescent="0.3">
      <c r="A681" s="2">
        <v>43525</v>
      </c>
      <c r="B681" t="s">
        <v>61</v>
      </c>
      <c r="C681">
        <v>2019</v>
      </c>
      <c r="D681">
        <v>3</v>
      </c>
      <c r="E681" t="s">
        <v>60</v>
      </c>
      <c r="F681" t="s">
        <v>33</v>
      </c>
      <c r="G681">
        <v>20</v>
      </c>
      <c r="H681" t="s">
        <v>20</v>
      </c>
      <c r="I681">
        <v>368.3</v>
      </c>
      <c r="J681">
        <v>498.7</v>
      </c>
      <c r="K681">
        <v>825.82</v>
      </c>
      <c r="L681">
        <v>456.63</v>
      </c>
      <c r="M681">
        <v>1692.82</v>
      </c>
      <c r="N681">
        <v>2149.4499999999998</v>
      </c>
    </row>
    <row r="682" spans="1:14" x14ac:dyDescent="0.3">
      <c r="A682" s="2">
        <v>43525</v>
      </c>
      <c r="B682" t="s">
        <v>61</v>
      </c>
      <c r="C682">
        <v>2019</v>
      </c>
      <c r="D682">
        <v>3</v>
      </c>
      <c r="E682" t="s">
        <v>60</v>
      </c>
      <c r="F682" t="s">
        <v>34</v>
      </c>
      <c r="G682">
        <v>29</v>
      </c>
      <c r="H682" t="s">
        <v>20</v>
      </c>
      <c r="I682">
        <v>1709.03</v>
      </c>
      <c r="J682">
        <v>2240.39</v>
      </c>
      <c r="K682">
        <v>2302.19</v>
      </c>
      <c r="L682">
        <v>731.03</v>
      </c>
      <c r="M682">
        <v>6251.61</v>
      </c>
      <c r="N682">
        <v>6982.64</v>
      </c>
    </row>
    <row r="683" spans="1:14" x14ac:dyDescent="0.3">
      <c r="A683" s="2">
        <v>43525</v>
      </c>
      <c r="B683" t="s">
        <v>61</v>
      </c>
      <c r="C683">
        <v>2019</v>
      </c>
      <c r="D683">
        <v>3</v>
      </c>
      <c r="E683" t="s">
        <v>60</v>
      </c>
      <c r="F683" t="s">
        <v>35</v>
      </c>
      <c r="G683">
        <v>32</v>
      </c>
      <c r="H683" t="s">
        <v>20</v>
      </c>
      <c r="I683">
        <v>526.98</v>
      </c>
      <c r="J683">
        <v>782.35</v>
      </c>
      <c r="K683">
        <v>319.97000000000003</v>
      </c>
      <c r="L683">
        <v>6.14</v>
      </c>
      <c r="M683">
        <v>1629.3</v>
      </c>
      <c r="N683">
        <v>1635.44</v>
      </c>
    </row>
    <row r="684" spans="1:14" x14ac:dyDescent="0.3">
      <c r="A684" s="2">
        <v>43525</v>
      </c>
      <c r="B684" t="s">
        <v>61</v>
      </c>
      <c r="C684">
        <v>2019</v>
      </c>
      <c r="D684">
        <v>3</v>
      </c>
      <c r="E684" t="s">
        <v>60</v>
      </c>
      <c r="F684" t="s">
        <v>36</v>
      </c>
      <c r="G684">
        <v>31</v>
      </c>
      <c r="H684" t="s">
        <v>18</v>
      </c>
      <c r="I684">
        <v>0.28000000000000003</v>
      </c>
      <c r="J684">
        <v>0.54</v>
      </c>
      <c r="K684">
        <v>0.05</v>
      </c>
      <c r="L684">
        <v>0</v>
      </c>
      <c r="M684">
        <v>0.87</v>
      </c>
      <c r="N684">
        <v>0.87</v>
      </c>
    </row>
    <row r="685" spans="1:14" x14ac:dyDescent="0.3">
      <c r="A685" s="2">
        <v>43525</v>
      </c>
      <c r="B685" t="s">
        <v>61</v>
      </c>
      <c r="C685">
        <v>2019</v>
      </c>
      <c r="D685">
        <v>3</v>
      </c>
      <c r="E685" t="s">
        <v>60</v>
      </c>
      <c r="F685" t="s">
        <v>37</v>
      </c>
      <c r="G685">
        <v>23</v>
      </c>
      <c r="H685" t="s">
        <v>20</v>
      </c>
      <c r="I685">
        <v>638.84</v>
      </c>
      <c r="J685">
        <v>877.63</v>
      </c>
      <c r="K685">
        <v>715.82</v>
      </c>
      <c r="L685">
        <v>391.47</v>
      </c>
      <c r="M685">
        <v>2232.29</v>
      </c>
      <c r="N685">
        <v>2623.76</v>
      </c>
    </row>
    <row r="686" spans="1:14" x14ac:dyDescent="0.3">
      <c r="A686" s="2">
        <v>43525</v>
      </c>
      <c r="B686" t="s">
        <v>61</v>
      </c>
      <c r="C686">
        <v>2019</v>
      </c>
      <c r="D686">
        <v>3</v>
      </c>
      <c r="E686" t="s">
        <v>60</v>
      </c>
      <c r="F686" t="s">
        <v>38</v>
      </c>
      <c r="G686">
        <v>27</v>
      </c>
      <c r="H686" t="s">
        <v>20</v>
      </c>
      <c r="I686">
        <v>4380.34</v>
      </c>
      <c r="J686">
        <v>5473.85</v>
      </c>
      <c r="K686">
        <v>4766.99</v>
      </c>
      <c r="L686">
        <v>974.59</v>
      </c>
      <c r="M686">
        <v>14621.18</v>
      </c>
      <c r="N686">
        <v>15595.77</v>
      </c>
    </row>
    <row r="687" spans="1:14" x14ac:dyDescent="0.3">
      <c r="A687" s="2">
        <v>43525</v>
      </c>
      <c r="B687" t="s">
        <v>61</v>
      </c>
      <c r="C687">
        <v>2019</v>
      </c>
      <c r="D687">
        <v>3</v>
      </c>
      <c r="E687" t="s">
        <v>60</v>
      </c>
      <c r="F687" t="s">
        <v>39</v>
      </c>
      <c r="G687">
        <v>14</v>
      </c>
      <c r="H687" t="s">
        <v>20</v>
      </c>
      <c r="I687">
        <v>18.2</v>
      </c>
      <c r="J687">
        <v>26</v>
      </c>
      <c r="K687">
        <v>1.88</v>
      </c>
      <c r="L687">
        <v>0.03</v>
      </c>
      <c r="M687">
        <v>46.08</v>
      </c>
      <c r="N687">
        <v>46.11</v>
      </c>
    </row>
    <row r="688" spans="1:14" x14ac:dyDescent="0.3">
      <c r="A688" s="2">
        <v>43525</v>
      </c>
      <c r="B688" t="s">
        <v>61</v>
      </c>
      <c r="C688">
        <v>2019</v>
      </c>
      <c r="D688">
        <v>3</v>
      </c>
      <c r="E688" t="s">
        <v>60</v>
      </c>
      <c r="F688" t="s">
        <v>40</v>
      </c>
      <c r="G688">
        <v>17</v>
      </c>
      <c r="H688" t="s">
        <v>20</v>
      </c>
      <c r="I688">
        <v>22.19</v>
      </c>
      <c r="J688">
        <v>32.14</v>
      </c>
      <c r="K688">
        <v>70.31</v>
      </c>
      <c r="L688">
        <v>2.14</v>
      </c>
      <c r="M688">
        <v>124.64</v>
      </c>
      <c r="N688">
        <v>126.78</v>
      </c>
    </row>
    <row r="689" spans="1:14" x14ac:dyDescent="0.3">
      <c r="A689" s="2">
        <v>43525</v>
      </c>
      <c r="B689" t="s">
        <v>61</v>
      </c>
      <c r="C689">
        <v>2019</v>
      </c>
      <c r="D689">
        <v>3</v>
      </c>
      <c r="E689" t="s">
        <v>60</v>
      </c>
      <c r="F689" t="s">
        <v>41</v>
      </c>
      <c r="G689">
        <v>15</v>
      </c>
      <c r="H689" t="s">
        <v>20</v>
      </c>
      <c r="I689">
        <v>16.3</v>
      </c>
      <c r="J689">
        <v>24.59</v>
      </c>
      <c r="K689">
        <v>8.86</v>
      </c>
      <c r="L689">
        <v>0.01</v>
      </c>
      <c r="M689">
        <v>49.75</v>
      </c>
      <c r="N689">
        <v>49.76</v>
      </c>
    </row>
    <row r="690" spans="1:14" x14ac:dyDescent="0.3">
      <c r="A690" s="2">
        <v>43525</v>
      </c>
      <c r="B690" t="s">
        <v>61</v>
      </c>
      <c r="C690">
        <v>2019</v>
      </c>
      <c r="D690">
        <v>3</v>
      </c>
      <c r="E690" t="s">
        <v>60</v>
      </c>
      <c r="F690" t="s">
        <v>42</v>
      </c>
      <c r="G690">
        <v>13</v>
      </c>
      <c r="H690" t="s">
        <v>20</v>
      </c>
      <c r="I690">
        <v>16.62</v>
      </c>
      <c r="J690">
        <v>22.12</v>
      </c>
      <c r="K690">
        <v>5.37</v>
      </c>
      <c r="L690">
        <v>1.79</v>
      </c>
      <c r="M690">
        <v>44.11</v>
      </c>
      <c r="N690">
        <v>45.9</v>
      </c>
    </row>
    <row r="691" spans="1:14" x14ac:dyDescent="0.3">
      <c r="A691" s="2">
        <v>43525</v>
      </c>
      <c r="B691" t="s">
        <v>61</v>
      </c>
      <c r="C691">
        <v>2019</v>
      </c>
      <c r="D691">
        <v>3</v>
      </c>
      <c r="E691" t="s">
        <v>60</v>
      </c>
      <c r="F691" t="s">
        <v>43</v>
      </c>
      <c r="G691">
        <v>21</v>
      </c>
      <c r="H691" t="s">
        <v>20</v>
      </c>
      <c r="I691">
        <v>605.71</v>
      </c>
      <c r="J691">
        <v>782.99</v>
      </c>
      <c r="K691">
        <v>766.85</v>
      </c>
      <c r="L691">
        <v>470.36</v>
      </c>
      <c r="M691">
        <v>2155.5500000000002</v>
      </c>
      <c r="N691">
        <v>2625.91</v>
      </c>
    </row>
    <row r="692" spans="1:14" x14ac:dyDescent="0.3">
      <c r="A692" s="2">
        <v>43525</v>
      </c>
      <c r="B692" t="s">
        <v>61</v>
      </c>
      <c r="C692">
        <v>2019</v>
      </c>
      <c r="D692">
        <v>3</v>
      </c>
      <c r="E692" t="s">
        <v>60</v>
      </c>
      <c r="F692" t="s">
        <v>44</v>
      </c>
      <c r="G692">
        <v>34</v>
      </c>
      <c r="H692" t="s">
        <v>18</v>
      </c>
      <c r="I692">
        <v>22.81</v>
      </c>
      <c r="J692">
        <v>33.6</v>
      </c>
      <c r="K692">
        <v>127.18</v>
      </c>
      <c r="L692">
        <v>0.4</v>
      </c>
      <c r="M692">
        <v>183.59</v>
      </c>
      <c r="N692">
        <v>183.99</v>
      </c>
    </row>
    <row r="693" spans="1:14" x14ac:dyDescent="0.3">
      <c r="A693" s="2">
        <v>43525</v>
      </c>
      <c r="B693" t="s">
        <v>61</v>
      </c>
      <c r="C693">
        <v>2019</v>
      </c>
      <c r="D693">
        <v>3</v>
      </c>
      <c r="E693" t="s">
        <v>60</v>
      </c>
      <c r="F693" t="s">
        <v>45</v>
      </c>
      <c r="G693">
        <v>3</v>
      </c>
      <c r="H693" t="s">
        <v>20</v>
      </c>
      <c r="I693">
        <v>282.14999999999998</v>
      </c>
      <c r="J693">
        <v>454.34</v>
      </c>
      <c r="K693">
        <v>419.6</v>
      </c>
      <c r="L693">
        <v>9.93</v>
      </c>
      <c r="M693">
        <v>1156.0899999999999</v>
      </c>
      <c r="N693">
        <v>1166.02</v>
      </c>
    </row>
    <row r="694" spans="1:14" x14ac:dyDescent="0.3">
      <c r="A694" s="2">
        <v>43525</v>
      </c>
      <c r="B694" t="s">
        <v>61</v>
      </c>
      <c r="C694">
        <v>2019</v>
      </c>
      <c r="D694">
        <v>3</v>
      </c>
      <c r="E694" t="s">
        <v>60</v>
      </c>
      <c r="F694" t="s">
        <v>46</v>
      </c>
      <c r="G694">
        <v>8</v>
      </c>
      <c r="H694" t="s">
        <v>20</v>
      </c>
      <c r="I694">
        <v>868.36</v>
      </c>
      <c r="J694">
        <v>1242.8599999999999</v>
      </c>
      <c r="K694">
        <v>895.33</v>
      </c>
      <c r="L694">
        <v>125.86</v>
      </c>
      <c r="M694">
        <v>3006.55</v>
      </c>
      <c r="N694">
        <v>3132.41</v>
      </c>
    </row>
    <row r="695" spans="1:14" x14ac:dyDescent="0.3">
      <c r="A695" s="2">
        <v>43525</v>
      </c>
      <c r="B695" t="s">
        <v>61</v>
      </c>
      <c r="C695">
        <v>2019</v>
      </c>
      <c r="D695">
        <v>3</v>
      </c>
      <c r="E695" t="s">
        <v>60</v>
      </c>
      <c r="F695" t="s">
        <v>47</v>
      </c>
      <c r="G695">
        <v>11</v>
      </c>
      <c r="H695" t="s">
        <v>20</v>
      </c>
      <c r="I695">
        <v>11.72</v>
      </c>
      <c r="J695">
        <v>16.89</v>
      </c>
      <c r="K695">
        <v>130.93</v>
      </c>
      <c r="L695">
        <v>0.05</v>
      </c>
      <c r="M695">
        <v>159.54</v>
      </c>
      <c r="N695">
        <v>159.59</v>
      </c>
    </row>
    <row r="696" spans="1:14" x14ac:dyDescent="0.3">
      <c r="A696" s="2">
        <v>43525</v>
      </c>
      <c r="B696" t="s">
        <v>61</v>
      </c>
      <c r="C696">
        <v>2019</v>
      </c>
      <c r="D696">
        <v>3</v>
      </c>
      <c r="E696" t="s">
        <v>60</v>
      </c>
      <c r="F696" t="s">
        <v>48</v>
      </c>
      <c r="G696">
        <v>33</v>
      </c>
      <c r="H696" t="s">
        <v>20</v>
      </c>
      <c r="I696">
        <v>1739.84</v>
      </c>
      <c r="J696">
        <v>2335.17</v>
      </c>
      <c r="K696">
        <v>2152.2399999999998</v>
      </c>
      <c r="L696">
        <v>713.84</v>
      </c>
      <c r="M696">
        <v>6227.25</v>
      </c>
      <c r="N696">
        <v>6941.09</v>
      </c>
    </row>
    <row r="697" spans="1:14" x14ac:dyDescent="0.3">
      <c r="A697" s="2">
        <v>43525</v>
      </c>
      <c r="B697" t="s">
        <v>61</v>
      </c>
      <c r="C697">
        <v>2019</v>
      </c>
      <c r="D697">
        <v>3</v>
      </c>
      <c r="E697" t="s">
        <v>60</v>
      </c>
      <c r="F697" t="s">
        <v>49</v>
      </c>
      <c r="G697">
        <v>36</v>
      </c>
      <c r="H697" t="s">
        <v>20</v>
      </c>
      <c r="I697">
        <v>970.65</v>
      </c>
      <c r="J697">
        <v>1276.45</v>
      </c>
      <c r="K697">
        <v>1088.54</v>
      </c>
      <c r="L697">
        <v>560.99</v>
      </c>
      <c r="M697">
        <v>3335.64</v>
      </c>
      <c r="N697">
        <v>3896.63</v>
      </c>
    </row>
    <row r="698" spans="1:14" x14ac:dyDescent="0.3">
      <c r="A698" s="2">
        <v>43525</v>
      </c>
      <c r="B698" t="s">
        <v>61</v>
      </c>
      <c r="C698">
        <v>2019</v>
      </c>
      <c r="D698">
        <v>3</v>
      </c>
      <c r="E698" t="s">
        <v>60</v>
      </c>
      <c r="F698" t="s">
        <v>50</v>
      </c>
      <c r="G698">
        <v>16</v>
      </c>
      <c r="H698" t="s">
        <v>20</v>
      </c>
      <c r="I698">
        <v>24.31</v>
      </c>
      <c r="J698">
        <v>32.97</v>
      </c>
      <c r="K698">
        <v>6.3</v>
      </c>
      <c r="L698">
        <v>0.32</v>
      </c>
      <c r="M698">
        <v>63.58</v>
      </c>
      <c r="N698">
        <v>63.9</v>
      </c>
    </row>
    <row r="699" spans="1:14" x14ac:dyDescent="0.3">
      <c r="A699" s="2">
        <v>43525</v>
      </c>
      <c r="B699" t="s">
        <v>61</v>
      </c>
      <c r="C699">
        <v>2019</v>
      </c>
      <c r="D699">
        <v>3</v>
      </c>
      <c r="E699" t="s">
        <v>60</v>
      </c>
      <c r="F699" t="s">
        <v>51</v>
      </c>
      <c r="G699">
        <v>9</v>
      </c>
      <c r="H699" t="s">
        <v>20</v>
      </c>
      <c r="I699">
        <v>1239.8599999999999</v>
      </c>
      <c r="J699">
        <v>1872.29</v>
      </c>
      <c r="K699">
        <v>1391.67</v>
      </c>
      <c r="L699">
        <v>1043.93</v>
      </c>
      <c r="M699">
        <v>4503.82</v>
      </c>
      <c r="N699">
        <v>5547.75</v>
      </c>
    </row>
    <row r="700" spans="1:14" x14ac:dyDescent="0.3">
      <c r="A700" s="2">
        <v>43525</v>
      </c>
      <c r="B700" t="s">
        <v>61</v>
      </c>
      <c r="C700">
        <v>2019</v>
      </c>
      <c r="D700">
        <v>3</v>
      </c>
      <c r="E700" t="s">
        <v>60</v>
      </c>
      <c r="F700" t="s">
        <v>52</v>
      </c>
      <c r="G700">
        <v>5</v>
      </c>
      <c r="H700" t="s">
        <v>20</v>
      </c>
      <c r="I700">
        <v>203.32</v>
      </c>
      <c r="J700">
        <v>360.47</v>
      </c>
      <c r="K700">
        <v>862.33</v>
      </c>
      <c r="L700">
        <v>24.97</v>
      </c>
      <c r="M700">
        <v>1426.12</v>
      </c>
      <c r="N700">
        <v>1451.09</v>
      </c>
    </row>
    <row r="701" spans="1:14" x14ac:dyDescent="0.3">
      <c r="A701" s="2">
        <v>43525</v>
      </c>
      <c r="B701" t="s">
        <v>61</v>
      </c>
      <c r="C701">
        <v>2019</v>
      </c>
      <c r="D701">
        <v>3</v>
      </c>
      <c r="E701" t="s">
        <v>60</v>
      </c>
      <c r="F701" t="s">
        <v>53</v>
      </c>
      <c r="G701">
        <v>19</v>
      </c>
      <c r="H701" t="s">
        <v>20</v>
      </c>
      <c r="I701">
        <v>1160.83</v>
      </c>
      <c r="J701">
        <v>1480.52</v>
      </c>
      <c r="K701">
        <v>877.78</v>
      </c>
      <c r="L701">
        <v>321.7</v>
      </c>
      <c r="M701">
        <v>3519.13</v>
      </c>
      <c r="N701">
        <v>3840.83</v>
      </c>
    </row>
    <row r="702" spans="1:14" x14ac:dyDescent="0.3">
      <c r="A702" s="2">
        <v>43556</v>
      </c>
      <c r="B702" t="s">
        <v>66</v>
      </c>
      <c r="C702">
        <v>2019</v>
      </c>
      <c r="D702">
        <v>4</v>
      </c>
      <c r="E702" t="s">
        <v>62</v>
      </c>
      <c r="F702" t="s">
        <v>17</v>
      </c>
      <c r="G702">
        <v>35</v>
      </c>
      <c r="H702" t="s">
        <v>18</v>
      </c>
      <c r="I702">
        <v>14.46</v>
      </c>
      <c r="J702">
        <v>20.11</v>
      </c>
      <c r="K702">
        <v>3.06</v>
      </c>
      <c r="L702">
        <v>0.09</v>
      </c>
      <c r="M702">
        <v>37.630000000000003</v>
      </c>
      <c r="N702">
        <v>37.72</v>
      </c>
    </row>
    <row r="703" spans="1:14" x14ac:dyDescent="0.3">
      <c r="A703" s="2">
        <v>43556</v>
      </c>
      <c r="B703" t="s">
        <v>66</v>
      </c>
      <c r="C703">
        <v>2019</v>
      </c>
      <c r="D703">
        <v>4</v>
      </c>
      <c r="E703" t="s">
        <v>62</v>
      </c>
      <c r="F703" t="s">
        <v>19</v>
      </c>
      <c r="G703">
        <v>28</v>
      </c>
      <c r="H703" t="s">
        <v>20</v>
      </c>
      <c r="I703">
        <v>677.65</v>
      </c>
      <c r="J703">
        <v>924.03</v>
      </c>
      <c r="K703">
        <v>925.24</v>
      </c>
      <c r="L703">
        <v>32.270000000000003</v>
      </c>
      <c r="M703">
        <v>2526.92</v>
      </c>
      <c r="N703">
        <v>2559.19</v>
      </c>
    </row>
    <row r="704" spans="1:14" x14ac:dyDescent="0.3">
      <c r="A704" s="2">
        <v>43556</v>
      </c>
      <c r="B704" t="s">
        <v>66</v>
      </c>
      <c r="C704">
        <v>2019</v>
      </c>
      <c r="D704">
        <v>4</v>
      </c>
      <c r="E704" t="s">
        <v>62</v>
      </c>
      <c r="F704" t="s">
        <v>21</v>
      </c>
      <c r="G704">
        <v>12</v>
      </c>
      <c r="H704" t="s">
        <v>20</v>
      </c>
      <c r="I704">
        <v>23.28</v>
      </c>
      <c r="J704">
        <v>29.15</v>
      </c>
      <c r="K704">
        <v>4.22</v>
      </c>
      <c r="L704">
        <v>0.05</v>
      </c>
      <c r="M704">
        <v>56.65</v>
      </c>
      <c r="N704">
        <v>56.7</v>
      </c>
    </row>
    <row r="705" spans="1:14" x14ac:dyDescent="0.3">
      <c r="A705" s="2">
        <v>43556</v>
      </c>
      <c r="B705" t="s">
        <v>66</v>
      </c>
      <c r="C705">
        <v>2019</v>
      </c>
      <c r="D705">
        <v>4</v>
      </c>
      <c r="E705" t="s">
        <v>62</v>
      </c>
      <c r="F705" t="s">
        <v>22</v>
      </c>
      <c r="G705">
        <v>18</v>
      </c>
      <c r="H705" t="s">
        <v>20</v>
      </c>
      <c r="I705">
        <v>276.69</v>
      </c>
      <c r="J705">
        <v>406.66</v>
      </c>
      <c r="K705">
        <v>193.47</v>
      </c>
      <c r="L705">
        <v>55.54</v>
      </c>
      <c r="M705">
        <v>876.82</v>
      </c>
      <c r="N705">
        <v>932.36</v>
      </c>
    </row>
    <row r="706" spans="1:14" x14ac:dyDescent="0.3">
      <c r="A706" s="2">
        <v>43556</v>
      </c>
      <c r="B706" t="s">
        <v>66</v>
      </c>
      <c r="C706">
        <v>2019</v>
      </c>
      <c r="D706">
        <v>4</v>
      </c>
      <c r="E706" t="s">
        <v>62</v>
      </c>
      <c r="F706" t="s">
        <v>23</v>
      </c>
      <c r="G706">
        <v>10</v>
      </c>
      <c r="H706" t="s">
        <v>20</v>
      </c>
      <c r="I706">
        <v>318.48</v>
      </c>
      <c r="J706">
        <v>566.98</v>
      </c>
      <c r="K706">
        <v>120.01</v>
      </c>
      <c r="L706">
        <v>161.33000000000001</v>
      </c>
      <c r="M706">
        <v>1005.47</v>
      </c>
      <c r="N706">
        <v>1166.8</v>
      </c>
    </row>
    <row r="707" spans="1:14" x14ac:dyDescent="0.3">
      <c r="A707" s="2">
        <v>43556</v>
      </c>
      <c r="B707" t="s">
        <v>66</v>
      </c>
      <c r="C707">
        <v>2019</v>
      </c>
      <c r="D707">
        <v>4</v>
      </c>
      <c r="E707" t="s">
        <v>62</v>
      </c>
      <c r="F707" t="s">
        <v>24</v>
      </c>
      <c r="G707">
        <v>4</v>
      </c>
      <c r="H707" t="s">
        <v>18</v>
      </c>
      <c r="I707">
        <v>34.630000000000003</v>
      </c>
      <c r="J707">
        <v>48.24</v>
      </c>
      <c r="K707">
        <v>116.66</v>
      </c>
      <c r="L707">
        <v>0.43</v>
      </c>
      <c r="M707">
        <v>199.53</v>
      </c>
      <c r="N707">
        <v>199.96</v>
      </c>
    </row>
    <row r="708" spans="1:14" x14ac:dyDescent="0.3">
      <c r="A708" s="2">
        <v>43556</v>
      </c>
      <c r="B708" t="s">
        <v>66</v>
      </c>
      <c r="C708">
        <v>2019</v>
      </c>
      <c r="D708">
        <v>4</v>
      </c>
      <c r="E708" t="s">
        <v>62</v>
      </c>
      <c r="F708" t="s">
        <v>25</v>
      </c>
      <c r="G708">
        <v>22</v>
      </c>
      <c r="H708" t="s">
        <v>20</v>
      </c>
      <c r="I708">
        <v>415.86</v>
      </c>
      <c r="J708">
        <v>516.55999999999995</v>
      </c>
      <c r="K708">
        <v>731.79</v>
      </c>
      <c r="L708">
        <v>634.71</v>
      </c>
      <c r="M708">
        <v>1664.21</v>
      </c>
      <c r="N708">
        <v>2298.92</v>
      </c>
    </row>
    <row r="709" spans="1:14" x14ac:dyDescent="0.3">
      <c r="A709" s="2">
        <v>43556</v>
      </c>
      <c r="B709" t="s">
        <v>66</v>
      </c>
      <c r="C709">
        <v>2019</v>
      </c>
      <c r="D709">
        <v>4</v>
      </c>
      <c r="E709" t="s">
        <v>62</v>
      </c>
      <c r="F709" t="s">
        <v>26</v>
      </c>
      <c r="G709">
        <v>38</v>
      </c>
      <c r="H709" t="s">
        <v>18</v>
      </c>
      <c r="I709">
        <v>28.56</v>
      </c>
      <c r="J709">
        <v>39.299999999999997</v>
      </c>
      <c r="K709">
        <v>208.97</v>
      </c>
      <c r="L709">
        <v>7.0000000000000007E-2</v>
      </c>
      <c r="M709">
        <v>276.83</v>
      </c>
      <c r="N709">
        <v>276.89999999999998</v>
      </c>
    </row>
    <row r="710" spans="1:14" x14ac:dyDescent="0.3">
      <c r="A710" s="2">
        <v>43556</v>
      </c>
      <c r="B710" t="s">
        <v>66</v>
      </c>
      <c r="C710">
        <v>2019</v>
      </c>
      <c r="D710">
        <v>4</v>
      </c>
      <c r="E710" t="s">
        <v>62</v>
      </c>
      <c r="F710" t="s">
        <v>27</v>
      </c>
      <c r="G710">
        <v>7</v>
      </c>
      <c r="H710" t="s">
        <v>18</v>
      </c>
      <c r="I710">
        <v>912.34</v>
      </c>
      <c r="J710">
        <v>1146.03</v>
      </c>
      <c r="K710">
        <v>2204.46</v>
      </c>
      <c r="L710">
        <v>78.430000000000007</v>
      </c>
      <c r="M710">
        <v>4262.83</v>
      </c>
      <c r="N710">
        <v>4341.26</v>
      </c>
    </row>
    <row r="711" spans="1:14" x14ac:dyDescent="0.3">
      <c r="A711" s="2">
        <v>43556</v>
      </c>
      <c r="B711" t="s">
        <v>66</v>
      </c>
      <c r="C711">
        <v>2019</v>
      </c>
      <c r="D711">
        <v>4</v>
      </c>
      <c r="E711" t="s">
        <v>62</v>
      </c>
      <c r="F711" t="s">
        <v>28</v>
      </c>
      <c r="G711">
        <v>30</v>
      </c>
      <c r="H711" t="s">
        <v>20</v>
      </c>
      <c r="I711">
        <v>107.64</v>
      </c>
      <c r="J711">
        <v>157.34</v>
      </c>
      <c r="K711">
        <v>146.9</v>
      </c>
      <c r="L711">
        <v>3.34</v>
      </c>
      <c r="M711">
        <v>411.88</v>
      </c>
      <c r="N711">
        <v>415.22</v>
      </c>
    </row>
    <row r="712" spans="1:14" x14ac:dyDescent="0.3">
      <c r="A712" s="2">
        <v>43556</v>
      </c>
      <c r="B712" t="s">
        <v>66</v>
      </c>
      <c r="C712">
        <v>2019</v>
      </c>
      <c r="D712">
        <v>4</v>
      </c>
      <c r="E712" t="s">
        <v>62</v>
      </c>
      <c r="F712" t="s">
        <v>29</v>
      </c>
      <c r="G712">
        <v>24</v>
      </c>
      <c r="H712" t="s">
        <v>20</v>
      </c>
      <c r="I712">
        <v>1849.37</v>
      </c>
      <c r="J712">
        <v>2393.15</v>
      </c>
      <c r="K712">
        <v>2276.5500000000002</v>
      </c>
      <c r="L712">
        <v>355</v>
      </c>
      <c r="M712">
        <v>6519.07</v>
      </c>
      <c r="N712">
        <v>6874.07</v>
      </c>
    </row>
    <row r="713" spans="1:14" x14ac:dyDescent="0.3">
      <c r="A713" s="2">
        <v>43556</v>
      </c>
      <c r="B713" t="s">
        <v>66</v>
      </c>
      <c r="C713">
        <v>2019</v>
      </c>
      <c r="D713">
        <v>4</v>
      </c>
      <c r="E713" t="s">
        <v>62</v>
      </c>
      <c r="F713" t="s">
        <v>30</v>
      </c>
      <c r="G713">
        <v>6</v>
      </c>
      <c r="H713" t="s">
        <v>20</v>
      </c>
      <c r="I713">
        <v>743.37</v>
      </c>
      <c r="J713">
        <v>1122.28</v>
      </c>
      <c r="K713">
        <v>3168.69</v>
      </c>
      <c r="L713">
        <v>337.54</v>
      </c>
      <c r="M713">
        <v>5034.34</v>
      </c>
      <c r="N713">
        <v>5371.88</v>
      </c>
    </row>
    <row r="714" spans="1:14" x14ac:dyDescent="0.3">
      <c r="A714" s="2">
        <v>43556</v>
      </c>
      <c r="B714" t="s">
        <v>66</v>
      </c>
      <c r="C714">
        <v>2019</v>
      </c>
      <c r="D714">
        <v>4</v>
      </c>
      <c r="E714" t="s">
        <v>62</v>
      </c>
      <c r="F714" t="s">
        <v>31</v>
      </c>
      <c r="G714">
        <v>2</v>
      </c>
      <c r="H714" t="s">
        <v>20</v>
      </c>
      <c r="I714">
        <v>111.09</v>
      </c>
      <c r="J714">
        <v>169.26</v>
      </c>
      <c r="K714">
        <v>418.78</v>
      </c>
      <c r="L714">
        <v>0.99</v>
      </c>
      <c r="M714">
        <v>699.13</v>
      </c>
      <c r="N714">
        <v>700.12</v>
      </c>
    </row>
    <row r="715" spans="1:14" x14ac:dyDescent="0.3">
      <c r="A715" s="2">
        <v>43556</v>
      </c>
      <c r="B715" t="s">
        <v>66</v>
      </c>
      <c r="C715">
        <v>2019</v>
      </c>
      <c r="D715">
        <v>4</v>
      </c>
      <c r="E715" t="s">
        <v>62</v>
      </c>
      <c r="F715" t="s">
        <v>32</v>
      </c>
      <c r="G715">
        <v>1</v>
      </c>
      <c r="H715" t="s">
        <v>18</v>
      </c>
      <c r="I715">
        <v>116.35</v>
      </c>
      <c r="J715">
        <v>198.78</v>
      </c>
      <c r="K715">
        <v>63.97</v>
      </c>
      <c r="L715">
        <v>3.04</v>
      </c>
      <c r="M715">
        <v>379.1</v>
      </c>
      <c r="N715">
        <v>382.14</v>
      </c>
    </row>
    <row r="716" spans="1:14" x14ac:dyDescent="0.3">
      <c r="A716" s="2">
        <v>43556</v>
      </c>
      <c r="B716" t="s">
        <v>66</v>
      </c>
      <c r="C716">
        <v>2019</v>
      </c>
      <c r="D716">
        <v>4</v>
      </c>
      <c r="E716" t="s">
        <v>62</v>
      </c>
      <c r="F716" t="s">
        <v>33</v>
      </c>
      <c r="G716">
        <v>20</v>
      </c>
      <c r="H716" t="s">
        <v>20</v>
      </c>
      <c r="I716">
        <v>460.7</v>
      </c>
      <c r="J716">
        <v>620</v>
      </c>
      <c r="K716">
        <v>1212.22</v>
      </c>
      <c r="L716">
        <v>473.63</v>
      </c>
      <c r="M716">
        <v>2292.92</v>
      </c>
      <c r="N716">
        <v>2766.55</v>
      </c>
    </row>
    <row r="717" spans="1:14" x14ac:dyDescent="0.3">
      <c r="A717" s="2">
        <v>43556</v>
      </c>
      <c r="B717" t="s">
        <v>66</v>
      </c>
      <c r="C717">
        <v>2019</v>
      </c>
      <c r="D717">
        <v>4</v>
      </c>
      <c r="E717" t="s">
        <v>62</v>
      </c>
      <c r="F717" t="s">
        <v>34</v>
      </c>
      <c r="G717">
        <v>29</v>
      </c>
      <c r="H717" t="s">
        <v>20</v>
      </c>
      <c r="I717">
        <v>1913.58</v>
      </c>
      <c r="J717">
        <v>2482.98</v>
      </c>
      <c r="K717">
        <v>2651.14</v>
      </c>
      <c r="L717">
        <v>957.2</v>
      </c>
      <c r="M717">
        <v>7047.7</v>
      </c>
      <c r="N717">
        <v>8004.9</v>
      </c>
    </row>
    <row r="718" spans="1:14" x14ac:dyDescent="0.3">
      <c r="A718" s="2">
        <v>43556</v>
      </c>
      <c r="B718" t="s">
        <v>66</v>
      </c>
      <c r="C718">
        <v>2019</v>
      </c>
      <c r="D718">
        <v>4</v>
      </c>
      <c r="E718" t="s">
        <v>62</v>
      </c>
      <c r="F718" t="s">
        <v>35</v>
      </c>
      <c r="G718">
        <v>32</v>
      </c>
      <c r="H718" t="s">
        <v>20</v>
      </c>
      <c r="I718">
        <v>509.12</v>
      </c>
      <c r="J718">
        <v>843.69</v>
      </c>
      <c r="K718">
        <v>408.83</v>
      </c>
      <c r="L718">
        <v>4.55</v>
      </c>
      <c r="M718">
        <v>1761.64</v>
      </c>
      <c r="N718">
        <v>1766.19</v>
      </c>
    </row>
    <row r="719" spans="1:14" x14ac:dyDescent="0.3">
      <c r="A719" s="2">
        <v>43556</v>
      </c>
      <c r="B719" t="s">
        <v>66</v>
      </c>
      <c r="C719">
        <v>2019</v>
      </c>
      <c r="D719">
        <v>4</v>
      </c>
      <c r="E719" t="s">
        <v>62</v>
      </c>
      <c r="F719" t="s">
        <v>36</v>
      </c>
      <c r="G719">
        <v>31</v>
      </c>
      <c r="H719" t="s">
        <v>18</v>
      </c>
      <c r="I719">
        <v>1.26</v>
      </c>
      <c r="J719">
        <v>1.43</v>
      </c>
      <c r="K719">
        <v>0.09</v>
      </c>
      <c r="L719">
        <v>0</v>
      </c>
      <c r="M719">
        <v>2.78</v>
      </c>
      <c r="N719">
        <v>2.78</v>
      </c>
    </row>
    <row r="720" spans="1:14" x14ac:dyDescent="0.3">
      <c r="A720" s="2">
        <v>43556</v>
      </c>
      <c r="B720" t="s">
        <v>66</v>
      </c>
      <c r="C720">
        <v>2019</v>
      </c>
      <c r="D720">
        <v>4</v>
      </c>
      <c r="E720" t="s">
        <v>62</v>
      </c>
      <c r="F720" t="s">
        <v>37</v>
      </c>
      <c r="G720">
        <v>23</v>
      </c>
      <c r="H720" t="s">
        <v>20</v>
      </c>
      <c r="I720">
        <v>623.51</v>
      </c>
      <c r="J720">
        <v>841.43</v>
      </c>
      <c r="K720">
        <v>709.08</v>
      </c>
      <c r="L720">
        <v>451.68</v>
      </c>
      <c r="M720">
        <v>2174.02</v>
      </c>
      <c r="N720">
        <v>2625.7</v>
      </c>
    </row>
    <row r="721" spans="1:14" x14ac:dyDescent="0.3">
      <c r="A721" s="2">
        <v>43556</v>
      </c>
      <c r="B721" t="s">
        <v>66</v>
      </c>
      <c r="C721">
        <v>2019</v>
      </c>
      <c r="D721">
        <v>4</v>
      </c>
      <c r="E721" t="s">
        <v>62</v>
      </c>
      <c r="F721" t="s">
        <v>38</v>
      </c>
      <c r="G721">
        <v>27</v>
      </c>
      <c r="H721" t="s">
        <v>20</v>
      </c>
      <c r="I721">
        <v>4717.1400000000003</v>
      </c>
      <c r="J721">
        <v>5860.1</v>
      </c>
      <c r="K721">
        <v>6369.62</v>
      </c>
      <c r="L721">
        <v>1176.18</v>
      </c>
      <c r="M721">
        <v>16946.86</v>
      </c>
      <c r="N721">
        <v>18123.04</v>
      </c>
    </row>
    <row r="722" spans="1:14" x14ac:dyDescent="0.3">
      <c r="A722" s="2">
        <v>43556</v>
      </c>
      <c r="B722" t="s">
        <v>66</v>
      </c>
      <c r="C722">
        <v>2019</v>
      </c>
      <c r="D722">
        <v>4</v>
      </c>
      <c r="E722" t="s">
        <v>62</v>
      </c>
      <c r="F722" t="s">
        <v>39</v>
      </c>
      <c r="G722">
        <v>14</v>
      </c>
      <c r="H722" t="s">
        <v>20</v>
      </c>
      <c r="I722">
        <v>14.09</v>
      </c>
      <c r="J722">
        <v>20.57</v>
      </c>
      <c r="K722">
        <v>2.56</v>
      </c>
      <c r="L722">
        <v>0.02</v>
      </c>
      <c r="M722">
        <v>37.22</v>
      </c>
      <c r="N722">
        <v>37.24</v>
      </c>
    </row>
    <row r="723" spans="1:14" x14ac:dyDescent="0.3">
      <c r="A723" s="2">
        <v>43556</v>
      </c>
      <c r="B723" t="s">
        <v>66</v>
      </c>
      <c r="C723">
        <v>2019</v>
      </c>
      <c r="D723">
        <v>4</v>
      </c>
      <c r="E723" t="s">
        <v>62</v>
      </c>
      <c r="F723" t="s">
        <v>40</v>
      </c>
      <c r="G723">
        <v>17</v>
      </c>
      <c r="H723" t="s">
        <v>20</v>
      </c>
      <c r="I723">
        <v>30.78</v>
      </c>
      <c r="J723">
        <v>41.57</v>
      </c>
      <c r="K723">
        <v>95.17</v>
      </c>
      <c r="L723">
        <v>0.87</v>
      </c>
      <c r="M723">
        <v>167.52</v>
      </c>
      <c r="N723">
        <v>168.39</v>
      </c>
    </row>
    <row r="724" spans="1:14" x14ac:dyDescent="0.3">
      <c r="A724" s="2">
        <v>43556</v>
      </c>
      <c r="B724" t="s">
        <v>66</v>
      </c>
      <c r="C724">
        <v>2019</v>
      </c>
      <c r="D724">
        <v>4</v>
      </c>
      <c r="E724" t="s">
        <v>62</v>
      </c>
      <c r="F724" t="s">
        <v>41</v>
      </c>
      <c r="G724">
        <v>15</v>
      </c>
      <c r="H724" t="s">
        <v>20</v>
      </c>
      <c r="I724">
        <v>9.8699999999999992</v>
      </c>
      <c r="J724">
        <v>13.68</v>
      </c>
      <c r="K724">
        <v>11.52</v>
      </c>
      <c r="L724">
        <v>0</v>
      </c>
      <c r="M724">
        <v>35.07</v>
      </c>
      <c r="N724">
        <v>35.07</v>
      </c>
    </row>
    <row r="725" spans="1:14" x14ac:dyDescent="0.3">
      <c r="A725" s="2">
        <v>43556</v>
      </c>
      <c r="B725" t="s">
        <v>66</v>
      </c>
      <c r="C725">
        <v>2019</v>
      </c>
      <c r="D725">
        <v>4</v>
      </c>
      <c r="E725" t="s">
        <v>62</v>
      </c>
      <c r="F725" t="s">
        <v>42</v>
      </c>
      <c r="G725">
        <v>13</v>
      </c>
      <c r="H725" t="s">
        <v>20</v>
      </c>
      <c r="I725">
        <v>8.0299999999999994</v>
      </c>
      <c r="J725">
        <v>12.78</v>
      </c>
      <c r="K725">
        <v>6.22</v>
      </c>
      <c r="L725">
        <v>1.89</v>
      </c>
      <c r="M725">
        <v>27.03</v>
      </c>
      <c r="N725">
        <v>28.92</v>
      </c>
    </row>
    <row r="726" spans="1:14" x14ac:dyDescent="0.3">
      <c r="A726" s="2">
        <v>43556</v>
      </c>
      <c r="B726" t="s">
        <v>66</v>
      </c>
      <c r="C726">
        <v>2019</v>
      </c>
      <c r="D726">
        <v>4</v>
      </c>
      <c r="E726" t="s">
        <v>62</v>
      </c>
      <c r="F726" t="s">
        <v>43</v>
      </c>
      <c r="G726">
        <v>21</v>
      </c>
      <c r="H726" t="s">
        <v>20</v>
      </c>
      <c r="I726">
        <v>671.98</v>
      </c>
      <c r="J726">
        <v>927.6</v>
      </c>
      <c r="K726">
        <v>770.01</v>
      </c>
      <c r="L726">
        <v>586.01</v>
      </c>
      <c r="M726">
        <v>2369.59</v>
      </c>
      <c r="N726">
        <v>2955.6</v>
      </c>
    </row>
    <row r="727" spans="1:14" x14ac:dyDescent="0.3">
      <c r="A727" s="2">
        <v>43556</v>
      </c>
      <c r="B727" t="s">
        <v>66</v>
      </c>
      <c r="C727">
        <v>2019</v>
      </c>
      <c r="D727">
        <v>4</v>
      </c>
      <c r="E727" t="s">
        <v>62</v>
      </c>
      <c r="F727" t="s">
        <v>44</v>
      </c>
      <c r="G727">
        <v>34</v>
      </c>
      <c r="H727" t="s">
        <v>18</v>
      </c>
      <c r="I727">
        <v>20.58</v>
      </c>
      <c r="J727">
        <v>32.03</v>
      </c>
      <c r="K727">
        <v>119.67</v>
      </c>
      <c r="L727">
        <v>0.99</v>
      </c>
      <c r="M727">
        <v>172.28</v>
      </c>
      <c r="N727">
        <v>173.27</v>
      </c>
    </row>
    <row r="728" spans="1:14" x14ac:dyDescent="0.3">
      <c r="A728" s="2">
        <v>43556</v>
      </c>
      <c r="B728" t="s">
        <v>66</v>
      </c>
      <c r="C728">
        <v>2019</v>
      </c>
      <c r="D728">
        <v>4</v>
      </c>
      <c r="E728" t="s">
        <v>62</v>
      </c>
      <c r="F728" t="s">
        <v>45</v>
      </c>
      <c r="G728">
        <v>3</v>
      </c>
      <c r="H728" t="s">
        <v>20</v>
      </c>
      <c r="I728">
        <v>365.44</v>
      </c>
      <c r="J728">
        <v>553.87</v>
      </c>
      <c r="K728">
        <v>438.87</v>
      </c>
      <c r="L728">
        <v>16.100000000000001</v>
      </c>
      <c r="M728">
        <v>1358.18</v>
      </c>
      <c r="N728">
        <v>1374.28</v>
      </c>
    </row>
    <row r="729" spans="1:14" x14ac:dyDescent="0.3">
      <c r="A729" s="2">
        <v>43556</v>
      </c>
      <c r="B729" t="s">
        <v>66</v>
      </c>
      <c r="C729">
        <v>2019</v>
      </c>
      <c r="D729">
        <v>4</v>
      </c>
      <c r="E729" t="s">
        <v>62</v>
      </c>
      <c r="F729" t="s">
        <v>46</v>
      </c>
      <c r="G729">
        <v>8</v>
      </c>
      <c r="H729" t="s">
        <v>20</v>
      </c>
      <c r="I729">
        <v>815.99</v>
      </c>
      <c r="J729">
        <v>1073.25</v>
      </c>
      <c r="K729">
        <v>878.1</v>
      </c>
      <c r="L729">
        <v>128.69999999999999</v>
      </c>
      <c r="M729">
        <v>2767.34</v>
      </c>
      <c r="N729">
        <v>2896.04</v>
      </c>
    </row>
    <row r="730" spans="1:14" x14ac:dyDescent="0.3">
      <c r="A730" s="2">
        <v>43556</v>
      </c>
      <c r="B730" t="s">
        <v>66</v>
      </c>
      <c r="C730">
        <v>2019</v>
      </c>
      <c r="D730">
        <v>4</v>
      </c>
      <c r="E730" t="s">
        <v>62</v>
      </c>
      <c r="F730" t="s">
        <v>47</v>
      </c>
      <c r="G730">
        <v>11</v>
      </c>
      <c r="H730" t="s">
        <v>20</v>
      </c>
      <c r="I730">
        <v>16.77</v>
      </c>
      <c r="J730">
        <v>27.5</v>
      </c>
      <c r="K730">
        <v>121.13</v>
      </c>
      <c r="L730">
        <v>0.19</v>
      </c>
      <c r="M730">
        <v>165.4</v>
      </c>
      <c r="N730">
        <v>165.59</v>
      </c>
    </row>
    <row r="731" spans="1:14" x14ac:dyDescent="0.3">
      <c r="A731" s="2">
        <v>43556</v>
      </c>
      <c r="B731" t="s">
        <v>66</v>
      </c>
      <c r="C731">
        <v>2019</v>
      </c>
      <c r="D731">
        <v>4</v>
      </c>
      <c r="E731" t="s">
        <v>62</v>
      </c>
      <c r="F731" t="s">
        <v>48</v>
      </c>
      <c r="G731">
        <v>33</v>
      </c>
      <c r="H731" t="s">
        <v>20</v>
      </c>
      <c r="I731">
        <v>1678.87</v>
      </c>
      <c r="J731">
        <v>2415.16</v>
      </c>
      <c r="K731">
        <v>2122.1799999999998</v>
      </c>
      <c r="L731">
        <v>554.92999999999995</v>
      </c>
      <c r="M731">
        <v>6216.21</v>
      </c>
      <c r="N731">
        <v>6771.14</v>
      </c>
    </row>
    <row r="732" spans="1:14" x14ac:dyDescent="0.3">
      <c r="A732" s="2">
        <v>43556</v>
      </c>
      <c r="B732" t="s">
        <v>66</v>
      </c>
      <c r="C732">
        <v>2019</v>
      </c>
      <c r="D732">
        <v>4</v>
      </c>
      <c r="E732" t="s">
        <v>62</v>
      </c>
      <c r="F732" t="s">
        <v>49</v>
      </c>
      <c r="G732">
        <v>36</v>
      </c>
      <c r="H732" t="s">
        <v>20</v>
      </c>
      <c r="I732">
        <v>834.28</v>
      </c>
      <c r="J732">
        <v>1144.78</v>
      </c>
      <c r="K732">
        <v>997.16</v>
      </c>
      <c r="L732">
        <v>533.70000000000005</v>
      </c>
      <c r="M732">
        <v>2976.22</v>
      </c>
      <c r="N732">
        <v>3509.92</v>
      </c>
    </row>
    <row r="733" spans="1:14" x14ac:dyDescent="0.3">
      <c r="A733" s="2">
        <v>43556</v>
      </c>
      <c r="B733" t="s">
        <v>66</v>
      </c>
      <c r="C733">
        <v>2019</v>
      </c>
      <c r="D733">
        <v>4</v>
      </c>
      <c r="E733" t="s">
        <v>62</v>
      </c>
      <c r="F733" t="s">
        <v>50</v>
      </c>
      <c r="G733">
        <v>16</v>
      </c>
      <c r="H733" t="s">
        <v>20</v>
      </c>
      <c r="I733">
        <v>20.28</v>
      </c>
      <c r="J733">
        <v>34.68</v>
      </c>
      <c r="K733">
        <v>5.92</v>
      </c>
      <c r="L733">
        <v>0.13</v>
      </c>
      <c r="M733">
        <v>60.88</v>
      </c>
      <c r="N733">
        <v>61.01</v>
      </c>
    </row>
    <row r="734" spans="1:14" x14ac:dyDescent="0.3">
      <c r="A734" s="2">
        <v>43556</v>
      </c>
      <c r="B734" t="s">
        <v>66</v>
      </c>
      <c r="C734">
        <v>2019</v>
      </c>
      <c r="D734">
        <v>4</v>
      </c>
      <c r="E734" t="s">
        <v>62</v>
      </c>
      <c r="F734" t="s">
        <v>51</v>
      </c>
      <c r="G734">
        <v>9</v>
      </c>
      <c r="H734" t="s">
        <v>20</v>
      </c>
      <c r="I734">
        <v>1395.59</v>
      </c>
      <c r="J734">
        <v>2160.23</v>
      </c>
      <c r="K734">
        <v>1650.51</v>
      </c>
      <c r="L734">
        <v>1103.45</v>
      </c>
      <c r="M734">
        <v>5206.33</v>
      </c>
      <c r="N734">
        <v>6309.78</v>
      </c>
    </row>
    <row r="735" spans="1:14" x14ac:dyDescent="0.3">
      <c r="A735" s="2">
        <v>43556</v>
      </c>
      <c r="B735" t="s">
        <v>66</v>
      </c>
      <c r="C735">
        <v>2019</v>
      </c>
      <c r="D735">
        <v>4</v>
      </c>
      <c r="E735" t="s">
        <v>62</v>
      </c>
      <c r="F735" t="s">
        <v>52</v>
      </c>
      <c r="G735">
        <v>5</v>
      </c>
      <c r="H735" t="s">
        <v>20</v>
      </c>
      <c r="I735">
        <v>218.8</v>
      </c>
      <c r="J735">
        <v>369.64</v>
      </c>
      <c r="K735">
        <v>1004.96</v>
      </c>
      <c r="L735">
        <v>23.89</v>
      </c>
      <c r="M735">
        <v>1593.4</v>
      </c>
      <c r="N735">
        <v>1617.29</v>
      </c>
    </row>
    <row r="736" spans="1:14" x14ac:dyDescent="0.3">
      <c r="A736" s="2">
        <v>43556</v>
      </c>
      <c r="B736" t="s">
        <v>66</v>
      </c>
      <c r="C736">
        <v>2019</v>
      </c>
      <c r="D736">
        <v>4</v>
      </c>
      <c r="E736" t="s">
        <v>62</v>
      </c>
      <c r="F736" t="s">
        <v>53</v>
      </c>
      <c r="G736">
        <v>19</v>
      </c>
      <c r="H736" t="s">
        <v>20</v>
      </c>
      <c r="I736">
        <v>1190.21</v>
      </c>
      <c r="J736">
        <v>1549.62</v>
      </c>
      <c r="K736">
        <v>1031.28</v>
      </c>
      <c r="L736">
        <v>438.22</v>
      </c>
      <c r="M736">
        <v>3771.11</v>
      </c>
      <c r="N736">
        <v>4209.33</v>
      </c>
    </row>
    <row r="737" spans="1:14" x14ac:dyDescent="0.3">
      <c r="A737" s="2">
        <v>43586</v>
      </c>
      <c r="B737" t="s">
        <v>66</v>
      </c>
      <c r="C737">
        <v>2019</v>
      </c>
      <c r="D737">
        <v>5</v>
      </c>
      <c r="E737" t="s">
        <v>63</v>
      </c>
      <c r="F737" t="s">
        <v>17</v>
      </c>
      <c r="G737">
        <v>35</v>
      </c>
      <c r="H737" t="s">
        <v>18</v>
      </c>
      <c r="I737">
        <v>14.28</v>
      </c>
      <c r="J737">
        <v>22.52</v>
      </c>
      <c r="K737">
        <v>2.37</v>
      </c>
      <c r="L737">
        <v>0.25</v>
      </c>
      <c r="M737">
        <v>39.17</v>
      </c>
      <c r="N737">
        <v>39.42</v>
      </c>
    </row>
    <row r="738" spans="1:14" x14ac:dyDescent="0.3">
      <c r="A738" s="2">
        <v>43586</v>
      </c>
      <c r="B738" t="s">
        <v>66</v>
      </c>
      <c r="C738">
        <v>2019</v>
      </c>
      <c r="D738">
        <v>5</v>
      </c>
      <c r="E738" t="s">
        <v>63</v>
      </c>
      <c r="F738" t="s">
        <v>19</v>
      </c>
      <c r="G738">
        <v>28</v>
      </c>
      <c r="H738" t="s">
        <v>20</v>
      </c>
      <c r="I738">
        <v>528.4</v>
      </c>
      <c r="J738">
        <v>776.9</v>
      </c>
      <c r="K738">
        <v>803.85</v>
      </c>
      <c r="L738">
        <v>33.229999999999997</v>
      </c>
      <c r="M738">
        <v>2109.15</v>
      </c>
      <c r="N738">
        <v>2142.38</v>
      </c>
    </row>
    <row r="739" spans="1:14" x14ac:dyDescent="0.3">
      <c r="A739" s="2">
        <v>43586</v>
      </c>
      <c r="B739" t="s">
        <v>66</v>
      </c>
      <c r="C739">
        <v>2019</v>
      </c>
      <c r="D739">
        <v>5</v>
      </c>
      <c r="E739" t="s">
        <v>63</v>
      </c>
      <c r="F739" t="s">
        <v>21</v>
      </c>
      <c r="G739">
        <v>12</v>
      </c>
      <c r="H739" t="s">
        <v>20</v>
      </c>
      <c r="I739">
        <v>12.87</v>
      </c>
      <c r="J739">
        <v>17</v>
      </c>
      <c r="K739">
        <v>6.18</v>
      </c>
      <c r="L739">
        <v>0.49</v>
      </c>
      <c r="M739">
        <v>36.049999999999997</v>
      </c>
      <c r="N739">
        <v>36.54</v>
      </c>
    </row>
    <row r="740" spans="1:14" x14ac:dyDescent="0.3">
      <c r="A740" s="2">
        <v>43586</v>
      </c>
      <c r="B740" t="s">
        <v>66</v>
      </c>
      <c r="C740">
        <v>2019</v>
      </c>
      <c r="D740">
        <v>5</v>
      </c>
      <c r="E740" t="s">
        <v>63</v>
      </c>
      <c r="F740" t="s">
        <v>22</v>
      </c>
      <c r="G740">
        <v>18</v>
      </c>
      <c r="H740" t="s">
        <v>20</v>
      </c>
      <c r="I740">
        <v>225.32</v>
      </c>
      <c r="J740">
        <v>326.58999999999997</v>
      </c>
      <c r="K740">
        <v>192.1</v>
      </c>
      <c r="L740">
        <v>25.6</v>
      </c>
      <c r="M740">
        <v>744.01</v>
      </c>
      <c r="N740">
        <v>769.61</v>
      </c>
    </row>
    <row r="741" spans="1:14" x14ac:dyDescent="0.3">
      <c r="A741" s="2">
        <v>43586</v>
      </c>
      <c r="B741" t="s">
        <v>66</v>
      </c>
      <c r="C741">
        <v>2019</v>
      </c>
      <c r="D741">
        <v>5</v>
      </c>
      <c r="E741" t="s">
        <v>63</v>
      </c>
      <c r="F741" t="s">
        <v>23</v>
      </c>
      <c r="G741">
        <v>10</v>
      </c>
      <c r="H741" t="s">
        <v>20</v>
      </c>
      <c r="I741">
        <v>232.45</v>
      </c>
      <c r="J741">
        <v>466.71</v>
      </c>
      <c r="K741">
        <v>119.37</v>
      </c>
      <c r="L741">
        <v>163.06</v>
      </c>
      <c r="M741">
        <v>818.53</v>
      </c>
      <c r="N741">
        <v>981.59</v>
      </c>
    </row>
    <row r="742" spans="1:14" x14ac:dyDescent="0.3">
      <c r="A742" s="2">
        <v>43586</v>
      </c>
      <c r="B742" t="s">
        <v>66</v>
      </c>
      <c r="C742">
        <v>2019</v>
      </c>
      <c r="D742">
        <v>5</v>
      </c>
      <c r="E742" t="s">
        <v>63</v>
      </c>
      <c r="F742" t="s">
        <v>24</v>
      </c>
      <c r="G742">
        <v>4</v>
      </c>
      <c r="H742" t="s">
        <v>18</v>
      </c>
      <c r="I742">
        <v>28.63</v>
      </c>
      <c r="J742">
        <v>41.79</v>
      </c>
      <c r="K742">
        <v>75.650000000000006</v>
      </c>
      <c r="L742">
        <v>0.6</v>
      </c>
      <c r="M742">
        <v>146.07</v>
      </c>
      <c r="N742">
        <v>146.66999999999999</v>
      </c>
    </row>
    <row r="743" spans="1:14" x14ac:dyDescent="0.3">
      <c r="A743" s="2">
        <v>43586</v>
      </c>
      <c r="B743" t="s">
        <v>66</v>
      </c>
      <c r="C743">
        <v>2019</v>
      </c>
      <c r="D743">
        <v>5</v>
      </c>
      <c r="E743" t="s">
        <v>63</v>
      </c>
      <c r="F743" t="s">
        <v>25</v>
      </c>
      <c r="G743">
        <v>22</v>
      </c>
      <c r="H743" t="s">
        <v>20</v>
      </c>
      <c r="I743">
        <v>341.05</v>
      </c>
      <c r="J743">
        <v>434.66</v>
      </c>
      <c r="K743">
        <v>695.13</v>
      </c>
      <c r="L743">
        <v>528.1</v>
      </c>
      <c r="M743">
        <v>1470.84</v>
      </c>
      <c r="N743">
        <v>1998.94</v>
      </c>
    </row>
    <row r="744" spans="1:14" x14ac:dyDescent="0.3">
      <c r="A744" s="2">
        <v>43586</v>
      </c>
      <c r="B744" t="s">
        <v>66</v>
      </c>
      <c r="C744">
        <v>2019</v>
      </c>
      <c r="D744">
        <v>5</v>
      </c>
      <c r="E744" t="s">
        <v>63</v>
      </c>
      <c r="F744" t="s">
        <v>26</v>
      </c>
      <c r="G744">
        <v>38</v>
      </c>
      <c r="H744" t="s">
        <v>18</v>
      </c>
      <c r="I744">
        <v>22.09</v>
      </c>
      <c r="J744">
        <v>36.590000000000003</v>
      </c>
      <c r="K744">
        <v>169.85</v>
      </c>
      <c r="L744">
        <v>0.19</v>
      </c>
      <c r="M744">
        <v>228.53</v>
      </c>
      <c r="N744">
        <v>228.72</v>
      </c>
    </row>
    <row r="745" spans="1:14" x14ac:dyDescent="0.3">
      <c r="A745" s="2">
        <v>43586</v>
      </c>
      <c r="B745" t="s">
        <v>66</v>
      </c>
      <c r="C745">
        <v>2019</v>
      </c>
      <c r="D745">
        <v>5</v>
      </c>
      <c r="E745" t="s">
        <v>63</v>
      </c>
      <c r="F745" t="s">
        <v>27</v>
      </c>
      <c r="G745">
        <v>7</v>
      </c>
      <c r="H745" t="s">
        <v>18</v>
      </c>
      <c r="I745">
        <v>765.43</v>
      </c>
      <c r="J745">
        <v>966.69</v>
      </c>
      <c r="K745">
        <v>1840.76</v>
      </c>
      <c r="L745">
        <v>90.85</v>
      </c>
      <c r="M745">
        <v>3572.88</v>
      </c>
      <c r="N745">
        <v>3663.73</v>
      </c>
    </row>
    <row r="746" spans="1:14" x14ac:dyDescent="0.3">
      <c r="A746" s="2">
        <v>43586</v>
      </c>
      <c r="B746" t="s">
        <v>66</v>
      </c>
      <c r="C746">
        <v>2019</v>
      </c>
      <c r="D746">
        <v>5</v>
      </c>
      <c r="E746" t="s">
        <v>63</v>
      </c>
      <c r="F746" t="s">
        <v>28</v>
      </c>
      <c r="G746">
        <v>30</v>
      </c>
      <c r="H746" t="s">
        <v>20</v>
      </c>
      <c r="I746">
        <v>87.54</v>
      </c>
      <c r="J746">
        <v>128.43</v>
      </c>
      <c r="K746">
        <v>128.6</v>
      </c>
      <c r="L746">
        <v>4.17</v>
      </c>
      <c r="M746">
        <v>344.57</v>
      </c>
      <c r="N746">
        <v>348.74</v>
      </c>
    </row>
    <row r="747" spans="1:14" x14ac:dyDescent="0.3">
      <c r="A747" s="2">
        <v>43586</v>
      </c>
      <c r="B747" t="s">
        <v>66</v>
      </c>
      <c r="C747">
        <v>2019</v>
      </c>
      <c r="D747">
        <v>5</v>
      </c>
      <c r="E747" t="s">
        <v>63</v>
      </c>
      <c r="F747" t="s">
        <v>29</v>
      </c>
      <c r="G747">
        <v>24</v>
      </c>
      <c r="H747" t="s">
        <v>20</v>
      </c>
      <c r="I747">
        <v>1815.07</v>
      </c>
      <c r="J747">
        <v>2316.94</v>
      </c>
      <c r="K747">
        <v>2145.9699999999998</v>
      </c>
      <c r="L747">
        <v>330.84</v>
      </c>
      <c r="M747">
        <v>6277.98</v>
      </c>
      <c r="N747">
        <v>6608.82</v>
      </c>
    </row>
    <row r="748" spans="1:14" x14ac:dyDescent="0.3">
      <c r="A748" s="2">
        <v>43586</v>
      </c>
      <c r="B748" t="s">
        <v>66</v>
      </c>
      <c r="C748">
        <v>2019</v>
      </c>
      <c r="D748">
        <v>5</v>
      </c>
      <c r="E748" t="s">
        <v>63</v>
      </c>
      <c r="F748" t="s">
        <v>30</v>
      </c>
      <c r="G748">
        <v>6</v>
      </c>
      <c r="H748" t="s">
        <v>20</v>
      </c>
      <c r="I748">
        <v>781.03</v>
      </c>
      <c r="J748">
        <v>1125.4000000000001</v>
      </c>
      <c r="K748">
        <v>2418.14</v>
      </c>
      <c r="L748">
        <v>299.44</v>
      </c>
      <c r="M748">
        <v>4324.57</v>
      </c>
      <c r="N748">
        <v>4624.01</v>
      </c>
    </row>
    <row r="749" spans="1:14" x14ac:dyDescent="0.3">
      <c r="A749" s="2">
        <v>43586</v>
      </c>
      <c r="B749" t="s">
        <v>66</v>
      </c>
      <c r="C749">
        <v>2019</v>
      </c>
      <c r="D749">
        <v>5</v>
      </c>
      <c r="E749" t="s">
        <v>63</v>
      </c>
      <c r="F749" t="s">
        <v>31</v>
      </c>
      <c r="G749">
        <v>2</v>
      </c>
      <c r="H749" t="s">
        <v>20</v>
      </c>
      <c r="I749">
        <v>85.45</v>
      </c>
      <c r="J749">
        <v>129.97999999999999</v>
      </c>
      <c r="K749">
        <v>423.2</v>
      </c>
      <c r="L749">
        <v>1.28</v>
      </c>
      <c r="M749">
        <v>638.63</v>
      </c>
      <c r="N749">
        <v>639.91</v>
      </c>
    </row>
    <row r="750" spans="1:14" x14ac:dyDescent="0.3">
      <c r="A750" s="2">
        <v>43586</v>
      </c>
      <c r="B750" t="s">
        <v>66</v>
      </c>
      <c r="C750">
        <v>2019</v>
      </c>
      <c r="D750">
        <v>5</v>
      </c>
      <c r="E750" t="s">
        <v>63</v>
      </c>
      <c r="F750" t="s">
        <v>32</v>
      </c>
      <c r="G750">
        <v>1</v>
      </c>
      <c r="H750" t="s">
        <v>18</v>
      </c>
      <c r="I750">
        <v>80.040000000000006</v>
      </c>
      <c r="J750">
        <v>147.32</v>
      </c>
      <c r="K750">
        <v>78.16</v>
      </c>
      <c r="L750">
        <v>5.77</v>
      </c>
      <c r="M750">
        <v>305.52</v>
      </c>
      <c r="N750">
        <v>311.29000000000002</v>
      </c>
    </row>
    <row r="751" spans="1:14" x14ac:dyDescent="0.3">
      <c r="A751" s="2">
        <v>43586</v>
      </c>
      <c r="B751" t="s">
        <v>66</v>
      </c>
      <c r="C751">
        <v>2019</v>
      </c>
      <c r="D751">
        <v>5</v>
      </c>
      <c r="E751" t="s">
        <v>63</v>
      </c>
      <c r="F751" t="s">
        <v>33</v>
      </c>
      <c r="G751">
        <v>20</v>
      </c>
      <c r="H751" t="s">
        <v>20</v>
      </c>
      <c r="I751">
        <v>298.97000000000003</v>
      </c>
      <c r="J751">
        <v>433.29</v>
      </c>
      <c r="K751">
        <v>668.49</v>
      </c>
      <c r="L751">
        <v>487.16</v>
      </c>
      <c r="M751">
        <v>1400.75</v>
      </c>
      <c r="N751">
        <v>1887.91</v>
      </c>
    </row>
    <row r="752" spans="1:14" x14ac:dyDescent="0.3">
      <c r="A752" s="2">
        <v>43586</v>
      </c>
      <c r="B752" t="s">
        <v>66</v>
      </c>
      <c r="C752">
        <v>2019</v>
      </c>
      <c r="D752">
        <v>5</v>
      </c>
      <c r="E752" t="s">
        <v>63</v>
      </c>
      <c r="F752" t="s">
        <v>34</v>
      </c>
      <c r="G752">
        <v>29</v>
      </c>
      <c r="H752" t="s">
        <v>20</v>
      </c>
      <c r="I752">
        <v>1490.5</v>
      </c>
      <c r="J752">
        <v>2002.47</v>
      </c>
      <c r="K752">
        <v>2223.46</v>
      </c>
      <c r="L752">
        <v>692.27</v>
      </c>
      <c r="M752">
        <v>5716.43</v>
      </c>
      <c r="N752">
        <v>6408.7</v>
      </c>
    </row>
    <row r="753" spans="1:14" x14ac:dyDescent="0.3">
      <c r="A753" s="2">
        <v>43586</v>
      </c>
      <c r="B753" t="s">
        <v>66</v>
      </c>
      <c r="C753">
        <v>2019</v>
      </c>
      <c r="D753">
        <v>5</v>
      </c>
      <c r="E753" t="s">
        <v>63</v>
      </c>
      <c r="F753" t="s">
        <v>35</v>
      </c>
      <c r="G753">
        <v>32</v>
      </c>
      <c r="H753" t="s">
        <v>20</v>
      </c>
      <c r="I753">
        <v>451.85</v>
      </c>
      <c r="J753">
        <v>720.85</v>
      </c>
      <c r="K753">
        <v>257.42</v>
      </c>
      <c r="L753">
        <v>3.24</v>
      </c>
      <c r="M753">
        <v>1430.12</v>
      </c>
      <c r="N753">
        <v>1433.36</v>
      </c>
    </row>
    <row r="754" spans="1:14" x14ac:dyDescent="0.3">
      <c r="A754" s="2">
        <v>43586</v>
      </c>
      <c r="B754" t="s">
        <v>66</v>
      </c>
      <c r="C754">
        <v>2019</v>
      </c>
      <c r="D754">
        <v>5</v>
      </c>
      <c r="E754" t="s">
        <v>63</v>
      </c>
      <c r="F754" t="s">
        <v>36</v>
      </c>
      <c r="G754">
        <v>31</v>
      </c>
      <c r="H754" t="s">
        <v>18</v>
      </c>
      <c r="I754">
        <v>0.16</v>
      </c>
      <c r="J754">
        <v>0.16</v>
      </c>
      <c r="K754">
        <v>0.01</v>
      </c>
      <c r="L754">
        <v>0</v>
      </c>
      <c r="M754">
        <v>0.33</v>
      </c>
      <c r="N754">
        <v>0.33</v>
      </c>
    </row>
    <row r="755" spans="1:14" x14ac:dyDescent="0.3">
      <c r="A755" s="2">
        <v>43586</v>
      </c>
      <c r="B755" t="s">
        <v>66</v>
      </c>
      <c r="C755">
        <v>2019</v>
      </c>
      <c r="D755">
        <v>5</v>
      </c>
      <c r="E755" t="s">
        <v>63</v>
      </c>
      <c r="F755" t="s">
        <v>37</v>
      </c>
      <c r="G755">
        <v>23</v>
      </c>
      <c r="H755" t="s">
        <v>20</v>
      </c>
      <c r="I755">
        <v>485.89</v>
      </c>
      <c r="J755">
        <v>699.13</v>
      </c>
      <c r="K755">
        <v>643.84</v>
      </c>
      <c r="L755">
        <v>422.43</v>
      </c>
      <c r="M755">
        <v>1828.86</v>
      </c>
      <c r="N755">
        <v>2251.29</v>
      </c>
    </row>
    <row r="756" spans="1:14" x14ac:dyDescent="0.3">
      <c r="A756" s="2">
        <v>43586</v>
      </c>
      <c r="B756" t="s">
        <v>66</v>
      </c>
      <c r="C756">
        <v>2019</v>
      </c>
      <c r="D756">
        <v>5</v>
      </c>
      <c r="E756" t="s">
        <v>63</v>
      </c>
      <c r="F756" t="s">
        <v>38</v>
      </c>
      <c r="G756">
        <v>27</v>
      </c>
      <c r="H756" t="s">
        <v>20</v>
      </c>
      <c r="I756">
        <v>3946.98</v>
      </c>
      <c r="J756">
        <v>4885.8900000000003</v>
      </c>
      <c r="K756">
        <v>4341.5600000000004</v>
      </c>
      <c r="L756">
        <v>959.94</v>
      </c>
      <c r="M756">
        <v>13174.43</v>
      </c>
      <c r="N756">
        <v>14134.37</v>
      </c>
    </row>
    <row r="757" spans="1:14" x14ac:dyDescent="0.3">
      <c r="A757" s="2">
        <v>43586</v>
      </c>
      <c r="B757" t="s">
        <v>66</v>
      </c>
      <c r="C757">
        <v>2019</v>
      </c>
      <c r="D757">
        <v>5</v>
      </c>
      <c r="E757" t="s">
        <v>63</v>
      </c>
      <c r="F757" t="s">
        <v>39</v>
      </c>
      <c r="G757">
        <v>14</v>
      </c>
      <c r="H757" t="s">
        <v>20</v>
      </c>
      <c r="I757">
        <v>10.68</v>
      </c>
      <c r="J757">
        <v>16.95</v>
      </c>
      <c r="K757">
        <v>1.69</v>
      </c>
      <c r="L757">
        <v>0.06</v>
      </c>
      <c r="M757">
        <v>29.32</v>
      </c>
      <c r="N757">
        <v>29.38</v>
      </c>
    </row>
    <row r="758" spans="1:14" x14ac:dyDescent="0.3">
      <c r="A758" s="2">
        <v>43586</v>
      </c>
      <c r="B758" t="s">
        <v>66</v>
      </c>
      <c r="C758">
        <v>2019</v>
      </c>
      <c r="D758">
        <v>5</v>
      </c>
      <c r="E758" t="s">
        <v>63</v>
      </c>
      <c r="F758" t="s">
        <v>40</v>
      </c>
      <c r="G758">
        <v>17</v>
      </c>
      <c r="H758" t="s">
        <v>20</v>
      </c>
      <c r="I758">
        <v>18.579999999999998</v>
      </c>
      <c r="J758">
        <v>27.39</v>
      </c>
      <c r="K758">
        <v>84.55</v>
      </c>
      <c r="L758">
        <v>0.43</v>
      </c>
      <c r="M758">
        <v>130.52000000000001</v>
      </c>
      <c r="N758">
        <v>130.94999999999999</v>
      </c>
    </row>
    <row r="759" spans="1:14" x14ac:dyDescent="0.3">
      <c r="A759" s="2">
        <v>43586</v>
      </c>
      <c r="B759" t="s">
        <v>66</v>
      </c>
      <c r="C759">
        <v>2019</v>
      </c>
      <c r="D759">
        <v>5</v>
      </c>
      <c r="E759" t="s">
        <v>63</v>
      </c>
      <c r="F759" t="s">
        <v>41</v>
      </c>
      <c r="G759">
        <v>15</v>
      </c>
      <c r="H759" t="s">
        <v>20</v>
      </c>
      <c r="I759">
        <v>6.81</v>
      </c>
      <c r="J759">
        <v>11.99</v>
      </c>
      <c r="K759">
        <v>3.33</v>
      </c>
      <c r="L759">
        <v>0</v>
      </c>
      <c r="M759">
        <v>22.13</v>
      </c>
      <c r="N759">
        <v>22.13</v>
      </c>
    </row>
    <row r="760" spans="1:14" x14ac:dyDescent="0.3">
      <c r="A760" s="2">
        <v>43586</v>
      </c>
      <c r="B760" t="s">
        <v>66</v>
      </c>
      <c r="C760">
        <v>2019</v>
      </c>
      <c r="D760">
        <v>5</v>
      </c>
      <c r="E760" t="s">
        <v>63</v>
      </c>
      <c r="F760" t="s">
        <v>42</v>
      </c>
      <c r="G760">
        <v>13</v>
      </c>
      <c r="H760" t="s">
        <v>20</v>
      </c>
      <c r="I760">
        <v>6.85</v>
      </c>
      <c r="J760">
        <v>10.34</v>
      </c>
      <c r="K760">
        <v>5.17</v>
      </c>
      <c r="L760">
        <v>1.27</v>
      </c>
      <c r="M760">
        <v>22.36</v>
      </c>
      <c r="N760">
        <v>23.63</v>
      </c>
    </row>
    <row r="761" spans="1:14" x14ac:dyDescent="0.3">
      <c r="A761" s="2">
        <v>43586</v>
      </c>
      <c r="B761" t="s">
        <v>66</v>
      </c>
      <c r="C761">
        <v>2019</v>
      </c>
      <c r="D761">
        <v>5</v>
      </c>
      <c r="E761" t="s">
        <v>63</v>
      </c>
      <c r="F761" t="s">
        <v>43</v>
      </c>
      <c r="G761">
        <v>21</v>
      </c>
      <c r="H761" t="s">
        <v>20</v>
      </c>
      <c r="I761">
        <v>434.77</v>
      </c>
      <c r="J761">
        <v>589.29999999999995</v>
      </c>
      <c r="K761">
        <v>591.62</v>
      </c>
      <c r="L761">
        <v>524.67999999999995</v>
      </c>
      <c r="M761">
        <v>1615.69</v>
      </c>
      <c r="N761">
        <v>2140.37</v>
      </c>
    </row>
    <row r="762" spans="1:14" x14ac:dyDescent="0.3">
      <c r="A762" s="2">
        <v>43586</v>
      </c>
      <c r="B762" t="s">
        <v>66</v>
      </c>
      <c r="C762">
        <v>2019</v>
      </c>
      <c r="D762">
        <v>5</v>
      </c>
      <c r="E762" t="s">
        <v>63</v>
      </c>
      <c r="F762" t="s">
        <v>44</v>
      </c>
      <c r="G762">
        <v>34</v>
      </c>
      <c r="H762" t="s">
        <v>18</v>
      </c>
      <c r="I762">
        <v>17.760000000000002</v>
      </c>
      <c r="J762">
        <v>27.81</v>
      </c>
      <c r="K762">
        <v>98.45</v>
      </c>
      <c r="L762">
        <v>0.18</v>
      </c>
      <c r="M762">
        <v>144.02000000000001</v>
      </c>
      <c r="N762">
        <v>144.19999999999999</v>
      </c>
    </row>
    <row r="763" spans="1:14" x14ac:dyDescent="0.3">
      <c r="A763" s="2">
        <v>43586</v>
      </c>
      <c r="B763" t="s">
        <v>66</v>
      </c>
      <c r="C763">
        <v>2019</v>
      </c>
      <c r="D763">
        <v>5</v>
      </c>
      <c r="E763" t="s">
        <v>63</v>
      </c>
      <c r="F763" t="s">
        <v>45</v>
      </c>
      <c r="G763">
        <v>3</v>
      </c>
      <c r="H763" t="s">
        <v>20</v>
      </c>
      <c r="I763">
        <v>308.26</v>
      </c>
      <c r="J763">
        <v>499.79</v>
      </c>
      <c r="K763">
        <v>516.20000000000005</v>
      </c>
      <c r="L763">
        <v>23.6</v>
      </c>
      <c r="M763">
        <v>1324.25</v>
      </c>
      <c r="N763">
        <v>1347.85</v>
      </c>
    </row>
    <row r="764" spans="1:14" x14ac:dyDescent="0.3">
      <c r="A764" s="2">
        <v>43586</v>
      </c>
      <c r="B764" t="s">
        <v>66</v>
      </c>
      <c r="C764">
        <v>2019</v>
      </c>
      <c r="D764">
        <v>5</v>
      </c>
      <c r="E764" t="s">
        <v>63</v>
      </c>
      <c r="F764" t="s">
        <v>46</v>
      </c>
      <c r="G764">
        <v>8</v>
      </c>
      <c r="H764" t="s">
        <v>20</v>
      </c>
      <c r="I764">
        <v>712.74</v>
      </c>
      <c r="J764">
        <v>988.26</v>
      </c>
      <c r="K764">
        <v>913.26</v>
      </c>
      <c r="L764">
        <v>133.71</v>
      </c>
      <c r="M764">
        <v>2614.2600000000002</v>
      </c>
      <c r="N764">
        <v>2747.97</v>
      </c>
    </row>
    <row r="765" spans="1:14" x14ac:dyDescent="0.3">
      <c r="A765" s="2">
        <v>43586</v>
      </c>
      <c r="B765" t="s">
        <v>66</v>
      </c>
      <c r="C765">
        <v>2019</v>
      </c>
      <c r="D765">
        <v>5</v>
      </c>
      <c r="E765" t="s">
        <v>63</v>
      </c>
      <c r="F765" t="s">
        <v>47</v>
      </c>
      <c r="G765">
        <v>11</v>
      </c>
      <c r="H765" t="s">
        <v>20</v>
      </c>
      <c r="I765">
        <v>13.74</v>
      </c>
      <c r="J765">
        <v>20.350000000000001</v>
      </c>
      <c r="K765">
        <v>158.94</v>
      </c>
      <c r="L765">
        <v>0.05</v>
      </c>
      <c r="M765">
        <v>193.03</v>
      </c>
      <c r="N765">
        <v>193.08</v>
      </c>
    </row>
    <row r="766" spans="1:14" x14ac:dyDescent="0.3">
      <c r="A766" s="2">
        <v>43586</v>
      </c>
      <c r="B766" t="s">
        <v>66</v>
      </c>
      <c r="C766">
        <v>2019</v>
      </c>
      <c r="D766">
        <v>5</v>
      </c>
      <c r="E766" t="s">
        <v>63</v>
      </c>
      <c r="F766" t="s">
        <v>48</v>
      </c>
      <c r="G766">
        <v>33</v>
      </c>
      <c r="H766" t="s">
        <v>20</v>
      </c>
      <c r="I766">
        <v>1515.14</v>
      </c>
      <c r="J766">
        <v>2149.5100000000002</v>
      </c>
      <c r="K766">
        <v>1664.18</v>
      </c>
      <c r="L766">
        <v>489.12</v>
      </c>
      <c r="M766">
        <v>5328.83</v>
      </c>
      <c r="N766">
        <v>5817.95</v>
      </c>
    </row>
    <row r="767" spans="1:14" x14ac:dyDescent="0.3">
      <c r="A767" s="2">
        <v>43586</v>
      </c>
      <c r="B767" t="s">
        <v>66</v>
      </c>
      <c r="C767">
        <v>2019</v>
      </c>
      <c r="D767">
        <v>5</v>
      </c>
      <c r="E767" t="s">
        <v>63</v>
      </c>
      <c r="F767" t="s">
        <v>49</v>
      </c>
      <c r="G767">
        <v>36</v>
      </c>
      <c r="H767" t="s">
        <v>20</v>
      </c>
      <c r="I767">
        <v>680.19</v>
      </c>
      <c r="J767">
        <v>953.56</v>
      </c>
      <c r="K767">
        <v>874.75</v>
      </c>
      <c r="L767">
        <v>542.80999999999995</v>
      </c>
      <c r="M767">
        <v>2508.5</v>
      </c>
      <c r="N767">
        <v>3051.31</v>
      </c>
    </row>
    <row r="768" spans="1:14" x14ac:dyDescent="0.3">
      <c r="A768" s="2">
        <v>43586</v>
      </c>
      <c r="B768" t="s">
        <v>66</v>
      </c>
      <c r="C768">
        <v>2019</v>
      </c>
      <c r="D768">
        <v>5</v>
      </c>
      <c r="E768" t="s">
        <v>63</v>
      </c>
      <c r="F768" t="s">
        <v>50</v>
      </c>
      <c r="G768">
        <v>16</v>
      </c>
      <c r="H768" t="s">
        <v>20</v>
      </c>
      <c r="I768">
        <v>17.13</v>
      </c>
      <c r="J768">
        <v>26.09</v>
      </c>
      <c r="K768">
        <v>6.89</v>
      </c>
      <c r="L768">
        <v>0.17</v>
      </c>
      <c r="M768">
        <v>50.11</v>
      </c>
      <c r="N768">
        <v>50.28</v>
      </c>
    </row>
    <row r="769" spans="1:14" x14ac:dyDescent="0.3">
      <c r="A769" s="2">
        <v>43586</v>
      </c>
      <c r="B769" t="s">
        <v>66</v>
      </c>
      <c r="C769">
        <v>2019</v>
      </c>
      <c r="D769">
        <v>5</v>
      </c>
      <c r="E769" t="s">
        <v>63</v>
      </c>
      <c r="F769" t="s">
        <v>51</v>
      </c>
      <c r="G769">
        <v>9</v>
      </c>
      <c r="H769" t="s">
        <v>20</v>
      </c>
      <c r="I769">
        <v>1103.3</v>
      </c>
      <c r="J769">
        <v>1709.38</v>
      </c>
      <c r="K769">
        <v>1246.24</v>
      </c>
      <c r="L769">
        <v>1037.27</v>
      </c>
      <c r="M769">
        <v>4058.92</v>
      </c>
      <c r="N769">
        <v>5096.1899999999996</v>
      </c>
    </row>
    <row r="770" spans="1:14" x14ac:dyDescent="0.3">
      <c r="A770" s="2">
        <v>43586</v>
      </c>
      <c r="B770" t="s">
        <v>66</v>
      </c>
      <c r="C770">
        <v>2019</v>
      </c>
      <c r="D770">
        <v>5</v>
      </c>
      <c r="E770" t="s">
        <v>63</v>
      </c>
      <c r="F770" t="s">
        <v>52</v>
      </c>
      <c r="G770">
        <v>5</v>
      </c>
      <c r="H770" t="s">
        <v>20</v>
      </c>
      <c r="I770">
        <v>192.42</v>
      </c>
      <c r="J770">
        <v>345.22</v>
      </c>
      <c r="K770">
        <v>694.98</v>
      </c>
      <c r="L770">
        <v>15.09</v>
      </c>
      <c r="M770">
        <v>1232.6199999999999</v>
      </c>
      <c r="N770">
        <v>1247.71</v>
      </c>
    </row>
    <row r="771" spans="1:14" x14ac:dyDescent="0.3">
      <c r="A771" s="2">
        <v>43586</v>
      </c>
      <c r="B771" t="s">
        <v>66</v>
      </c>
      <c r="C771">
        <v>2019</v>
      </c>
      <c r="D771">
        <v>5</v>
      </c>
      <c r="E771" t="s">
        <v>63</v>
      </c>
      <c r="F771" t="s">
        <v>53</v>
      </c>
      <c r="G771">
        <v>19</v>
      </c>
      <c r="H771" t="s">
        <v>20</v>
      </c>
      <c r="I771">
        <v>1065.6199999999999</v>
      </c>
      <c r="J771">
        <v>1389.58</v>
      </c>
      <c r="K771">
        <v>767.23</v>
      </c>
      <c r="L771">
        <v>354.48</v>
      </c>
      <c r="M771">
        <v>3222.43</v>
      </c>
      <c r="N771">
        <v>3576.91</v>
      </c>
    </row>
    <row r="772" spans="1:14" x14ac:dyDescent="0.3">
      <c r="A772" s="2">
        <v>43617</v>
      </c>
      <c r="B772" t="s">
        <v>66</v>
      </c>
      <c r="C772">
        <v>2019</v>
      </c>
      <c r="D772">
        <v>6</v>
      </c>
      <c r="E772" t="s">
        <v>64</v>
      </c>
      <c r="F772" t="s">
        <v>17</v>
      </c>
      <c r="G772">
        <v>35</v>
      </c>
      <c r="H772" t="s">
        <v>18</v>
      </c>
      <c r="I772">
        <v>6.74</v>
      </c>
      <c r="J772">
        <v>10.15</v>
      </c>
      <c r="K772">
        <v>3.8</v>
      </c>
      <c r="L772">
        <v>0.14000000000000001</v>
      </c>
      <c r="M772">
        <v>20.69</v>
      </c>
      <c r="N772">
        <v>20.83</v>
      </c>
    </row>
    <row r="773" spans="1:14" x14ac:dyDescent="0.3">
      <c r="A773" s="2">
        <v>43617</v>
      </c>
      <c r="B773" t="s">
        <v>66</v>
      </c>
      <c r="C773">
        <v>2019</v>
      </c>
      <c r="D773">
        <v>6</v>
      </c>
      <c r="E773" t="s">
        <v>64</v>
      </c>
      <c r="F773" t="s">
        <v>19</v>
      </c>
      <c r="G773">
        <v>28</v>
      </c>
      <c r="H773" t="s">
        <v>20</v>
      </c>
      <c r="I773">
        <v>538.82000000000005</v>
      </c>
      <c r="J773">
        <v>760.43</v>
      </c>
      <c r="K773">
        <v>898.66</v>
      </c>
      <c r="L773">
        <v>33.64</v>
      </c>
      <c r="M773">
        <v>2197.91</v>
      </c>
      <c r="N773">
        <v>2231.5500000000002</v>
      </c>
    </row>
    <row r="774" spans="1:14" x14ac:dyDescent="0.3">
      <c r="A774" s="2">
        <v>43617</v>
      </c>
      <c r="B774" t="s">
        <v>66</v>
      </c>
      <c r="C774">
        <v>2019</v>
      </c>
      <c r="D774">
        <v>6</v>
      </c>
      <c r="E774" t="s">
        <v>64</v>
      </c>
      <c r="F774" t="s">
        <v>21</v>
      </c>
      <c r="G774">
        <v>12</v>
      </c>
      <c r="H774" t="s">
        <v>20</v>
      </c>
      <c r="I774">
        <v>19.03</v>
      </c>
      <c r="J774">
        <v>24.4</v>
      </c>
      <c r="K774">
        <v>4.6399999999999997</v>
      </c>
      <c r="L774">
        <v>0.01</v>
      </c>
      <c r="M774">
        <v>48.07</v>
      </c>
      <c r="N774">
        <v>48.08</v>
      </c>
    </row>
    <row r="775" spans="1:14" x14ac:dyDescent="0.3">
      <c r="A775" s="2">
        <v>43617</v>
      </c>
      <c r="B775" t="s">
        <v>66</v>
      </c>
      <c r="C775">
        <v>2019</v>
      </c>
      <c r="D775">
        <v>6</v>
      </c>
      <c r="E775" t="s">
        <v>64</v>
      </c>
      <c r="F775" t="s">
        <v>22</v>
      </c>
      <c r="G775">
        <v>18</v>
      </c>
      <c r="H775" t="s">
        <v>20</v>
      </c>
      <c r="I775">
        <v>212.47</v>
      </c>
      <c r="J775">
        <v>309.8</v>
      </c>
      <c r="K775">
        <v>228.69</v>
      </c>
      <c r="L775">
        <v>46.62</v>
      </c>
      <c r="M775">
        <v>750.96</v>
      </c>
      <c r="N775">
        <v>797.58</v>
      </c>
    </row>
    <row r="776" spans="1:14" x14ac:dyDescent="0.3">
      <c r="A776" s="2">
        <v>43617</v>
      </c>
      <c r="B776" t="s">
        <v>66</v>
      </c>
      <c r="C776">
        <v>2019</v>
      </c>
      <c r="D776">
        <v>6</v>
      </c>
      <c r="E776" t="s">
        <v>64</v>
      </c>
      <c r="F776" t="s">
        <v>23</v>
      </c>
      <c r="G776">
        <v>10</v>
      </c>
      <c r="H776" t="s">
        <v>20</v>
      </c>
      <c r="I776">
        <v>227.22</v>
      </c>
      <c r="J776">
        <v>487.81</v>
      </c>
      <c r="K776">
        <v>114.06</v>
      </c>
      <c r="L776">
        <v>174.24</v>
      </c>
      <c r="M776">
        <v>829.09</v>
      </c>
      <c r="N776">
        <v>1003.33</v>
      </c>
    </row>
    <row r="777" spans="1:14" x14ac:dyDescent="0.3">
      <c r="A777" s="2">
        <v>43617</v>
      </c>
      <c r="B777" t="s">
        <v>66</v>
      </c>
      <c r="C777">
        <v>2019</v>
      </c>
      <c r="D777">
        <v>6</v>
      </c>
      <c r="E777" t="s">
        <v>64</v>
      </c>
      <c r="F777" t="s">
        <v>24</v>
      </c>
      <c r="G777">
        <v>4</v>
      </c>
      <c r="H777" t="s">
        <v>18</v>
      </c>
      <c r="I777">
        <v>30.05</v>
      </c>
      <c r="J777">
        <v>43.29</v>
      </c>
      <c r="K777">
        <v>84.18</v>
      </c>
      <c r="L777">
        <v>0.45</v>
      </c>
      <c r="M777">
        <v>157.52000000000001</v>
      </c>
      <c r="N777">
        <v>157.97</v>
      </c>
    </row>
    <row r="778" spans="1:14" x14ac:dyDescent="0.3">
      <c r="A778" s="2">
        <v>43617</v>
      </c>
      <c r="B778" t="s">
        <v>66</v>
      </c>
      <c r="C778">
        <v>2019</v>
      </c>
      <c r="D778">
        <v>6</v>
      </c>
      <c r="E778" t="s">
        <v>64</v>
      </c>
      <c r="F778" t="s">
        <v>25</v>
      </c>
      <c r="G778">
        <v>22</v>
      </c>
      <c r="H778" t="s">
        <v>20</v>
      </c>
      <c r="I778">
        <v>394.74</v>
      </c>
      <c r="J778">
        <v>497.44</v>
      </c>
      <c r="K778">
        <v>654.16999999999996</v>
      </c>
      <c r="L778">
        <v>546.30999999999995</v>
      </c>
      <c r="M778">
        <v>1546.35</v>
      </c>
      <c r="N778">
        <v>2092.66</v>
      </c>
    </row>
    <row r="779" spans="1:14" x14ac:dyDescent="0.3">
      <c r="A779" s="2">
        <v>43617</v>
      </c>
      <c r="B779" t="s">
        <v>66</v>
      </c>
      <c r="C779">
        <v>2019</v>
      </c>
      <c r="D779">
        <v>6</v>
      </c>
      <c r="E779" t="s">
        <v>64</v>
      </c>
      <c r="F779" t="s">
        <v>26</v>
      </c>
      <c r="G779">
        <v>38</v>
      </c>
      <c r="H779" t="s">
        <v>18</v>
      </c>
      <c r="I779">
        <v>24.68</v>
      </c>
      <c r="J779">
        <v>38.76</v>
      </c>
      <c r="K779">
        <v>188.07</v>
      </c>
      <c r="L779">
        <v>0.13</v>
      </c>
      <c r="M779">
        <v>251.51</v>
      </c>
      <c r="N779">
        <v>251.64</v>
      </c>
    </row>
    <row r="780" spans="1:14" x14ac:dyDescent="0.3">
      <c r="A780" s="2">
        <v>43617</v>
      </c>
      <c r="B780" t="s">
        <v>66</v>
      </c>
      <c r="C780">
        <v>2019</v>
      </c>
      <c r="D780">
        <v>6</v>
      </c>
      <c r="E780" t="s">
        <v>64</v>
      </c>
      <c r="F780" t="s">
        <v>27</v>
      </c>
      <c r="G780">
        <v>7</v>
      </c>
      <c r="H780" t="s">
        <v>18</v>
      </c>
      <c r="I780">
        <v>728.97</v>
      </c>
      <c r="J780">
        <v>938.35</v>
      </c>
      <c r="K780">
        <v>1838.09</v>
      </c>
      <c r="L780">
        <v>89.97</v>
      </c>
      <c r="M780">
        <v>3505.41</v>
      </c>
      <c r="N780">
        <v>3595.38</v>
      </c>
    </row>
    <row r="781" spans="1:14" x14ac:dyDescent="0.3">
      <c r="A781" s="2">
        <v>43617</v>
      </c>
      <c r="B781" t="s">
        <v>66</v>
      </c>
      <c r="C781">
        <v>2019</v>
      </c>
      <c r="D781">
        <v>6</v>
      </c>
      <c r="E781" t="s">
        <v>64</v>
      </c>
      <c r="F781" t="s">
        <v>28</v>
      </c>
      <c r="G781">
        <v>30</v>
      </c>
      <c r="H781" t="s">
        <v>20</v>
      </c>
      <c r="I781">
        <v>80.64</v>
      </c>
      <c r="J781">
        <v>120.45</v>
      </c>
      <c r="K781">
        <v>133.55000000000001</v>
      </c>
      <c r="L781">
        <v>3.57</v>
      </c>
      <c r="M781">
        <v>334.64</v>
      </c>
      <c r="N781">
        <v>338.21</v>
      </c>
    </row>
    <row r="782" spans="1:14" x14ac:dyDescent="0.3">
      <c r="A782" s="2">
        <v>43617</v>
      </c>
      <c r="B782" t="s">
        <v>66</v>
      </c>
      <c r="C782">
        <v>2019</v>
      </c>
      <c r="D782">
        <v>6</v>
      </c>
      <c r="E782" t="s">
        <v>64</v>
      </c>
      <c r="F782" t="s">
        <v>29</v>
      </c>
      <c r="G782">
        <v>24</v>
      </c>
      <c r="H782" t="s">
        <v>20</v>
      </c>
      <c r="I782">
        <v>1783.61</v>
      </c>
      <c r="J782">
        <v>2273.63</v>
      </c>
      <c r="K782">
        <v>2020.84</v>
      </c>
      <c r="L782">
        <v>346.26</v>
      </c>
      <c r="M782">
        <v>6078.08</v>
      </c>
      <c r="N782">
        <v>6424.34</v>
      </c>
    </row>
    <row r="783" spans="1:14" x14ac:dyDescent="0.3">
      <c r="A783" s="2">
        <v>43617</v>
      </c>
      <c r="B783" t="s">
        <v>66</v>
      </c>
      <c r="C783">
        <v>2019</v>
      </c>
      <c r="D783">
        <v>6</v>
      </c>
      <c r="E783" t="s">
        <v>64</v>
      </c>
      <c r="F783" t="s">
        <v>30</v>
      </c>
      <c r="G783">
        <v>6</v>
      </c>
      <c r="H783" t="s">
        <v>20</v>
      </c>
      <c r="I783">
        <v>855.06</v>
      </c>
      <c r="J783">
        <v>1182.2</v>
      </c>
      <c r="K783">
        <v>2525.8200000000002</v>
      </c>
      <c r="L783">
        <v>325.75</v>
      </c>
      <c r="M783">
        <v>4563.08</v>
      </c>
      <c r="N783">
        <v>4888.83</v>
      </c>
    </row>
    <row r="784" spans="1:14" x14ac:dyDescent="0.3">
      <c r="A784" s="2">
        <v>43617</v>
      </c>
      <c r="B784" t="s">
        <v>66</v>
      </c>
      <c r="C784">
        <v>2019</v>
      </c>
      <c r="D784">
        <v>6</v>
      </c>
      <c r="E784" t="s">
        <v>64</v>
      </c>
      <c r="F784" t="s">
        <v>31</v>
      </c>
      <c r="G784">
        <v>2</v>
      </c>
      <c r="H784" t="s">
        <v>20</v>
      </c>
      <c r="I784">
        <v>97.18</v>
      </c>
      <c r="J784">
        <v>152.91999999999999</v>
      </c>
      <c r="K784">
        <v>445.98</v>
      </c>
      <c r="L784">
        <v>1.22</v>
      </c>
      <c r="M784">
        <v>696.08</v>
      </c>
      <c r="N784">
        <v>697.3</v>
      </c>
    </row>
    <row r="785" spans="1:14" x14ac:dyDescent="0.3">
      <c r="A785" s="2">
        <v>43617</v>
      </c>
      <c r="B785" t="s">
        <v>66</v>
      </c>
      <c r="C785">
        <v>2019</v>
      </c>
      <c r="D785">
        <v>6</v>
      </c>
      <c r="E785" t="s">
        <v>64</v>
      </c>
      <c r="F785" t="s">
        <v>32</v>
      </c>
      <c r="G785">
        <v>1</v>
      </c>
      <c r="H785" t="s">
        <v>18</v>
      </c>
      <c r="I785">
        <v>85.25</v>
      </c>
      <c r="J785">
        <v>148.83000000000001</v>
      </c>
      <c r="K785">
        <v>82.84</v>
      </c>
      <c r="L785">
        <v>5.47</v>
      </c>
      <c r="M785">
        <v>316.92</v>
      </c>
      <c r="N785">
        <v>322.39</v>
      </c>
    </row>
    <row r="786" spans="1:14" x14ac:dyDescent="0.3">
      <c r="A786" s="2">
        <v>43617</v>
      </c>
      <c r="B786" t="s">
        <v>66</v>
      </c>
      <c r="C786">
        <v>2019</v>
      </c>
      <c r="D786">
        <v>6</v>
      </c>
      <c r="E786" t="s">
        <v>64</v>
      </c>
      <c r="F786" t="s">
        <v>33</v>
      </c>
      <c r="G786">
        <v>20</v>
      </c>
      <c r="H786" t="s">
        <v>20</v>
      </c>
      <c r="I786">
        <v>279.47000000000003</v>
      </c>
      <c r="J786">
        <v>407.09</v>
      </c>
      <c r="K786">
        <v>684.69</v>
      </c>
      <c r="L786">
        <v>439.49</v>
      </c>
      <c r="M786">
        <v>1371.25</v>
      </c>
      <c r="N786">
        <v>1810.74</v>
      </c>
    </row>
    <row r="787" spans="1:14" x14ac:dyDescent="0.3">
      <c r="A787" s="2">
        <v>43617</v>
      </c>
      <c r="B787" t="s">
        <v>66</v>
      </c>
      <c r="C787">
        <v>2019</v>
      </c>
      <c r="D787">
        <v>6</v>
      </c>
      <c r="E787" t="s">
        <v>64</v>
      </c>
      <c r="F787" t="s">
        <v>34</v>
      </c>
      <c r="G787">
        <v>29</v>
      </c>
      <c r="H787" t="s">
        <v>20</v>
      </c>
      <c r="I787">
        <v>1514.8</v>
      </c>
      <c r="J787">
        <v>2050.0700000000002</v>
      </c>
      <c r="K787">
        <v>2236.4699999999998</v>
      </c>
      <c r="L787">
        <v>857.89</v>
      </c>
      <c r="M787">
        <v>5801.34</v>
      </c>
      <c r="N787">
        <v>6659.23</v>
      </c>
    </row>
    <row r="788" spans="1:14" x14ac:dyDescent="0.3">
      <c r="A788" s="2">
        <v>43617</v>
      </c>
      <c r="B788" t="s">
        <v>66</v>
      </c>
      <c r="C788">
        <v>2019</v>
      </c>
      <c r="D788">
        <v>6</v>
      </c>
      <c r="E788" t="s">
        <v>64</v>
      </c>
      <c r="F788" t="s">
        <v>35</v>
      </c>
      <c r="G788">
        <v>32</v>
      </c>
      <c r="H788" t="s">
        <v>20</v>
      </c>
      <c r="I788">
        <v>495.48</v>
      </c>
      <c r="J788">
        <v>806.73</v>
      </c>
      <c r="K788">
        <v>260.06</v>
      </c>
      <c r="L788">
        <v>5.3</v>
      </c>
      <c r="M788">
        <v>1562.27</v>
      </c>
      <c r="N788">
        <v>1567.57</v>
      </c>
    </row>
    <row r="789" spans="1:14" x14ac:dyDescent="0.3">
      <c r="A789" s="2">
        <v>43617</v>
      </c>
      <c r="B789" t="s">
        <v>66</v>
      </c>
      <c r="C789">
        <v>2019</v>
      </c>
      <c r="D789">
        <v>6</v>
      </c>
      <c r="E789" t="s">
        <v>64</v>
      </c>
      <c r="F789" t="s">
        <v>36</v>
      </c>
      <c r="G789">
        <v>31</v>
      </c>
      <c r="H789" t="s">
        <v>18</v>
      </c>
      <c r="I789">
        <v>0.32</v>
      </c>
      <c r="J789">
        <v>0.33</v>
      </c>
      <c r="K789">
        <v>0.04</v>
      </c>
      <c r="L789">
        <v>0</v>
      </c>
      <c r="M789">
        <v>0.69</v>
      </c>
      <c r="N789">
        <v>0.69</v>
      </c>
    </row>
    <row r="790" spans="1:14" x14ac:dyDescent="0.3">
      <c r="A790" s="2">
        <v>43617</v>
      </c>
      <c r="B790" t="s">
        <v>66</v>
      </c>
      <c r="C790">
        <v>2019</v>
      </c>
      <c r="D790">
        <v>6</v>
      </c>
      <c r="E790" t="s">
        <v>64</v>
      </c>
      <c r="F790" t="s">
        <v>37</v>
      </c>
      <c r="G790">
        <v>23</v>
      </c>
      <c r="H790" t="s">
        <v>20</v>
      </c>
      <c r="I790">
        <v>473.94</v>
      </c>
      <c r="J790">
        <v>700.56</v>
      </c>
      <c r="K790">
        <v>603.48</v>
      </c>
      <c r="L790">
        <v>434.47</v>
      </c>
      <c r="M790">
        <v>1777.98</v>
      </c>
      <c r="N790">
        <v>2212.4499999999998</v>
      </c>
    </row>
    <row r="791" spans="1:14" x14ac:dyDescent="0.3">
      <c r="A791" s="2">
        <v>43617</v>
      </c>
      <c r="B791" t="s">
        <v>66</v>
      </c>
      <c r="C791">
        <v>2019</v>
      </c>
      <c r="D791">
        <v>6</v>
      </c>
      <c r="E791" t="s">
        <v>64</v>
      </c>
      <c r="F791" t="s">
        <v>38</v>
      </c>
      <c r="G791">
        <v>27</v>
      </c>
      <c r="H791" t="s">
        <v>20</v>
      </c>
      <c r="I791">
        <v>4246.18</v>
      </c>
      <c r="J791">
        <v>5208.05</v>
      </c>
      <c r="K791">
        <v>4702.24</v>
      </c>
      <c r="L791">
        <v>986.64</v>
      </c>
      <c r="M791">
        <v>14156.47</v>
      </c>
      <c r="N791">
        <v>15143.11</v>
      </c>
    </row>
    <row r="792" spans="1:14" x14ac:dyDescent="0.3">
      <c r="A792" s="2">
        <v>43617</v>
      </c>
      <c r="B792" t="s">
        <v>66</v>
      </c>
      <c r="C792">
        <v>2019</v>
      </c>
      <c r="D792">
        <v>6</v>
      </c>
      <c r="E792" t="s">
        <v>64</v>
      </c>
      <c r="F792" t="s">
        <v>39</v>
      </c>
      <c r="G792">
        <v>14</v>
      </c>
      <c r="H792" t="s">
        <v>20</v>
      </c>
      <c r="I792">
        <v>8.34</v>
      </c>
      <c r="J792">
        <v>15.36</v>
      </c>
      <c r="K792">
        <v>1.64</v>
      </c>
      <c r="L792">
        <v>0.11</v>
      </c>
      <c r="M792">
        <v>25.34</v>
      </c>
      <c r="N792">
        <v>25.45</v>
      </c>
    </row>
    <row r="793" spans="1:14" x14ac:dyDescent="0.3">
      <c r="A793" s="2">
        <v>43617</v>
      </c>
      <c r="B793" t="s">
        <v>66</v>
      </c>
      <c r="C793">
        <v>2019</v>
      </c>
      <c r="D793">
        <v>6</v>
      </c>
      <c r="E793" t="s">
        <v>64</v>
      </c>
      <c r="F793" t="s">
        <v>40</v>
      </c>
      <c r="G793">
        <v>17</v>
      </c>
      <c r="H793" t="s">
        <v>20</v>
      </c>
      <c r="I793">
        <v>18.38</v>
      </c>
      <c r="J793">
        <v>29.68</v>
      </c>
      <c r="K793">
        <v>75.48</v>
      </c>
      <c r="L793">
        <v>0.69</v>
      </c>
      <c r="M793">
        <v>123.54</v>
      </c>
      <c r="N793">
        <v>124.23</v>
      </c>
    </row>
    <row r="794" spans="1:14" x14ac:dyDescent="0.3">
      <c r="A794" s="2">
        <v>43617</v>
      </c>
      <c r="B794" t="s">
        <v>66</v>
      </c>
      <c r="C794">
        <v>2019</v>
      </c>
      <c r="D794">
        <v>6</v>
      </c>
      <c r="E794" t="s">
        <v>64</v>
      </c>
      <c r="F794" t="s">
        <v>41</v>
      </c>
      <c r="G794">
        <v>15</v>
      </c>
      <c r="H794" t="s">
        <v>20</v>
      </c>
      <c r="I794">
        <v>5.22</v>
      </c>
      <c r="J794">
        <v>8.8800000000000008</v>
      </c>
      <c r="K794">
        <v>9.84</v>
      </c>
      <c r="L794">
        <v>0.03</v>
      </c>
      <c r="M794">
        <v>23.94</v>
      </c>
      <c r="N794">
        <v>23.97</v>
      </c>
    </row>
    <row r="795" spans="1:14" x14ac:dyDescent="0.3">
      <c r="A795" s="2">
        <v>43617</v>
      </c>
      <c r="B795" t="s">
        <v>66</v>
      </c>
      <c r="C795">
        <v>2019</v>
      </c>
      <c r="D795">
        <v>6</v>
      </c>
      <c r="E795" t="s">
        <v>64</v>
      </c>
      <c r="F795" t="s">
        <v>42</v>
      </c>
      <c r="G795">
        <v>13</v>
      </c>
      <c r="H795" t="s">
        <v>20</v>
      </c>
      <c r="I795">
        <v>4.9000000000000004</v>
      </c>
      <c r="J795">
        <v>8.7100000000000009</v>
      </c>
      <c r="K795">
        <v>4.99</v>
      </c>
      <c r="L795">
        <v>1.26</v>
      </c>
      <c r="M795">
        <v>18.600000000000001</v>
      </c>
      <c r="N795">
        <v>19.86</v>
      </c>
    </row>
    <row r="796" spans="1:14" x14ac:dyDescent="0.3">
      <c r="A796" s="2">
        <v>43617</v>
      </c>
      <c r="B796" t="s">
        <v>66</v>
      </c>
      <c r="C796">
        <v>2019</v>
      </c>
      <c r="D796">
        <v>6</v>
      </c>
      <c r="E796" t="s">
        <v>64</v>
      </c>
      <c r="F796" t="s">
        <v>43</v>
      </c>
      <c r="G796">
        <v>21</v>
      </c>
      <c r="H796" t="s">
        <v>20</v>
      </c>
      <c r="I796">
        <v>603.39</v>
      </c>
      <c r="J796">
        <v>804.49</v>
      </c>
      <c r="K796">
        <v>970.69</v>
      </c>
      <c r="L796">
        <v>544.9</v>
      </c>
      <c r="M796">
        <v>2378.5700000000002</v>
      </c>
      <c r="N796">
        <v>2923.47</v>
      </c>
    </row>
    <row r="797" spans="1:14" x14ac:dyDescent="0.3">
      <c r="A797" s="2">
        <v>43617</v>
      </c>
      <c r="B797" t="s">
        <v>66</v>
      </c>
      <c r="C797">
        <v>2019</v>
      </c>
      <c r="D797">
        <v>6</v>
      </c>
      <c r="E797" t="s">
        <v>64</v>
      </c>
      <c r="F797" t="s">
        <v>44</v>
      </c>
      <c r="G797">
        <v>34</v>
      </c>
      <c r="H797" t="s">
        <v>18</v>
      </c>
      <c r="I797">
        <v>17.55</v>
      </c>
      <c r="J797">
        <v>29.16</v>
      </c>
      <c r="K797">
        <v>88.45</v>
      </c>
      <c r="L797">
        <v>0.1</v>
      </c>
      <c r="M797">
        <v>135.16</v>
      </c>
      <c r="N797">
        <v>135.26</v>
      </c>
    </row>
    <row r="798" spans="1:14" x14ac:dyDescent="0.3">
      <c r="A798" s="2">
        <v>43617</v>
      </c>
      <c r="B798" t="s">
        <v>66</v>
      </c>
      <c r="C798">
        <v>2019</v>
      </c>
      <c r="D798">
        <v>6</v>
      </c>
      <c r="E798" t="s">
        <v>64</v>
      </c>
      <c r="F798" t="s">
        <v>45</v>
      </c>
      <c r="G798">
        <v>3</v>
      </c>
      <c r="H798" t="s">
        <v>20</v>
      </c>
      <c r="I798">
        <v>262.43</v>
      </c>
      <c r="J798">
        <v>481.57</v>
      </c>
      <c r="K798">
        <v>480.14</v>
      </c>
      <c r="L798">
        <v>23.89</v>
      </c>
      <c r="M798">
        <v>1224.1400000000001</v>
      </c>
      <c r="N798">
        <v>1248.03</v>
      </c>
    </row>
    <row r="799" spans="1:14" x14ac:dyDescent="0.3">
      <c r="A799" s="2">
        <v>43617</v>
      </c>
      <c r="B799" t="s">
        <v>66</v>
      </c>
      <c r="C799">
        <v>2019</v>
      </c>
      <c r="D799">
        <v>6</v>
      </c>
      <c r="E799" t="s">
        <v>64</v>
      </c>
      <c r="F799" t="s">
        <v>46</v>
      </c>
      <c r="G799">
        <v>8</v>
      </c>
      <c r="H799" t="s">
        <v>20</v>
      </c>
      <c r="I799">
        <v>698.94</v>
      </c>
      <c r="J799">
        <v>984.4</v>
      </c>
      <c r="K799">
        <v>859.72</v>
      </c>
      <c r="L799">
        <v>139.94</v>
      </c>
      <c r="M799">
        <v>2543.06</v>
      </c>
      <c r="N799">
        <v>2683</v>
      </c>
    </row>
    <row r="800" spans="1:14" x14ac:dyDescent="0.3">
      <c r="A800" s="2">
        <v>43617</v>
      </c>
      <c r="B800" t="s">
        <v>66</v>
      </c>
      <c r="C800">
        <v>2019</v>
      </c>
      <c r="D800">
        <v>6</v>
      </c>
      <c r="E800" t="s">
        <v>64</v>
      </c>
      <c r="F800" t="s">
        <v>47</v>
      </c>
      <c r="G800">
        <v>11</v>
      </c>
      <c r="H800" t="s">
        <v>20</v>
      </c>
      <c r="I800">
        <v>11.02</v>
      </c>
      <c r="J800">
        <v>15.85</v>
      </c>
      <c r="K800">
        <v>166.32</v>
      </c>
      <c r="L800">
        <v>0.11</v>
      </c>
      <c r="M800">
        <v>193.19</v>
      </c>
      <c r="N800">
        <v>193.3</v>
      </c>
    </row>
    <row r="801" spans="1:14" x14ac:dyDescent="0.3">
      <c r="A801" s="2">
        <v>43617</v>
      </c>
      <c r="B801" t="s">
        <v>66</v>
      </c>
      <c r="C801">
        <v>2019</v>
      </c>
      <c r="D801">
        <v>6</v>
      </c>
      <c r="E801" t="s">
        <v>64</v>
      </c>
      <c r="F801" t="s">
        <v>48</v>
      </c>
      <c r="G801">
        <v>33</v>
      </c>
      <c r="H801" t="s">
        <v>20</v>
      </c>
      <c r="I801">
        <v>1522.35</v>
      </c>
      <c r="J801">
        <v>2180.29</v>
      </c>
      <c r="K801">
        <v>1648.53</v>
      </c>
      <c r="L801">
        <v>529.78</v>
      </c>
      <c r="M801">
        <v>5351.17</v>
      </c>
      <c r="N801">
        <v>5880.95</v>
      </c>
    </row>
    <row r="802" spans="1:14" x14ac:dyDescent="0.3">
      <c r="A802" s="2">
        <v>43617</v>
      </c>
      <c r="B802" t="s">
        <v>66</v>
      </c>
      <c r="C802">
        <v>2019</v>
      </c>
      <c r="D802">
        <v>6</v>
      </c>
      <c r="E802" t="s">
        <v>64</v>
      </c>
      <c r="F802" t="s">
        <v>49</v>
      </c>
      <c r="G802">
        <v>36</v>
      </c>
      <c r="H802" t="s">
        <v>20</v>
      </c>
      <c r="I802">
        <v>710.83</v>
      </c>
      <c r="J802">
        <v>980.45</v>
      </c>
      <c r="K802">
        <v>875.75</v>
      </c>
      <c r="L802">
        <v>598.58000000000004</v>
      </c>
      <c r="M802">
        <v>2567.0300000000002</v>
      </c>
      <c r="N802">
        <v>3165.61</v>
      </c>
    </row>
    <row r="803" spans="1:14" x14ac:dyDescent="0.3">
      <c r="A803" s="2">
        <v>43617</v>
      </c>
      <c r="B803" t="s">
        <v>66</v>
      </c>
      <c r="C803">
        <v>2019</v>
      </c>
      <c r="D803">
        <v>6</v>
      </c>
      <c r="E803" t="s">
        <v>64</v>
      </c>
      <c r="F803" t="s">
        <v>50</v>
      </c>
      <c r="G803">
        <v>16</v>
      </c>
      <c r="H803" t="s">
        <v>20</v>
      </c>
      <c r="I803">
        <v>17.52</v>
      </c>
      <c r="J803">
        <v>33.64</v>
      </c>
      <c r="K803">
        <v>6.64</v>
      </c>
      <c r="L803">
        <v>0.13</v>
      </c>
      <c r="M803">
        <v>57.8</v>
      </c>
      <c r="N803">
        <v>57.93</v>
      </c>
    </row>
    <row r="804" spans="1:14" x14ac:dyDescent="0.3">
      <c r="A804" s="2">
        <v>43617</v>
      </c>
      <c r="B804" t="s">
        <v>66</v>
      </c>
      <c r="C804">
        <v>2019</v>
      </c>
      <c r="D804">
        <v>6</v>
      </c>
      <c r="E804" t="s">
        <v>64</v>
      </c>
      <c r="F804" t="s">
        <v>51</v>
      </c>
      <c r="G804">
        <v>9</v>
      </c>
      <c r="H804" t="s">
        <v>20</v>
      </c>
      <c r="I804">
        <v>1163.48</v>
      </c>
      <c r="J804">
        <v>1861.6</v>
      </c>
      <c r="K804">
        <v>1270.01</v>
      </c>
      <c r="L804">
        <v>1071.33</v>
      </c>
      <c r="M804">
        <v>4295.09</v>
      </c>
      <c r="N804">
        <v>5366.42</v>
      </c>
    </row>
    <row r="805" spans="1:14" x14ac:dyDescent="0.3">
      <c r="A805" s="2">
        <v>43617</v>
      </c>
      <c r="B805" t="s">
        <v>66</v>
      </c>
      <c r="C805">
        <v>2019</v>
      </c>
      <c r="D805">
        <v>6</v>
      </c>
      <c r="E805" t="s">
        <v>64</v>
      </c>
      <c r="F805" t="s">
        <v>52</v>
      </c>
      <c r="G805">
        <v>5</v>
      </c>
      <c r="H805" t="s">
        <v>20</v>
      </c>
      <c r="I805">
        <v>191.21</v>
      </c>
      <c r="J805">
        <v>350.15</v>
      </c>
      <c r="K805">
        <v>669.5</v>
      </c>
      <c r="L805">
        <v>20.75</v>
      </c>
      <c r="M805">
        <v>1210.8599999999999</v>
      </c>
      <c r="N805">
        <v>1231.6099999999999</v>
      </c>
    </row>
    <row r="806" spans="1:14" x14ac:dyDescent="0.3">
      <c r="A806" s="2">
        <v>43617</v>
      </c>
      <c r="B806" t="s">
        <v>66</v>
      </c>
      <c r="C806">
        <v>2019</v>
      </c>
      <c r="D806">
        <v>6</v>
      </c>
      <c r="E806" t="s">
        <v>64</v>
      </c>
      <c r="F806" t="s">
        <v>53</v>
      </c>
      <c r="G806">
        <v>19</v>
      </c>
      <c r="H806" t="s">
        <v>20</v>
      </c>
      <c r="I806">
        <v>1021.66</v>
      </c>
      <c r="J806">
        <v>1371.96</v>
      </c>
      <c r="K806">
        <v>767.27</v>
      </c>
      <c r="L806">
        <v>352.65</v>
      </c>
      <c r="M806">
        <v>3160.89</v>
      </c>
      <c r="N806">
        <v>3513.54</v>
      </c>
    </row>
    <row r="807" spans="1:14" x14ac:dyDescent="0.3">
      <c r="A807" s="2">
        <v>43647</v>
      </c>
      <c r="B807" t="s">
        <v>66</v>
      </c>
      <c r="C807">
        <v>2019</v>
      </c>
      <c r="D807">
        <v>7</v>
      </c>
      <c r="E807" t="s">
        <v>65</v>
      </c>
      <c r="F807" t="s">
        <v>17</v>
      </c>
      <c r="G807">
        <v>35</v>
      </c>
      <c r="H807" t="s">
        <v>18</v>
      </c>
      <c r="I807">
        <v>7.94</v>
      </c>
      <c r="J807">
        <v>11.91</v>
      </c>
      <c r="K807">
        <v>2.42</v>
      </c>
      <c r="L807">
        <v>0.13</v>
      </c>
      <c r="M807">
        <v>22.27</v>
      </c>
      <c r="N807">
        <v>22.4</v>
      </c>
    </row>
    <row r="808" spans="1:14" x14ac:dyDescent="0.3">
      <c r="A808" s="2">
        <v>43647</v>
      </c>
      <c r="B808" t="s">
        <v>66</v>
      </c>
      <c r="C808">
        <v>2019</v>
      </c>
      <c r="D808">
        <v>7</v>
      </c>
      <c r="E808" t="s">
        <v>65</v>
      </c>
      <c r="F808" t="s">
        <v>19</v>
      </c>
      <c r="G808">
        <v>28</v>
      </c>
      <c r="H808" t="s">
        <v>20</v>
      </c>
      <c r="I808">
        <v>514.29</v>
      </c>
      <c r="J808">
        <v>746.63</v>
      </c>
      <c r="K808">
        <v>847.83</v>
      </c>
      <c r="L808">
        <v>29.65</v>
      </c>
      <c r="M808">
        <v>2108.75</v>
      </c>
      <c r="N808">
        <v>2138.4</v>
      </c>
    </row>
    <row r="809" spans="1:14" x14ac:dyDescent="0.3">
      <c r="A809" s="2">
        <v>43647</v>
      </c>
      <c r="B809" t="s">
        <v>66</v>
      </c>
      <c r="C809">
        <v>2019</v>
      </c>
      <c r="D809">
        <v>7</v>
      </c>
      <c r="E809" t="s">
        <v>65</v>
      </c>
      <c r="F809" t="s">
        <v>21</v>
      </c>
      <c r="G809">
        <v>12</v>
      </c>
      <c r="H809" t="s">
        <v>20</v>
      </c>
      <c r="I809">
        <v>18.34</v>
      </c>
      <c r="J809">
        <v>25.68</v>
      </c>
      <c r="K809">
        <v>4.43</v>
      </c>
      <c r="L809">
        <v>0.26</v>
      </c>
      <c r="M809">
        <v>48.45</v>
      </c>
      <c r="N809">
        <v>48.71</v>
      </c>
    </row>
    <row r="810" spans="1:14" x14ac:dyDescent="0.3">
      <c r="A810" s="2">
        <v>43647</v>
      </c>
      <c r="B810" t="s">
        <v>66</v>
      </c>
      <c r="C810">
        <v>2019</v>
      </c>
      <c r="D810">
        <v>7</v>
      </c>
      <c r="E810" t="s">
        <v>65</v>
      </c>
      <c r="F810" t="s">
        <v>22</v>
      </c>
      <c r="G810">
        <v>18</v>
      </c>
      <c r="H810" t="s">
        <v>20</v>
      </c>
      <c r="I810">
        <v>227.27</v>
      </c>
      <c r="J810">
        <v>321.70999999999998</v>
      </c>
      <c r="K810">
        <v>207.08</v>
      </c>
      <c r="L810">
        <v>38.590000000000003</v>
      </c>
      <c r="M810">
        <v>756.06</v>
      </c>
      <c r="N810">
        <v>794.65</v>
      </c>
    </row>
    <row r="811" spans="1:14" x14ac:dyDescent="0.3">
      <c r="A811" s="2">
        <v>43647</v>
      </c>
      <c r="B811" t="s">
        <v>66</v>
      </c>
      <c r="C811">
        <v>2019</v>
      </c>
      <c r="D811">
        <v>7</v>
      </c>
      <c r="E811" t="s">
        <v>65</v>
      </c>
      <c r="F811" t="s">
        <v>23</v>
      </c>
      <c r="G811">
        <v>10</v>
      </c>
      <c r="H811" t="s">
        <v>20</v>
      </c>
      <c r="I811">
        <v>260.33</v>
      </c>
      <c r="J811">
        <v>529.73</v>
      </c>
      <c r="K811">
        <v>146.36000000000001</v>
      </c>
      <c r="L811">
        <v>224.02</v>
      </c>
      <c r="M811">
        <v>936.42</v>
      </c>
      <c r="N811">
        <v>1160.44</v>
      </c>
    </row>
    <row r="812" spans="1:14" x14ac:dyDescent="0.3">
      <c r="A812" s="2">
        <v>43647</v>
      </c>
      <c r="B812" t="s">
        <v>66</v>
      </c>
      <c r="C812">
        <v>2019</v>
      </c>
      <c r="D812">
        <v>7</v>
      </c>
      <c r="E812" t="s">
        <v>65</v>
      </c>
      <c r="F812" t="s">
        <v>24</v>
      </c>
      <c r="G812">
        <v>4</v>
      </c>
      <c r="H812" t="s">
        <v>18</v>
      </c>
      <c r="I812">
        <v>31.09</v>
      </c>
      <c r="J812">
        <v>49.17</v>
      </c>
      <c r="K812">
        <v>74.53</v>
      </c>
      <c r="L812">
        <v>1.17</v>
      </c>
      <c r="M812">
        <v>154.79</v>
      </c>
      <c r="N812">
        <v>155.96</v>
      </c>
    </row>
    <row r="813" spans="1:14" x14ac:dyDescent="0.3">
      <c r="A813" s="2">
        <v>43647</v>
      </c>
      <c r="B813" t="s">
        <v>66</v>
      </c>
      <c r="C813">
        <v>2019</v>
      </c>
      <c r="D813">
        <v>7</v>
      </c>
      <c r="E813" t="s">
        <v>65</v>
      </c>
      <c r="F813" t="s">
        <v>25</v>
      </c>
      <c r="G813">
        <v>22</v>
      </c>
      <c r="H813" t="s">
        <v>20</v>
      </c>
      <c r="I813">
        <v>379.32</v>
      </c>
      <c r="J813">
        <v>482.19</v>
      </c>
      <c r="K813">
        <v>641.28</v>
      </c>
      <c r="L813">
        <v>499.58</v>
      </c>
      <c r="M813">
        <v>1502.79</v>
      </c>
      <c r="N813">
        <v>2002.37</v>
      </c>
    </row>
    <row r="814" spans="1:14" x14ac:dyDescent="0.3">
      <c r="A814" s="2">
        <v>43647</v>
      </c>
      <c r="B814" t="s">
        <v>66</v>
      </c>
      <c r="C814">
        <v>2019</v>
      </c>
      <c r="D814">
        <v>7</v>
      </c>
      <c r="E814" t="s">
        <v>65</v>
      </c>
      <c r="F814" t="s">
        <v>26</v>
      </c>
      <c r="G814">
        <v>38</v>
      </c>
      <c r="H814" t="s">
        <v>18</v>
      </c>
      <c r="I814">
        <v>25.11</v>
      </c>
      <c r="J814">
        <v>35.840000000000003</v>
      </c>
      <c r="K814">
        <v>178.6</v>
      </c>
      <c r="L814">
        <v>0.11</v>
      </c>
      <c r="M814">
        <v>239.55</v>
      </c>
      <c r="N814">
        <v>239.66</v>
      </c>
    </row>
    <row r="815" spans="1:14" x14ac:dyDescent="0.3">
      <c r="A815" s="2">
        <v>43647</v>
      </c>
      <c r="B815" t="s">
        <v>66</v>
      </c>
      <c r="C815">
        <v>2019</v>
      </c>
      <c r="D815">
        <v>7</v>
      </c>
      <c r="E815" t="s">
        <v>65</v>
      </c>
      <c r="F815" t="s">
        <v>27</v>
      </c>
      <c r="G815">
        <v>7</v>
      </c>
      <c r="H815" t="s">
        <v>18</v>
      </c>
      <c r="I815">
        <v>717.24</v>
      </c>
      <c r="J815">
        <v>948.19</v>
      </c>
      <c r="K815">
        <v>1651.55</v>
      </c>
      <c r="L815">
        <v>89.25</v>
      </c>
      <c r="M815">
        <v>3316.98</v>
      </c>
      <c r="N815">
        <v>3406.23</v>
      </c>
    </row>
    <row r="816" spans="1:14" x14ac:dyDescent="0.3">
      <c r="A816" s="2">
        <v>43647</v>
      </c>
      <c r="B816" t="s">
        <v>66</v>
      </c>
      <c r="C816">
        <v>2019</v>
      </c>
      <c r="D816">
        <v>7</v>
      </c>
      <c r="E816" t="s">
        <v>65</v>
      </c>
      <c r="F816" t="s">
        <v>28</v>
      </c>
      <c r="G816">
        <v>30</v>
      </c>
      <c r="H816" t="s">
        <v>20</v>
      </c>
      <c r="I816">
        <v>76.87</v>
      </c>
      <c r="J816">
        <v>119.44</v>
      </c>
      <c r="K816">
        <v>162.32</v>
      </c>
      <c r="L816">
        <v>2.63</v>
      </c>
      <c r="M816">
        <v>358.63</v>
      </c>
      <c r="N816">
        <v>361.26</v>
      </c>
    </row>
    <row r="817" spans="1:14" x14ac:dyDescent="0.3">
      <c r="A817" s="2">
        <v>43647</v>
      </c>
      <c r="B817" t="s">
        <v>66</v>
      </c>
      <c r="C817">
        <v>2019</v>
      </c>
      <c r="D817">
        <v>7</v>
      </c>
      <c r="E817" t="s">
        <v>65</v>
      </c>
      <c r="F817" t="s">
        <v>29</v>
      </c>
      <c r="G817">
        <v>24</v>
      </c>
      <c r="H817" t="s">
        <v>20</v>
      </c>
      <c r="I817">
        <v>1691.37</v>
      </c>
      <c r="J817">
        <v>2214.21</v>
      </c>
      <c r="K817">
        <v>2143.84</v>
      </c>
      <c r="L817">
        <v>361.95</v>
      </c>
      <c r="M817">
        <v>6049.42</v>
      </c>
      <c r="N817">
        <v>6411.37</v>
      </c>
    </row>
    <row r="818" spans="1:14" x14ac:dyDescent="0.3">
      <c r="A818" s="2">
        <v>43647</v>
      </c>
      <c r="B818" t="s">
        <v>66</v>
      </c>
      <c r="C818">
        <v>2019</v>
      </c>
      <c r="D818">
        <v>7</v>
      </c>
      <c r="E818" t="s">
        <v>65</v>
      </c>
      <c r="F818" t="s">
        <v>30</v>
      </c>
      <c r="G818">
        <v>6</v>
      </c>
      <c r="H818" t="s">
        <v>20</v>
      </c>
      <c r="I818">
        <v>719.55</v>
      </c>
      <c r="J818">
        <v>1070.46</v>
      </c>
      <c r="K818">
        <v>2535.34</v>
      </c>
      <c r="L818">
        <v>291.39</v>
      </c>
      <c r="M818">
        <v>4325.3500000000004</v>
      </c>
      <c r="N818">
        <v>4616.74</v>
      </c>
    </row>
    <row r="819" spans="1:14" x14ac:dyDescent="0.3">
      <c r="A819" s="2">
        <v>43647</v>
      </c>
      <c r="B819" t="s">
        <v>66</v>
      </c>
      <c r="C819">
        <v>2019</v>
      </c>
      <c r="D819">
        <v>7</v>
      </c>
      <c r="E819" t="s">
        <v>65</v>
      </c>
      <c r="F819" t="s">
        <v>31</v>
      </c>
      <c r="G819">
        <v>2</v>
      </c>
      <c r="H819" t="s">
        <v>20</v>
      </c>
      <c r="I819">
        <v>103.16</v>
      </c>
      <c r="J819">
        <v>154.75</v>
      </c>
      <c r="K819">
        <v>414.01</v>
      </c>
      <c r="L819">
        <v>5.29</v>
      </c>
      <c r="M819">
        <v>671.92</v>
      </c>
      <c r="N819">
        <v>677.21</v>
      </c>
    </row>
    <row r="820" spans="1:14" x14ac:dyDescent="0.3">
      <c r="A820" s="2">
        <v>43647</v>
      </c>
      <c r="B820" t="s">
        <v>66</v>
      </c>
      <c r="C820">
        <v>2019</v>
      </c>
      <c r="D820">
        <v>7</v>
      </c>
      <c r="E820" t="s">
        <v>65</v>
      </c>
      <c r="F820" t="s">
        <v>32</v>
      </c>
      <c r="G820">
        <v>1</v>
      </c>
      <c r="H820" t="s">
        <v>18</v>
      </c>
      <c r="I820">
        <v>90.81</v>
      </c>
      <c r="J820">
        <v>164.29</v>
      </c>
      <c r="K820">
        <v>102.02</v>
      </c>
      <c r="L820">
        <v>5.52</v>
      </c>
      <c r="M820">
        <v>357.12</v>
      </c>
      <c r="N820">
        <v>362.64</v>
      </c>
    </row>
    <row r="821" spans="1:14" x14ac:dyDescent="0.3">
      <c r="A821" s="2">
        <v>43647</v>
      </c>
      <c r="B821" t="s">
        <v>66</v>
      </c>
      <c r="C821">
        <v>2019</v>
      </c>
      <c r="D821">
        <v>7</v>
      </c>
      <c r="E821" t="s">
        <v>65</v>
      </c>
      <c r="F821" t="s">
        <v>33</v>
      </c>
      <c r="G821">
        <v>20</v>
      </c>
      <c r="H821" t="s">
        <v>20</v>
      </c>
      <c r="I821">
        <v>306.29000000000002</v>
      </c>
      <c r="J821">
        <v>431.11</v>
      </c>
      <c r="K821">
        <v>693.92</v>
      </c>
      <c r="L821">
        <v>424.17</v>
      </c>
      <c r="M821">
        <v>1431.32</v>
      </c>
      <c r="N821">
        <v>1855.49</v>
      </c>
    </row>
    <row r="822" spans="1:14" x14ac:dyDescent="0.3">
      <c r="A822" s="2">
        <v>43647</v>
      </c>
      <c r="B822" t="s">
        <v>66</v>
      </c>
      <c r="C822">
        <v>2019</v>
      </c>
      <c r="D822">
        <v>7</v>
      </c>
      <c r="E822" t="s">
        <v>65</v>
      </c>
      <c r="F822" t="s">
        <v>34</v>
      </c>
      <c r="G822">
        <v>29</v>
      </c>
      <c r="H822" t="s">
        <v>20</v>
      </c>
      <c r="I822">
        <v>1609.44</v>
      </c>
      <c r="J822">
        <v>2152</v>
      </c>
      <c r="K822">
        <v>2354.19</v>
      </c>
      <c r="L822">
        <v>972.87</v>
      </c>
      <c r="M822">
        <v>6115.63</v>
      </c>
      <c r="N822">
        <v>7088.5</v>
      </c>
    </row>
    <row r="823" spans="1:14" x14ac:dyDescent="0.3">
      <c r="A823" s="2">
        <v>43647</v>
      </c>
      <c r="B823" t="s">
        <v>66</v>
      </c>
      <c r="C823">
        <v>2019</v>
      </c>
      <c r="D823">
        <v>7</v>
      </c>
      <c r="E823" t="s">
        <v>65</v>
      </c>
      <c r="F823" t="s">
        <v>35</v>
      </c>
      <c r="G823">
        <v>32</v>
      </c>
      <c r="H823" t="s">
        <v>20</v>
      </c>
      <c r="I823">
        <v>474.14</v>
      </c>
      <c r="J823">
        <v>757.52</v>
      </c>
      <c r="K823">
        <v>265.63</v>
      </c>
      <c r="L823">
        <v>15.08</v>
      </c>
      <c r="M823">
        <v>1497.29</v>
      </c>
      <c r="N823">
        <v>1512.37</v>
      </c>
    </row>
    <row r="824" spans="1:14" x14ac:dyDescent="0.3">
      <c r="A824" s="2">
        <v>43647</v>
      </c>
      <c r="B824" t="s">
        <v>66</v>
      </c>
      <c r="C824">
        <v>2019</v>
      </c>
      <c r="D824">
        <v>7</v>
      </c>
      <c r="E824" t="s">
        <v>65</v>
      </c>
      <c r="F824" t="s">
        <v>36</v>
      </c>
      <c r="G824">
        <v>31</v>
      </c>
      <c r="H824" t="s">
        <v>18</v>
      </c>
      <c r="I824">
        <v>0.91</v>
      </c>
      <c r="J824">
        <v>1.19</v>
      </c>
      <c r="K824">
        <v>0.02</v>
      </c>
      <c r="L824">
        <v>0</v>
      </c>
      <c r="M824">
        <v>2.12</v>
      </c>
      <c r="N824">
        <v>2.12</v>
      </c>
    </row>
    <row r="825" spans="1:14" x14ac:dyDescent="0.3">
      <c r="A825" s="2">
        <v>43647</v>
      </c>
      <c r="B825" t="s">
        <v>66</v>
      </c>
      <c r="C825">
        <v>2019</v>
      </c>
      <c r="D825">
        <v>7</v>
      </c>
      <c r="E825" t="s">
        <v>65</v>
      </c>
      <c r="F825" t="s">
        <v>37</v>
      </c>
      <c r="G825">
        <v>23</v>
      </c>
      <c r="H825" t="s">
        <v>20</v>
      </c>
      <c r="I825">
        <v>517.41</v>
      </c>
      <c r="J825">
        <v>741.58</v>
      </c>
      <c r="K825">
        <v>573.41</v>
      </c>
      <c r="L825">
        <v>449.28</v>
      </c>
      <c r="M825">
        <v>1832.4</v>
      </c>
      <c r="N825">
        <v>2281.6799999999998</v>
      </c>
    </row>
    <row r="826" spans="1:14" x14ac:dyDescent="0.3">
      <c r="A826" s="2">
        <v>43647</v>
      </c>
      <c r="B826" t="s">
        <v>66</v>
      </c>
      <c r="C826">
        <v>2019</v>
      </c>
      <c r="D826">
        <v>7</v>
      </c>
      <c r="E826" t="s">
        <v>65</v>
      </c>
      <c r="F826" t="s">
        <v>38</v>
      </c>
      <c r="G826">
        <v>27</v>
      </c>
      <c r="H826" t="s">
        <v>20</v>
      </c>
      <c r="I826">
        <v>3816.41</v>
      </c>
      <c r="J826">
        <v>4802.5</v>
      </c>
      <c r="K826">
        <v>5458.42</v>
      </c>
      <c r="L826">
        <v>1024.49</v>
      </c>
      <c r="M826">
        <v>14077.33</v>
      </c>
      <c r="N826">
        <v>15101.82</v>
      </c>
    </row>
    <row r="827" spans="1:14" x14ac:dyDescent="0.3">
      <c r="A827" s="2">
        <v>43647</v>
      </c>
      <c r="B827" t="s">
        <v>66</v>
      </c>
      <c r="C827">
        <v>2019</v>
      </c>
      <c r="D827">
        <v>7</v>
      </c>
      <c r="E827" t="s">
        <v>65</v>
      </c>
      <c r="F827" t="s">
        <v>39</v>
      </c>
      <c r="G827">
        <v>14</v>
      </c>
      <c r="H827" t="s">
        <v>20</v>
      </c>
      <c r="I827">
        <v>12.24</v>
      </c>
      <c r="J827">
        <v>19.61</v>
      </c>
      <c r="K827">
        <v>1.55</v>
      </c>
      <c r="L827">
        <v>0.18</v>
      </c>
      <c r="M827">
        <v>33.4</v>
      </c>
      <c r="N827">
        <v>33.58</v>
      </c>
    </row>
    <row r="828" spans="1:14" x14ac:dyDescent="0.3">
      <c r="A828" s="2">
        <v>43647</v>
      </c>
      <c r="B828" t="s">
        <v>66</v>
      </c>
      <c r="C828">
        <v>2019</v>
      </c>
      <c r="D828">
        <v>7</v>
      </c>
      <c r="E828" t="s">
        <v>65</v>
      </c>
      <c r="F828" t="s">
        <v>40</v>
      </c>
      <c r="G828">
        <v>17</v>
      </c>
      <c r="H828" t="s">
        <v>20</v>
      </c>
      <c r="I828">
        <v>17.21</v>
      </c>
      <c r="J828">
        <v>26.5</v>
      </c>
      <c r="K828">
        <v>60.3</v>
      </c>
      <c r="L828">
        <v>0.37</v>
      </c>
      <c r="M828">
        <v>104.01</v>
      </c>
      <c r="N828">
        <v>104.38</v>
      </c>
    </row>
    <row r="829" spans="1:14" x14ac:dyDescent="0.3">
      <c r="A829" s="2">
        <v>43647</v>
      </c>
      <c r="B829" t="s">
        <v>66</v>
      </c>
      <c r="C829">
        <v>2019</v>
      </c>
      <c r="D829">
        <v>7</v>
      </c>
      <c r="E829" t="s">
        <v>65</v>
      </c>
      <c r="F829" t="s">
        <v>41</v>
      </c>
      <c r="G829">
        <v>15</v>
      </c>
      <c r="H829" t="s">
        <v>20</v>
      </c>
      <c r="I829">
        <v>3.73</v>
      </c>
      <c r="J829">
        <v>7.2</v>
      </c>
      <c r="K829">
        <v>8.0500000000000007</v>
      </c>
      <c r="L829">
        <v>0.05</v>
      </c>
      <c r="M829">
        <v>18.98</v>
      </c>
      <c r="N829">
        <v>19.03</v>
      </c>
    </row>
    <row r="830" spans="1:14" x14ac:dyDescent="0.3">
      <c r="A830" s="2">
        <v>43647</v>
      </c>
      <c r="B830" t="s">
        <v>66</v>
      </c>
      <c r="C830">
        <v>2019</v>
      </c>
      <c r="D830">
        <v>7</v>
      </c>
      <c r="E830" t="s">
        <v>65</v>
      </c>
      <c r="F830" t="s">
        <v>42</v>
      </c>
      <c r="G830">
        <v>13</v>
      </c>
      <c r="H830" t="s">
        <v>20</v>
      </c>
      <c r="I830">
        <v>7.01</v>
      </c>
      <c r="J830">
        <v>9.48</v>
      </c>
      <c r="K830">
        <v>5.66</v>
      </c>
      <c r="L830">
        <v>0.72</v>
      </c>
      <c r="M830">
        <v>22.15</v>
      </c>
      <c r="N830">
        <v>22.87</v>
      </c>
    </row>
    <row r="831" spans="1:14" x14ac:dyDescent="0.3">
      <c r="A831" s="2">
        <v>43647</v>
      </c>
      <c r="B831" t="s">
        <v>66</v>
      </c>
      <c r="C831">
        <v>2019</v>
      </c>
      <c r="D831">
        <v>7</v>
      </c>
      <c r="E831" t="s">
        <v>65</v>
      </c>
      <c r="F831" t="s">
        <v>43</v>
      </c>
      <c r="G831">
        <v>21</v>
      </c>
      <c r="H831" t="s">
        <v>20</v>
      </c>
      <c r="I831">
        <v>518.11</v>
      </c>
      <c r="J831">
        <v>702.44</v>
      </c>
      <c r="K831">
        <v>742.21</v>
      </c>
      <c r="L831">
        <v>531.61</v>
      </c>
      <c r="M831">
        <v>1962.76</v>
      </c>
      <c r="N831">
        <v>2494.37</v>
      </c>
    </row>
    <row r="832" spans="1:14" x14ac:dyDescent="0.3">
      <c r="A832" s="2">
        <v>43647</v>
      </c>
      <c r="B832" t="s">
        <v>66</v>
      </c>
      <c r="C832">
        <v>2019</v>
      </c>
      <c r="D832">
        <v>7</v>
      </c>
      <c r="E832" t="s">
        <v>65</v>
      </c>
      <c r="F832" t="s">
        <v>44</v>
      </c>
      <c r="G832">
        <v>34</v>
      </c>
      <c r="H832" t="s">
        <v>18</v>
      </c>
      <c r="I832">
        <v>19.36</v>
      </c>
      <c r="J832">
        <v>30.18</v>
      </c>
      <c r="K832">
        <v>94.75</v>
      </c>
      <c r="L832">
        <v>0.24</v>
      </c>
      <c r="M832">
        <v>144.29</v>
      </c>
      <c r="N832">
        <v>144.53</v>
      </c>
    </row>
    <row r="833" spans="1:14" x14ac:dyDescent="0.3">
      <c r="A833" s="2">
        <v>43647</v>
      </c>
      <c r="B833" t="s">
        <v>66</v>
      </c>
      <c r="C833">
        <v>2019</v>
      </c>
      <c r="D833">
        <v>7</v>
      </c>
      <c r="E833" t="s">
        <v>65</v>
      </c>
      <c r="F833" t="s">
        <v>45</v>
      </c>
      <c r="G833">
        <v>3</v>
      </c>
      <c r="H833" t="s">
        <v>20</v>
      </c>
      <c r="I833">
        <v>293.58999999999997</v>
      </c>
      <c r="J833">
        <v>498.6</v>
      </c>
      <c r="K833">
        <v>456.23</v>
      </c>
      <c r="L833">
        <v>22.97</v>
      </c>
      <c r="M833">
        <v>1248.42</v>
      </c>
      <c r="N833">
        <v>1271.3900000000001</v>
      </c>
    </row>
    <row r="834" spans="1:14" x14ac:dyDescent="0.3">
      <c r="A834" s="2">
        <v>43647</v>
      </c>
      <c r="B834" t="s">
        <v>66</v>
      </c>
      <c r="C834">
        <v>2019</v>
      </c>
      <c r="D834">
        <v>7</v>
      </c>
      <c r="E834" t="s">
        <v>65</v>
      </c>
      <c r="F834" t="s">
        <v>46</v>
      </c>
      <c r="G834">
        <v>8</v>
      </c>
      <c r="H834" t="s">
        <v>20</v>
      </c>
      <c r="I834">
        <v>733.64</v>
      </c>
      <c r="J834">
        <v>997.01</v>
      </c>
      <c r="K834">
        <v>842.17</v>
      </c>
      <c r="L834">
        <v>125.75</v>
      </c>
      <c r="M834">
        <v>2572.8200000000002</v>
      </c>
      <c r="N834">
        <v>2698.57</v>
      </c>
    </row>
    <row r="835" spans="1:14" x14ac:dyDescent="0.3">
      <c r="A835" s="2">
        <v>43647</v>
      </c>
      <c r="B835" t="s">
        <v>66</v>
      </c>
      <c r="C835">
        <v>2019</v>
      </c>
      <c r="D835">
        <v>7</v>
      </c>
      <c r="E835" t="s">
        <v>65</v>
      </c>
      <c r="F835" t="s">
        <v>47</v>
      </c>
      <c r="G835">
        <v>11</v>
      </c>
      <c r="H835" t="s">
        <v>20</v>
      </c>
      <c r="I835">
        <v>14.57</v>
      </c>
      <c r="J835">
        <v>21.08</v>
      </c>
      <c r="K835">
        <v>164.86</v>
      </c>
      <c r="L835">
        <v>0.18</v>
      </c>
      <c r="M835">
        <v>200.51</v>
      </c>
      <c r="N835">
        <v>200.69</v>
      </c>
    </row>
    <row r="836" spans="1:14" x14ac:dyDescent="0.3">
      <c r="A836" s="2">
        <v>43647</v>
      </c>
      <c r="B836" t="s">
        <v>66</v>
      </c>
      <c r="C836">
        <v>2019</v>
      </c>
      <c r="D836">
        <v>7</v>
      </c>
      <c r="E836" t="s">
        <v>65</v>
      </c>
      <c r="F836" t="s">
        <v>48</v>
      </c>
      <c r="G836">
        <v>33</v>
      </c>
      <c r="H836" t="s">
        <v>20</v>
      </c>
      <c r="I836">
        <v>1552.98</v>
      </c>
      <c r="J836">
        <v>2270.62</v>
      </c>
      <c r="K836">
        <v>1746.29</v>
      </c>
      <c r="L836">
        <v>514.27</v>
      </c>
      <c r="M836">
        <v>5569.89</v>
      </c>
      <c r="N836">
        <v>6084.16</v>
      </c>
    </row>
    <row r="837" spans="1:14" x14ac:dyDescent="0.3">
      <c r="A837" s="2">
        <v>43647</v>
      </c>
      <c r="B837" t="s">
        <v>66</v>
      </c>
      <c r="C837">
        <v>2019</v>
      </c>
      <c r="D837">
        <v>7</v>
      </c>
      <c r="E837" t="s">
        <v>65</v>
      </c>
      <c r="F837" t="s">
        <v>49</v>
      </c>
      <c r="G837">
        <v>36</v>
      </c>
      <c r="H837" t="s">
        <v>20</v>
      </c>
      <c r="I837">
        <v>696.92</v>
      </c>
      <c r="J837">
        <v>1003.27</v>
      </c>
      <c r="K837">
        <v>884.5</v>
      </c>
      <c r="L837">
        <v>578.4</v>
      </c>
      <c r="M837">
        <v>2584.69</v>
      </c>
      <c r="N837">
        <v>3163.09</v>
      </c>
    </row>
    <row r="838" spans="1:14" x14ac:dyDescent="0.3">
      <c r="A838" s="2">
        <v>43647</v>
      </c>
      <c r="B838" t="s">
        <v>66</v>
      </c>
      <c r="C838">
        <v>2019</v>
      </c>
      <c r="D838">
        <v>7</v>
      </c>
      <c r="E838" t="s">
        <v>65</v>
      </c>
      <c r="F838" t="s">
        <v>50</v>
      </c>
      <c r="G838">
        <v>16</v>
      </c>
      <c r="H838" t="s">
        <v>20</v>
      </c>
      <c r="I838">
        <v>17.07</v>
      </c>
      <c r="J838">
        <v>25.66</v>
      </c>
      <c r="K838">
        <v>5.82</v>
      </c>
      <c r="L838">
        <v>0.11</v>
      </c>
      <c r="M838">
        <v>48.55</v>
      </c>
      <c r="N838">
        <v>48.66</v>
      </c>
    </row>
    <row r="839" spans="1:14" x14ac:dyDescent="0.3">
      <c r="A839" s="2">
        <v>43647</v>
      </c>
      <c r="B839" t="s">
        <v>66</v>
      </c>
      <c r="C839">
        <v>2019</v>
      </c>
      <c r="D839">
        <v>7</v>
      </c>
      <c r="E839" t="s">
        <v>65</v>
      </c>
      <c r="F839" t="s">
        <v>51</v>
      </c>
      <c r="G839">
        <v>9</v>
      </c>
      <c r="H839" t="s">
        <v>20</v>
      </c>
      <c r="I839">
        <v>1208.79</v>
      </c>
      <c r="J839">
        <v>1899.73</v>
      </c>
      <c r="K839">
        <v>1184.68</v>
      </c>
      <c r="L839">
        <v>1128.75</v>
      </c>
      <c r="M839">
        <v>4293.2</v>
      </c>
      <c r="N839">
        <v>5421.95</v>
      </c>
    </row>
    <row r="840" spans="1:14" x14ac:dyDescent="0.3">
      <c r="A840" s="2">
        <v>43647</v>
      </c>
      <c r="B840" t="s">
        <v>66</v>
      </c>
      <c r="C840">
        <v>2019</v>
      </c>
      <c r="D840">
        <v>7</v>
      </c>
      <c r="E840" t="s">
        <v>65</v>
      </c>
      <c r="F840" t="s">
        <v>52</v>
      </c>
      <c r="G840">
        <v>5</v>
      </c>
      <c r="H840" t="s">
        <v>20</v>
      </c>
      <c r="I840">
        <v>194.08</v>
      </c>
      <c r="J840">
        <v>339.75</v>
      </c>
      <c r="K840">
        <v>736.23</v>
      </c>
      <c r="L840">
        <v>18.84</v>
      </c>
      <c r="M840">
        <v>1270.06</v>
      </c>
      <c r="N840">
        <v>1288.9000000000001</v>
      </c>
    </row>
    <row r="841" spans="1:14" x14ac:dyDescent="0.3">
      <c r="A841" s="2">
        <v>43647</v>
      </c>
      <c r="B841" t="s">
        <v>66</v>
      </c>
      <c r="C841">
        <v>2019</v>
      </c>
      <c r="D841">
        <v>7</v>
      </c>
      <c r="E841" t="s">
        <v>65</v>
      </c>
      <c r="F841" t="s">
        <v>53</v>
      </c>
      <c r="G841">
        <v>19</v>
      </c>
      <c r="H841" t="s">
        <v>20</v>
      </c>
      <c r="I841">
        <v>1021.81</v>
      </c>
      <c r="J841">
        <v>1371.31</v>
      </c>
      <c r="K841">
        <v>796.16</v>
      </c>
      <c r="L841">
        <v>396.41</v>
      </c>
      <c r="M841">
        <v>3189.28</v>
      </c>
      <c r="N841">
        <v>3585.69</v>
      </c>
    </row>
    <row r="842" spans="1:14" x14ac:dyDescent="0.3">
      <c r="A842" s="2">
        <v>43678</v>
      </c>
      <c r="B842" t="s">
        <v>66</v>
      </c>
      <c r="C842">
        <v>2019</v>
      </c>
      <c r="D842">
        <v>8</v>
      </c>
      <c r="E842" t="s">
        <v>16</v>
      </c>
      <c r="F842" t="s">
        <v>17</v>
      </c>
      <c r="G842">
        <v>35</v>
      </c>
      <c r="H842" t="s">
        <v>18</v>
      </c>
      <c r="I842">
        <v>9.9700000000000006</v>
      </c>
      <c r="J842">
        <v>17.11</v>
      </c>
      <c r="K842">
        <v>3.26</v>
      </c>
      <c r="L842">
        <v>0.14000000000000001</v>
      </c>
      <c r="M842">
        <v>30.34</v>
      </c>
      <c r="N842">
        <v>30.48</v>
      </c>
    </row>
    <row r="843" spans="1:14" x14ac:dyDescent="0.3">
      <c r="A843" s="2">
        <v>43678</v>
      </c>
      <c r="B843" t="s">
        <v>66</v>
      </c>
      <c r="C843">
        <v>2019</v>
      </c>
      <c r="D843">
        <v>8</v>
      </c>
      <c r="E843" t="s">
        <v>16</v>
      </c>
      <c r="F843" t="s">
        <v>19</v>
      </c>
      <c r="G843">
        <v>28</v>
      </c>
      <c r="H843" t="s">
        <v>20</v>
      </c>
      <c r="I843">
        <v>499.97</v>
      </c>
      <c r="J843">
        <v>700.28</v>
      </c>
      <c r="K843">
        <v>892.84</v>
      </c>
      <c r="L843">
        <v>22.04</v>
      </c>
      <c r="M843">
        <v>2093.09</v>
      </c>
      <c r="N843">
        <v>2115.13</v>
      </c>
    </row>
    <row r="844" spans="1:14" x14ac:dyDescent="0.3">
      <c r="A844" s="2">
        <v>43678</v>
      </c>
      <c r="B844" t="s">
        <v>66</v>
      </c>
      <c r="C844">
        <v>2019</v>
      </c>
      <c r="D844">
        <v>8</v>
      </c>
      <c r="E844" t="s">
        <v>16</v>
      </c>
      <c r="F844" t="s">
        <v>21</v>
      </c>
      <c r="G844">
        <v>12</v>
      </c>
      <c r="H844" t="s">
        <v>20</v>
      </c>
      <c r="I844">
        <v>16.45</v>
      </c>
      <c r="J844">
        <v>20.53</v>
      </c>
      <c r="K844">
        <v>7.76</v>
      </c>
      <c r="L844">
        <v>0.02</v>
      </c>
      <c r="M844">
        <v>44.74</v>
      </c>
      <c r="N844">
        <v>44.76</v>
      </c>
    </row>
    <row r="845" spans="1:14" x14ac:dyDescent="0.3">
      <c r="A845" s="2">
        <v>43678</v>
      </c>
      <c r="B845" t="s">
        <v>66</v>
      </c>
      <c r="C845">
        <v>2019</v>
      </c>
      <c r="D845">
        <v>8</v>
      </c>
      <c r="E845" t="s">
        <v>16</v>
      </c>
      <c r="F845" t="s">
        <v>22</v>
      </c>
      <c r="G845">
        <v>18</v>
      </c>
      <c r="H845" t="s">
        <v>20</v>
      </c>
      <c r="I845">
        <v>216.08</v>
      </c>
      <c r="J845">
        <v>290.45</v>
      </c>
      <c r="K845">
        <v>229.63</v>
      </c>
      <c r="L845">
        <v>32.049999999999997</v>
      </c>
      <c r="M845">
        <v>736.16</v>
      </c>
      <c r="N845">
        <v>768.21</v>
      </c>
    </row>
    <row r="846" spans="1:14" x14ac:dyDescent="0.3">
      <c r="A846" s="2">
        <v>43678</v>
      </c>
      <c r="B846" t="s">
        <v>66</v>
      </c>
      <c r="C846">
        <v>2019</v>
      </c>
      <c r="D846">
        <v>8</v>
      </c>
      <c r="E846" t="s">
        <v>16</v>
      </c>
      <c r="F846" t="s">
        <v>23</v>
      </c>
      <c r="G846">
        <v>10</v>
      </c>
      <c r="H846" t="s">
        <v>20</v>
      </c>
      <c r="I846">
        <v>255.93</v>
      </c>
      <c r="J846">
        <v>453.33</v>
      </c>
      <c r="K846">
        <v>115.14</v>
      </c>
      <c r="L846">
        <v>156.94999999999999</v>
      </c>
      <c r="M846">
        <v>824.4</v>
      </c>
      <c r="N846">
        <v>981.35</v>
      </c>
    </row>
    <row r="847" spans="1:14" x14ac:dyDescent="0.3">
      <c r="A847" s="2">
        <v>43678</v>
      </c>
      <c r="B847" t="s">
        <v>66</v>
      </c>
      <c r="C847">
        <v>2019</v>
      </c>
      <c r="D847">
        <v>8</v>
      </c>
      <c r="E847" t="s">
        <v>16</v>
      </c>
      <c r="F847" t="s">
        <v>24</v>
      </c>
      <c r="G847">
        <v>4</v>
      </c>
      <c r="H847" t="s">
        <v>18</v>
      </c>
      <c r="I847">
        <v>32.9</v>
      </c>
      <c r="J847">
        <v>44.49</v>
      </c>
      <c r="K847">
        <v>82.29</v>
      </c>
      <c r="L847">
        <v>0.4</v>
      </c>
      <c r="M847">
        <v>159.68</v>
      </c>
      <c r="N847">
        <v>160.08000000000001</v>
      </c>
    </row>
    <row r="848" spans="1:14" x14ac:dyDescent="0.3">
      <c r="A848" s="2">
        <v>43678</v>
      </c>
      <c r="B848" t="s">
        <v>66</v>
      </c>
      <c r="C848">
        <v>2019</v>
      </c>
      <c r="D848">
        <v>8</v>
      </c>
      <c r="E848" t="s">
        <v>16</v>
      </c>
      <c r="F848" t="s">
        <v>25</v>
      </c>
      <c r="G848">
        <v>22</v>
      </c>
      <c r="H848" t="s">
        <v>20</v>
      </c>
      <c r="I848">
        <v>344.14</v>
      </c>
      <c r="J848">
        <v>430.56</v>
      </c>
      <c r="K848">
        <v>604.33000000000004</v>
      </c>
      <c r="L848">
        <v>493.71</v>
      </c>
      <c r="M848">
        <v>1379.03</v>
      </c>
      <c r="N848">
        <v>1872.74</v>
      </c>
    </row>
    <row r="849" spans="1:14" x14ac:dyDescent="0.3">
      <c r="A849" s="2">
        <v>43678</v>
      </c>
      <c r="B849" t="s">
        <v>66</v>
      </c>
      <c r="C849">
        <v>2019</v>
      </c>
      <c r="D849">
        <v>8</v>
      </c>
      <c r="E849" t="s">
        <v>16</v>
      </c>
      <c r="F849" t="s">
        <v>26</v>
      </c>
      <c r="G849">
        <v>38</v>
      </c>
      <c r="H849" t="s">
        <v>18</v>
      </c>
      <c r="I849">
        <v>26.51</v>
      </c>
      <c r="J849">
        <v>38.25</v>
      </c>
      <c r="K849">
        <v>197.25</v>
      </c>
      <c r="L849">
        <v>0.13</v>
      </c>
      <c r="M849">
        <v>262.01</v>
      </c>
      <c r="N849">
        <v>262.14</v>
      </c>
    </row>
    <row r="850" spans="1:14" x14ac:dyDescent="0.3">
      <c r="A850" s="2">
        <v>43678</v>
      </c>
      <c r="B850" t="s">
        <v>66</v>
      </c>
      <c r="C850">
        <v>2019</v>
      </c>
      <c r="D850">
        <v>8</v>
      </c>
      <c r="E850" t="s">
        <v>16</v>
      </c>
      <c r="F850" t="s">
        <v>27</v>
      </c>
      <c r="G850">
        <v>7</v>
      </c>
      <c r="H850" t="s">
        <v>18</v>
      </c>
      <c r="I850">
        <v>731.94</v>
      </c>
      <c r="J850">
        <v>943.45</v>
      </c>
      <c r="K850">
        <v>1736.99</v>
      </c>
      <c r="L850">
        <v>104.81</v>
      </c>
      <c r="M850">
        <v>3412.38</v>
      </c>
      <c r="N850">
        <v>3517.19</v>
      </c>
    </row>
    <row r="851" spans="1:14" x14ac:dyDescent="0.3">
      <c r="A851" s="2">
        <v>43678</v>
      </c>
      <c r="B851" t="s">
        <v>66</v>
      </c>
      <c r="C851">
        <v>2019</v>
      </c>
      <c r="D851">
        <v>8</v>
      </c>
      <c r="E851" t="s">
        <v>16</v>
      </c>
      <c r="F851" t="s">
        <v>28</v>
      </c>
      <c r="G851">
        <v>30</v>
      </c>
      <c r="H851" t="s">
        <v>20</v>
      </c>
      <c r="I851">
        <v>74.47</v>
      </c>
      <c r="J851">
        <v>106.23</v>
      </c>
      <c r="K851">
        <v>142.58000000000001</v>
      </c>
      <c r="L851">
        <v>1.25</v>
      </c>
      <c r="M851">
        <v>323.27999999999997</v>
      </c>
      <c r="N851">
        <v>324.52999999999997</v>
      </c>
    </row>
    <row r="852" spans="1:14" x14ac:dyDescent="0.3">
      <c r="A852" s="2">
        <v>43678</v>
      </c>
      <c r="B852" t="s">
        <v>66</v>
      </c>
      <c r="C852">
        <v>2019</v>
      </c>
      <c r="D852">
        <v>8</v>
      </c>
      <c r="E852" t="s">
        <v>16</v>
      </c>
      <c r="F852" t="s">
        <v>29</v>
      </c>
      <c r="G852">
        <v>24</v>
      </c>
      <c r="H852" t="s">
        <v>20</v>
      </c>
      <c r="I852">
        <v>1668.29</v>
      </c>
      <c r="J852">
        <v>2100.58</v>
      </c>
      <c r="K852">
        <v>2072.5500000000002</v>
      </c>
      <c r="L852">
        <v>343.14</v>
      </c>
      <c r="M852">
        <v>5841.42</v>
      </c>
      <c r="N852">
        <v>6184.56</v>
      </c>
    </row>
    <row r="853" spans="1:14" x14ac:dyDescent="0.3">
      <c r="A853" s="2">
        <v>43678</v>
      </c>
      <c r="B853" t="s">
        <v>66</v>
      </c>
      <c r="C853">
        <v>2019</v>
      </c>
      <c r="D853">
        <v>8</v>
      </c>
      <c r="E853" t="s">
        <v>16</v>
      </c>
      <c r="F853" t="s">
        <v>30</v>
      </c>
      <c r="G853">
        <v>6</v>
      </c>
      <c r="H853" t="s">
        <v>20</v>
      </c>
      <c r="I853">
        <v>785.37</v>
      </c>
      <c r="J853">
        <v>1138.24</v>
      </c>
      <c r="K853">
        <v>2269.8200000000002</v>
      </c>
      <c r="L853">
        <v>280.51</v>
      </c>
      <c r="M853">
        <v>4193.43</v>
      </c>
      <c r="N853">
        <v>4473.9399999999996</v>
      </c>
    </row>
    <row r="854" spans="1:14" x14ac:dyDescent="0.3">
      <c r="A854" s="2">
        <v>43678</v>
      </c>
      <c r="B854" t="s">
        <v>66</v>
      </c>
      <c r="C854">
        <v>2019</v>
      </c>
      <c r="D854">
        <v>8</v>
      </c>
      <c r="E854" t="s">
        <v>16</v>
      </c>
      <c r="F854" t="s">
        <v>31</v>
      </c>
      <c r="G854">
        <v>2</v>
      </c>
      <c r="H854" t="s">
        <v>20</v>
      </c>
      <c r="I854">
        <v>97.09</v>
      </c>
      <c r="J854">
        <v>145.62</v>
      </c>
      <c r="K854">
        <v>431.75</v>
      </c>
      <c r="L854">
        <v>1.47</v>
      </c>
      <c r="M854">
        <v>674.46</v>
      </c>
      <c r="N854">
        <v>675.93</v>
      </c>
    </row>
    <row r="855" spans="1:14" x14ac:dyDescent="0.3">
      <c r="A855" s="2">
        <v>43678</v>
      </c>
      <c r="B855" t="s">
        <v>66</v>
      </c>
      <c r="C855">
        <v>2019</v>
      </c>
      <c r="D855">
        <v>8</v>
      </c>
      <c r="E855" t="s">
        <v>16</v>
      </c>
      <c r="F855" t="s">
        <v>32</v>
      </c>
      <c r="G855">
        <v>1</v>
      </c>
      <c r="H855" t="s">
        <v>18</v>
      </c>
      <c r="I855">
        <v>65.89</v>
      </c>
      <c r="J855">
        <v>111.46</v>
      </c>
      <c r="K855">
        <v>119.84</v>
      </c>
      <c r="L855">
        <v>4.83</v>
      </c>
      <c r="M855">
        <v>297.19</v>
      </c>
      <c r="N855">
        <v>302.02</v>
      </c>
    </row>
    <row r="856" spans="1:14" x14ac:dyDescent="0.3">
      <c r="A856" s="2">
        <v>43678</v>
      </c>
      <c r="B856" t="s">
        <v>66</v>
      </c>
      <c r="C856">
        <v>2019</v>
      </c>
      <c r="D856">
        <v>8</v>
      </c>
      <c r="E856" t="s">
        <v>16</v>
      </c>
      <c r="F856" t="s">
        <v>33</v>
      </c>
      <c r="G856">
        <v>20</v>
      </c>
      <c r="H856" t="s">
        <v>20</v>
      </c>
      <c r="I856">
        <v>320.7</v>
      </c>
      <c r="J856">
        <v>435.54</v>
      </c>
      <c r="K856">
        <v>608.37</v>
      </c>
      <c r="L856">
        <v>405.67</v>
      </c>
      <c r="M856">
        <v>1364.61</v>
      </c>
      <c r="N856">
        <v>1770.28</v>
      </c>
    </row>
    <row r="857" spans="1:14" x14ac:dyDescent="0.3">
      <c r="A857" s="2">
        <v>43678</v>
      </c>
      <c r="B857" t="s">
        <v>66</v>
      </c>
      <c r="C857">
        <v>2019</v>
      </c>
      <c r="D857">
        <v>8</v>
      </c>
      <c r="E857" t="s">
        <v>16</v>
      </c>
      <c r="F857" t="s">
        <v>34</v>
      </c>
      <c r="G857">
        <v>29</v>
      </c>
      <c r="H857" t="s">
        <v>20</v>
      </c>
      <c r="I857">
        <v>1526.77</v>
      </c>
      <c r="J857">
        <v>2096.5300000000002</v>
      </c>
      <c r="K857">
        <v>1921.32</v>
      </c>
      <c r="L857">
        <v>656.19</v>
      </c>
      <c r="M857">
        <v>5544.62</v>
      </c>
      <c r="N857">
        <v>6200.81</v>
      </c>
    </row>
    <row r="858" spans="1:14" x14ac:dyDescent="0.3">
      <c r="A858" s="2">
        <v>43678</v>
      </c>
      <c r="B858" t="s">
        <v>66</v>
      </c>
      <c r="C858">
        <v>2019</v>
      </c>
      <c r="D858">
        <v>8</v>
      </c>
      <c r="E858" t="s">
        <v>16</v>
      </c>
      <c r="F858" t="s">
        <v>35</v>
      </c>
      <c r="G858">
        <v>32</v>
      </c>
      <c r="H858" t="s">
        <v>20</v>
      </c>
      <c r="I858">
        <v>496.8</v>
      </c>
      <c r="J858">
        <v>764.03</v>
      </c>
      <c r="K858">
        <v>308.10000000000002</v>
      </c>
      <c r="L858">
        <v>12.96</v>
      </c>
      <c r="M858">
        <v>1568.93</v>
      </c>
      <c r="N858">
        <v>1581.89</v>
      </c>
    </row>
    <row r="859" spans="1:14" x14ac:dyDescent="0.3">
      <c r="A859" s="2">
        <v>43678</v>
      </c>
      <c r="B859" t="s">
        <v>66</v>
      </c>
      <c r="C859">
        <v>2019</v>
      </c>
      <c r="D859">
        <v>8</v>
      </c>
      <c r="E859" t="s">
        <v>16</v>
      </c>
      <c r="F859" t="s">
        <v>36</v>
      </c>
      <c r="G859">
        <v>31</v>
      </c>
      <c r="H859" t="s">
        <v>18</v>
      </c>
      <c r="I859">
        <v>0.37</v>
      </c>
      <c r="J859">
        <v>1.04</v>
      </c>
      <c r="K859">
        <v>0.03</v>
      </c>
      <c r="L859">
        <v>0</v>
      </c>
      <c r="M859">
        <v>1.44</v>
      </c>
      <c r="N859">
        <v>1.44</v>
      </c>
    </row>
    <row r="860" spans="1:14" x14ac:dyDescent="0.3">
      <c r="A860" s="2">
        <v>43678</v>
      </c>
      <c r="B860" t="s">
        <v>66</v>
      </c>
      <c r="C860">
        <v>2019</v>
      </c>
      <c r="D860">
        <v>8</v>
      </c>
      <c r="E860" t="s">
        <v>16</v>
      </c>
      <c r="F860" t="s">
        <v>37</v>
      </c>
      <c r="G860">
        <v>23</v>
      </c>
      <c r="H860" t="s">
        <v>20</v>
      </c>
      <c r="I860">
        <v>507.87</v>
      </c>
      <c r="J860">
        <v>690.58</v>
      </c>
      <c r="K860">
        <v>609.21</v>
      </c>
      <c r="L860">
        <v>447.2</v>
      </c>
      <c r="M860">
        <v>1807.66</v>
      </c>
      <c r="N860">
        <v>2254.86</v>
      </c>
    </row>
    <row r="861" spans="1:14" x14ac:dyDescent="0.3">
      <c r="A861" s="2">
        <v>43678</v>
      </c>
      <c r="B861" t="s">
        <v>66</v>
      </c>
      <c r="C861">
        <v>2019</v>
      </c>
      <c r="D861">
        <v>8</v>
      </c>
      <c r="E861" t="s">
        <v>16</v>
      </c>
      <c r="F861" t="s">
        <v>38</v>
      </c>
      <c r="G861">
        <v>27</v>
      </c>
      <c r="H861" t="s">
        <v>20</v>
      </c>
      <c r="I861">
        <v>3716.21</v>
      </c>
      <c r="J861">
        <v>4690.58</v>
      </c>
      <c r="K861">
        <v>4181.4399999999996</v>
      </c>
      <c r="L861">
        <v>819.09</v>
      </c>
      <c r="M861">
        <v>12588.23</v>
      </c>
      <c r="N861">
        <v>13407.32</v>
      </c>
    </row>
    <row r="862" spans="1:14" x14ac:dyDescent="0.3">
      <c r="A862" s="2">
        <v>43678</v>
      </c>
      <c r="B862" t="s">
        <v>66</v>
      </c>
      <c r="C862">
        <v>2019</v>
      </c>
      <c r="D862">
        <v>8</v>
      </c>
      <c r="E862" t="s">
        <v>16</v>
      </c>
      <c r="F862" t="s">
        <v>39</v>
      </c>
      <c r="G862">
        <v>14</v>
      </c>
      <c r="H862" t="s">
        <v>20</v>
      </c>
      <c r="I862">
        <v>13.15</v>
      </c>
      <c r="J862">
        <v>20.92</v>
      </c>
      <c r="K862">
        <v>2.36</v>
      </c>
      <c r="L862">
        <v>0.12</v>
      </c>
      <c r="M862">
        <v>36.43</v>
      </c>
      <c r="N862">
        <v>36.549999999999997</v>
      </c>
    </row>
    <row r="863" spans="1:14" x14ac:dyDescent="0.3">
      <c r="A863" s="2">
        <v>43678</v>
      </c>
      <c r="B863" t="s">
        <v>66</v>
      </c>
      <c r="C863">
        <v>2019</v>
      </c>
      <c r="D863">
        <v>8</v>
      </c>
      <c r="E863" t="s">
        <v>16</v>
      </c>
      <c r="F863" t="s">
        <v>40</v>
      </c>
      <c r="G863">
        <v>17</v>
      </c>
      <c r="H863" t="s">
        <v>20</v>
      </c>
      <c r="I863">
        <v>19.71</v>
      </c>
      <c r="J863">
        <v>26.67</v>
      </c>
      <c r="K863">
        <v>70.2</v>
      </c>
      <c r="L863">
        <v>0.32</v>
      </c>
      <c r="M863">
        <v>116.58</v>
      </c>
      <c r="N863">
        <v>116.9</v>
      </c>
    </row>
    <row r="864" spans="1:14" x14ac:dyDescent="0.3">
      <c r="A864" s="2">
        <v>43678</v>
      </c>
      <c r="B864" t="s">
        <v>66</v>
      </c>
      <c r="C864">
        <v>2019</v>
      </c>
      <c r="D864">
        <v>8</v>
      </c>
      <c r="E864" t="s">
        <v>16</v>
      </c>
      <c r="F864" t="s">
        <v>41</v>
      </c>
      <c r="G864">
        <v>15</v>
      </c>
      <c r="H864" t="s">
        <v>20</v>
      </c>
      <c r="I864">
        <v>6.18</v>
      </c>
      <c r="J864">
        <v>12.96</v>
      </c>
      <c r="K864">
        <v>8.61</v>
      </c>
      <c r="L864">
        <v>0.06</v>
      </c>
      <c r="M864">
        <v>27.75</v>
      </c>
      <c r="N864">
        <v>27.81</v>
      </c>
    </row>
    <row r="865" spans="1:14" x14ac:dyDescent="0.3">
      <c r="A865" s="2">
        <v>43678</v>
      </c>
      <c r="B865" t="s">
        <v>66</v>
      </c>
      <c r="C865">
        <v>2019</v>
      </c>
      <c r="D865">
        <v>8</v>
      </c>
      <c r="E865" t="s">
        <v>16</v>
      </c>
      <c r="F865" t="s">
        <v>42</v>
      </c>
      <c r="G865">
        <v>13</v>
      </c>
      <c r="H865" t="s">
        <v>20</v>
      </c>
      <c r="I865">
        <v>9.3699999999999992</v>
      </c>
      <c r="J865">
        <v>11.84</v>
      </c>
      <c r="K865">
        <v>4.63</v>
      </c>
      <c r="L865">
        <v>1.01</v>
      </c>
      <c r="M865">
        <v>25.84</v>
      </c>
      <c r="N865">
        <v>26.85</v>
      </c>
    </row>
    <row r="866" spans="1:14" x14ac:dyDescent="0.3">
      <c r="A866" s="2">
        <v>43678</v>
      </c>
      <c r="B866" t="s">
        <v>66</v>
      </c>
      <c r="C866">
        <v>2019</v>
      </c>
      <c r="D866">
        <v>8</v>
      </c>
      <c r="E866" t="s">
        <v>16</v>
      </c>
      <c r="F866" t="s">
        <v>43</v>
      </c>
      <c r="G866">
        <v>21</v>
      </c>
      <c r="H866" t="s">
        <v>20</v>
      </c>
      <c r="I866">
        <v>534.67999999999995</v>
      </c>
      <c r="J866">
        <v>698.47</v>
      </c>
      <c r="K866">
        <v>815.17</v>
      </c>
      <c r="L866">
        <v>448.91</v>
      </c>
      <c r="M866">
        <v>2048.3200000000002</v>
      </c>
      <c r="N866">
        <v>2497.23</v>
      </c>
    </row>
    <row r="867" spans="1:14" x14ac:dyDescent="0.3">
      <c r="A867" s="2">
        <v>43678</v>
      </c>
      <c r="B867" t="s">
        <v>66</v>
      </c>
      <c r="C867">
        <v>2019</v>
      </c>
      <c r="D867">
        <v>8</v>
      </c>
      <c r="E867" t="s">
        <v>16</v>
      </c>
      <c r="F867" t="s">
        <v>44</v>
      </c>
      <c r="G867">
        <v>34</v>
      </c>
      <c r="H867" t="s">
        <v>18</v>
      </c>
      <c r="I867">
        <v>19.66</v>
      </c>
      <c r="J867">
        <v>31.7</v>
      </c>
      <c r="K867">
        <v>108.05</v>
      </c>
      <c r="L867">
        <v>1.1100000000000001</v>
      </c>
      <c r="M867">
        <v>159.41</v>
      </c>
      <c r="N867">
        <v>160.52000000000001</v>
      </c>
    </row>
    <row r="868" spans="1:14" x14ac:dyDescent="0.3">
      <c r="A868" s="2">
        <v>43678</v>
      </c>
      <c r="B868" t="s">
        <v>66</v>
      </c>
      <c r="C868">
        <v>2019</v>
      </c>
      <c r="D868">
        <v>8</v>
      </c>
      <c r="E868" t="s">
        <v>16</v>
      </c>
      <c r="F868" t="s">
        <v>45</v>
      </c>
      <c r="G868">
        <v>3</v>
      </c>
      <c r="H868" t="s">
        <v>20</v>
      </c>
      <c r="I868">
        <v>294.92</v>
      </c>
      <c r="J868">
        <v>494.53</v>
      </c>
      <c r="K868">
        <v>450.65</v>
      </c>
      <c r="L868">
        <v>15.26</v>
      </c>
      <c r="M868">
        <v>1240.0999999999999</v>
      </c>
      <c r="N868">
        <v>1255.3599999999999</v>
      </c>
    </row>
    <row r="869" spans="1:14" x14ac:dyDescent="0.3">
      <c r="A869" s="2">
        <v>43678</v>
      </c>
      <c r="B869" t="s">
        <v>66</v>
      </c>
      <c r="C869">
        <v>2019</v>
      </c>
      <c r="D869">
        <v>8</v>
      </c>
      <c r="E869" t="s">
        <v>16</v>
      </c>
      <c r="F869" t="s">
        <v>46</v>
      </c>
      <c r="G869">
        <v>8</v>
      </c>
      <c r="H869" t="s">
        <v>20</v>
      </c>
      <c r="I869">
        <v>717.18</v>
      </c>
      <c r="J869">
        <v>954.28</v>
      </c>
      <c r="K869">
        <v>756.57</v>
      </c>
      <c r="L869">
        <v>122.08</v>
      </c>
      <c r="M869">
        <v>2428.0300000000002</v>
      </c>
      <c r="N869">
        <v>2550.11</v>
      </c>
    </row>
    <row r="870" spans="1:14" x14ac:dyDescent="0.3">
      <c r="A870" s="2">
        <v>43678</v>
      </c>
      <c r="B870" t="s">
        <v>66</v>
      </c>
      <c r="C870">
        <v>2019</v>
      </c>
      <c r="D870">
        <v>8</v>
      </c>
      <c r="E870" t="s">
        <v>16</v>
      </c>
      <c r="F870" t="s">
        <v>47</v>
      </c>
      <c r="G870">
        <v>11</v>
      </c>
      <c r="H870" t="s">
        <v>20</v>
      </c>
      <c r="I870">
        <v>11.11</v>
      </c>
      <c r="J870">
        <v>14.41</v>
      </c>
      <c r="K870">
        <v>137.88</v>
      </c>
      <c r="L870">
        <v>0.01</v>
      </c>
      <c r="M870">
        <v>163.4</v>
      </c>
      <c r="N870">
        <v>163.41</v>
      </c>
    </row>
    <row r="871" spans="1:14" x14ac:dyDescent="0.3">
      <c r="A871" s="2">
        <v>43678</v>
      </c>
      <c r="B871" t="s">
        <v>66</v>
      </c>
      <c r="C871">
        <v>2019</v>
      </c>
      <c r="D871">
        <v>8</v>
      </c>
      <c r="E871" t="s">
        <v>16</v>
      </c>
      <c r="F871" t="s">
        <v>48</v>
      </c>
      <c r="G871">
        <v>33</v>
      </c>
      <c r="H871" t="s">
        <v>20</v>
      </c>
      <c r="I871">
        <v>1600.37</v>
      </c>
      <c r="J871">
        <v>2318.38</v>
      </c>
      <c r="K871">
        <v>1688.08</v>
      </c>
      <c r="L871">
        <v>366.51</v>
      </c>
      <c r="M871">
        <v>5606.83</v>
      </c>
      <c r="N871">
        <v>5973.34</v>
      </c>
    </row>
    <row r="872" spans="1:14" x14ac:dyDescent="0.3">
      <c r="A872" s="2">
        <v>43678</v>
      </c>
      <c r="B872" t="s">
        <v>66</v>
      </c>
      <c r="C872">
        <v>2019</v>
      </c>
      <c r="D872">
        <v>8</v>
      </c>
      <c r="E872" t="s">
        <v>16</v>
      </c>
      <c r="F872" t="s">
        <v>49</v>
      </c>
      <c r="G872">
        <v>36</v>
      </c>
      <c r="H872" t="s">
        <v>20</v>
      </c>
      <c r="I872">
        <v>734.68</v>
      </c>
      <c r="J872">
        <v>993.63</v>
      </c>
      <c r="K872">
        <v>853.87</v>
      </c>
      <c r="L872">
        <v>476.47</v>
      </c>
      <c r="M872">
        <v>2582.1799999999998</v>
      </c>
      <c r="N872">
        <v>3058.65</v>
      </c>
    </row>
    <row r="873" spans="1:14" x14ac:dyDescent="0.3">
      <c r="A873" s="2">
        <v>43678</v>
      </c>
      <c r="B873" t="s">
        <v>66</v>
      </c>
      <c r="C873">
        <v>2019</v>
      </c>
      <c r="D873">
        <v>8</v>
      </c>
      <c r="E873" t="s">
        <v>16</v>
      </c>
      <c r="F873" t="s">
        <v>50</v>
      </c>
      <c r="G873">
        <v>16</v>
      </c>
      <c r="H873" t="s">
        <v>20</v>
      </c>
      <c r="I873">
        <v>21.57</v>
      </c>
      <c r="J873">
        <v>30.57</v>
      </c>
      <c r="K873">
        <v>5.77</v>
      </c>
      <c r="L873">
        <v>0.24</v>
      </c>
      <c r="M873">
        <v>57.91</v>
      </c>
      <c r="N873">
        <v>58.15</v>
      </c>
    </row>
    <row r="874" spans="1:14" x14ac:dyDescent="0.3">
      <c r="A874" s="2">
        <v>43678</v>
      </c>
      <c r="B874" t="s">
        <v>66</v>
      </c>
      <c r="C874">
        <v>2019</v>
      </c>
      <c r="D874">
        <v>8</v>
      </c>
      <c r="E874" t="s">
        <v>16</v>
      </c>
      <c r="F874" t="s">
        <v>51</v>
      </c>
      <c r="G874">
        <v>9</v>
      </c>
      <c r="H874" t="s">
        <v>20</v>
      </c>
      <c r="I874">
        <v>1131.8399999999999</v>
      </c>
      <c r="J874">
        <v>1724.6</v>
      </c>
      <c r="K874">
        <v>1206.3399999999999</v>
      </c>
      <c r="L874">
        <v>912.67</v>
      </c>
      <c r="M874">
        <v>4062.78</v>
      </c>
      <c r="N874">
        <v>4975.45</v>
      </c>
    </row>
    <row r="875" spans="1:14" x14ac:dyDescent="0.3">
      <c r="A875" s="2">
        <v>43678</v>
      </c>
      <c r="B875" t="s">
        <v>66</v>
      </c>
      <c r="C875">
        <v>2019</v>
      </c>
      <c r="D875">
        <v>8</v>
      </c>
      <c r="E875" t="s">
        <v>16</v>
      </c>
      <c r="F875" t="s">
        <v>52</v>
      </c>
      <c r="G875">
        <v>5</v>
      </c>
      <c r="H875" t="s">
        <v>20</v>
      </c>
      <c r="I875">
        <v>187.71</v>
      </c>
      <c r="J875">
        <v>316.23</v>
      </c>
      <c r="K875">
        <v>423.05</v>
      </c>
      <c r="L875">
        <v>14.1</v>
      </c>
      <c r="M875">
        <v>926.99</v>
      </c>
      <c r="N875">
        <v>941.09</v>
      </c>
    </row>
    <row r="876" spans="1:14" x14ac:dyDescent="0.3">
      <c r="A876" s="2">
        <v>43678</v>
      </c>
      <c r="B876" t="s">
        <v>66</v>
      </c>
      <c r="C876">
        <v>2019</v>
      </c>
      <c r="D876">
        <v>8</v>
      </c>
      <c r="E876" t="s">
        <v>16</v>
      </c>
      <c r="F876" t="s">
        <v>53</v>
      </c>
      <c r="G876">
        <v>19</v>
      </c>
      <c r="H876" t="s">
        <v>20</v>
      </c>
      <c r="I876">
        <v>1025.01</v>
      </c>
      <c r="J876">
        <v>1356.46</v>
      </c>
      <c r="K876">
        <v>831.64</v>
      </c>
      <c r="L876">
        <v>290.12</v>
      </c>
      <c r="M876">
        <v>3213.11</v>
      </c>
      <c r="N876">
        <v>3503.23</v>
      </c>
    </row>
    <row r="877" spans="1:14" x14ac:dyDescent="0.3">
      <c r="A877" s="2">
        <v>43709</v>
      </c>
      <c r="B877" t="s">
        <v>66</v>
      </c>
      <c r="C877">
        <v>2019</v>
      </c>
      <c r="D877">
        <v>9</v>
      </c>
      <c r="E877" t="s">
        <v>54</v>
      </c>
      <c r="F877" t="s">
        <v>17</v>
      </c>
      <c r="G877">
        <v>35</v>
      </c>
      <c r="H877" t="s">
        <v>18</v>
      </c>
      <c r="I877">
        <v>6.58</v>
      </c>
      <c r="J877">
        <v>10.02</v>
      </c>
      <c r="K877">
        <v>2.15</v>
      </c>
      <c r="L877">
        <v>0</v>
      </c>
      <c r="M877">
        <v>18.75</v>
      </c>
      <c r="N877">
        <v>18.75</v>
      </c>
    </row>
    <row r="878" spans="1:14" x14ac:dyDescent="0.3">
      <c r="A878" s="2">
        <v>43709</v>
      </c>
      <c r="B878" t="s">
        <v>66</v>
      </c>
      <c r="C878">
        <v>2019</v>
      </c>
      <c r="D878">
        <v>9</v>
      </c>
      <c r="E878" t="s">
        <v>54</v>
      </c>
      <c r="F878" t="s">
        <v>19</v>
      </c>
      <c r="G878">
        <v>28</v>
      </c>
      <c r="H878" t="s">
        <v>20</v>
      </c>
      <c r="I878">
        <v>473.74</v>
      </c>
      <c r="J878">
        <v>660.46</v>
      </c>
      <c r="K878">
        <v>746.16</v>
      </c>
      <c r="L878">
        <v>104.61</v>
      </c>
      <c r="M878">
        <v>1880.36</v>
      </c>
      <c r="N878">
        <v>1984.97</v>
      </c>
    </row>
    <row r="879" spans="1:14" x14ac:dyDescent="0.3">
      <c r="A879" s="2">
        <v>43709</v>
      </c>
      <c r="B879" t="s">
        <v>66</v>
      </c>
      <c r="C879">
        <v>2019</v>
      </c>
      <c r="D879">
        <v>9</v>
      </c>
      <c r="E879" t="s">
        <v>54</v>
      </c>
      <c r="F879" t="s">
        <v>21</v>
      </c>
      <c r="G879">
        <v>12</v>
      </c>
      <c r="H879" t="s">
        <v>20</v>
      </c>
      <c r="I879">
        <v>17.57</v>
      </c>
      <c r="J879">
        <v>23.08</v>
      </c>
      <c r="K879">
        <v>3.44</v>
      </c>
      <c r="L879">
        <v>0.22</v>
      </c>
      <c r="M879">
        <v>44.09</v>
      </c>
      <c r="N879">
        <v>44.31</v>
      </c>
    </row>
    <row r="880" spans="1:14" x14ac:dyDescent="0.3">
      <c r="A880" s="2">
        <v>43709</v>
      </c>
      <c r="B880" t="s">
        <v>66</v>
      </c>
      <c r="C880">
        <v>2019</v>
      </c>
      <c r="D880">
        <v>9</v>
      </c>
      <c r="E880" t="s">
        <v>54</v>
      </c>
      <c r="F880" t="s">
        <v>22</v>
      </c>
      <c r="G880">
        <v>18</v>
      </c>
      <c r="H880" t="s">
        <v>20</v>
      </c>
      <c r="I880">
        <v>242.51</v>
      </c>
      <c r="J880">
        <v>324.17</v>
      </c>
      <c r="K880">
        <v>245.09</v>
      </c>
      <c r="L880">
        <v>36.68</v>
      </c>
      <c r="M880">
        <v>811.77</v>
      </c>
      <c r="N880">
        <v>848.45</v>
      </c>
    </row>
    <row r="881" spans="1:14" x14ac:dyDescent="0.3">
      <c r="A881" s="2">
        <v>43709</v>
      </c>
      <c r="B881" t="s">
        <v>66</v>
      </c>
      <c r="C881">
        <v>2019</v>
      </c>
      <c r="D881">
        <v>9</v>
      </c>
      <c r="E881" t="s">
        <v>54</v>
      </c>
      <c r="F881" t="s">
        <v>23</v>
      </c>
      <c r="G881">
        <v>10</v>
      </c>
      <c r="H881" t="s">
        <v>20</v>
      </c>
      <c r="I881">
        <v>246.12</v>
      </c>
      <c r="J881">
        <v>447.66</v>
      </c>
      <c r="K881">
        <v>107.12</v>
      </c>
      <c r="L881">
        <v>184.8</v>
      </c>
      <c r="M881">
        <v>800.9</v>
      </c>
      <c r="N881">
        <v>985.7</v>
      </c>
    </row>
    <row r="882" spans="1:14" x14ac:dyDescent="0.3">
      <c r="A882" s="2">
        <v>43709</v>
      </c>
      <c r="B882" t="s">
        <v>66</v>
      </c>
      <c r="C882">
        <v>2019</v>
      </c>
      <c r="D882">
        <v>9</v>
      </c>
      <c r="E882" t="s">
        <v>54</v>
      </c>
      <c r="F882" t="s">
        <v>24</v>
      </c>
      <c r="G882">
        <v>4</v>
      </c>
      <c r="H882" t="s">
        <v>18</v>
      </c>
      <c r="I882">
        <v>28.68</v>
      </c>
      <c r="J882">
        <v>41.26</v>
      </c>
      <c r="K882">
        <v>86.47</v>
      </c>
      <c r="L882">
        <v>0.1</v>
      </c>
      <c r="M882">
        <v>156.41</v>
      </c>
      <c r="N882">
        <v>156.51</v>
      </c>
    </row>
    <row r="883" spans="1:14" x14ac:dyDescent="0.3">
      <c r="A883" s="2">
        <v>43709</v>
      </c>
      <c r="B883" t="s">
        <v>66</v>
      </c>
      <c r="C883">
        <v>2019</v>
      </c>
      <c r="D883">
        <v>9</v>
      </c>
      <c r="E883" t="s">
        <v>54</v>
      </c>
      <c r="F883" t="s">
        <v>25</v>
      </c>
      <c r="G883">
        <v>22</v>
      </c>
      <c r="H883" t="s">
        <v>20</v>
      </c>
      <c r="I883">
        <v>295.31</v>
      </c>
      <c r="J883">
        <v>375.2</v>
      </c>
      <c r="K883">
        <v>438.94</v>
      </c>
      <c r="L883">
        <v>380.14</v>
      </c>
      <c r="M883">
        <v>1109.45</v>
      </c>
      <c r="N883">
        <v>1489.59</v>
      </c>
    </row>
    <row r="884" spans="1:14" x14ac:dyDescent="0.3">
      <c r="A884" s="2">
        <v>43709</v>
      </c>
      <c r="B884" t="s">
        <v>66</v>
      </c>
      <c r="C884">
        <v>2019</v>
      </c>
      <c r="D884">
        <v>9</v>
      </c>
      <c r="E884" t="s">
        <v>54</v>
      </c>
      <c r="F884" t="s">
        <v>26</v>
      </c>
      <c r="G884">
        <v>38</v>
      </c>
      <c r="H884" t="s">
        <v>18</v>
      </c>
      <c r="I884">
        <v>24.95</v>
      </c>
      <c r="J884">
        <v>33.83</v>
      </c>
      <c r="K884">
        <v>155.26</v>
      </c>
      <c r="L884">
        <v>0.04</v>
      </c>
      <c r="M884">
        <v>214.04</v>
      </c>
      <c r="N884">
        <v>214.08</v>
      </c>
    </row>
    <row r="885" spans="1:14" x14ac:dyDescent="0.3">
      <c r="A885" s="2">
        <v>43709</v>
      </c>
      <c r="B885" t="s">
        <v>66</v>
      </c>
      <c r="C885">
        <v>2019</v>
      </c>
      <c r="D885">
        <v>9</v>
      </c>
      <c r="E885" t="s">
        <v>54</v>
      </c>
      <c r="F885" t="s">
        <v>27</v>
      </c>
      <c r="G885">
        <v>7</v>
      </c>
      <c r="H885" t="s">
        <v>18</v>
      </c>
      <c r="I885">
        <v>707.03</v>
      </c>
      <c r="J885">
        <v>924.2</v>
      </c>
      <c r="K885">
        <v>1667.67</v>
      </c>
      <c r="L885">
        <v>86.97</v>
      </c>
      <c r="M885">
        <v>3298.9</v>
      </c>
      <c r="N885">
        <v>3385.87</v>
      </c>
    </row>
    <row r="886" spans="1:14" x14ac:dyDescent="0.3">
      <c r="A886" s="2">
        <v>43709</v>
      </c>
      <c r="B886" t="s">
        <v>66</v>
      </c>
      <c r="C886">
        <v>2019</v>
      </c>
      <c r="D886">
        <v>9</v>
      </c>
      <c r="E886" t="s">
        <v>54</v>
      </c>
      <c r="F886" t="s">
        <v>28</v>
      </c>
      <c r="G886">
        <v>30</v>
      </c>
      <c r="H886" t="s">
        <v>20</v>
      </c>
      <c r="I886">
        <v>71.63</v>
      </c>
      <c r="J886">
        <v>109.5</v>
      </c>
      <c r="K886">
        <v>127.58</v>
      </c>
      <c r="L886">
        <v>2.76</v>
      </c>
      <c r="M886">
        <v>308.70999999999998</v>
      </c>
      <c r="N886">
        <v>311.47000000000003</v>
      </c>
    </row>
    <row r="887" spans="1:14" x14ac:dyDescent="0.3">
      <c r="A887" s="2">
        <v>43709</v>
      </c>
      <c r="B887" t="s">
        <v>66</v>
      </c>
      <c r="C887">
        <v>2019</v>
      </c>
      <c r="D887">
        <v>9</v>
      </c>
      <c r="E887" t="s">
        <v>54</v>
      </c>
      <c r="F887" t="s">
        <v>29</v>
      </c>
      <c r="G887">
        <v>24</v>
      </c>
      <c r="H887" t="s">
        <v>20</v>
      </c>
      <c r="I887">
        <v>1543.19</v>
      </c>
      <c r="J887">
        <v>1932.12</v>
      </c>
      <c r="K887">
        <v>1901.53</v>
      </c>
      <c r="L887">
        <v>363.69</v>
      </c>
      <c r="M887">
        <v>5376.84</v>
      </c>
      <c r="N887">
        <v>5740.53</v>
      </c>
    </row>
    <row r="888" spans="1:14" x14ac:dyDescent="0.3">
      <c r="A888" s="2">
        <v>43709</v>
      </c>
      <c r="B888" t="s">
        <v>66</v>
      </c>
      <c r="C888">
        <v>2019</v>
      </c>
      <c r="D888">
        <v>9</v>
      </c>
      <c r="E888" t="s">
        <v>54</v>
      </c>
      <c r="F888" t="s">
        <v>30</v>
      </c>
      <c r="G888">
        <v>6</v>
      </c>
      <c r="H888" t="s">
        <v>20</v>
      </c>
      <c r="I888">
        <v>720.31</v>
      </c>
      <c r="J888">
        <v>1053.43</v>
      </c>
      <c r="K888">
        <v>2053.9299999999998</v>
      </c>
      <c r="L888">
        <v>281.99</v>
      </c>
      <c r="M888">
        <v>3827.67</v>
      </c>
      <c r="N888">
        <v>4109.66</v>
      </c>
    </row>
    <row r="889" spans="1:14" x14ac:dyDescent="0.3">
      <c r="A889" s="2">
        <v>43709</v>
      </c>
      <c r="B889" t="s">
        <v>66</v>
      </c>
      <c r="C889">
        <v>2019</v>
      </c>
      <c r="D889">
        <v>9</v>
      </c>
      <c r="E889" t="s">
        <v>54</v>
      </c>
      <c r="F889" t="s">
        <v>31</v>
      </c>
      <c r="G889">
        <v>2</v>
      </c>
      <c r="H889" t="s">
        <v>20</v>
      </c>
      <c r="I889">
        <v>89.32</v>
      </c>
      <c r="J889">
        <v>135.04</v>
      </c>
      <c r="K889">
        <v>383.62</v>
      </c>
      <c r="L889">
        <v>0.91</v>
      </c>
      <c r="M889">
        <v>607.98</v>
      </c>
      <c r="N889">
        <v>608.89</v>
      </c>
    </row>
    <row r="890" spans="1:14" x14ac:dyDescent="0.3">
      <c r="A890" s="2">
        <v>43709</v>
      </c>
      <c r="B890" t="s">
        <v>66</v>
      </c>
      <c r="C890">
        <v>2019</v>
      </c>
      <c r="D890">
        <v>9</v>
      </c>
      <c r="E890" t="s">
        <v>54</v>
      </c>
      <c r="F890" t="s">
        <v>32</v>
      </c>
      <c r="G890">
        <v>1</v>
      </c>
      <c r="H890" t="s">
        <v>18</v>
      </c>
      <c r="I890">
        <v>62.12</v>
      </c>
      <c r="J890">
        <v>99.43</v>
      </c>
      <c r="K890">
        <v>117.47</v>
      </c>
      <c r="L890">
        <v>2.7</v>
      </c>
      <c r="M890">
        <v>279.02</v>
      </c>
      <c r="N890">
        <v>281.72000000000003</v>
      </c>
    </row>
    <row r="891" spans="1:14" x14ac:dyDescent="0.3">
      <c r="A891" s="2">
        <v>43709</v>
      </c>
      <c r="B891" t="s">
        <v>66</v>
      </c>
      <c r="C891">
        <v>2019</v>
      </c>
      <c r="D891">
        <v>9</v>
      </c>
      <c r="E891" t="s">
        <v>54</v>
      </c>
      <c r="F891" t="s">
        <v>33</v>
      </c>
      <c r="G891">
        <v>20</v>
      </c>
      <c r="H891" t="s">
        <v>20</v>
      </c>
      <c r="I891">
        <v>279.61</v>
      </c>
      <c r="J891">
        <v>374.93</v>
      </c>
      <c r="K891">
        <v>462.73</v>
      </c>
      <c r="L891">
        <v>391.67</v>
      </c>
      <c r="M891">
        <v>1117.27</v>
      </c>
      <c r="N891">
        <v>1508.94</v>
      </c>
    </row>
    <row r="892" spans="1:14" x14ac:dyDescent="0.3">
      <c r="A892" s="2">
        <v>43709</v>
      </c>
      <c r="B892" t="s">
        <v>66</v>
      </c>
      <c r="C892">
        <v>2019</v>
      </c>
      <c r="D892">
        <v>9</v>
      </c>
      <c r="E892" t="s">
        <v>54</v>
      </c>
      <c r="F892" t="s">
        <v>34</v>
      </c>
      <c r="G892">
        <v>29</v>
      </c>
      <c r="H892" t="s">
        <v>20</v>
      </c>
      <c r="I892">
        <v>1522.24</v>
      </c>
      <c r="J892">
        <v>2061.7600000000002</v>
      </c>
      <c r="K892">
        <v>1985.98</v>
      </c>
      <c r="L892">
        <v>779.88</v>
      </c>
      <c r="M892">
        <v>5569.98</v>
      </c>
      <c r="N892">
        <v>6349.86</v>
      </c>
    </row>
    <row r="893" spans="1:14" x14ac:dyDescent="0.3">
      <c r="A893" s="2">
        <v>43709</v>
      </c>
      <c r="B893" t="s">
        <v>66</v>
      </c>
      <c r="C893">
        <v>2019</v>
      </c>
      <c r="D893">
        <v>9</v>
      </c>
      <c r="E893" t="s">
        <v>54</v>
      </c>
      <c r="F893" t="s">
        <v>35</v>
      </c>
      <c r="G893">
        <v>32</v>
      </c>
      <c r="H893" t="s">
        <v>20</v>
      </c>
      <c r="I893">
        <v>441.28</v>
      </c>
      <c r="J893">
        <v>687.19</v>
      </c>
      <c r="K893">
        <v>258.97000000000003</v>
      </c>
      <c r="L893">
        <v>5.72</v>
      </c>
      <c r="M893">
        <v>1387.44</v>
      </c>
      <c r="N893">
        <v>1393.16</v>
      </c>
    </row>
    <row r="894" spans="1:14" x14ac:dyDescent="0.3">
      <c r="A894" s="2">
        <v>43709</v>
      </c>
      <c r="B894" t="s">
        <v>66</v>
      </c>
      <c r="C894">
        <v>2019</v>
      </c>
      <c r="D894">
        <v>9</v>
      </c>
      <c r="E894" t="s">
        <v>54</v>
      </c>
      <c r="F894" t="s">
        <v>36</v>
      </c>
      <c r="G894">
        <v>31</v>
      </c>
      <c r="H894" t="s">
        <v>18</v>
      </c>
      <c r="I894">
        <v>0.74</v>
      </c>
      <c r="J894">
        <v>0.84</v>
      </c>
      <c r="K894">
        <v>0.09</v>
      </c>
      <c r="L894">
        <v>0</v>
      </c>
      <c r="M894">
        <v>1.67</v>
      </c>
      <c r="N894">
        <v>1.67</v>
      </c>
    </row>
    <row r="895" spans="1:14" x14ac:dyDescent="0.3">
      <c r="A895" s="2">
        <v>43709</v>
      </c>
      <c r="B895" t="s">
        <v>66</v>
      </c>
      <c r="C895">
        <v>2019</v>
      </c>
      <c r="D895">
        <v>9</v>
      </c>
      <c r="E895" t="s">
        <v>54</v>
      </c>
      <c r="F895" t="s">
        <v>37</v>
      </c>
      <c r="G895">
        <v>23</v>
      </c>
      <c r="H895" t="s">
        <v>20</v>
      </c>
      <c r="I895">
        <v>445.86</v>
      </c>
      <c r="J895">
        <v>613.71</v>
      </c>
      <c r="K895">
        <v>585.57000000000005</v>
      </c>
      <c r="L895">
        <v>441.96</v>
      </c>
      <c r="M895">
        <v>1645.14</v>
      </c>
      <c r="N895">
        <v>2087.1</v>
      </c>
    </row>
    <row r="896" spans="1:14" x14ac:dyDescent="0.3">
      <c r="A896" s="2">
        <v>43709</v>
      </c>
      <c r="B896" t="s">
        <v>66</v>
      </c>
      <c r="C896">
        <v>2019</v>
      </c>
      <c r="D896">
        <v>9</v>
      </c>
      <c r="E896" t="s">
        <v>54</v>
      </c>
      <c r="F896" t="s">
        <v>38</v>
      </c>
      <c r="G896">
        <v>27</v>
      </c>
      <c r="H896" t="s">
        <v>20</v>
      </c>
      <c r="I896">
        <v>3609.68</v>
      </c>
      <c r="J896">
        <v>4405.43</v>
      </c>
      <c r="K896">
        <v>4647.0600000000004</v>
      </c>
      <c r="L896">
        <v>916.78</v>
      </c>
      <c r="M896">
        <v>12662.17</v>
      </c>
      <c r="N896">
        <v>13578.95</v>
      </c>
    </row>
    <row r="897" spans="1:14" x14ac:dyDescent="0.3">
      <c r="A897" s="2">
        <v>43709</v>
      </c>
      <c r="B897" t="s">
        <v>66</v>
      </c>
      <c r="C897">
        <v>2019</v>
      </c>
      <c r="D897">
        <v>9</v>
      </c>
      <c r="E897" t="s">
        <v>54</v>
      </c>
      <c r="F897" t="s">
        <v>39</v>
      </c>
      <c r="G897">
        <v>14</v>
      </c>
      <c r="H897" t="s">
        <v>20</v>
      </c>
      <c r="I897">
        <v>15.11</v>
      </c>
      <c r="J897">
        <v>23.34</v>
      </c>
      <c r="K897">
        <v>2.9</v>
      </c>
      <c r="L897">
        <v>0.15</v>
      </c>
      <c r="M897">
        <v>41.35</v>
      </c>
      <c r="N897">
        <v>41.5</v>
      </c>
    </row>
    <row r="898" spans="1:14" x14ac:dyDescent="0.3">
      <c r="A898" s="2">
        <v>43709</v>
      </c>
      <c r="B898" t="s">
        <v>66</v>
      </c>
      <c r="C898">
        <v>2019</v>
      </c>
      <c r="D898">
        <v>9</v>
      </c>
      <c r="E898" t="s">
        <v>54</v>
      </c>
      <c r="F898" t="s">
        <v>40</v>
      </c>
      <c r="G898">
        <v>17</v>
      </c>
      <c r="H898" t="s">
        <v>20</v>
      </c>
      <c r="I898">
        <v>15.07</v>
      </c>
      <c r="J898">
        <v>20.82</v>
      </c>
      <c r="K898">
        <v>68.23</v>
      </c>
      <c r="L898">
        <v>1.77</v>
      </c>
      <c r="M898">
        <v>104.12</v>
      </c>
      <c r="N898">
        <v>105.89</v>
      </c>
    </row>
    <row r="899" spans="1:14" x14ac:dyDescent="0.3">
      <c r="A899" s="2">
        <v>43709</v>
      </c>
      <c r="B899" t="s">
        <v>66</v>
      </c>
      <c r="C899">
        <v>2019</v>
      </c>
      <c r="D899">
        <v>9</v>
      </c>
      <c r="E899" t="s">
        <v>54</v>
      </c>
      <c r="F899" t="s">
        <v>41</v>
      </c>
      <c r="G899">
        <v>15</v>
      </c>
      <c r="H899" t="s">
        <v>20</v>
      </c>
      <c r="I899">
        <v>6.32</v>
      </c>
      <c r="J899">
        <v>10.039999999999999</v>
      </c>
      <c r="K899">
        <v>12.8</v>
      </c>
      <c r="L899">
        <v>0.1</v>
      </c>
      <c r="M899">
        <v>29.16</v>
      </c>
      <c r="N899">
        <v>29.26</v>
      </c>
    </row>
    <row r="900" spans="1:14" x14ac:dyDescent="0.3">
      <c r="A900" s="2">
        <v>43709</v>
      </c>
      <c r="B900" t="s">
        <v>66</v>
      </c>
      <c r="C900">
        <v>2019</v>
      </c>
      <c r="D900">
        <v>9</v>
      </c>
      <c r="E900" t="s">
        <v>54</v>
      </c>
      <c r="F900" t="s">
        <v>42</v>
      </c>
      <c r="G900">
        <v>13</v>
      </c>
      <c r="H900" t="s">
        <v>20</v>
      </c>
      <c r="I900">
        <v>6.42</v>
      </c>
      <c r="J900">
        <v>9.2799999999999994</v>
      </c>
      <c r="K900">
        <v>4.51</v>
      </c>
      <c r="L900">
        <v>0.42</v>
      </c>
      <c r="M900">
        <v>20.21</v>
      </c>
      <c r="N900">
        <v>20.63</v>
      </c>
    </row>
    <row r="901" spans="1:14" x14ac:dyDescent="0.3">
      <c r="A901" s="2">
        <v>43709</v>
      </c>
      <c r="B901" t="s">
        <v>66</v>
      </c>
      <c r="C901">
        <v>2019</v>
      </c>
      <c r="D901">
        <v>9</v>
      </c>
      <c r="E901" t="s">
        <v>54</v>
      </c>
      <c r="F901" t="s">
        <v>43</v>
      </c>
      <c r="G901">
        <v>21</v>
      </c>
      <c r="H901" t="s">
        <v>20</v>
      </c>
      <c r="I901">
        <v>473.85</v>
      </c>
      <c r="J901">
        <v>610.19000000000005</v>
      </c>
      <c r="K901">
        <v>577.1</v>
      </c>
      <c r="L901">
        <v>353.9</v>
      </c>
      <c r="M901">
        <v>1661.14</v>
      </c>
      <c r="N901">
        <v>2015.04</v>
      </c>
    </row>
    <row r="902" spans="1:14" x14ac:dyDescent="0.3">
      <c r="A902" s="2">
        <v>43709</v>
      </c>
      <c r="B902" t="s">
        <v>66</v>
      </c>
      <c r="C902">
        <v>2019</v>
      </c>
      <c r="D902">
        <v>9</v>
      </c>
      <c r="E902" t="s">
        <v>54</v>
      </c>
      <c r="F902" t="s">
        <v>44</v>
      </c>
      <c r="G902">
        <v>34</v>
      </c>
      <c r="H902" t="s">
        <v>18</v>
      </c>
      <c r="I902">
        <v>18.510000000000002</v>
      </c>
      <c r="J902">
        <v>30.95</v>
      </c>
      <c r="K902">
        <v>99.6</v>
      </c>
      <c r="L902">
        <v>0.36</v>
      </c>
      <c r="M902">
        <v>149.06</v>
      </c>
      <c r="N902">
        <v>149.41999999999999</v>
      </c>
    </row>
    <row r="903" spans="1:14" x14ac:dyDescent="0.3">
      <c r="A903" s="2">
        <v>43709</v>
      </c>
      <c r="B903" t="s">
        <v>66</v>
      </c>
      <c r="C903">
        <v>2019</v>
      </c>
      <c r="D903">
        <v>9</v>
      </c>
      <c r="E903" t="s">
        <v>54</v>
      </c>
      <c r="F903" t="s">
        <v>45</v>
      </c>
      <c r="G903">
        <v>3</v>
      </c>
      <c r="H903" t="s">
        <v>20</v>
      </c>
      <c r="I903">
        <v>275.27999999999997</v>
      </c>
      <c r="J903">
        <v>473.05</v>
      </c>
      <c r="K903">
        <v>370.67</v>
      </c>
      <c r="L903">
        <v>14.36</v>
      </c>
      <c r="M903">
        <v>1119</v>
      </c>
      <c r="N903">
        <v>1133.3599999999999</v>
      </c>
    </row>
    <row r="904" spans="1:14" x14ac:dyDescent="0.3">
      <c r="A904" s="2">
        <v>43709</v>
      </c>
      <c r="B904" t="s">
        <v>66</v>
      </c>
      <c r="C904">
        <v>2019</v>
      </c>
      <c r="D904">
        <v>9</v>
      </c>
      <c r="E904" t="s">
        <v>54</v>
      </c>
      <c r="F904" t="s">
        <v>46</v>
      </c>
      <c r="G904">
        <v>8</v>
      </c>
      <c r="H904" t="s">
        <v>20</v>
      </c>
      <c r="I904">
        <v>621.79999999999995</v>
      </c>
      <c r="J904">
        <v>839.73</v>
      </c>
      <c r="K904">
        <v>660.62</v>
      </c>
      <c r="L904">
        <v>131.16</v>
      </c>
      <c r="M904">
        <v>2122.15</v>
      </c>
      <c r="N904">
        <v>2253.31</v>
      </c>
    </row>
    <row r="905" spans="1:14" x14ac:dyDescent="0.3">
      <c r="A905" s="2">
        <v>43709</v>
      </c>
      <c r="B905" t="s">
        <v>66</v>
      </c>
      <c r="C905">
        <v>2019</v>
      </c>
      <c r="D905">
        <v>9</v>
      </c>
      <c r="E905" t="s">
        <v>54</v>
      </c>
      <c r="F905" t="s">
        <v>47</v>
      </c>
      <c r="G905">
        <v>11</v>
      </c>
      <c r="H905" t="s">
        <v>20</v>
      </c>
      <c r="I905">
        <v>11.26</v>
      </c>
      <c r="J905">
        <v>16.23</v>
      </c>
      <c r="K905">
        <v>181.41</v>
      </c>
      <c r="L905">
        <v>0.1</v>
      </c>
      <c r="M905">
        <v>208.9</v>
      </c>
      <c r="N905">
        <v>209</v>
      </c>
    </row>
    <row r="906" spans="1:14" x14ac:dyDescent="0.3">
      <c r="A906" s="2">
        <v>43709</v>
      </c>
      <c r="B906" t="s">
        <v>66</v>
      </c>
      <c r="C906">
        <v>2019</v>
      </c>
      <c r="D906">
        <v>9</v>
      </c>
      <c r="E906" t="s">
        <v>54</v>
      </c>
      <c r="F906" t="s">
        <v>48</v>
      </c>
      <c r="G906">
        <v>33</v>
      </c>
      <c r="H906" t="s">
        <v>20</v>
      </c>
      <c r="I906">
        <v>1475.53</v>
      </c>
      <c r="J906">
        <v>2135.15</v>
      </c>
      <c r="K906">
        <v>1541.56</v>
      </c>
      <c r="L906">
        <v>463.37</v>
      </c>
      <c r="M906">
        <v>5152.24</v>
      </c>
      <c r="N906">
        <v>5615.61</v>
      </c>
    </row>
    <row r="907" spans="1:14" x14ac:dyDescent="0.3">
      <c r="A907" s="2">
        <v>43709</v>
      </c>
      <c r="B907" t="s">
        <v>66</v>
      </c>
      <c r="C907">
        <v>2019</v>
      </c>
      <c r="D907">
        <v>9</v>
      </c>
      <c r="E907" t="s">
        <v>54</v>
      </c>
      <c r="F907" t="s">
        <v>49</v>
      </c>
      <c r="G907">
        <v>36</v>
      </c>
      <c r="H907" t="s">
        <v>20</v>
      </c>
      <c r="I907">
        <v>655.52</v>
      </c>
      <c r="J907">
        <v>916.21</v>
      </c>
      <c r="K907">
        <v>781.15</v>
      </c>
      <c r="L907">
        <v>501.2</v>
      </c>
      <c r="M907">
        <v>2352.88</v>
      </c>
      <c r="N907">
        <v>2854.08</v>
      </c>
    </row>
    <row r="908" spans="1:14" x14ac:dyDescent="0.3">
      <c r="A908" s="2">
        <v>43709</v>
      </c>
      <c r="B908" t="s">
        <v>66</v>
      </c>
      <c r="C908">
        <v>2019</v>
      </c>
      <c r="D908">
        <v>9</v>
      </c>
      <c r="E908" t="s">
        <v>54</v>
      </c>
      <c r="F908" t="s">
        <v>50</v>
      </c>
      <c r="G908">
        <v>16</v>
      </c>
      <c r="H908" t="s">
        <v>20</v>
      </c>
      <c r="I908">
        <v>18.37</v>
      </c>
      <c r="J908">
        <v>26.58</v>
      </c>
      <c r="K908">
        <v>6.52</v>
      </c>
      <c r="L908">
        <v>0.23</v>
      </c>
      <c r="M908">
        <v>51.47</v>
      </c>
      <c r="N908">
        <v>51.7</v>
      </c>
    </row>
    <row r="909" spans="1:14" x14ac:dyDescent="0.3">
      <c r="A909" s="2">
        <v>43709</v>
      </c>
      <c r="B909" t="s">
        <v>66</v>
      </c>
      <c r="C909">
        <v>2019</v>
      </c>
      <c r="D909">
        <v>9</v>
      </c>
      <c r="E909" t="s">
        <v>54</v>
      </c>
      <c r="F909" t="s">
        <v>51</v>
      </c>
      <c r="G909">
        <v>9</v>
      </c>
      <c r="H909" t="s">
        <v>20</v>
      </c>
      <c r="I909">
        <v>1056.04</v>
      </c>
      <c r="J909">
        <v>1616.07</v>
      </c>
      <c r="K909">
        <v>1253.9100000000001</v>
      </c>
      <c r="L909">
        <v>1147.4100000000001</v>
      </c>
      <c r="M909">
        <v>3926.02</v>
      </c>
      <c r="N909">
        <v>5073.43</v>
      </c>
    </row>
    <row r="910" spans="1:14" x14ac:dyDescent="0.3">
      <c r="A910" s="2">
        <v>43709</v>
      </c>
      <c r="B910" t="s">
        <v>66</v>
      </c>
      <c r="C910">
        <v>2019</v>
      </c>
      <c r="D910">
        <v>9</v>
      </c>
      <c r="E910" t="s">
        <v>54</v>
      </c>
      <c r="F910" t="s">
        <v>52</v>
      </c>
      <c r="G910">
        <v>5</v>
      </c>
      <c r="H910" t="s">
        <v>20</v>
      </c>
      <c r="I910">
        <v>185.89</v>
      </c>
      <c r="J910">
        <v>286.29000000000002</v>
      </c>
      <c r="K910">
        <v>533.98</v>
      </c>
      <c r="L910">
        <v>10.48</v>
      </c>
      <c r="M910">
        <v>1006.16</v>
      </c>
      <c r="N910">
        <v>1016.64</v>
      </c>
    </row>
    <row r="911" spans="1:14" x14ac:dyDescent="0.3">
      <c r="A911" s="2">
        <v>43709</v>
      </c>
      <c r="B911" t="s">
        <v>66</v>
      </c>
      <c r="C911">
        <v>2019</v>
      </c>
      <c r="D911">
        <v>9</v>
      </c>
      <c r="E911" t="s">
        <v>54</v>
      </c>
      <c r="F911" t="s">
        <v>53</v>
      </c>
      <c r="G911">
        <v>19</v>
      </c>
      <c r="H911" t="s">
        <v>20</v>
      </c>
      <c r="I911">
        <v>961.51</v>
      </c>
      <c r="J911">
        <v>1263.3699999999999</v>
      </c>
      <c r="K911">
        <v>745.38</v>
      </c>
      <c r="L911">
        <v>285.23</v>
      </c>
      <c r="M911">
        <v>2970.26</v>
      </c>
      <c r="N911">
        <v>3255.49</v>
      </c>
    </row>
    <row r="912" spans="1:14" x14ac:dyDescent="0.3">
      <c r="A912" s="2">
        <v>43739</v>
      </c>
      <c r="B912" t="s">
        <v>66</v>
      </c>
      <c r="C912">
        <v>2019</v>
      </c>
      <c r="D912">
        <v>10</v>
      </c>
      <c r="E912" t="s">
        <v>55</v>
      </c>
      <c r="F912" t="s">
        <v>17</v>
      </c>
      <c r="G912">
        <v>35</v>
      </c>
      <c r="H912" t="s">
        <v>18</v>
      </c>
      <c r="I912">
        <v>12.73</v>
      </c>
      <c r="J912">
        <v>16.09</v>
      </c>
      <c r="K912">
        <v>2.91</v>
      </c>
      <c r="L912">
        <v>0.01</v>
      </c>
      <c r="M912">
        <v>31.73</v>
      </c>
      <c r="N912">
        <v>31.74</v>
      </c>
    </row>
    <row r="913" spans="1:14" x14ac:dyDescent="0.3">
      <c r="A913" s="2">
        <v>43739</v>
      </c>
      <c r="B913" t="s">
        <v>66</v>
      </c>
      <c r="C913">
        <v>2019</v>
      </c>
      <c r="D913">
        <v>10</v>
      </c>
      <c r="E913" t="s">
        <v>55</v>
      </c>
      <c r="F913" t="s">
        <v>19</v>
      </c>
      <c r="G913">
        <v>28</v>
      </c>
      <c r="H913" t="s">
        <v>20</v>
      </c>
      <c r="I913">
        <v>470.07</v>
      </c>
      <c r="J913">
        <v>656.57</v>
      </c>
      <c r="K913">
        <v>716.4</v>
      </c>
      <c r="L913">
        <v>131.85</v>
      </c>
      <c r="M913">
        <v>1843.04</v>
      </c>
      <c r="N913">
        <v>1974.89</v>
      </c>
    </row>
    <row r="914" spans="1:14" x14ac:dyDescent="0.3">
      <c r="A914" s="2">
        <v>43739</v>
      </c>
      <c r="B914" t="s">
        <v>66</v>
      </c>
      <c r="C914">
        <v>2019</v>
      </c>
      <c r="D914">
        <v>10</v>
      </c>
      <c r="E914" t="s">
        <v>55</v>
      </c>
      <c r="F914" t="s">
        <v>21</v>
      </c>
      <c r="G914">
        <v>12</v>
      </c>
      <c r="H914" t="s">
        <v>20</v>
      </c>
      <c r="I914">
        <v>15.7</v>
      </c>
      <c r="J914">
        <v>20.74</v>
      </c>
      <c r="K914">
        <v>4.2</v>
      </c>
      <c r="L914">
        <v>0.34</v>
      </c>
      <c r="M914">
        <v>40.64</v>
      </c>
      <c r="N914">
        <v>40.98</v>
      </c>
    </row>
    <row r="915" spans="1:14" x14ac:dyDescent="0.3">
      <c r="A915" s="2">
        <v>43739</v>
      </c>
      <c r="B915" t="s">
        <v>66</v>
      </c>
      <c r="C915">
        <v>2019</v>
      </c>
      <c r="D915">
        <v>10</v>
      </c>
      <c r="E915" t="s">
        <v>55</v>
      </c>
      <c r="F915" t="s">
        <v>22</v>
      </c>
      <c r="G915">
        <v>18</v>
      </c>
      <c r="H915" t="s">
        <v>20</v>
      </c>
      <c r="I915">
        <v>262.51</v>
      </c>
      <c r="J915">
        <v>357.34</v>
      </c>
      <c r="K915">
        <v>221.86</v>
      </c>
      <c r="L915">
        <v>46.42</v>
      </c>
      <c r="M915">
        <v>841.71</v>
      </c>
      <c r="N915">
        <v>888.13</v>
      </c>
    </row>
    <row r="916" spans="1:14" x14ac:dyDescent="0.3">
      <c r="A916" s="2">
        <v>43739</v>
      </c>
      <c r="B916" t="s">
        <v>66</v>
      </c>
      <c r="C916">
        <v>2019</v>
      </c>
      <c r="D916">
        <v>10</v>
      </c>
      <c r="E916" t="s">
        <v>55</v>
      </c>
      <c r="F916" t="s">
        <v>23</v>
      </c>
      <c r="G916">
        <v>10</v>
      </c>
      <c r="H916" t="s">
        <v>20</v>
      </c>
      <c r="I916">
        <v>248.99</v>
      </c>
      <c r="J916">
        <v>402.7</v>
      </c>
      <c r="K916">
        <v>107.15</v>
      </c>
      <c r="L916">
        <v>181.22</v>
      </c>
      <c r="M916">
        <v>758.84</v>
      </c>
      <c r="N916">
        <v>940.06</v>
      </c>
    </row>
    <row r="917" spans="1:14" x14ac:dyDescent="0.3">
      <c r="A917" s="2">
        <v>43739</v>
      </c>
      <c r="B917" t="s">
        <v>66</v>
      </c>
      <c r="C917">
        <v>2019</v>
      </c>
      <c r="D917">
        <v>10</v>
      </c>
      <c r="E917" t="s">
        <v>55</v>
      </c>
      <c r="F917" t="s">
        <v>24</v>
      </c>
      <c r="G917">
        <v>4</v>
      </c>
      <c r="H917" t="s">
        <v>18</v>
      </c>
      <c r="I917">
        <v>27.89</v>
      </c>
      <c r="J917">
        <v>40.42</v>
      </c>
      <c r="K917">
        <v>88.35</v>
      </c>
      <c r="L917">
        <v>0.36</v>
      </c>
      <c r="M917">
        <v>156.66</v>
      </c>
      <c r="N917">
        <v>157.02000000000001</v>
      </c>
    </row>
    <row r="918" spans="1:14" x14ac:dyDescent="0.3">
      <c r="A918" s="2">
        <v>43739</v>
      </c>
      <c r="B918" t="s">
        <v>66</v>
      </c>
      <c r="C918">
        <v>2019</v>
      </c>
      <c r="D918">
        <v>10</v>
      </c>
      <c r="E918" t="s">
        <v>55</v>
      </c>
      <c r="F918" t="s">
        <v>25</v>
      </c>
      <c r="G918">
        <v>22</v>
      </c>
      <c r="H918" t="s">
        <v>20</v>
      </c>
      <c r="I918">
        <v>312.64</v>
      </c>
      <c r="J918">
        <v>395.21</v>
      </c>
      <c r="K918">
        <v>496.85</v>
      </c>
      <c r="L918">
        <v>364.94</v>
      </c>
      <c r="M918">
        <v>1204.7</v>
      </c>
      <c r="N918">
        <v>1569.64</v>
      </c>
    </row>
    <row r="919" spans="1:14" x14ac:dyDescent="0.3">
      <c r="A919" s="2">
        <v>43739</v>
      </c>
      <c r="B919" t="s">
        <v>66</v>
      </c>
      <c r="C919">
        <v>2019</v>
      </c>
      <c r="D919">
        <v>10</v>
      </c>
      <c r="E919" t="s">
        <v>55</v>
      </c>
      <c r="F919" t="s">
        <v>26</v>
      </c>
      <c r="G919">
        <v>38</v>
      </c>
      <c r="H919" t="s">
        <v>18</v>
      </c>
      <c r="I919">
        <v>23.88</v>
      </c>
      <c r="J919">
        <v>32.1</v>
      </c>
      <c r="K919">
        <v>156.88</v>
      </c>
      <c r="L919">
        <v>0.1</v>
      </c>
      <c r="M919">
        <v>212.86</v>
      </c>
      <c r="N919">
        <v>212.96</v>
      </c>
    </row>
    <row r="920" spans="1:14" x14ac:dyDescent="0.3">
      <c r="A920" s="2">
        <v>43739</v>
      </c>
      <c r="B920" t="s">
        <v>66</v>
      </c>
      <c r="C920">
        <v>2019</v>
      </c>
      <c r="D920">
        <v>10</v>
      </c>
      <c r="E920" t="s">
        <v>55</v>
      </c>
      <c r="F920" t="s">
        <v>27</v>
      </c>
      <c r="G920">
        <v>7</v>
      </c>
      <c r="H920" t="s">
        <v>18</v>
      </c>
      <c r="I920">
        <v>717.56</v>
      </c>
      <c r="J920">
        <v>959.76</v>
      </c>
      <c r="K920">
        <v>1720.77</v>
      </c>
      <c r="L920">
        <v>86.07</v>
      </c>
      <c r="M920">
        <v>3398.09</v>
      </c>
      <c r="N920">
        <v>3484.16</v>
      </c>
    </row>
    <row r="921" spans="1:14" x14ac:dyDescent="0.3">
      <c r="A921" s="2">
        <v>43739</v>
      </c>
      <c r="B921" t="s">
        <v>66</v>
      </c>
      <c r="C921">
        <v>2019</v>
      </c>
      <c r="D921">
        <v>10</v>
      </c>
      <c r="E921" t="s">
        <v>55</v>
      </c>
      <c r="F921" t="s">
        <v>28</v>
      </c>
      <c r="G921">
        <v>30</v>
      </c>
      <c r="H921" t="s">
        <v>20</v>
      </c>
      <c r="I921">
        <v>76.16</v>
      </c>
      <c r="J921">
        <v>107.51</v>
      </c>
      <c r="K921">
        <v>126.48</v>
      </c>
      <c r="L921">
        <v>1</v>
      </c>
      <c r="M921">
        <v>310.14999999999998</v>
      </c>
      <c r="N921">
        <v>311.14999999999998</v>
      </c>
    </row>
    <row r="922" spans="1:14" x14ac:dyDescent="0.3">
      <c r="A922" s="2">
        <v>43739</v>
      </c>
      <c r="B922" t="s">
        <v>66</v>
      </c>
      <c r="C922">
        <v>2019</v>
      </c>
      <c r="D922">
        <v>10</v>
      </c>
      <c r="E922" t="s">
        <v>55</v>
      </c>
      <c r="F922" t="s">
        <v>29</v>
      </c>
      <c r="G922">
        <v>24</v>
      </c>
      <c r="H922" t="s">
        <v>20</v>
      </c>
      <c r="I922">
        <v>1634.86</v>
      </c>
      <c r="J922">
        <v>2016.4</v>
      </c>
      <c r="K922">
        <v>1850.61</v>
      </c>
      <c r="L922">
        <v>385.66</v>
      </c>
      <c r="M922">
        <v>5501.87</v>
      </c>
      <c r="N922">
        <v>5887.53</v>
      </c>
    </row>
    <row r="923" spans="1:14" x14ac:dyDescent="0.3">
      <c r="A923" s="2">
        <v>43739</v>
      </c>
      <c r="B923" t="s">
        <v>66</v>
      </c>
      <c r="C923">
        <v>2019</v>
      </c>
      <c r="D923">
        <v>10</v>
      </c>
      <c r="E923" t="s">
        <v>55</v>
      </c>
      <c r="F923" t="s">
        <v>30</v>
      </c>
      <c r="G923">
        <v>6</v>
      </c>
      <c r="H923" t="s">
        <v>20</v>
      </c>
      <c r="I923">
        <v>752.47</v>
      </c>
      <c r="J923">
        <v>1088.3800000000001</v>
      </c>
      <c r="K923">
        <v>2437.39</v>
      </c>
      <c r="L923">
        <v>299.81</v>
      </c>
      <c r="M923">
        <v>4278.24</v>
      </c>
      <c r="N923">
        <v>4578.05</v>
      </c>
    </row>
    <row r="924" spans="1:14" x14ac:dyDescent="0.3">
      <c r="A924" s="2">
        <v>43739</v>
      </c>
      <c r="B924" t="s">
        <v>66</v>
      </c>
      <c r="C924">
        <v>2019</v>
      </c>
      <c r="D924">
        <v>10</v>
      </c>
      <c r="E924" t="s">
        <v>55</v>
      </c>
      <c r="F924" t="s">
        <v>31</v>
      </c>
      <c r="G924">
        <v>2</v>
      </c>
      <c r="H924" t="s">
        <v>20</v>
      </c>
      <c r="I924">
        <v>96.95</v>
      </c>
      <c r="J924">
        <v>143.43</v>
      </c>
      <c r="K924">
        <v>427.68</v>
      </c>
      <c r="L924">
        <v>1.04</v>
      </c>
      <c r="M924">
        <v>668.06</v>
      </c>
      <c r="N924">
        <v>669.1</v>
      </c>
    </row>
    <row r="925" spans="1:14" x14ac:dyDescent="0.3">
      <c r="A925" s="2">
        <v>43739</v>
      </c>
      <c r="B925" t="s">
        <v>66</v>
      </c>
      <c r="C925">
        <v>2019</v>
      </c>
      <c r="D925">
        <v>10</v>
      </c>
      <c r="E925" t="s">
        <v>55</v>
      </c>
      <c r="F925" t="s">
        <v>32</v>
      </c>
      <c r="G925">
        <v>1</v>
      </c>
      <c r="H925" t="s">
        <v>18</v>
      </c>
      <c r="I925">
        <v>77.09</v>
      </c>
      <c r="J925">
        <v>122.63</v>
      </c>
      <c r="K925">
        <v>109.58</v>
      </c>
      <c r="L925">
        <v>3.22</v>
      </c>
      <c r="M925">
        <v>309.3</v>
      </c>
      <c r="N925">
        <v>312.52</v>
      </c>
    </row>
    <row r="926" spans="1:14" x14ac:dyDescent="0.3">
      <c r="A926" s="2">
        <v>43739</v>
      </c>
      <c r="B926" t="s">
        <v>66</v>
      </c>
      <c r="C926">
        <v>2019</v>
      </c>
      <c r="D926">
        <v>10</v>
      </c>
      <c r="E926" t="s">
        <v>55</v>
      </c>
      <c r="F926" t="s">
        <v>33</v>
      </c>
      <c r="G926">
        <v>20</v>
      </c>
      <c r="H926" t="s">
        <v>20</v>
      </c>
      <c r="I926">
        <v>289.19</v>
      </c>
      <c r="J926">
        <v>400.17</v>
      </c>
      <c r="K926">
        <v>412.68</v>
      </c>
      <c r="L926">
        <v>334.69</v>
      </c>
      <c r="M926">
        <v>1102.04</v>
      </c>
      <c r="N926">
        <v>1436.73</v>
      </c>
    </row>
    <row r="927" spans="1:14" x14ac:dyDescent="0.3">
      <c r="A927" s="2">
        <v>43739</v>
      </c>
      <c r="B927" t="s">
        <v>66</v>
      </c>
      <c r="C927">
        <v>2019</v>
      </c>
      <c r="D927">
        <v>10</v>
      </c>
      <c r="E927" t="s">
        <v>55</v>
      </c>
      <c r="F927" t="s">
        <v>34</v>
      </c>
      <c r="G927">
        <v>29</v>
      </c>
      <c r="H927" t="s">
        <v>20</v>
      </c>
      <c r="I927">
        <v>1613.99</v>
      </c>
      <c r="J927">
        <v>2142.73</v>
      </c>
      <c r="K927">
        <v>2089.67</v>
      </c>
      <c r="L927">
        <v>828.63</v>
      </c>
      <c r="M927">
        <v>5846.39</v>
      </c>
      <c r="N927">
        <v>6675.02</v>
      </c>
    </row>
    <row r="928" spans="1:14" x14ac:dyDescent="0.3">
      <c r="A928" s="2">
        <v>43739</v>
      </c>
      <c r="B928" t="s">
        <v>66</v>
      </c>
      <c r="C928">
        <v>2019</v>
      </c>
      <c r="D928">
        <v>10</v>
      </c>
      <c r="E928" t="s">
        <v>55</v>
      </c>
      <c r="F928" t="s">
        <v>35</v>
      </c>
      <c r="G928">
        <v>32</v>
      </c>
      <c r="H928" t="s">
        <v>20</v>
      </c>
      <c r="I928">
        <v>490.3</v>
      </c>
      <c r="J928">
        <v>765.85</v>
      </c>
      <c r="K928">
        <v>281.07</v>
      </c>
      <c r="L928">
        <v>11.97</v>
      </c>
      <c r="M928">
        <v>1537.22</v>
      </c>
      <c r="N928">
        <v>1549.19</v>
      </c>
    </row>
    <row r="929" spans="1:14" x14ac:dyDescent="0.3">
      <c r="A929" s="2">
        <v>43739</v>
      </c>
      <c r="B929" t="s">
        <v>66</v>
      </c>
      <c r="C929">
        <v>2019</v>
      </c>
      <c r="D929">
        <v>10</v>
      </c>
      <c r="E929" t="s">
        <v>55</v>
      </c>
      <c r="F929" t="s">
        <v>36</v>
      </c>
      <c r="G929">
        <v>31</v>
      </c>
      <c r="H929" t="s">
        <v>18</v>
      </c>
      <c r="I929">
        <v>1.05</v>
      </c>
      <c r="J929">
        <v>1.38</v>
      </c>
      <c r="K929">
        <v>0.04</v>
      </c>
      <c r="L929">
        <v>0</v>
      </c>
      <c r="M929">
        <v>2.4700000000000002</v>
      </c>
      <c r="N929">
        <v>2.4700000000000002</v>
      </c>
    </row>
    <row r="930" spans="1:14" x14ac:dyDescent="0.3">
      <c r="A930" s="2">
        <v>43739</v>
      </c>
      <c r="B930" t="s">
        <v>66</v>
      </c>
      <c r="C930">
        <v>2019</v>
      </c>
      <c r="D930">
        <v>10</v>
      </c>
      <c r="E930" t="s">
        <v>55</v>
      </c>
      <c r="F930" t="s">
        <v>37</v>
      </c>
      <c r="G930">
        <v>23</v>
      </c>
      <c r="H930" t="s">
        <v>20</v>
      </c>
      <c r="I930">
        <v>464.13</v>
      </c>
      <c r="J930">
        <v>639.02</v>
      </c>
      <c r="K930">
        <v>559.53</v>
      </c>
      <c r="L930">
        <v>389.93</v>
      </c>
      <c r="M930">
        <v>1662.68</v>
      </c>
      <c r="N930">
        <v>2052.61</v>
      </c>
    </row>
    <row r="931" spans="1:14" x14ac:dyDescent="0.3">
      <c r="A931" s="2">
        <v>43739</v>
      </c>
      <c r="B931" t="s">
        <v>66</v>
      </c>
      <c r="C931">
        <v>2019</v>
      </c>
      <c r="D931">
        <v>10</v>
      </c>
      <c r="E931" t="s">
        <v>55</v>
      </c>
      <c r="F931" t="s">
        <v>38</v>
      </c>
      <c r="G931">
        <v>27</v>
      </c>
      <c r="H931" t="s">
        <v>20</v>
      </c>
      <c r="I931">
        <v>3947.74</v>
      </c>
      <c r="J931">
        <v>4818.42</v>
      </c>
      <c r="K931">
        <v>5484.49</v>
      </c>
      <c r="L931">
        <v>858.82</v>
      </c>
      <c r="M931">
        <v>14250.65</v>
      </c>
      <c r="N931">
        <v>15109.47</v>
      </c>
    </row>
    <row r="932" spans="1:14" x14ac:dyDescent="0.3">
      <c r="A932" s="2">
        <v>43739</v>
      </c>
      <c r="B932" t="s">
        <v>66</v>
      </c>
      <c r="C932">
        <v>2019</v>
      </c>
      <c r="D932">
        <v>10</v>
      </c>
      <c r="E932" t="s">
        <v>55</v>
      </c>
      <c r="F932" t="s">
        <v>39</v>
      </c>
      <c r="G932">
        <v>14</v>
      </c>
      <c r="H932" t="s">
        <v>20</v>
      </c>
      <c r="I932">
        <v>16.25</v>
      </c>
      <c r="J932">
        <v>24.59</v>
      </c>
      <c r="K932">
        <v>2.13</v>
      </c>
      <c r="L932">
        <v>0.1</v>
      </c>
      <c r="M932">
        <v>42.97</v>
      </c>
      <c r="N932">
        <v>43.07</v>
      </c>
    </row>
    <row r="933" spans="1:14" x14ac:dyDescent="0.3">
      <c r="A933" s="2">
        <v>43739</v>
      </c>
      <c r="B933" t="s">
        <v>66</v>
      </c>
      <c r="C933">
        <v>2019</v>
      </c>
      <c r="D933">
        <v>10</v>
      </c>
      <c r="E933" t="s">
        <v>55</v>
      </c>
      <c r="F933" t="s">
        <v>40</v>
      </c>
      <c r="G933">
        <v>17</v>
      </c>
      <c r="H933" t="s">
        <v>20</v>
      </c>
      <c r="I933">
        <v>18.38</v>
      </c>
      <c r="J933">
        <v>27.13</v>
      </c>
      <c r="K933">
        <v>67.37</v>
      </c>
      <c r="L933">
        <v>0.01</v>
      </c>
      <c r="M933">
        <v>112.88</v>
      </c>
      <c r="N933">
        <v>112.89</v>
      </c>
    </row>
    <row r="934" spans="1:14" x14ac:dyDescent="0.3">
      <c r="A934" s="2">
        <v>43739</v>
      </c>
      <c r="B934" t="s">
        <v>66</v>
      </c>
      <c r="C934">
        <v>2019</v>
      </c>
      <c r="D934">
        <v>10</v>
      </c>
      <c r="E934" t="s">
        <v>55</v>
      </c>
      <c r="F934" t="s">
        <v>41</v>
      </c>
      <c r="G934">
        <v>15</v>
      </c>
      <c r="H934" t="s">
        <v>20</v>
      </c>
      <c r="I934">
        <v>5.24</v>
      </c>
      <c r="J934">
        <v>9.93</v>
      </c>
      <c r="K934">
        <v>3.04</v>
      </c>
      <c r="L934">
        <v>0.17</v>
      </c>
      <c r="M934">
        <v>18.21</v>
      </c>
      <c r="N934">
        <v>18.38</v>
      </c>
    </row>
    <row r="935" spans="1:14" x14ac:dyDescent="0.3">
      <c r="A935" s="2">
        <v>43739</v>
      </c>
      <c r="B935" t="s">
        <v>66</v>
      </c>
      <c r="C935">
        <v>2019</v>
      </c>
      <c r="D935">
        <v>10</v>
      </c>
      <c r="E935" t="s">
        <v>55</v>
      </c>
      <c r="F935" t="s">
        <v>42</v>
      </c>
      <c r="G935">
        <v>13</v>
      </c>
      <c r="H935" t="s">
        <v>20</v>
      </c>
      <c r="I935">
        <v>7.9</v>
      </c>
      <c r="J935">
        <v>10.4</v>
      </c>
      <c r="K935">
        <v>6.11</v>
      </c>
      <c r="L935">
        <v>0.09</v>
      </c>
      <c r="M935">
        <v>24.41</v>
      </c>
      <c r="N935">
        <v>24.5</v>
      </c>
    </row>
    <row r="936" spans="1:14" x14ac:dyDescent="0.3">
      <c r="A936" s="2">
        <v>43739</v>
      </c>
      <c r="B936" t="s">
        <v>66</v>
      </c>
      <c r="C936">
        <v>2019</v>
      </c>
      <c r="D936">
        <v>10</v>
      </c>
      <c r="E936" t="s">
        <v>55</v>
      </c>
      <c r="F936" t="s">
        <v>43</v>
      </c>
      <c r="G936">
        <v>21</v>
      </c>
      <c r="H936" t="s">
        <v>20</v>
      </c>
      <c r="I936">
        <v>486.86</v>
      </c>
      <c r="J936">
        <v>627.73</v>
      </c>
      <c r="K936">
        <v>559.47</v>
      </c>
      <c r="L936">
        <v>319.77999999999997</v>
      </c>
      <c r="M936">
        <v>1674.06</v>
      </c>
      <c r="N936">
        <v>1993.84</v>
      </c>
    </row>
    <row r="937" spans="1:14" x14ac:dyDescent="0.3">
      <c r="A937" s="2">
        <v>43739</v>
      </c>
      <c r="B937" t="s">
        <v>66</v>
      </c>
      <c r="C937">
        <v>2019</v>
      </c>
      <c r="D937">
        <v>10</v>
      </c>
      <c r="E937" t="s">
        <v>55</v>
      </c>
      <c r="F937" t="s">
        <v>44</v>
      </c>
      <c r="G937">
        <v>34</v>
      </c>
      <c r="H937" t="s">
        <v>18</v>
      </c>
      <c r="I937">
        <v>19.57</v>
      </c>
      <c r="J937">
        <v>30.73</v>
      </c>
      <c r="K937">
        <v>94.56</v>
      </c>
      <c r="L937">
        <v>0.87</v>
      </c>
      <c r="M937">
        <v>144.86000000000001</v>
      </c>
      <c r="N937">
        <v>145.72999999999999</v>
      </c>
    </row>
    <row r="938" spans="1:14" x14ac:dyDescent="0.3">
      <c r="A938" s="2">
        <v>43739</v>
      </c>
      <c r="B938" t="s">
        <v>66</v>
      </c>
      <c r="C938">
        <v>2019</v>
      </c>
      <c r="D938">
        <v>10</v>
      </c>
      <c r="E938" t="s">
        <v>55</v>
      </c>
      <c r="F938" t="s">
        <v>45</v>
      </c>
      <c r="G938">
        <v>3</v>
      </c>
      <c r="H938" t="s">
        <v>20</v>
      </c>
      <c r="I938">
        <v>281.52</v>
      </c>
      <c r="J938">
        <v>480.1</v>
      </c>
      <c r="K938">
        <v>412.49</v>
      </c>
      <c r="L938">
        <v>15.24</v>
      </c>
      <c r="M938">
        <v>1174.1099999999999</v>
      </c>
      <c r="N938">
        <v>1189.3499999999999</v>
      </c>
    </row>
    <row r="939" spans="1:14" x14ac:dyDescent="0.3">
      <c r="A939" s="2">
        <v>43739</v>
      </c>
      <c r="B939" t="s">
        <v>66</v>
      </c>
      <c r="C939">
        <v>2019</v>
      </c>
      <c r="D939">
        <v>10</v>
      </c>
      <c r="E939" t="s">
        <v>55</v>
      </c>
      <c r="F939" t="s">
        <v>46</v>
      </c>
      <c r="G939">
        <v>8</v>
      </c>
      <c r="H939" t="s">
        <v>20</v>
      </c>
      <c r="I939">
        <v>654.87</v>
      </c>
      <c r="J939">
        <v>909.57</v>
      </c>
      <c r="K939">
        <v>750.12</v>
      </c>
      <c r="L939">
        <v>110.47</v>
      </c>
      <c r="M939">
        <v>2314.56</v>
      </c>
      <c r="N939">
        <v>2425.0300000000002</v>
      </c>
    </row>
    <row r="940" spans="1:14" x14ac:dyDescent="0.3">
      <c r="A940" s="2">
        <v>43739</v>
      </c>
      <c r="B940" t="s">
        <v>66</v>
      </c>
      <c r="C940">
        <v>2019</v>
      </c>
      <c r="D940">
        <v>10</v>
      </c>
      <c r="E940" t="s">
        <v>55</v>
      </c>
      <c r="F940" t="s">
        <v>47</v>
      </c>
      <c r="G940">
        <v>11</v>
      </c>
      <c r="H940" t="s">
        <v>20</v>
      </c>
      <c r="I940">
        <v>9.74</v>
      </c>
      <c r="J940">
        <v>13.14</v>
      </c>
      <c r="K940">
        <v>163.18</v>
      </c>
      <c r="L940">
        <v>0.06</v>
      </c>
      <c r="M940">
        <v>186.06</v>
      </c>
      <c r="N940">
        <v>186.12</v>
      </c>
    </row>
    <row r="941" spans="1:14" x14ac:dyDescent="0.3">
      <c r="A941" s="2">
        <v>43739</v>
      </c>
      <c r="B941" t="s">
        <v>66</v>
      </c>
      <c r="C941">
        <v>2019</v>
      </c>
      <c r="D941">
        <v>10</v>
      </c>
      <c r="E941" t="s">
        <v>55</v>
      </c>
      <c r="F941" t="s">
        <v>48</v>
      </c>
      <c r="G941">
        <v>33</v>
      </c>
      <c r="H941" t="s">
        <v>20</v>
      </c>
      <c r="I941">
        <v>1526.61</v>
      </c>
      <c r="J941">
        <v>2128.5500000000002</v>
      </c>
      <c r="K941">
        <v>1876.37</v>
      </c>
      <c r="L941">
        <v>577.1</v>
      </c>
      <c r="M941">
        <v>5531.53</v>
      </c>
      <c r="N941">
        <v>6108.63</v>
      </c>
    </row>
    <row r="942" spans="1:14" x14ac:dyDescent="0.3">
      <c r="A942" s="2">
        <v>43739</v>
      </c>
      <c r="B942" t="s">
        <v>66</v>
      </c>
      <c r="C942">
        <v>2019</v>
      </c>
      <c r="D942">
        <v>10</v>
      </c>
      <c r="E942" t="s">
        <v>55</v>
      </c>
      <c r="F942" t="s">
        <v>49</v>
      </c>
      <c r="G942">
        <v>36</v>
      </c>
      <c r="H942" t="s">
        <v>20</v>
      </c>
      <c r="I942">
        <v>765.32</v>
      </c>
      <c r="J942">
        <v>1010.33</v>
      </c>
      <c r="K942">
        <v>980.65</v>
      </c>
      <c r="L942">
        <v>474.13</v>
      </c>
      <c r="M942">
        <v>2756.3</v>
      </c>
      <c r="N942">
        <v>3230.43</v>
      </c>
    </row>
    <row r="943" spans="1:14" x14ac:dyDescent="0.3">
      <c r="A943" s="2">
        <v>43739</v>
      </c>
      <c r="B943" t="s">
        <v>66</v>
      </c>
      <c r="C943">
        <v>2019</v>
      </c>
      <c r="D943">
        <v>10</v>
      </c>
      <c r="E943" t="s">
        <v>55</v>
      </c>
      <c r="F943" t="s">
        <v>50</v>
      </c>
      <c r="G943">
        <v>16</v>
      </c>
      <c r="H943" t="s">
        <v>20</v>
      </c>
      <c r="I943">
        <v>20.41</v>
      </c>
      <c r="J943">
        <v>29.09</v>
      </c>
      <c r="K943">
        <v>4.87</v>
      </c>
      <c r="L943">
        <v>0.05</v>
      </c>
      <c r="M943">
        <v>54.37</v>
      </c>
      <c r="N943">
        <v>54.42</v>
      </c>
    </row>
    <row r="944" spans="1:14" x14ac:dyDescent="0.3">
      <c r="A944" s="2">
        <v>43739</v>
      </c>
      <c r="B944" t="s">
        <v>66</v>
      </c>
      <c r="C944">
        <v>2019</v>
      </c>
      <c r="D944">
        <v>10</v>
      </c>
      <c r="E944" t="s">
        <v>55</v>
      </c>
      <c r="F944" t="s">
        <v>51</v>
      </c>
      <c r="G944">
        <v>9</v>
      </c>
      <c r="H944" t="s">
        <v>20</v>
      </c>
      <c r="I944">
        <v>1080.6099999999999</v>
      </c>
      <c r="J944">
        <v>1655.63</v>
      </c>
      <c r="K944">
        <v>1309.48</v>
      </c>
      <c r="L944">
        <v>1056.8599999999999</v>
      </c>
      <c r="M944">
        <v>4045.72</v>
      </c>
      <c r="N944">
        <v>5102.58</v>
      </c>
    </row>
    <row r="945" spans="1:14" x14ac:dyDescent="0.3">
      <c r="A945" s="2">
        <v>43739</v>
      </c>
      <c r="B945" t="s">
        <v>66</v>
      </c>
      <c r="C945">
        <v>2019</v>
      </c>
      <c r="D945">
        <v>10</v>
      </c>
      <c r="E945" t="s">
        <v>55</v>
      </c>
      <c r="F945" t="s">
        <v>52</v>
      </c>
      <c r="G945">
        <v>5</v>
      </c>
      <c r="H945" t="s">
        <v>20</v>
      </c>
      <c r="I945">
        <v>204.31</v>
      </c>
      <c r="J945">
        <v>316.07</v>
      </c>
      <c r="K945">
        <v>620.91999999999996</v>
      </c>
      <c r="L945">
        <v>12.03</v>
      </c>
      <c r="M945">
        <v>1141.3</v>
      </c>
      <c r="N945">
        <v>1153.33</v>
      </c>
    </row>
    <row r="946" spans="1:14" x14ac:dyDescent="0.3">
      <c r="A946" s="2">
        <v>43739</v>
      </c>
      <c r="B946" t="s">
        <v>66</v>
      </c>
      <c r="C946">
        <v>2019</v>
      </c>
      <c r="D946">
        <v>10</v>
      </c>
      <c r="E946" t="s">
        <v>55</v>
      </c>
      <c r="F946" t="s">
        <v>53</v>
      </c>
      <c r="G946">
        <v>19</v>
      </c>
      <c r="H946" t="s">
        <v>20</v>
      </c>
      <c r="I946">
        <v>940.17</v>
      </c>
      <c r="J946">
        <v>1264.25</v>
      </c>
      <c r="K946">
        <v>718.87</v>
      </c>
      <c r="L946">
        <v>339.75</v>
      </c>
      <c r="M946">
        <v>2923.29</v>
      </c>
      <c r="N946">
        <v>3263.04</v>
      </c>
    </row>
    <row r="947" spans="1:14" x14ac:dyDescent="0.3">
      <c r="A947" s="2">
        <v>43770</v>
      </c>
      <c r="B947" t="s">
        <v>66</v>
      </c>
      <c r="C947">
        <v>2019</v>
      </c>
      <c r="D947">
        <v>11</v>
      </c>
      <c r="E947" t="s">
        <v>56</v>
      </c>
      <c r="F947" t="s">
        <v>17</v>
      </c>
      <c r="G947">
        <v>35</v>
      </c>
      <c r="H947" t="s">
        <v>18</v>
      </c>
      <c r="I947">
        <v>8.36</v>
      </c>
      <c r="J947">
        <v>13.52</v>
      </c>
      <c r="K947">
        <v>2.99</v>
      </c>
      <c r="L947">
        <v>0.04</v>
      </c>
      <c r="M947">
        <v>24.87</v>
      </c>
      <c r="N947">
        <v>24.91</v>
      </c>
    </row>
    <row r="948" spans="1:14" x14ac:dyDescent="0.3">
      <c r="A948" s="2">
        <v>43770</v>
      </c>
      <c r="B948" t="s">
        <v>66</v>
      </c>
      <c r="C948">
        <v>2019</v>
      </c>
      <c r="D948">
        <v>11</v>
      </c>
      <c r="E948" t="s">
        <v>56</v>
      </c>
      <c r="F948" t="s">
        <v>19</v>
      </c>
      <c r="G948">
        <v>28</v>
      </c>
      <c r="H948" t="s">
        <v>20</v>
      </c>
      <c r="I948">
        <v>496.73</v>
      </c>
      <c r="J948">
        <v>767.3</v>
      </c>
      <c r="K948">
        <v>746.75</v>
      </c>
      <c r="L948">
        <v>218.82</v>
      </c>
      <c r="M948">
        <v>2010.78</v>
      </c>
      <c r="N948">
        <v>2229.6</v>
      </c>
    </row>
    <row r="949" spans="1:14" x14ac:dyDescent="0.3">
      <c r="A949" s="2">
        <v>43770</v>
      </c>
      <c r="B949" t="s">
        <v>66</v>
      </c>
      <c r="C949">
        <v>2019</v>
      </c>
      <c r="D949">
        <v>11</v>
      </c>
      <c r="E949" t="s">
        <v>56</v>
      </c>
      <c r="F949" t="s">
        <v>21</v>
      </c>
      <c r="G949">
        <v>12</v>
      </c>
      <c r="H949" t="s">
        <v>20</v>
      </c>
      <c r="I949">
        <v>13.09</v>
      </c>
      <c r="J949">
        <v>17.07</v>
      </c>
      <c r="K949">
        <v>5.28</v>
      </c>
      <c r="L949">
        <v>0.17</v>
      </c>
      <c r="M949">
        <v>35.44</v>
      </c>
      <c r="N949">
        <v>35.61</v>
      </c>
    </row>
    <row r="950" spans="1:14" x14ac:dyDescent="0.3">
      <c r="A950" s="2">
        <v>43770</v>
      </c>
      <c r="B950" t="s">
        <v>66</v>
      </c>
      <c r="C950">
        <v>2019</v>
      </c>
      <c r="D950">
        <v>11</v>
      </c>
      <c r="E950" t="s">
        <v>56</v>
      </c>
      <c r="F950" t="s">
        <v>22</v>
      </c>
      <c r="G950">
        <v>18</v>
      </c>
      <c r="H950" t="s">
        <v>20</v>
      </c>
      <c r="I950">
        <v>268.95999999999998</v>
      </c>
      <c r="J950">
        <v>375.17</v>
      </c>
      <c r="K950">
        <v>272.68</v>
      </c>
      <c r="L950">
        <v>40.76</v>
      </c>
      <c r="M950">
        <v>916.81</v>
      </c>
      <c r="N950">
        <v>957.57</v>
      </c>
    </row>
    <row r="951" spans="1:14" x14ac:dyDescent="0.3">
      <c r="A951" s="2">
        <v>43770</v>
      </c>
      <c r="B951" t="s">
        <v>66</v>
      </c>
      <c r="C951">
        <v>2019</v>
      </c>
      <c r="D951">
        <v>11</v>
      </c>
      <c r="E951" t="s">
        <v>56</v>
      </c>
      <c r="F951" t="s">
        <v>23</v>
      </c>
      <c r="G951">
        <v>10</v>
      </c>
      <c r="H951" t="s">
        <v>20</v>
      </c>
      <c r="I951">
        <v>278.04000000000002</v>
      </c>
      <c r="J951">
        <v>509.6</v>
      </c>
      <c r="K951">
        <v>136.63999999999999</v>
      </c>
      <c r="L951">
        <v>182.29</v>
      </c>
      <c r="M951">
        <v>924.28</v>
      </c>
      <c r="N951">
        <v>1106.57</v>
      </c>
    </row>
    <row r="952" spans="1:14" x14ac:dyDescent="0.3">
      <c r="A952" s="2">
        <v>43770</v>
      </c>
      <c r="B952" t="s">
        <v>66</v>
      </c>
      <c r="C952">
        <v>2019</v>
      </c>
      <c r="D952">
        <v>11</v>
      </c>
      <c r="E952" t="s">
        <v>56</v>
      </c>
      <c r="F952" t="s">
        <v>24</v>
      </c>
      <c r="G952">
        <v>4</v>
      </c>
      <c r="H952" t="s">
        <v>18</v>
      </c>
      <c r="I952">
        <v>32.92</v>
      </c>
      <c r="J952">
        <v>50.6</v>
      </c>
      <c r="K952">
        <v>80.44</v>
      </c>
      <c r="L952">
        <v>1.21</v>
      </c>
      <c r="M952">
        <v>163.96</v>
      </c>
      <c r="N952">
        <v>165.17</v>
      </c>
    </row>
    <row r="953" spans="1:14" x14ac:dyDescent="0.3">
      <c r="A953" s="2">
        <v>43770</v>
      </c>
      <c r="B953" t="s">
        <v>66</v>
      </c>
      <c r="C953">
        <v>2019</v>
      </c>
      <c r="D953">
        <v>11</v>
      </c>
      <c r="E953" t="s">
        <v>56</v>
      </c>
      <c r="F953" t="s">
        <v>25</v>
      </c>
      <c r="G953">
        <v>22</v>
      </c>
      <c r="H953" t="s">
        <v>20</v>
      </c>
      <c r="I953">
        <v>356.7</v>
      </c>
      <c r="J953">
        <v>484.53</v>
      </c>
      <c r="K953">
        <v>871.38</v>
      </c>
      <c r="L953">
        <v>463.5</v>
      </c>
      <c r="M953">
        <v>1712.61</v>
      </c>
      <c r="N953">
        <v>2176.11</v>
      </c>
    </row>
    <row r="954" spans="1:14" x14ac:dyDescent="0.3">
      <c r="A954" s="2">
        <v>43770</v>
      </c>
      <c r="B954" t="s">
        <v>66</v>
      </c>
      <c r="C954">
        <v>2019</v>
      </c>
      <c r="D954">
        <v>11</v>
      </c>
      <c r="E954" t="s">
        <v>56</v>
      </c>
      <c r="F954" t="s">
        <v>26</v>
      </c>
      <c r="G954">
        <v>38</v>
      </c>
      <c r="H954" t="s">
        <v>18</v>
      </c>
      <c r="I954">
        <v>28.11</v>
      </c>
      <c r="J954">
        <v>39.909999999999997</v>
      </c>
      <c r="K954">
        <v>177.32</v>
      </c>
      <c r="L954">
        <v>7.0000000000000007E-2</v>
      </c>
      <c r="M954">
        <v>245.34</v>
      </c>
      <c r="N954">
        <v>245.41</v>
      </c>
    </row>
    <row r="955" spans="1:14" x14ac:dyDescent="0.3">
      <c r="A955" s="2">
        <v>43770</v>
      </c>
      <c r="B955" t="s">
        <v>66</v>
      </c>
      <c r="C955">
        <v>2019</v>
      </c>
      <c r="D955">
        <v>11</v>
      </c>
      <c r="E955" t="s">
        <v>56</v>
      </c>
      <c r="F955" t="s">
        <v>27</v>
      </c>
      <c r="G955">
        <v>7</v>
      </c>
      <c r="H955" t="s">
        <v>18</v>
      </c>
      <c r="I955">
        <v>872.56</v>
      </c>
      <c r="J955">
        <v>1145.27</v>
      </c>
      <c r="K955">
        <v>1888.71</v>
      </c>
      <c r="L955">
        <v>88.72</v>
      </c>
      <c r="M955">
        <v>3906.54</v>
      </c>
      <c r="N955">
        <v>3995.26</v>
      </c>
    </row>
    <row r="956" spans="1:14" x14ac:dyDescent="0.3">
      <c r="A956" s="2">
        <v>43770</v>
      </c>
      <c r="B956" t="s">
        <v>66</v>
      </c>
      <c r="C956">
        <v>2019</v>
      </c>
      <c r="D956">
        <v>11</v>
      </c>
      <c r="E956" t="s">
        <v>56</v>
      </c>
      <c r="F956" t="s">
        <v>28</v>
      </c>
      <c r="G956">
        <v>30</v>
      </c>
      <c r="H956" t="s">
        <v>20</v>
      </c>
      <c r="I956">
        <v>85.37</v>
      </c>
      <c r="J956">
        <v>122.41</v>
      </c>
      <c r="K956">
        <v>132.1</v>
      </c>
      <c r="L956">
        <v>1.64</v>
      </c>
      <c r="M956">
        <v>339.88</v>
      </c>
      <c r="N956">
        <v>341.52</v>
      </c>
    </row>
    <row r="957" spans="1:14" x14ac:dyDescent="0.3">
      <c r="A957" s="2">
        <v>43770</v>
      </c>
      <c r="B957" t="s">
        <v>66</v>
      </c>
      <c r="C957">
        <v>2019</v>
      </c>
      <c r="D957">
        <v>11</v>
      </c>
      <c r="E957" t="s">
        <v>56</v>
      </c>
      <c r="F957" t="s">
        <v>29</v>
      </c>
      <c r="G957">
        <v>24</v>
      </c>
      <c r="H957" t="s">
        <v>20</v>
      </c>
      <c r="I957">
        <v>1800.38</v>
      </c>
      <c r="J957">
        <v>2318.23</v>
      </c>
      <c r="K957">
        <v>2271.0300000000002</v>
      </c>
      <c r="L957">
        <v>415.29</v>
      </c>
      <c r="M957">
        <v>6389.64</v>
      </c>
      <c r="N957">
        <v>6804.93</v>
      </c>
    </row>
    <row r="958" spans="1:14" x14ac:dyDescent="0.3">
      <c r="A958" s="2">
        <v>43770</v>
      </c>
      <c r="B958" t="s">
        <v>66</v>
      </c>
      <c r="C958">
        <v>2019</v>
      </c>
      <c r="D958">
        <v>11</v>
      </c>
      <c r="E958" t="s">
        <v>56</v>
      </c>
      <c r="F958" t="s">
        <v>30</v>
      </c>
      <c r="G958">
        <v>6</v>
      </c>
      <c r="H958" t="s">
        <v>20</v>
      </c>
      <c r="I958">
        <v>876.98</v>
      </c>
      <c r="J958">
        <v>1262.3800000000001</v>
      </c>
      <c r="K958">
        <v>3442.08</v>
      </c>
      <c r="L958">
        <v>323.02</v>
      </c>
      <c r="M958">
        <v>5581.44</v>
      </c>
      <c r="N958">
        <v>5904.46</v>
      </c>
    </row>
    <row r="959" spans="1:14" x14ac:dyDescent="0.3">
      <c r="A959" s="2">
        <v>43770</v>
      </c>
      <c r="B959" t="s">
        <v>66</v>
      </c>
      <c r="C959">
        <v>2019</v>
      </c>
      <c r="D959">
        <v>11</v>
      </c>
      <c r="E959" t="s">
        <v>56</v>
      </c>
      <c r="F959" t="s">
        <v>31</v>
      </c>
      <c r="G959">
        <v>2</v>
      </c>
      <c r="H959" t="s">
        <v>20</v>
      </c>
      <c r="I959">
        <v>109.88</v>
      </c>
      <c r="J959">
        <v>173.09</v>
      </c>
      <c r="K959">
        <v>416.58</v>
      </c>
      <c r="L959">
        <v>1.52</v>
      </c>
      <c r="M959">
        <v>699.55</v>
      </c>
      <c r="N959">
        <v>701.07</v>
      </c>
    </row>
    <row r="960" spans="1:14" x14ac:dyDescent="0.3">
      <c r="A960" s="2">
        <v>43770</v>
      </c>
      <c r="B960" t="s">
        <v>66</v>
      </c>
      <c r="C960">
        <v>2019</v>
      </c>
      <c r="D960">
        <v>11</v>
      </c>
      <c r="E960" t="s">
        <v>56</v>
      </c>
      <c r="F960" t="s">
        <v>32</v>
      </c>
      <c r="G960">
        <v>1</v>
      </c>
      <c r="H960" t="s">
        <v>18</v>
      </c>
      <c r="I960">
        <v>105.86</v>
      </c>
      <c r="J960">
        <v>166.03</v>
      </c>
      <c r="K960">
        <v>89.01</v>
      </c>
      <c r="L960">
        <v>2.54</v>
      </c>
      <c r="M960">
        <v>360.9</v>
      </c>
      <c r="N960">
        <v>363.44</v>
      </c>
    </row>
    <row r="961" spans="1:14" x14ac:dyDescent="0.3">
      <c r="A961" s="2">
        <v>43770</v>
      </c>
      <c r="B961" t="s">
        <v>66</v>
      </c>
      <c r="C961">
        <v>2019</v>
      </c>
      <c r="D961">
        <v>11</v>
      </c>
      <c r="E961" t="s">
        <v>56</v>
      </c>
      <c r="F961" t="s">
        <v>33</v>
      </c>
      <c r="G961">
        <v>20</v>
      </c>
      <c r="H961" t="s">
        <v>20</v>
      </c>
      <c r="I961">
        <v>327.69</v>
      </c>
      <c r="J961">
        <v>468.65</v>
      </c>
      <c r="K961">
        <v>560.12</v>
      </c>
      <c r="L961">
        <v>363.33</v>
      </c>
      <c r="M961">
        <v>1356.46</v>
      </c>
      <c r="N961">
        <v>1719.79</v>
      </c>
    </row>
    <row r="962" spans="1:14" x14ac:dyDescent="0.3">
      <c r="A962" s="2">
        <v>43770</v>
      </c>
      <c r="B962" t="s">
        <v>66</v>
      </c>
      <c r="C962">
        <v>2019</v>
      </c>
      <c r="D962">
        <v>11</v>
      </c>
      <c r="E962" t="s">
        <v>56</v>
      </c>
      <c r="F962" t="s">
        <v>34</v>
      </c>
      <c r="G962">
        <v>29</v>
      </c>
      <c r="H962" t="s">
        <v>20</v>
      </c>
      <c r="I962">
        <v>1612.74</v>
      </c>
      <c r="J962">
        <v>2262.25</v>
      </c>
      <c r="K962">
        <v>2387.6</v>
      </c>
      <c r="L962">
        <v>709.75</v>
      </c>
      <c r="M962">
        <v>6262.59</v>
      </c>
      <c r="N962">
        <v>6972.34</v>
      </c>
    </row>
    <row r="963" spans="1:14" x14ac:dyDescent="0.3">
      <c r="A963" s="2">
        <v>43770</v>
      </c>
      <c r="B963" t="s">
        <v>66</v>
      </c>
      <c r="C963">
        <v>2019</v>
      </c>
      <c r="D963">
        <v>11</v>
      </c>
      <c r="E963" t="s">
        <v>56</v>
      </c>
      <c r="F963" t="s">
        <v>35</v>
      </c>
      <c r="G963">
        <v>32</v>
      </c>
      <c r="H963" t="s">
        <v>20</v>
      </c>
      <c r="I963">
        <v>567.32000000000005</v>
      </c>
      <c r="J963">
        <v>817.62</v>
      </c>
      <c r="K963">
        <v>299.20999999999998</v>
      </c>
      <c r="L963">
        <v>7.26</v>
      </c>
      <c r="M963">
        <v>1684.15</v>
      </c>
      <c r="N963">
        <v>1691.41</v>
      </c>
    </row>
    <row r="964" spans="1:14" x14ac:dyDescent="0.3">
      <c r="A964" s="2">
        <v>43770</v>
      </c>
      <c r="B964" t="s">
        <v>66</v>
      </c>
      <c r="C964">
        <v>2019</v>
      </c>
      <c r="D964">
        <v>11</v>
      </c>
      <c r="E964" t="s">
        <v>56</v>
      </c>
      <c r="F964" t="s">
        <v>36</v>
      </c>
      <c r="G964">
        <v>31</v>
      </c>
      <c r="H964" t="s">
        <v>18</v>
      </c>
      <c r="I964">
        <v>0.81</v>
      </c>
      <c r="J964">
        <v>1.05</v>
      </c>
      <c r="K964">
        <v>0.08</v>
      </c>
      <c r="L964">
        <v>0</v>
      </c>
      <c r="M964">
        <v>1.94</v>
      </c>
      <c r="N964">
        <v>1.94</v>
      </c>
    </row>
    <row r="965" spans="1:14" x14ac:dyDescent="0.3">
      <c r="A965" s="2">
        <v>43770</v>
      </c>
      <c r="B965" t="s">
        <v>66</v>
      </c>
      <c r="C965">
        <v>2019</v>
      </c>
      <c r="D965">
        <v>11</v>
      </c>
      <c r="E965" t="s">
        <v>56</v>
      </c>
      <c r="F965" t="s">
        <v>37</v>
      </c>
      <c r="G965">
        <v>23</v>
      </c>
      <c r="H965" t="s">
        <v>20</v>
      </c>
      <c r="I965">
        <v>568.91999999999996</v>
      </c>
      <c r="J965">
        <v>777.07</v>
      </c>
      <c r="K965">
        <v>640.91999999999996</v>
      </c>
      <c r="L965">
        <v>465.63</v>
      </c>
      <c r="M965">
        <v>1986.91</v>
      </c>
      <c r="N965">
        <v>2452.54</v>
      </c>
    </row>
    <row r="966" spans="1:14" x14ac:dyDescent="0.3">
      <c r="A966" s="2">
        <v>43770</v>
      </c>
      <c r="B966" t="s">
        <v>66</v>
      </c>
      <c r="C966">
        <v>2019</v>
      </c>
      <c r="D966">
        <v>11</v>
      </c>
      <c r="E966" t="s">
        <v>56</v>
      </c>
      <c r="F966" t="s">
        <v>38</v>
      </c>
      <c r="G966">
        <v>27</v>
      </c>
      <c r="H966" t="s">
        <v>20</v>
      </c>
      <c r="I966">
        <v>4446.55</v>
      </c>
      <c r="J966">
        <v>5507.82</v>
      </c>
      <c r="K966">
        <v>5122.9399999999996</v>
      </c>
      <c r="L966">
        <v>890.54</v>
      </c>
      <c r="M966">
        <v>15077.31</v>
      </c>
      <c r="N966">
        <v>15967.85</v>
      </c>
    </row>
    <row r="967" spans="1:14" x14ac:dyDescent="0.3">
      <c r="A967" s="2">
        <v>43770</v>
      </c>
      <c r="B967" t="s">
        <v>66</v>
      </c>
      <c r="C967">
        <v>2019</v>
      </c>
      <c r="D967">
        <v>11</v>
      </c>
      <c r="E967" t="s">
        <v>56</v>
      </c>
      <c r="F967" t="s">
        <v>39</v>
      </c>
      <c r="G967">
        <v>14</v>
      </c>
      <c r="H967" t="s">
        <v>20</v>
      </c>
      <c r="I967">
        <v>11.92</v>
      </c>
      <c r="J967">
        <v>20.309999999999999</v>
      </c>
      <c r="K967">
        <v>2.85</v>
      </c>
      <c r="L967">
        <v>0.2</v>
      </c>
      <c r="M967">
        <v>35.08</v>
      </c>
      <c r="N967">
        <v>35.28</v>
      </c>
    </row>
    <row r="968" spans="1:14" x14ac:dyDescent="0.3">
      <c r="A968" s="2">
        <v>43770</v>
      </c>
      <c r="B968" t="s">
        <v>66</v>
      </c>
      <c r="C968">
        <v>2019</v>
      </c>
      <c r="D968">
        <v>11</v>
      </c>
      <c r="E968" t="s">
        <v>56</v>
      </c>
      <c r="F968" t="s">
        <v>40</v>
      </c>
      <c r="G968">
        <v>17</v>
      </c>
      <c r="H968" t="s">
        <v>20</v>
      </c>
      <c r="I968">
        <v>17.93</v>
      </c>
      <c r="J968">
        <v>25.5</v>
      </c>
      <c r="K968">
        <v>73.7</v>
      </c>
      <c r="L968">
        <v>0.27</v>
      </c>
      <c r="M968">
        <v>117.13</v>
      </c>
      <c r="N968">
        <v>117.4</v>
      </c>
    </row>
    <row r="969" spans="1:14" x14ac:dyDescent="0.3">
      <c r="A969" s="2">
        <v>43770</v>
      </c>
      <c r="B969" t="s">
        <v>66</v>
      </c>
      <c r="C969">
        <v>2019</v>
      </c>
      <c r="D969">
        <v>11</v>
      </c>
      <c r="E969" t="s">
        <v>56</v>
      </c>
      <c r="F969" t="s">
        <v>41</v>
      </c>
      <c r="G969">
        <v>15</v>
      </c>
      <c r="H969" t="s">
        <v>20</v>
      </c>
      <c r="I969">
        <v>5.44</v>
      </c>
      <c r="J969">
        <v>8.7100000000000009</v>
      </c>
      <c r="K969">
        <v>2.5499999999999998</v>
      </c>
      <c r="L969">
        <v>0.14000000000000001</v>
      </c>
      <c r="M969">
        <v>16.7</v>
      </c>
      <c r="N969">
        <v>16.84</v>
      </c>
    </row>
    <row r="970" spans="1:14" x14ac:dyDescent="0.3">
      <c r="A970" s="2">
        <v>43770</v>
      </c>
      <c r="B970" t="s">
        <v>66</v>
      </c>
      <c r="C970">
        <v>2019</v>
      </c>
      <c r="D970">
        <v>11</v>
      </c>
      <c r="E970" t="s">
        <v>56</v>
      </c>
      <c r="F970" t="s">
        <v>42</v>
      </c>
      <c r="G970">
        <v>13</v>
      </c>
      <c r="H970" t="s">
        <v>20</v>
      </c>
      <c r="I970">
        <v>7.46</v>
      </c>
      <c r="J970">
        <v>10.76</v>
      </c>
      <c r="K970">
        <v>3.86</v>
      </c>
      <c r="L970">
        <v>0.48</v>
      </c>
      <c r="M970">
        <v>22.08</v>
      </c>
      <c r="N970">
        <v>22.56</v>
      </c>
    </row>
    <row r="971" spans="1:14" x14ac:dyDescent="0.3">
      <c r="A971" s="2">
        <v>43770</v>
      </c>
      <c r="B971" t="s">
        <v>66</v>
      </c>
      <c r="C971">
        <v>2019</v>
      </c>
      <c r="D971">
        <v>11</v>
      </c>
      <c r="E971" t="s">
        <v>56</v>
      </c>
      <c r="F971" t="s">
        <v>43</v>
      </c>
      <c r="G971">
        <v>21</v>
      </c>
      <c r="H971" t="s">
        <v>20</v>
      </c>
      <c r="I971">
        <v>514.52</v>
      </c>
      <c r="J971">
        <v>700.96</v>
      </c>
      <c r="K971">
        <v>786.53</v>
      </c>
      <c r="L971">
        <v>345.02</v>
      </c>
      <c r="M971">
        <v>2002.01</v>
      </c>
      <c r="N971">
        <v>2347.0300000000002</v>
      </c>
    </row>
    <row r="972" spans="1:14" x14ac:dyDescent="0.3">
      <c r="A972" s="2">
        <v>43770</v>
      </c>
      <c r="B972" t="s">
        <v>66</v>
      </c>
      <c r="C972">
        <v>2019</v>
      </c>
      <c r="D972">
        <v>11</v>
      </c>
      <c r="E972" t="s">
        <v>56</v>
      </c>
      <c r="F972" t="s">
        <v>44</v>
      </c>
      <c r="G972">
        <v>34</v>
      </c>
      <c r="H972" t="s">
        <v>18</v>
      </c>
      <c r="I972">
        <v>21.54</v>
      </c>
      <c r="J972">
        <v>35.5</v>
      </c>
      <c r="K972">
        <v>99.98</v>
      </c>
      <c r="L972">
        <v>0.15</v>
      </c>
      <c r="M972">
        <v>157.02000000000001</v>
      </c>
      <c r="N972">
        <v>157.16999999999999</v>
      </c>
    </row>
    <row r="973" spans="1:14" x14ac:dyDescent="0.3">
      <c r="A973" s="2">
        <v>43770</v>
      </c>
      <c r="B973" t="s">
        <v>66</v>
      </c>
      <c r="C973">
        <v>2019</v>
      </c>
      <c r="D973">
        <v>11</v>
      </c>
      <c r="E973" t="s">
        <v>56</v>
      </c>
      <c r="F973" t="s">
        <v>45</v>
      </c>
      <c r="G973">
        <v>3</v>
      </c>
      <c r="H973" t="s">
        <v>20</v>
      </c>
      <c r="I973">
        <v>329.79</v>
      </c>
      <c r="J973">
        <v>581.36</v>
      </c>
      <c r="K973">
        <v>448.84</v>
      </c>
      <c r="L973">
        <v>15.1</v>
      </c>
      <c r="M973">
        <v>1359.99</v>
      </c>
      <c r="N973">
        <v>1375.09</v>
      </c>
    </row>
    <row r="974" spans="1:14" x14ac:dyDescent="0.3">
      <c r="A974" s="2">
        <v>43770</v>
      </c>
      <c r="B974" t="s">
        <v>66</v>
      </c>
      <c r="C974">
        <v>2019</v>
      </c>
      <c r="D974">
        <v>11</v>
      </c>
      <c r="E974" t="s">
        <v>56</v>
      </c>
      <c r="F974" t="s">
        <v>46</v>
      </c>
      <c r="G974">
        <v>8</v>
      </c>
      <c r="H974" t="s">
        <v>20</v>
      </c>
      <c r="I974">
        <v>848.59</v>
      </c>
      <c r="J974">
        <v>1196.75</v>
      </c>
      <c r="K974">
        <v>895.24</v>
      </c>
      <c r="L974">
        <v>130.88</v>
      </c>
      <c r="M974">
        <v>2940.58</v>
      </c>
      <c r="N974">
        <v>3071.46</v>
      </c>
    </row>
    <row r="975" spans="1:14" x14ac:dyDescent="0.3">
      <c r="A975" s="2">
        <v>43770</v>
      </c>
      <c r="B975" t="s">
        <v>66</v>
      </c>
      <c r="C975">
        <v>2019</v>
      </c>
      <c r="D975">
        <v>11</v>
      </c>
      <c r="E975" t="s">
        <v>56</v>
      </c>
      <c r="F975" t="s">
        <v>47</v>
      </c>
      <c r="G975">
        <v>11</v>
      </c>
      <c r="H975" t="s">
        <v>20</v>
      </c>
      <c r="I975">
        <v>10.44</v>
      </c>
      <c r="J975">
        <v>16.739999999999998</v>
      </c>
      <c r="K975">
        <v>129.76</v>
      </c>
      <c r="L975">
        <v>0.23</v>
      </c>
      <c r="M975">
        <v>156.94</v>
      </c>
      <c r="N975">
        <v>157.16999999999999</v>
      </c>
    </row>
    <row r="976" spans="1:14" x14ac:dyDescent="0.3">
      <c r="A976" s="2">
        <v>43770</v>
      </c>
      <c r="B976" t="s">
        <v>66</v>
      </c>
      <c r="C976">
        <v>2019</v>
      </c>
      <c r="D976">
        <v>11</v>
      </c>
      <c r="E976" t="s">
        <v>56</v>
      </c>
      <c r="F976" t="s">
        <v>48</v>
      </c>
      <c r="G976">
        <v>33</v>
      </c>
      <c r="H976" t="s">
        <v>20</v>
      </c>
      <c r="I976">
        <v>1703.86</v>
      </c>
      <c r="J976">
        <v>2368.0500000000002</v>
      </c>
      <c r="K976">
        <v>1961.07</v>
      </c>
      <c r="L976">
        <v>416.29</v>
      </c>
      <c r="M976">
        <v>6032.98</v>
      </c>
      <c r="N976">
        <v>6449.27</v>
      </c>
    </row>
    <row r="977" spans="1:14" x14ac:dyDescent="0.3">
      <c r="A977" s="2">
        <v>43770</v>
      </c>
      <c r="B977" t="s">
        <v>66</v>
      </c>
      <c r="C977">
        <v>2019</v>
      </c>
      <c r="D977">
        <v>11</v>
      </c>
      <c r="E977" t="s">
        <v>56</v>
      </c>
      <c r="F977" t="s">
        <v>49</v>
      </c>
      <c r="G977">
        <v>36</v>
      </c>
      <c r="H977" t="s">
        <v>20</v>
      </c>
      <c r="I977">
        <v>774.95</v>
      </c>
      <c r="J977">
        <v>1173.02</v>
      </c>
      <c r="K977">
        <v>905.84</v>
      </c>
      <c r="L977">
        <v>495.59</v>
      </c>
      <c r="M977">
        <v>2853.81</v>
      </c>
      <c r="N977">
        <v>3349.4</v>
      </c>
    </row>
    <row r="978" spans="1:14" x14ac:dyDescent="0.3">
      <c r="A978" s="2">
        <v>43770</v>
      </c>
      <c r="B978" t="s">
        <v>66</v>
      </c>
      <c r="C978">
        <v>2019</v>
      </c>
      <c r="D978">
        <v>11</v>
      </c>
      <c r="E978" t="s">
        <v>56</v>
      </c>
      <c r="F978" t="s">
        <v>50</v>
      </c>
      <c r="G978">
        <v>16</v>
      </c>
      <c r="H978" t="s">
        <v>20</v>
      </c>
      <c r="I978">
        <v>17.64</v>
      </c>
      <c r="J978">
        <v>26.58</v>
      </c>
      <c r="K978">
        <v>6.87</v>
      </c>
      <c r="L978">
        <v>0.27</v>
      </c>
      <c r="M978">
        <v>51.09</v>
      </c>
      <c r="N978">
        <v>51.36</v>
      </c>
    </row>
    <row r="979" spans="1:14" x14ac:dyDescent="0.3">
      <c r="A979" s="2">
        <v>43770</v>
      </c>
      <c r="B979" t="s">
        <v>66</v>
      </c>
      <c r="C979">
        <v>2019</v>
      </c>
      <c r="D979">
        <v>11</v>
      </c>
      <c r="E979" t="s">
        <v>56</v>
      </c>
      <c r="F979" t="s">
        <v>51</v>
      </c>
      <c r="G979">
        <v>9</v>
      </c>
      <c r="H979" t="s">
        <v>20</v>
      </c>
      <c r="I979">
        <v>1228.6400000000001</v>
      </c>
      <c r="J979">
        <v>2003.13</v>
      </c>
      <c r="K979">
        <v>1421.59</v>
      </c>
      <c r="L979">
        <v>1024.31</v>
      </c>
      <c r="M979">
        <v>4653.3599999999997</v>
      </c>
      <c r="N979">
        <v>5677.67</v>
      </c>
    </row>
    <row r="980" spans="1:14" x14ac:dyDescent="0.3">
      <c r="A980" s="2">
        <v>43770</v>
      </c>
      <c r="B980" t="s">
        <v>66</v>
      </c>
      <c r="C980">
        <v>2019</v>
      </c>
      <c r="D980">
        <v>11</v>
      </c>
      <c r="E980" t="s">
        <v>56</v>
      </c>
      <c r="F980" t="s">
        <v>52</v>
      </c>
      <c r="G980">
        <v>5</v>
      </c>
      <c r="H980" t="s">
        <v>20</v>
      </c>
      <c r="I980">
        <v>228.97</v>
      </c>
      <c r="J980">
        <v>356.18</v>
      </c>
      <c r="K980">
        <v>680.44</v>
      </c>
      <c r="L980">
        <v>14.61</v>
      </c>
      <c r="M980">
        <v>1265.5899999999999</v>
      </c>
      <c r="N980">
        <v>1280.2</v>
      </c>
    </row>
    <row r="981" spans="1:14" x14ac:dyDescent="0.3">
      <c r="A981" s="2">
        <v>43770</v>
      </c>
      <c r="B981" t="s">
        <v>66</v>
      </c>
      <c r="C981">
        <v>2019</v>
      </c>
      <c r="D981">
        <v>11</v>
      </c>
      <c r="E981" t="s">
        <v>56</v>
      </c>
      <c r="F981" t="s">
        <v>53</v>
      </c>
      <c r="G981">
        <v>19</v>
      </c>
      <c r="H981" t="s">
        <v>20</v>
      </c>
      <c r="I981">
        <v>1005.41</v>
      </c>
      <c r="J981">
        <v>1332.06</v>
      </c>
      <c r="K981">
        <v>883.73</v>
      </c>
      <c r="L981">
        <v>238.74</v>
      </c>
      <c r="M981">
        <v>3221.2</v>
      </c>
      <c r="N981">
        <v>3459.94</v>
      </c>
    </row>
    <row r="982" spans="1:14" x14ac:dyDescent="0.3">
      <c r="A982" s="2">
        <v>43800</v>
      </c>
      <c r="B982" t="s">
        <v>66</v>
      </c>
      <c r="C982">
        <v>2019</v>
      </c>
      <c r="D982">
        <v>12</v>
      </c>
      <c r="E982" t="s">
        <v>57</v>
      </c>
      <c r="F982" t="s">
        <v>17</v>
      </c>
      <c r="G982">
        <v>35</v>
      </c>
      <c r="H982" t="s">
        <v>18</v>
      </c>
      <c r="I982">
        <v>10.26</v>
      </c>
      <c r="J982">
        <v>17.05</v>
      </c>
      <c r="K982">
        <v>2.2799999999999998</v>
      </c>
      <c r="L982">
        <v>0.19</v>
      </c>
      <c r="M982">
        <v>29.59</v>
      </c>
      <c r="N982">
        <v>29.78</v>
      </c>
    </row>
    <row r="983" spans="1:14" x14ac:dyDescent="0.3">
      <c r="A983" s="2">
        <v>43800</v>
      </c>
      <c r="B983" t="s">
        <v>66</v>
      </c>
      <c r="C983">
        <v>2019</v>
      </c>
      <c r="D983">
        <v>12</v>
      </c>
      <c r="E983" t="s">
        <v>57</v>
      </c>
      <c r="F983" t="s">
        <v>19</v>
      </c>
      <c r="G983">
        <v>28</v>
      </c>
      <c r="H983" t="s">
        <v>20</v>
      </c>
      <c r="I983">
        <v>540.13</v>
      </c>
      <c r="J983">
        <v>768.81</v>
      </c>
      <c r="K983">
        <v>719.76</v>
      </c>
      <c r="L983">
        <v>236.23</v>
      </c>
      <c r="M983">
        <v>2028.7</v>
      </c>
      <c r="N983">
        <v>2264.9299999999998</v>
      </c>
    </row>
    <row r="984" spans="1:14" x14ac:dyDescent="0.3">
      <c r="A984" s="2">
        <v>43800</v>
      </c>
      <c r="B984" t="s">
        <v>66</v>
      </c>
      <c r="C984">
        <v>2019</v>
      </c>
      <c r="D984">
        <v>12</v>
      </c>
      <c r="E984" t="s">
        <v>57</v>
      </c>
      <c r="F984" t="s">
        <v>21</v>
      </c>
      <c r="G984">
        <v>12</v>
      </c>
      <c r="H984" t="s">
        <v>20</v>
      </c>
      <c r="I984">
        <v>22.71</v>
      </c>
      <c r="J984">
        <v>29.53</v>
      </c>
      <c r="K984">
        <v>5.78</v>
      </c>
      <c r="L984">
        <v>0.2</v>
      </c>
      <c r="M984">
        <v>58.02</v>
      </c>
      <c r="N984">
        <v>58.22</v>
      </c>
    </row>
    <row r="985" spans="1:14" x14ac:dyDescent="0.3">
      <c r="A985" s="2">
        <v>43800</v>
      </c>
      <c r="B985" t="s">
        <v>66</v>
      </c>
      <c r="C985">
        <v>2019</v>
      </c>
      <c r="D985">
        <v>12</v>
      </c>
      <c r="E985" t="s">
        <v>57</v>
      </c>
      <c r="F985" t="s">
        <v>22</v>
      </c>
      <c r="G985">
        <v>18</v>
      </c>
      <c r="H985" t="s">
        <v>20</v>
      </c>
      <c r="I985">
        <v>296.42</v>
      </c>
      <c r="J985">
        <v>386.54</v>
      </c>
      <c r="K985">
        <v>267.32</v>
      </c>
      <c r="L985">
        <v>40.4</v>
      </c>
      <c r="M985">
        <v>950.28</v>
      </c>
      <c r="N985">
        <v>990.68</v>
      </c>
    </row>
    <row r="986" spans="1:14" x14ac:dyDescent="0.3">
      <c r="A986" s="2">
        <v>43800</v>
      </c>
      <c r="B986" t="s">
        <v>66</v>
      </c>
      <c r="C986">
        <v>2019</v>
      </c>
      <c r="D986">
        <v>12</v>
      </c>
      <c r="E986" t="s">
        <v>57</v>
      </c>
      <c r="F986" t="s">
        <v>23</v>
      </c>
      <c r="G986">
        <v>10</v>
      </c>
      <c r="H986" t="s">
        <v>20</v>
      </c>
      <c r="I986">
        <v>266.06</v>
      </c>
      <c r="J986">
        <v>476.79</v>
      </c>
      <c r="K986">
        <v>121.28</v>
      </c>
      <c r="L986">
        <v>151.5</v>
      </c>
      <c r="M986">
        <v>864.13</v>
      </c>
      <c r="N986">
        <v>1015.63</v>
      </c>
    </row>
    <row r="987" spans="1:14" x14ac:dyDescent="0.3">
      <c r="A987" s="2">
        <v>43800</v>
      </c>
      <c r="B987" t="s">
        <v>66</v>
      </c>
      <c r="C987">
        <v>2019</v>
      </c>
      <c r="D987">
        <v>12</v>
      </c>
      <c r="E987" t="s">
        <v>57</v>
      </c>
      <c r="F987" t="s">
        <v>24</v>
      </c>
      <c r="G987">
        <v>4</v>
      </c>
      <c r="H987" t="s">
        <v>18</v>
      </c>
      <c r="I987">
        <v>33.74</v>
      </c>
      <c r="J987">
        <v>47.19</v>
      </c>
      <c r="K987">
        <v>86.51</v>
      </c>
      <c r="L987">
        <v>0.52</v>
      </c>
      <c r="M987">
        <v>167.44</v>
      </c>
      <c r="N987">
        <v>167.96</v>
      </c>
    </row>
    <row r="988" spans="1:14" x14ac:dyDescent="0.3">
      <c r="A988" s="2">
        <v>43800</v>
      </c>
      <c r="B988" t="s">
        <v>66</v>
      </c>
      <c r="C988">
        <v>2019</v>
      </c>
      <c r="D988">
        <v>12</v>
      </c>
      <c r="E988" t="s">
        <v>57</v>
      </c>
      <c r="F988" t="s">
        <v>25</v>
      </c>
      <c r="G988">
        <v>22</v>
      </c>
      <c r="H988" t="s">
        <v>20</v>
      </c>
      <c r="I988">
        <v>385.57</v>
      </c>
      <c r="J988">
        <v>472</v>
      </c>
      <c r="K988">
        <v>784.3</v>
      </c>
      <c r="L988">
        <v>494.25</v>
      </c>
      <c r="M988">
        <v>1641.87</v>
      </c>
      <c r="N988">
        <v>2136.12</v>
      </c>
    </row>
    <row r="989" spans="1:14" x14ac:dyDescent="0.3">
      <c r="A989" s="2">
        <v>43800</v>
      </c>
      <c r="B989" t="s">
        <v>66</v>
      </c>
      <c r="C989">
        <v>2019</v>
      </c>
      <c r="D989">
        <v>12</v>
      </c>
      <c r="E989" t="s">
        <v>57</v>
      </c>
      <c r="F989" t="s">
        <v>26</v>
      </c>
      <c r="G989">
        <v>38</v>
      </c>
      <c r="H989" t="s">
        <v>18</v>
      </c>
      <c r="I989">
        <v>26.98</v>
      </c>
      <c r="J989">
        <v>36.78</v>
      </c>
      <c r="K989">
        <v>184.32</v>
      </c>
      <c r="L989">
        <v>0.06</v>
      </c>
      <c r="M989">
        <v>248.08</v>
      </c>
      <c r="N989">
        <v>248.14</v>
      </c>
    </row>
    <row r="990" spans="1:14" x14ac:dyDescent="0.3">
      <c r="A990" s="2">
        <v>43800</v>
      </c>
      <c r="B990" t="s">
        <v>66</v>
      </c>
      <c r="C990">
        <v>2019</v>
      </c>
      <c r="D990">
        <v>12</v>
      </c>
      <c r="E990" t="s">
        <v>57</v>
      </c>
      <c r="F990" t="s">
        <v>27</v>
      </c>
      <c r="G990">
        <v>7</v>
      </c>
      <c r="H990" t="s">
        <v>18</v>
      </c>
      <c r="I990">
        <v>800.07</v>
      </c>
      <c r="J990">
        <v>1030.19</v>
      </c>
      <c r="K990">
        <v>1780.31</v>
      </c>
      <c r="L990">
        <v>86.95</v>
      </c>
      <c r="M990">
        <v>3610.57</v>
      </c>
      <c r="N990">
        <v>3697.52</v>
      </c>
    </row>
    <row r="991" spans="1:14" x14ac:dyDescent="0.3">
      <c r="A991" s="2">
        <v>43800</v>
      </c>
      <c r="B991" t="s">
        <v>66</v>
      </c>
      <c r="C991">
        <v>2019</v>
      </c>
      <c r="D991">
        <v>12</v>
      </c>
      <c r="E991" t="s">
        <v>57</v>
      </c>
      <c r="F991" t="s">
        <v>28</v>
      </c>
      <c r="G991">
        <v>30</v>
      </c>
      <c r="H991" t="s">
        <v>20</v>
      </c>
      <c r="I991">
        <v>93.77</v>
      </c>
      <c r="J991">
        <v>134.74</v>
      </c>
      <c r="K991">
        <v>132.66</v>
      </c>
      <c r="L991">
        <v>2.2000000000000002</v>
      </c>
      <c r="M991">
        <v>361.17</v>
      </c>
      <c r="N991">
        <v>363.37</v>
      </c>
    </row>
    <row r="992" spans="1:14" x14ac:dyDescent="0.3">
      <c r="A992" s="2">
        <v>43800</v>
      </c>
      <c r="B992" t="s">
        <v>66</v>
      </c>
      <c r="C992">
        <v>2019</v>
      </c>
      <c r="D992">
        <v>12</v>
      </c>
      <c r="E992" t="s">
        <v>57</v>
      </c>
      <c r="F992" t="s">
        <v>29</v>
      </c>
      <c r="G992">
        <v>24</v>
      </c>
      <c r="H992" t="s">
        <v>20</v>
      </c>
      <c r="I992">
        <v>1831.51</v>
      </c>
      <c r="J992">
        <v>2335.85</v>
      </c>
      <c r="K992">
        <v>2047.13</v>
      </c>
      <c r="L992">
        <v>406.96</v>
      </c>
      <c r="M992">
        <v>6214.49</v>
      </c>
      <c r="N992">
        <v>6621.45</v>
      </c>
    </row>
    <row r="993" spans="1:14" x14ac:dyDescent="0.3">
      <c r="A993" s="2">
        <v>43800</v>
      </c>
      <c r="B993" t="s">
        <v>66</v>
      </c>
      <c r="C993">
        <v>2019</v>
      </c>
      <c r="D993">
        <v>12</v>
      </c>
      <c r="E993" t="s">
        <v>57</v>
      </c>
      <c r="F993" t="s">
        <v>30</v>
      </c>
      <c r="G993">
        <v>6</v>
      </c>
      <c r="H993" t="s">
        <v>20</v>
      </c>
      <c r="I993">
        <v>814.05</v>
      </c>
      <c r="J993">
        <v>1205.8699999999999</v>
      </c>
      <c r="K993">
        <v>3045.72</v>
      </c>
      <c r="L993">
        <v>299.26</v>
      </c>
      <c r="M993">
        <v>5065.6400000000003</v>
      </c>
      <c r="N993">
        <v>5364.9</v>
      </c>
    </row>
    <row r="994" spans="1:14" x14ac:dyDescent="0.3">
      <c r="A994" s="2">
        <v>43800</v>
      </c>
      <c r="B994" t="s">
        <v>66</v>
      </c>
      <c r="C994">
        <v>2019</v>
      </c>
      <c r="D994">
        <v>12</v>
      </c>
      <c r="E994" t="s">
        <v>57</v>
      </c>
      <c r="F994" t="s">
        <v>31</v>
      </c>
      <c r="G994">
        <v>2</v>
      </c>
      <c r="H994" t="s">
        <v>20</v>
      </c>
      <c r="I994">
        <v>109.53</v>
      </c>
      <c r="J994">
        <v>168.12</v>
      </c>
      <c r="K994">
        <v>420.5</v>
      </c>
      <c r="L994">
        <v>0.81</v>
      </c>
      <c r="M994">
        <v>698.15</v>
      </c>
      <c r="N994">
        <v>698.96</v>
      </c>
    </row>
    <row r="995" spans="1:14" x14ac:dyDescent="0.3">
      <c r="A995" s="2">
        <v>43800</v>
      </c>
      <c r="B995" t="s">
        <v>66</v>
      </c>
      <c r="C995">
        <v>2019</v>
      </c>
      <c r="D995">
        <v>12</v>
      </c>
      <c r="E995" t="s">
        <v>57</v>
      </c>
      <c r="F995" t="s">
        <v>32</v>
      </c>
      <c r="G995">
        <v>1</v>
      </c>
      <c r="H995" t="s">
        <v>18</v>
      </c>
      <c r="I995">
        <v>109.24</v>
      </c>
      <c r="J995">
        <v>198.77</v>
      </c>
      <c r="K995">
        <v>99.5</v>
      </c>
      <c r="L995">
        <v>1.64</v>
      </c>
      <c r="M995">
        <v>407.51</v>
      </c>
      <c r="N995">
        <v>409.15</v>
      </c>
    </row>
    <row r="996" spans="1:14" x14ac:dyDescent="0.3">
      <c r="A996" s="2">
        <v>43800</v>
      </c>
      <c r="B996" t="s">
        <v>66</v>
      </c>
      <c r="C996">
        <v>2019</v>
      </c>
      <c r="D996">
        <v>12</v>
      </c>
      <c r="E996" t="s">
        <v>57</v>
      </c>
      <c r="F996" t="s">
        <v>33</v>
      </c>
      <c r="G996">
        <v>20</v>
      </c>
      <c r="H996" t="s">
        <v>20</v>
      </c>
      <c r="I996">
        <v>342.41</v>
      </c>
      <c r="J996">
        <v>470.34</v>
      </c>
      <c r="K996">
        <v>684.36</v>
      </c>
      <c r="L996">
        <v>445.74</v>
      </c>
      <c r="M996">
        <v>1497.11</v>
      </c>
      <c r="N996">
        <v>1942.85</v>
      </c>
    </row>
    <row r="997" spans="1:14" x14ac:dyDescent="0.3">
      <c r="A997" s="2">
        <v>43800</v>
      </c>
      <c r="B997" t="s">
        <v>66</v>
      </c>
      <c r="C997">
        <v>2019</v>
      </c>
      <c r="D997">
        <v>12</v>
      </c>
      <c r="E997" t="s">
        <v>57</v>
      </c>
      <c r="F997" t="s">
        <v>34</v>
      </c>
      <c r="G997">
        <v>29</v>
      </c>
      <c r="H997" t="s">
        <v>20</v>
      </c>
      <c r="I997">
        <v>1688.89</v>
      </c>
      <c r="J997">
        <v>2220.84</v>
      </c>
      <c r="K997">
        <v>2239.29</v>
      </c>
      <c r="L997">
        <v>736.77</v>
      </c>
      <c r="M997">
        <v>6149.02</v>
      </c>
      <c r="N997">
        <v>6885.79</v>
      </c>
    </row>
    <row r="998" spans="1:14" x14ac:dyDescent="0.3">
      <c r="A998" s="2">
        <v>43800</v>
      </c>
      <c r="B998" t="s">
        <v>66</v>
      </c>
      <c r="C998">
        <v>2019</v>
      </c>
      <c r="D998">
        <v>12</v>
      </c>
      <c r="E998" t="s">
        <v>57</v>
      </c>
      <c r="F998" t="s">
        <v>35</v>
      </c>
      <c r="G998">
        <v>32</v>
      </c>
      <c r="H998" t="s">
        <v>20</v>
      </c>
      <c r="I998">
        <v>527.04999999999995</v>
      </c>
      <c r="J998">
        <v>801.83</v>
      </c>
      <c r="K998">
        <v>311.54000000000002</v>
      </c>
      <c r="L998">
        <v>10.27</v>
      </c>
      <c r="M998">
        <v>1640.42</v>
      </c>
      <c r="N998">
        <v>1650.69</v>
      </c>
    </row>
    <row r="999" spans="1:14" x14ac:dyDescent="0.3">
      <c r="A999" s="2">
        <v>43800</v>
      </c>
      <c r="B999" t="s">
        <v>66</v>
      </c>
      <c r="C999">
        <v>2019</v>
      </c>
      <c r="D999">
        <v>12</v>
      </c>
      <c r="E999" t="s">
        <v>57</v>
      </c>
      <c r="F999" t="s">
        <v>36</v>
      </c>
      <c r="G999">
        <v>31</v>
      </c>
      <c r="H999" t="s">
        <v>18</v>
      </c>
      <c r="I999">
        <v>0.35</v>
      </c>
      <c r="J999">
        <v>0.4</v>
      </c>
      <c r="K999">
        <v>0.03</v>
      </c>
      <c r="L999">
        <v>0</v>
      </c>
      <c r="M999">
        <v>0.78</v>
      </c>
      <c r="N999">
        <v>0.78</v>
      </c>
    </row>
    <row r="1000" spans="1:14" x14ac:dyDescent="0.3">
      <c r="A1000" s="2">
        <v>43800</v>
      </c>
      <c r="B1000" t="s">
        <v>66</v>
      </c>
      <c r="C1000">
        <v>2019</v>
      </c>
      <c r="D1000">
        <v>12</v>
      </c>
      <c r="E1000" t="s">
        <v>57</v>
      </c>
      <c r="F1000" t="s">
        <v>37</v>
      </c>
      <c r="G1000">
        <v>23</v>
      </c>
      <c r="H1000" t="s">
        <v>20</v>
      </c>
      <c r="I1000">
        <v>552.41</v>
      </c>
      <c r="J1000">
        <v>742.4</v>
      </c>
      <c r="K1000">
        <v>629.95000000000005</v>
      </c>
      <c r="L1000">
        <v>509.44</v>
      </c>
      <c r="M1000">
        <v>1924.76</v>
      </c>
      <c r="N1000">
        <v>2434.1999999999998</v>
      </c>
    </row>
    <row r="1001" spans="1:14" x14ac:dyDescent="0.3">
      <c r="A1001" s="2">
        <v>43800</v>
      </c>
      <c r="B1001" t="s">
        <v>66</v>
      </c>
      <c r="C1001">
        <v>2019</v>
      </c>
      <c r="D1001">
        <v>12</v>
      </c>
      <c r="E1001" t="s">
        <v>57</v>
      </c>
      <c r="F1001" t="s">
        <v>38</v>
      </c>
      <c r="G1001">
        <v>27</v>
      </c>
      <c r="H1001" t="s">
        <v>20</v>
      </c>
      <c r="I1001">
        <v>4768.78</v>
      </c>
      <c r="J1001">
        <v>5738.44</v>
      </c>
      <c r="K1001">
        <v>5106.8500000000004</v>
      </c>
      <c r="L1001">
        <v>915.44</v>
      </c>
      <c r="M1001">
        <v>15614.07</v>
      </c>
      <c r="N1001">
        <v>16529.509999999998</v>
      </c>
    </row>
    <row r="1002" spans="1:14" x14ac:dyDescent="0.3">
      <c r="A1002" s="2">
        <v>43800</v>
      </c>
      <c r="B1002" t="s">
        <v>66</v>
      </c>
      <c r="C1002">
        <v>2019</v>
      </c>
      <c r="D1002">
        <v>12</v>
      </c>
      <c r="E1002" t="s">
        <v>57</v>
      </c>
      <c r="F1002" t="s">
        <v>39</v>
      </c>
      <c r="G1002">
        <v>14</v>
      </c>
      <c r="H1002" t="s">
        <v>20</v>
      </c>
      <c r="I1002">
        <v>16.27</v>
      </c>
      <c r="J1002">
        <v>25.85</v>
      </c>
      <c r="K1002">
        <v>2.2799999999999998</v>
      </c>
      <c r="L1002">
        <v>0.01</v>
      </c>
      <c r="M1002">
        <v>44.4</v>
      </c>
      <c r="N1002">
        <v>44.41</v>
      </c>
    </row>
    <row r="1003" spans="1:14" x14ac:dyDescent="0.3">
      <c r="A1003" s="2">
        <v>43800</v>
      </c>
      <c r="B1003" t="s">
        <v>66</v>
      </c>
      <c r="C1003">
        <v>2019</v>
      </c>
      <c r="D1003">
        <v>12</v>
      </c>
      <c r="E1003" t="s">
        <v>57</v>
      </c>
      <c r="F1003" t="s">
        <v>40</v>
      </c>
      <c r="G1003">
        <v>17</v>
      </c>
      <c r="H1003" t="s">
        <v>20</v>
      </c>
      <c r="I1003">
        <v>18.190000000000001</v>
      </c>
      <c r="J1003">
        <v>27.04</v>
      </c>
      <c r="K1003">
        <v>77.67</v>
      </c>
      <c r="L1003">
        <v>0.08</v>
      </c>
      <c r="M1003">
        <v>122.9</v>
      </c>
      <c r="N1003">
        <v>122.98</v>
      </c>
    </row>
    <row r="1004" spans="1:14" x14ac:dyDescent="0.3">
      <c r="A1004" s="2">
        <v>43800</v>
      </c>
      <c r="B1004" t="s">
        <v>66</v>
      </c>
      <c r="C1004">
        <v>2019</v>
      </c>
      <c r="D1004">
        <v>12</v>
      </c>
      <c r="E1004" t="s">
        <v>57</v>
      </c>
      <c r="F1004" t="s">
        <v>41</v>
      </c>
      <c r="G1004">
        <v>15</v>
      </c>
      <c r="H1004" t="s">
        <v>20</v>
      </c>
      <c r="I1004">
        <v>6.53</v>
      </c>
      <c r="J1004">
        <v>11.22</v>
      </c>
      <c r="K1004">
        <v>3.12</v>
      </c>
      <c r="L1004">
        <v>0.05</v>
      </c>
      <c r="M1004">
        <v>20.87</v>
      </c>
      <c r="N1004">
        <v>20.92</v>
      </c>
    </row>
    <row r="1005" spans="1:14" x14ac:dyDescent="0.3">
      <c r="A1005" s="2">
        <v>43800</v>
      </c>
      <c r="B1005" t="s">
        <v>66</v>
      </c>
      <c r="C1005">
        <v>2019</v>
      </c>
      <c r="D1005">
        <v>12</v>
      </c>
      <c r="E1005" t="s">
        <v>57</v>
      </c>
      <c r="F1005" t="s">
        <v>42</v>
      </c>
      <c r="G1005">
        <v>13</v>
      </c>
      <c r="H1005" t="s">
        <v>20</v>
      </c>
      <c r="I1005">
        <v>9.92</v>
      </c>
      <c r="J1005">
        <v>15.49</v>
      </c>
      <c r="K1005">
        <v>4.33</v>
      </c>
      <c r="L1005">
        <v>1.41</v>
      </c>
      <c r="M1005">
        <v>29.74</v>
      </c>
      <c r="N1005">
        <v>31.15</v>
      </c>
    </row>
    <row r="1006" spans="1:14" x14ac:dyDescent="0.3">
      <c r="A1006" s="2">
        <v>43800</v>
      </c>
      <c r="B1006" t="s">
        <v>66</v>
      </c>
      <c r="C1006">
        <v>2019</v>
      </c>
      <c r="D1006">
        <v>12</v>
      </c>
      <c r="E1006" t="s">
        <v>57</v>
      </c>
      <c r="F1006" t="s">
        <v>43</v>
      </c>
      <c r="G1006">
        <v>21</v>
      </c>
      <c r="H1006" t="s">
        <v>20</v>
      </c>
      <c r="I1006">
        <v>529.78</v>
      </c>
      <c r="J1006">
        <v>726.29</v>
      </c>
      <c r="K1006">
        <v>696.04</v>
      </c>
      <c r="L1006">
        <v>431.18</v>
      </c>
      <c r="M1006">
        <v>1952.11</v>
      </c>
      <c r="N1006">
        <v>2383.29</v>
      </c>
    </row>
    <row r="1007" spans="1:14" x14ac:dyDescent="0.3">
      <c r="A1007" s="2">
        <v>43800</v>
      </c>
      <c r="B1007" t="s">
        <v>66</v>
      </c>
      <c r="C1007">
        <v>2019</v>
      </c>
      <c r="D1007">
        <v>12</v>
      </c>
      <c r="E1007" t="s">
        <v>57</v>
      </c>
      <c r="F1007" t="s">
        <v>44</v>
      </c>
      <c r="G1007">
        <v>34</v>
      </c>
      <c r="H1007" t="s">
        <v>18</v>
      </c>
      <c r="I1007">
        <v>22.56</v>
      </c>
      <c r="J1007">
        <v>34.19</v>
      </c>
      <c r="K1007">
        <v>108.58</v>
      </c>
      <c r="L1007">
        <v>0.12</v>
      </c>
      <c r="M1007">
        <v>165.33</v>
      </c>
      <c r="N1007">
        <v>165.45</v>
      </c>
    </row>
    <row r="1008" spans="1:14" x14ac:dyDescent="0.3">
      <c r="A1008" s="2">
        <v>43800</v>
      </c>
      <c r="B1008" t="s">
        <v>66</v>
      </c>
      <c r="C1008">
        <v>2019</v>
      </c>
      <c r="D1008">
        <v>12</v>
      </c>
      <c r="E1008" t="s">
        <v>57</v>
      </c>
      <c r="F1008" t="s">
        <v>45</v>
      </c>
      <c r="G1008">
        <v>3</v>
      </c>
      <c r="H1008" t="s">
        <v>20</v>
      </c>
      <c r="I1008">
        <v>309.73</v>
      </c>
      <c r="J1008">
        <v>512.24</v>
      </c>
      <c r="K1008">
        <v>455.18</v>
      </c>
      <c r="L1008">
        <v>13.08</v>
      </c>
      <c r="M1008">
        <v>1277.1500000000001</v>
      </c>
      <c r="N1008">
        <v>1290.23</v>
      </c>
    </row>
    <row r="1009" spans="1:14" x14ac:dyDescent="0.3">
      <c r="A1009" s="2">
        <v>43800</v>
      </c>
      <c r="B1009" t="s">
        <v>66</v>
      </c>
      <c r="C1009">
        <v>2019</v>
      </c>
      <c r="D1009">
        <v>12</v>
      </c>
      <c r="E1009" t="s">
        <v>57</v>
      </c>
      <c r="F1009" t="s">
        <v>46</v>
      </c>
      <c r="G1009">
        <v>8</v>
      </c>
      <c r="H1009" t="s">
        <v>20</v>
      </c>
      <c r="I1009">
        <v>768</v>
      </c>
      <c r="J1009">
        <v>1049.6400000000001</v>
      </c>
      <c r="K1009">
        <v>781.85</v>
      </c>
      <c r="L1009">
        <v>113.8</v>
      </c>
      <c r="M1009">
        <v>2599.4899999999998</v>
      </c>
      <c r="N1009">
        <v>2713.29</v>
      </c>
    </row>
    <row r="1010" spans="1:14" x14ac:dyDescent="0.3">
      <c r="A1010" s="2">
        <v>43800</v>
      </c>
      <c r="B1010" t="s">
        <v>66</v>
      </c>
      <c r="C1010">
        <v>2019</v>
      </c>
      <c r="D1010">
        <v>12</v>
      </c>
      <c r="E1010" t="s">
        <v>57</v>
      </c>
      <c r="F1010" t="s">
        <v>47</v>
      </c>
      <c r="G1010">
        <v>11</v>
      </c>
      <c r="H1010" t="s">
        <v>20</v>
      </c>
      <c r="I1010">
        <v>10.7</v>
      </c>
      <c r="J1010">
        <v>15.37</v>
      </c>
      <c r="K1010">
        <v>187.72</v>
      </c>
      <c r="L1010">
        <v>0.12</v>
      </c>
      <c r="M1010">
        <v>213.79</v>
      </c>
      <c r="N1010">
        <v>213.91</v>
      </c>
    </row>
    <row r="1011" spans="1:14" x14ac:dyDescent="0.3">
      <c r="A1011" s="2">
        <v>43800</v>
      </c>
      <c r="B1011" t="s">
        <v>66</v>
      </c>
      <c r="C1011">
        <v>2019</v>
      </c>
      <c r="D1011">
        <v>12</v>
      </c>
      <c r="E1011" t="s">
        <v>57</v>
      </c>
      <c r="F1011" t="s">
        <v>48</v>
      </c>
      <c r="G1011">
        <v>33</v>
      </c>
      <c r="H1011" t="s">
        <v>20</v>
      </c>
      <c r="I1011">
        <v>1632.19</v>
      </c>
      <c r="J1011">
        <v>2302.4</v>
      </c>
      <c r="K1011">
        <v>1928.96</v>
      </c>
      <c r="L1011">
        <v>558.27</v>
      </c>
      <c r="M1011">
        <v>5863.55</v>
      </c>
      <c r="N1011">
        <v>6421.82</v>
      </c>
    </row>
    <row r="1012" spans="1:14" x14ac:dyDescent="0.3">
      <c r="A1012" s="2">
        <v>43800</v>
      </c>
      <c r="B1012" t="s">
        <v>66</v>
      </c>
      <c r="C1012">
        <v>2019</v>
      </c>
      <c r="D1012">
        <v>12</v>
      </c>
      <c r="E1012" t="s">
        <v>57</v>
      </c>
      <c r="F1012" t="s">
        <v>49</v>
      </c>
      <c r="G1012">
        <v>36</v>
      </c>
      <c r="H1012" t="s">
        <v>20</v>
      </c>
      <c r="I1012">
        <v>844.09</v>
      </c>
      <c r="J1012">
        <v>1135.82</v>
      </c>
      <c r="K1012">
        <v>877.37</v>
      </c>
      <c r="L1012">
        <v>563.19000000000005</v>
      </c>
      <c r="M1012">
        <v>2857.28</v>
      </c>
      <c r="N1012">
        <v>3420.47</v>
      </c>
    </row>
    <row r="1013" spans="1:14" x14ac:dyDescent="0.3">
      <c r="A1013" s="2">
        <v>43800</v>
      </c>
      <c r="B1013" t="s">
        <v>66</v>
      </c>
      <c r="C1013">
        <v>2019</v>
      </c>
      <c r="D1013">
        <v>12</v>
      </c>
      <c r="E1013" t="s">
        <v>57</v>
      </c>
      <c r="F1013" t="s">
        <v>50</v>
      </c>
      <c r="G1013">
        <v>16</v>
      </c>
      <c r="H1013" t="s">
        <v>20</v>
      </c>
      <c r="I1013">
        <v>21.56</v>
      </c>
      <c r="J1013">
        <v>31.55</v>
      </c>
      <c r="K1013">
        <v>5.98</v>
      </c>
      <c r="L1013">
        <v>0.15</v>
      </c>
      <c r="M1013">
        <v>59.09</v>
      </c>
      <c r="N1013">
        <v>59.24</v>
      </c>
    </row>
    <row r="1014" spans="1:14" x14ac:dyDescent="0.3">
      <c r="A1014" s="2">
        <v>43800</v>
      </c>
      <c r="B1014" t="s">
        <v>66</v>
      </c>
      <c r="C1014">
        <v>2019</v>
      </c>
      <c r="D1014">
        <v>12</v>
      </c>
      <c r="E1014" t="s">
        <v>57</v>
      </c>
      <c r="F1014" t="s">
        <v>51</v>
      </c>
      <c r="G1014">
        <v>9</v>
      </c>
      <c r="H1014" t="s">
        <v>20</v>
      </c>
      <c r="I1014">
        <v>1223.6400000000001</v>
      </c>
      <c r="J1014">
        <v>1809.33</v>
      </c>
      <c r="K1014">
        <v>1319.96</v>
      </c>
      <c r="L1014">
        <v>1136.55</v>
      </c>
      <c r="M1014">
        <v>4352.93</v>
      </c>
      <c r="N1014">
        <v>5489.48</v>
      </c>
    </row>
    <row r="1015" spans="1:14" x14ac:dyDescent="0.3">
      <c r="A1015" s="2">
        <v>43800</v>
      </c>
      <c r="B1015" t="s">
        <v>66</v>
      </c>
      <c r="C1015">
        <v>2019</v>
      </c>
      <c r="D1015">
        <v>12</v>
      </c>
      <c r="E1015" t="s">
        <v>57</v>
      </c>
      <c r="F1015" t="s">
        <v>52</v>
      </c>
      <c r="G1015">
        <v>5</v>
      </c>
      <c r="H1015" t="s">
        <v>20</v>
      </c>
      <c r="I1015">
        <v>230.01</v>
      </c>
      <c r="J1015">
        <v>330.15</v>
      </c>
      <c r="K1015">
        <v>638.86</v>
      </c>
      <c r="L1015">
        <v>14.09</v>
      </c>
      <c r="M1015">
        <v>1199.02</v>
      </c>
      <c r="N1015">
        <v>1213.1099999999999</v>
      </c>
    </row>
    <row r="1016" spans="1:14" x14ac:dyDescent="0.3">
      <c r="A1016" s="2">
        <v>43800</v>
      </c>
      <c r="B1016" t="s">
        <v>66</v>
      </c>
      <c r="C1016">
        <v>2019</v>
      </c>
      <c r="D1016">
        <v>12</v>
      </c>
      <c r="E1016" t="s">
        <v>57</v>
      </c>
      <c r="F1016" t="s">
        <v>53</v>
      </c>
      <c r="G1016">
        <v>19</v>
      </c>
      <c r="H1016" t="s">
        <v>20</v>
      </c>
      <c r="I1016">
        <v>1091.77</v>
      </c>
      <c r="J1016">
        <v>1473.38</v>
      </c>
      <c r="K1016">
        <v>869.74</v>
      </c>
      <c r="L1016">
        <v>313.35000000000002</v>
      </c>
      <c r="M1016">
        <v>3434.89</v>
      </c>
      <c r="N1016">
        <v>3748.24</v>
      </c>
    </row>
    <row r="1017" spans="1:14" x14ac:dyDescent="0.3">
      <c r="A1017" s="2">
        <v>43831</v>
      </c>
      <c r="B1017" t="s">
        <v>66</v>
      </c>
      <c r="C1017">
        <v>2020</v>
      </c>
      <c r="D1017">
        <v>1</v>
      </c>
      <c r="E1017" t="s">
        <v>58</v>
      </c>
      <c r="F1017" t="s">
        <v>17</v>
      </c>
      <c r="G1017">
        <v>35</v>
      </c>
      <c r="H1017" t="s">
        <v>18</v>
      </c>
      <c r="I1017">
        <v>10.5</v>
      </c>
      <c r="J1017">
        <v>16.05</v>
      </c>
      <c r="K1017">
        <v>3.34</v>
      </c>
      <c r="L1017">
        <v>0.11</v>
      </c>
      <c r="M1017">
        <v>29.89</v>
      </c>
      <c r="N1017">
        <v>30</v>
      </c>
    </row>
    <row r="1018" spans="1:14" x14ac:dyDescent="0.3">
      <c r="A1018" s="2">
        <v>43831</v>
      </c>
      <c r="B1018" t="s">
        <v>66</v>
      </c>
      <c r="C1018">
        <v>2020</v>
      </c>
      <c r="D1018">
        <v>1</v>
      </c>
      <c r="E1018" t="s">
        <v>58</v>
      </c>
      <c r="F1018" t="s">
        <v>19</v>
      </c>
      <c r="G1018">
        <v>28</v>
      </c>
      <c r="H1018" t="s">
        <v>20</v>
      </c>
      <c r="I1018">
        <v>609.78</v>
      </c>
      <c r="J1018">
        <v>860.74</v>
      </c>
      <c r="K1018">
        <v>776.19</v>
      </c>
      <c r="L1018">
        <v>108.83</v>
      </c>
      <c r="M1018">
        <v>2246.71</v>
      </c>
      <c r="N1018">
        <v>2355.54</v>
      </c>
    </row>
    <row r="1019" spans="1:14" x14ac:dyDescent="0.3">
      <c r="A1019" s="2">
        <v>43831</v>
      </c>
      <c r="B1019" t="s">
        <v>66</v>
      </c>
      <c r="C1019">
        <v>2020</v>
      </c>
      <c r="D1019">
        <v>1</v>
      </c>
      <c r="E1019" t="s">
        <v>58</v>
      </c>
      <c r="F1019" t="s">
        <v>21</v>
      </c>
      <c r="G1019">
        <v>12</v>
      </c>
      <c r="H1019" t="s">
        <v>20</v>
      </c>
      <c r="I1019">
        <v>18.350000000000001</v>
      </c>
      <c r="J1019">
        <v>24.5</v>
      </c>
      <c r="K1019">
        <v>9.1</v>
      </c>
      <c r="L1019">
        <v>0.2</v>
      </c>
      <c r="M1019">
        <v>51.95</v>
      </c>
      <c r="N1019">
        <v>52.15</v>
      </c>
    </row>
    <row r="1020" spans="1:14" x14ac:dyDescent="0.3">
      <c r="A1020" s="2">
        <v>43831</v>
      </c>
      <c r="B1020" t="s">
        <v>66</v>
      </c>
      <c r="C1020">
        <v>2020</v>
      </c>
      <c r="D1020">
        <v>1</v>
      </c>
      <c r="E1020" t="s">
        <v>58</v>
      </c>
      <c r="F1020" t="s">
        <v>22</v>
      </c>
      <c r="G1020">
        <v>18</v>
      </c>
      <c r="H1020" t="s">
        <v>20</v>
      </c>
      <c r="I1020">
        <v>252.49</v>
      </c>
      <c r="J1020">
        <v>343.31</v>
      </c>
      <c r="K1020">
        <v>197.58</v>
      </c>
      <c r="L1020">
        <v>27.09</v>
      </c>
      <c r="M1020">
        <v>793.38</v>
      </c>
      <c r="N1020">
        <v>820.47</v>
      </c>
    </row>
    <row r="1021" spans="1:14" x14ac:dyDescent="0.3">
      <c r="A1021" s="2">
        <v>43831</v>
      </c>
      <c r="B1021" t="s">
        <v>66</v>
      </c>
      <c r="C1021">
        <v>2020</v>
      </c>
      <c r="D1021">
        <v>1</v>
      </c>
      <c r="E1021" t="s">
        <v>58</v>
      </c>
      <c r="F1021" t="s">
        <v>23</v>
      </c>
      <c r="G1021">
        <v>10</v>
      </c>
      <c r="H1021" t="s">
        <v>20</v>
      </c>
      <c r="I1021">
        <v>306.43</v>
      </c>
      <c r="J1021">
        <v>505.55</v>
      </c>
      <c r="K1021">
        <v>140.41999999999999</v>
      </c>
      <c r="L1021">
        <v>169.73</v>
      </c>
      <c r="M1021">
        <v>952.4</v>
      </c>
      <c r="N1021">
        <v>1122.1300000000001</v>
      </c>
    </row>
    <row r="1022" spans="1:14" x14ac:dyDescent="0.3">
      <c r="A1022" s="2">
        <v>43831</v>
      </c>
      <c r="B1022" t="s">
        <v>66</v>
      </c>
      <c r="C1022">
        <v>2020</v>
      </c>
      <c r="D1022">
        <v>1</v>
      </c>
      <c r="E1022" t="s">
        <v>58</v>
      </c>
      <c r="F1022" t="s">
        <v>24</v>
      </c>
      <c r="G1022">
        <v>4</v>
      </c>
      <c r="H1022" t="s">
        <v>18</v>
      </c>
      <c r="I1022">
        <v>40</v>
      </c>
      <c r="J1022">
        <v>59.25</v>
      </c>
      <c r="K1022">
        <v>91.82</v>
      </c>
      <c r="L1022">
        <v>3.56</v>
      </c>
      <c r="M1022">
        <v>191.07</v>
      </c>
      <c r="N1022">
        <v>194.63</v>
      </c>
    </row>
    <row r="1023" spans="1:14" x14ac:dyDescent="0.3">
      <c r="A1023" s="2">
        <v>43831</v>
      </c>
      <c r="B1023" t="s">
        <v>66</v>
      </c>
      <c r="C1023">
        <v>2020</v>
      </c>
      <c r="D1023">
        <v>1</v>
      </c>
      <c r="E1023" t="s">
        <v>58</v>
      </c>
      <c r="F1023" t="s">
        <v>25</v>
      </c>
      <c r="G1023">
        <v>22</v>
      </c>
      <c r="H1023" t="s">
        <v>20</v>
      </c>
      <c r="I1023">
        <v>400.26</v>
      </c>
      <c r="J1023">
        <v>495.05</v>
      </c>
      <c r="K1023">
        <v>672.36</v>
      </c>
      <c r="L1023">
        <v>587.58000000000004</v>
      </c>
      <c r="M1023">
        <v>1567.67</v>
      </c>
      <c r="N1023">
        <v>2155.25</v>
      </c>
    </row>
    <row r="1024" spans="1:14" x14ac:dyDescent="0.3">
      <c r="A1024" s="2">
        <v>43831</v>
      </c>
      <c r="B1024" t="s">
        <v>66</v>
      </c>
      <c r="C1024">
        <v>2020</v>
      </c>
      <c r="D1024">
        <v>1</v>
      </c>
      <c r="E1024" t="s">
        <v>58</v>
      </c>
      <c r="F1024" t="s">
        <v>26</v>
      </c>
      <c r="G1024">
        <v>38</v>
      </c>
      <c r="H1024" t="s">
        <v>18</v>
      </c>
      <c r="I1024">
        <v>29.4</v>
      </c>
      <c r="J1024">
        <v>43.19</v>
      </c>
      <c r="K1024">
        <v>208.7</v>
      </c>
      <c r="L1024">
        <v>0.15</v>
      </c>
      <c r="M1024">
        <v>281.29000000000002</v>
      </c>
      <c r="N1024">
        <v>281.44</v>
      </c>
    </row>
    <row r="1025" spans="1:14" x14ac:dyDescent="0.3">
      <c r="A1025" s="2">
        <v>43831</v>
      </c>
      <c r="B1025" t="s">
        <v>66</v>
      </c>
      <c r="C1025">
        <v>2020</v>
      </c>
      <c r="D1025">
        <v>1</v>
      </c>
      <c r="E1025" t="s">
        <v>58</v>
      </c>
      <c r="F1025" t="s">
        <v>27</v>
      </c>
      <c r="G1025">
        <v>7</v>
      </c>
      <c r="H1025" t="s">
        <v>18</v>
      </c>
      <c r="I1025">
        <v>832.83</v>
      </c>
      <c r="J1025">
        <v>1110.76</v>
      </c>
      <c r="K1025">
        <v>1919.53</v>
      </c>
      <c r="L1025">
        <v>103.55</v>
      </c>
      <c r="M1025">
        <v>3863.12</v>
      </c>
      <c r="N1025">
        <v>3966.67</v>
      </c>
    </row>
    <row r="1026" spans="1:14" x14ac:dyDescent="0.3">
      <c r="A1026" s="2">
        <v>43831</v>
      </c>
      <c r="B1026" t="s">
        <v>66</v>
      </c>
      <c r="C1026">
        <v>2020</v>
      </c>
      <c r="D1026">
        <v>1</v>
      </c>
      <c r="E1026" t="s">
        <v>58</v>
      </c>
      <c r="F1026" t="s">
        <v>28</v>
      </c>
      <c r="G1026">
        <v>30</v>
      </c>
      <c r="H1026" t="s">
        <v>20</v>
      </c>
      <c r="I1026">
        <v>111.53</v>
      </c>
      <c r="J1026">
        <v>163.16999999999999</v>
      </c>
      <c r="K1026">
        <v>157.51</v>
      </c>
      <c r="L1026">
        <v>4.84</v>
      </c>
      <c r="M1026">
        <v>432.21</v>
      </c>
      <c r="N1026">
        <v>437.05</v>
      </c>
    </row>
    <row r="1027" spans="1:14" x14ac:dyDescent="0.3">
      <c r="A1027" s="2">
        <v>43831</v>
      </c>
      <c r="B1027" t="s">
        <v>66</v>
      </c>
      <c r="C1027">
        <v>2020</v>
      </c>
      <c r="D1027">
        <v>1</v>
      </c>
      <c r="E1027" t="s">
        <v>58</v>
      </c>
      <c r="F1027" t="s">
        <v>29</v>
      </c>
      <c r="G1027">
        <v>24</v>
      </c>
      <c r="H1027" t="s">
        <v>20</v>
      </c>
      <c r="I1027">
        <v>2012.05</v>
      </c>
      <c r="J1027">
        <v>2476.08</v>
      </c>
      <c r="K1027">
        <v>2408.58</v>
      </c>
      <c r="L1027">
        <v>433.02</v>
      </c>
      <c r="M1027">
        <v>6896.71</v>
      </c>
      <c r="N1027">
        <v>7329.73</v>
      </c>
    </row>
    <row r="1028" spans="1:14" x14ac:dyDescent="0.3">
      <c r="A1028" s="2">
        <v>43831</v>
      </c>
      <c r="B1028" t="s">
        <v>66</v>
      </c>
      <c r="C1028">
        <v>2020</v>
      </c>
      <c r="D1028">
        <v>1</v>
      </c>
      <c r="E1028" t="s">
        <v>58</v>
      </c>
      <c r="F1028" t="s">
        <v>30</v>
      </c>
      <c r="G1028">
        <v>6</v>
      </c>
      <c r="H1028" t="s">
        <v>20</v>
      </c>
      <c r="I1028">
        <v>892.27</v>
      </c>
      <c r="J1028">
        <v>1329.74</v>
      </c>
      <c r="K1028">
        <v>2963.13</v>
      </c>
      <c r="L1028">
        <v>301.67</v>
      </c>
      <c r="M1028">
        <v>5185.1400000000003</v>
      </c>
      <c r="N1028">
        <v>5486.81</v>
      </c>
    </row>
    <row r="1029" spans="1:14" x14ac:dyDescent="0.3">
      <c r="A1029" s="2">
        <v>43831</v>
      </c>
      <c r="B1029" t="s">
        <v>66</v>
      </c>
      <c r="C1029">
        <v>2020</v>
      </c>
      <c r="D1029">
        <v>1</v>
      </c>
      <c r="E1029" t="s">
        <v>58</v>
      </c>
      <c r="F1029" t="s">
        <v>31</v>
      </c>
      <c r="G1029">
        <v>2</v>
      </c>
      <c r="H1029" t="s">
        <v>20</v>
      </c>
      <c r="I1029">
        <v>114.36</v>
      </c>
      <c r="J1029">
        <v>165.74</v>
      </c>
      <c r="K1029">
        <v>392.26</v>
      </c>
      <c r="L1029">
        <v>2.41</v>
      </c>
      <c r="M1029">
        <v>672.36</v>
      </c>
      <c r="N1029">
        <v>674.77</v>
      </c>
    </row>
    <row r="1030" spans="1:14" x14ac:dyDescent="0.3">
      <c r="A1030" s="2">
        <v>43831</v>
      </c>
      <c r="B1030" t="s">
        <v>66</v>
      </c>
      <c r="C1030">
        <v>2020</v>
      </c>
      <c r="D1030">
        <v>1</v>
      </c>
      <c r="E1030" t="s">
        <v>58</v>
      </c>
      <c r="F1030" t="s">
        <v>32</v>
      </c>
      <c r="G1030">
        <v>1</v>
      </c>
      <c r="H1030" t="s">
        <v>18</v>
      </c>
      <c r="I1030">
        <v>103.92</v>
      </c>
      <c r="J1030">
        <v>176.53</v>
      </c>
      <c r="K1030">
        <v>87.96</v>
      </c>
      <c r="L1030">
        <v>2.3199999999999998</v>
      </c>
      <c r="M1030">
        <v>368.41</v>
      </c>
      <c r="N1030">
        <v>370.73</v>
      </c>
    </row>
    <row r="1031" spans="1:14" x14ac:dyDescent="0.3">
      <c r="A1031" s="2">
        <v>43831</v>
      </c>
      <c r="B1031" t="s">
        <v>66</v>
      </c>
      <c r="C1031">
        <v>2020</v>
      </c>
      <c r="D1031">
        <v>1</v>
      </c>
      <c r="E1031" t="s">
        <v>58</v>
      </c>
      <c r="F1031" t="s">
        <v>33</v>
      </c>
      <c r="G1031">
        <v>20</v>
      </c>
      <c r="H1031" t="s">
        <v>20</v>
      </c>
      <c r="I1031">
        <v>344.13</v>
      </c>
      <c r="J1031">
        <v>472.23</v>
      </c>
      <c r="K1031">
        <v>730.18</v>
      </c>
      <c r="L1031">
        <v>480.78</v>
      </c>
      <c r="M1031">
        <v>1546.54</v>
      </c>
      <c r="N1031">
        <v>2027.32</v>
      </c>
    </row>
    <row r="1032" spans="1:14" x14ac:dyDescent="0.3">
      <c r="A1032" s="2">
        <v>43831</v>
      </c>
      <c r="B1032" t="s">
        <v>66</v>
      </c>
      <c r="C1032">
        <v>2020</v>
      </c>
      <c r="D1032">
        <v>1</v>
      </c>
      <c r="E1032" t="s">
        <v>58</v>
      </c>
      <c r="F1032" t="s">
        <v>34</v>
      </c>
      <c r="G1032">
        <v>29</v>
      </c>
      <c r="H1032" t="s">
        <v>20</v>
      </c>
      <c r="I1032">
        <v>1787.49</v>
      </c>
      <c r="J1032">
        <v>2388.7600000000002</v>
      </c>
      <c r="K1032">
        <v>2673.76</v>
      </c>
      <c r="L1032">
        <v>755.18</v>
      </c>
      <c r="M1032">
        <v>6850.01</v>
      </c>
      <c r="N1032">
        <v>7605.19</v>
      </c>
    </row>
    <row r="1033" spans="1:14" x14ac:dyDescent="0.3">
      <c r="A1033" s="2">
        <v>43831</v>
      </c>
      <c r="B1033" t="s">
        <v>66</v>
      </c>
      <c r="C1033">
        <v>2020</v>
      </c>
      <c r="D1033">
        <v>1</v>
      </c>
      <c r="E1033" t="s">
        <v>58</v>
      </c>
      <c r="F1033" t="s">
        <v>35</v>
      </c>
      <c r="G1033">
        <v>32</v>
      </c>
      <c r="H1033" t="s">
        <v>20</v>
      </c>
      <c r="I1033">
        <v>576.61</v>
      </c>
      <c r="J1033">
        <v>931.32</v>
      </c>
      <c r="K1033">
        <v>327.44</v>
      </c>
      <c r="L1033">
        <v>23.51</v>
      </c>
      <c r="M1033">
        <v>1835.37</v>
      </c>
      <c r="N1033">
        <v>1858.88</v>
      </c>
    </row>
    <row r="1034" spans="1:14" x14ac:dyDescent="0.3">
      <c r="A1034" s="2">
        <v>43831</v>
      </c>
      <c r="B1034" t="s">
        <v>66</v>
      </c>
      <c r="C1034">
        <v>2020</v>
      </c>
      <c r="D1034">
        <v>1</v>
      </c>
      <c r="E1034" t="s">
        <v>58</v>
      </c>
      <c r="F1034" t="s">
        <v>36</v>
      </c>
      <c r="G1034">
        <v>31</v>
      </c>
      <c r="H1034" t="s">
        <v>18</v>
      </c>
      <c r="I1034">
        <v>1.1000000000000001</v>
      </c>
      <c r="J1034">
        <v>1.54</v>
      </c>
      <c r="K1034">
        <v>0.06</v>
      </c>
      <c r="L1034">
        <v>0</v>
      </c>
      <c r="M1034">
        <v>2.7</v>
      </c>
      <c r="N1034">
        <v>2.7</v>
      </c>
    </row>
    <row r="1035" spans="1:14" x14ac:dyDescent="0.3">
      <c r="A1035" s="2">
        <v>43831</v>
      </c>
      <c r="B1035" t="s">
        <v>66</v>
      </c>
      <c r="C1035">
        <v>2020</v>
      </c>
      <c r="D1035">
        <v>1</v>
      </c>
      <c r="E1035" t="s">
        <v>58</v>
      </c>
      <c r="F1035" t="s">
        <v>37</v>
      </c>
      <c r="G1035">
        <v>23</v>
      </c>
      <c r="H1035" t="s">
        <v>20</v>
      </c>
      <c r="I1035">
        <v>611.55999999999995</v>
      </c>
      <c r="J1035">
        <v>828.18</v>
      </c>
      <c r="K1035">
        <v>707.23</v>
      </c>
      <c r="L1035">
        <v>526.64</v>
      </c>
      <c r="M1035">
        <v>2146.9699999999998</v>
      </c>
      <c r="N1035">
        <v>2673.61</v>
      </c>
    </row>
    <row r="1036" spans="1:14" x14ac:dyDescent="0.3">
      <c r="A1036" s="2">
        <v>43831</v>
      </c>
      <c r="B1036" t="s">
        <v>66</v>
      </c>
      <c r="C1036">
        <v>2020</v>
      </c>
      <c r="D1036">
        <v>1</v>
      </c>
      <c r="E1036" t="s">
        <v>58</v>
      </c>
      <c r="F1036" t="s">
        <v>38</v>
      </c>
      <c r="G1036">
        <v>27</v>
      </c>
      <c r="H1036" t="s">
        <v>20</v>
      </c>
      <c r="I1036">
        <v>4797.0200000000004</v>
      </c>
      <c r="J1036">
        <v>5787.61</v>
      </c>
      <c r="K1036">
        <v>6423.32</v>
      </c>
      <c r="L1036">
        <v>1077.1500000000001</v>
      </c>
      <c r="M1036">
        <v>17007.95</v>
      </c>
      <c r="N1036">
        <v>18085.099999999999</v>
      </c>
    </row>
    <row r="1037" spans="1:14" x14ac:dyDescent="0.3">
      <c r="A1037" s="2">
        <v>43831</v>
      </c>
      <c r="B1037" t="s">
        <v>66</v>
      </c>
      <c r="C1037">
        <v>2020</v>
      </c>
      <c r="D1037">
        <v>1</v>
      </c>
      <c r="E1037" t="s">
        <v>58</v>
      </c>
      <c r="F1037" t="s">
        <v>39</v>
      </c>
      <c r="G1037">
        <v>14</v>
      </c>
      <c r="H1037" t="s">
        <v>20</v>
      </c>
      <c r="I1037">
        <v>11.74</v>
      </c>
      <c r="J1037">
        <v>20.79</v>
      </c>
      <c r="K1037">
        <v>2.17</v>
      </c>
      <c r="L1037">
        <v>0.34</v>
      </c>
      <c r="M1037">
        <v>34.700000000000003</v>
      </c>
      <c r="N1037">
        <v>35.04</v>
      </c>
    </row>
    <row r="1038" spans="1:14" x14ac:dyDescent="0.3">
      <c r="A1038" s="2">
        <v>43831</v>
      </c>
      <c r="B1038" t="s">
        <v>66</v>
      </c>
      <c r="C1038">
        <v>2020</v>
      </c>
      <c r="D1038">
        <v>1</v>
      </c>
      <c r="E1038" t="s">
        <v>58</v>
      </c>
      <c r="F1038" t="s">
        <v>40</v>
      </c>
      <c r="G1038">
        <v>17</v>
      </c>
      <c r="H1038" t="s">
        <v>20</v>
      </c>
      <c r="I1038">
        <v>18.850000000000001</v>
      </c>
      <c r="J1038">
        <v>29.33</v>
      </c>
      <c r="K1038">
        <v>79.92</v>
      </c>
      <c r="L1038">
        <v>0.26</v>
      </c>
      <c r="M1038">
        <v>128.1</v>
      </c>
      <c r="N1038">
        <v>128.36000000000001</v>
      </c>
    </row>
    <row r="1039" spans="1:14" x14ac:dyDescent="0.3">
      <c r="A1039" s="2">
        <v>43831</v>
      </c>
      <c r="B1039" t="s">
        <v>66</v>
      </c>
      <c r="C1039">
        <v>2020</v>
      </c>
      <c r="D1039">
        <v>1</v>
      </c>
      <c r="E1039" t="s">
        <v>58</v>
      </c>
      <c r="F1039" t="s">
        <v>41</v>
      </c>
      <c r="G1039">
        <v>15</v>
      </c>
      <c r="H1039" t="s">
        <v>20</v>
      </c>
      <c r="I1039">
        <v>7.4</v>
      </c>
      <c r="J1039">
        <v>10.67</v>
      </c>
      <c r="K1039">
        <v>6.26</v>
      </c>
      <c r="L1039">
        <v>0.04</v>
      </c>
      <c r="M1039">
        <v>24.33</v>
      </c>
      <c r="N1039">
        <v>24.37</v>
      </c>
    </row>
    <row r="1040" spans="1:14" x14ac:dyDescent="0.3">
      <c r="A1040" s="2">
        <v>43831</v>
      </c>
      <c r="B1040" t="s">
        <v>66</v>
      </c>
      <c r="C1040">
        <v>2020</v>
      </c>
      <c r="D1040">
        <v>1</v>
      </c>
      <c r="E1040" t="s">
        <v>58</v>
      </c>
      <c r="F1040" t="s">
        <v>42</v>
      </c>
      <c r="G1040">
        <v>13</v>
      </c>
      <c r="H1040" t="s">
        <v>20</v>
      </c>
      <c r="I1040">
        <v>9.8000000000000007</v>
      </c>
      <c r="J1040">
        <v>15.98</v>
      </c>
      <c r="K1040">
        <v>5.92</v>
      </c>
      <c r="L1040">
        <v>0.4</v>
      </c>
      <c r="M1040">
        <v>31.7</v>
      </c>
      <c r="N1040">
        <v>32.1</v>
      </c>
    </row>
    <row r="1041" spans="1:14" x14ac:dyDescent="0.3">
      <c r="A1041" s="2">
        <v>43831</v>
      </c>
      <c r="B1041" t="s">
        <v>66</v>
      </c>
      <c r="C1041">
        <v>2020</v>
      </c>
      <c r="D1041">
        <v>1</v>
      </c>
      <c r="E1041" t="s">
        <v>58</v>
      </c>
      <c r="F1041" t="s">
        <v>43</v>
      </c>
      <c r="G1041">
        <v>21</v>
      </c>
      <c r="H1041" t="s">
        <v>20</v>
      </c>
      <c r="I1041">
        <v>563.85</v>
      </c>
      <c r="J1041">
        <v>744.33</v>
      </c>
      <c r="K1041">
        <v>674.18</v>
      </c>
      <c r="L1041">
        <v>521.61</v>
      </c>
      <c r="M1041">
        <v>1982.36</v>
      </c>
      <c r="N1041">
        <v>2503.9699999999998</v>
      </c>
    </row>
    <row r="1042" spans="1:14" x14ac:dyDescent="0.3">
      <c r="A1042" s="2">
        <v>43831</v>
      </c>
      <c r="B1042" t="s">
        <v>66</v>
      </c>
      <c r="C1042">
        <v>2020</v>
      </c>
      <c r="D1042">
        <v>1</v>
      </c>
      <c r="E1042" t="s">
        <v>58</v>
      </c>
      <c r="F1042" t="s">
        <v>44</v>
      </c>
      <c r="G1042">
        <v>34</v>
      </c>
      <c r="H1042" t="s">
        <v>18</v>
      </c>
      <c r="I1042">
        <v>24.77</v>
      </c>
      <c r="J1042">
        <v>39.76</v>
      </c>
      <c r="K1042">
        <v>121.33</v>
      </c>
      <c r="L1042">
        <v>1.7</v>
      </c>
      <c r="M1042">
        <v>185.86</v>
      </c>
      <c r="N1042">
        <v>187.56</v>
      </c>
    </row>
    <row r="1043" spans="1:14" x14ac:dyDescent="0.3">
      <c r="A1043" s="2">
        <v>43831</v>
      </c>
      <c r="B1043" t="s">
        <v>66</v>
      </c>
      <c r="C1043">
        <v>2020</v>
      </c>
      <c r="D1043">
        <v>1</v>
      </c>
      <c r="E1043" t="s">
        <v>58</v>
      </c>
      <c r="F1043" t="s">
        <v>45</v>
      </c>
      <c r="G1043">
        <v>3</v>
      </c>
      <c r="H1043" t="s">
        <v>20</v>
      </c>
      <c r="I1043">
        <v>343.21</v>
      </c>
      <c r="J1043">
        <v>569.36</v>
      </c>
      <c r="K1043">
        <v>409.72</v>
      </c>
      <c r="L1043">
        <v>18.02</v>
      </c>
      <c r="M1043">
        <v>1322.29</v>
      </c>
      <c r="N1043">
        <v>1340.31</v>
      </c>
    </row>
    <row r="1044" spans="1:14" x14ac:dyDescent="0.3">
      <c r="A1044" s="2">
        <v>43831</v>
      </c>
      <c r="B1044" t="s">
        <v>66</v>
      </c>
      <c r="C1044">
        <v>2020</v>
      </c>
      <c r="D1044">
        <v>1</v>
      </c>
      <c r="E1044" t="s">
        <v>58</v>
      </c>
      <c r="F1044" t="s">
        <v>46</v>
      </c>
      <c r="G1044">
        <v>8</v>
      </c>
      <c r="H1044" t="s">
        <v>20</v>
      </c>
      <c r="I1044">
        <v>843.7</v>
      </c>
      <c r="J1044">
        <v>1149.97</v>
      </c>
      <c r="K1044">
        <v>923.23</v>
      </c>
      <c r="L1044">
        <v>113.15</v>
      </c>
      <c r="M1044">
        <v>2916.9</v>
      </c>
      <c r="N1044">
        <v>3030.05</v>
      </c>
    </row>
    <row r="1045" spans="1:14" x14ac:dyDescent="0.3">
      <c r="A1045" s="2">
        <v>43831</v>
      </c>
      <c r="B1045" t="s">
        <v>66</v>
      </c>
      <c r="C1045">
        <v>2020</v>
      </c>
      <c r="D1045">
        <v>1</v>
      </c>
      <c r="E1045" t="s">
        <v>58</v>
      </c>
      <c r="F1045" t="s">
        <v>47</v>
      </c>
      <c r="G1045">
        <v>11</v>
      </c>
      <c r="H1045" t="s">
        <v>20</v>
      </c>
      <c r="I1045">
        <v>14.01</v>
      </c>
      <c r="J1045">
        <v>19.399999999999999</v>
      </c>
      <c r="K1045">
        <v>160.22</v>
      </c>
      <c r="L1045">
        <v>0.53</v>
      </c>
      <c r="M1045">
        <v>193.63</v>
      </c>
      <c r="N1045">
        <v>194.16</v>
      </c>
    </row>
    <row r="1046" spans="1:14" x14ac:dyDescent="0.3">
      <c r="A1046" s="2">
        <v>43831</v>
      </c>
      <c r="B1046" t="s">
        <v>66</v>
      </c>
      <c r="C1046">
        <v>2020</v>
      </c>
      <c r="D1046">
        <v>1</v>
      </c>
      <c r="E1046" t="s">
        <v>58</v>
      </c>
      <c r="F1046" t="s">
        <v>48</v>
      </c>
      <c r="G1046">
        <v>33</v>
      </c>
      <c r="H1046" t="s">
        <v>20</v>
      </c>
      <c r="I1046">
        <v>1694.05</v>
      </c>
      <c r="J1046">
        <v>2318.12</v>
      </c>
      <c r="K1046">
        <v>2103.9299999999998</v>
      </c>
      <c r="L1046">
        <v>586.77</v>
      </c>
      <c r="M1046">
        <v>6116.1</v>
      </c>
      <c r="N1046">
        <v>6702.87</v>
      </c>
    </row>
    <row r="1047" spans="1:14" x14ac:dyDescent="0.3">
      <c r="A1047" s="2">
        <v>43831</v>
      </c>
      <c r="B1047" t="s">
        <v>66</v>
      </c>
      <c r="C1047">
        <v>2020</v>
      </c>
      <c r="D1047">
        <v>1</v>
      </c>
      <c r="E1047" t="s">
        <v>58</v>
      </c>
      <c r="F1047" t="s">
        <v>49</v>
      </c>
      <c r="G1047">
        <v>36</v>
      </c>
      <c r="H1047" t="s">
        <v>20</v>
      </c>
      <c r="I1047">
        <v>930.73</v>
      </c>
      <c r="J1047">
        <v>1317.66</v>
      </c>
      <c r="K1047">
        <v>974.94</v>
      </c>
      <c r="L1047">
        <v>563.64</v>
      </c>
      <c r="M1047">
        <v>3223.33</v>
      </c>
      <c r="N1047">
        <v>3786.97</v>
      </c>
    </row>
    <row r="1048" spans="1:14" x14ac:dyDescent="0.3">
      <c r="A1048" s="2">
        <v>43831</v>
      </c>
      <c r="B1048" t="s">
        <v>66</v>
      </c>
      <c r="C1048">
        <v>2020</v>
      </c>
      <c r="D1048">
        <v>1</v>
      </c>
      <c r="E1048" t="s">
        <v>58</v>
      </c>
      <c r="F1048" t="s">
        <v>50</v>
      </c>
      <c r="G1048">
        <v>16</v>
      </c>
      <c r="H1048" t="s">
        <v>20</v>
      </c>
      <c r="I1048">
        <v>19.96</v>
      </c>
      <c r="J1048">
        <v>30.54</v>
      </c>
      <c r="K1048">
        <v>5.81</v>
      </c>
      <c r="L1048">
        <v>0.09</v>
      </c>
      <c r="M1048">
        <v>56.31</v>
      </c>
      <c r="N1048">
        <v>56.4</v>
      </c>
    </row>
    <row r="1049" spans="1:14" x14ac:dyDescent="0.3">
      <c r="A1049" s="2">
        <v>43831</v>
      </c>
      <c r="B1049" t="s">
        <v>66</v>
      </c>
      <c r="C1049">
        <v>2020</v>
      </c>
      <c r="D1049">
        <v>1</v>
      </c>
      <c r="E1049" t="s">
        <v>58</v>
      </c>
      <c r="F1049" t="s">
        <v>51</v>
      </c>
      <c r="G1049">
        <v>9</v>
      </c>
      <c r="H1049" t="s">
        <v>20</v>
      </c>
      <c r="I1049">
        <v>1253.55</v>
      </c>
      <c r="J1049">
        <v>1939.59</v>
      </c>
      <c r="K1049">
        <v>1443.6</v>
      </c>
      <c r="L1049">
        <v>1061.74</v>
      </c>
      <c r="M1049">
        <v>4636.74</v>
      </c>
      <c r="N1049">
        <v>5698.48</v>
      </c>
    </row>
    <row r="1050" spans="1:14" x14ac:dyDescent="0.3">
      <c r="A1050" s="2">
        <v>43831</v>
      </c>
      <c r="B1050" t="s">
        <v>66</v>
      </c>
      <c r="C1050">
        <v>2020</v>
      </c>
      <c r="D1050">
        <v>1</v>
      </c>
      <c r="E1050" t="s">
        <v>58</v>
      </c>
      <c r="F1050" t="s">
        <v>52</v>
      </c>
      <c r="G1050">
        <v>5</v>
      </c>
      <c r="H1050" t="s">
        <v>20</v>
      </c>
      <c r="I1050">
        <v>234.39</v>
      </c>
      <c r="J1050">
        <v>326.37</v>
      </c>
      <c r="K1050">
        <v>677.86</v>
      </c>
      <c r="L1050">
        <v>18.03</v>
      </c>
      <c r="M1050">
        <v>1238.6199999999999</v>
      </c>
      <c r="N1050">
        <v>1256.6500000000001</v>
      </c>
    </row>
    <row r="1051" spans="1:14" x14ac:dyDescent="0.3">
      <c r="A1051" s="2">
        <v>43831</v>
      </c>
      <c r="B1051" t="s">
        <v>66</v>
      </c>
      <c r="C1051">
        <v>2020</v>
      </c>
      <c r="D1051">
        <v>1</v>
      </c>
      <c r="E1051" t="s">
        <v>58</v>
      </c>
      <c r="F1051" t="s">
        <v>53</v>
      </c>
      <c r="G1051">
        <v>19</v>
      </c>
      <c r="H1051" t="s">
        <v>20</v>
      </c>
      <c r="I1051">
        <v>1113.53</v>
      </c>
      <c r="J1051">
        <v>1501.6</v>
      </c>
      <c r="K1051">
        <v>812.89</v>
      </c>
      <c r="L1051">
        <v>318.83999999999997</v>
      </c>
      <c r="M1051">
        <v>3428.02</v>
      </c>
      <c r="N1051">
        <v>3746.86</v>
      </c>
    </row>
    <row r="1052" spans="1:14" x14ac:dyDescent="0.3">
      <c r="A1052" s="2">
        <v>43862</v>
      </c>
      <c r="B1052" t="s">
        <v>66</v>
      </c>
      <c r="C1052">
        <v>2020</v>
      </c>
      <c r="D1052">
        <v>2</v>
      </c>
      <c r="E1052" t="s">
        <v>59</v>
      </c>
      <c r="F1052" t="s">
        <v>17</v>
      </c>
      <c r="G1052">
        <v>35</v>
      </c>
      <c r="H1052" t="s">
        <v>18</v>
      </c>
      <c r="I1052">
        <v>13.62</v>
      </c>
      <c r="J1052">
        <v>18.88</v>
      </c>
      <c r="K1052">
        <v>3.45</v>
      </c>
      <c r="L1052">
        <v>0.06</v>
      </c>
      <c r="M1052">
        <v>35.950000000000003</v>
      </c>
      <c r="N1052">
        <v>36.01</v>
      </c>
    </row>
    <row r="1053" spans="1:14" x14ac:dyDescent="0.3">
      <c r="A1053" s="2">
        <v>43862</v>
      </c>
      <c r="B1053" t="s">
        <v>66</v>
      </c>
      <c r="C1053">
        <v>2020</v>
      </c>
      <c r="D1053">
        <v>2</v>
      </c>
      <c r="E1053" t="s">
        <v>59</v>
      </c>
      <c r="F1053" t="s">
        <v>19</v>
      </c>
      <c r="G1053">
        <v>28</v>
      </c>
      <c r="H1053" t="s">
        <v>20</v>
      </c>
      <c r="I1053">
        <v>623.51</v>
      </c>
      <c r="J1053">
        <v>854.02</v>
      </c>
      <c r="K1053">
        <v>801.81</v>
      </c>
      <c r="L1053">
        <v>283.99</v>
      </c>
      <c r="M1053">
        <v>2279.34</v>
      </c>
      <c r="N1053">
        <v>2563.33</v>
      </c>
    </row>
    <row r="1054" spans="1:14" x14ac:dyDescent="0.3">
      <c r="A1054" s="2">
        <v>43862</v>
      </c>
      <c r="B1054" t="s">
        <v>66</v>
      </c>
      <c r="C1054">
        <v>2020</v>
      </c>
      <c r="D1054">
        <v>2</v>
      </c>
      <c r="E1054" t="s">
        <v>59</v>
      </c>
      <c r="F1054" t="s">
        <v>21</v>
      </c>
      <c r="G1054">
        <v>12</v>
      </c>
      <c r="H1054" t="s">
        <v>20</v>
      </c>
      <c r="I1054">
        <v>18.63</v>
      </c>
      <c r="J1054">
        <v>24.75</v>
      </c>
      <c r="K1054">
        <v>4.5599999999999996</v>
      </c>
      <c r="L1054">
        <v>0.42</v>
      </c>
      <c r="M1054">
        <v>47.94</v>
      </c>
      <c r="N1054">
        <v>48.36</v>
      </c>
    </row>
    <row r="1055" spans="1:14" x14ac:dyDescent="0.3">
      <c r="A1055" s="2">
        <v>43862</v>
      </c>
      <c r="B1055" t="s">
        <v>66</v>
      </c>
      <c r="C1055">
        <v>2020</v>
      </c>
      <c r="D1055">
        <v>2</v>
      </c>
      <c r="E1055" t="s">
        <v>59</v>
      </c>
      <c r="F1055" t="s">
        <v>22</v>
      </c>
      <c r="G1055">
        <v>18</v>
      </c>
      <c r="H1055" t="s">
        <v>20</v>
      </c>
      <c r="I1055">
        <v>280.49</v>
      </c>
      <c r="J1055">
        <v>381.43</v>
      </c>
      <c r="K1055">
        <v>213.22</v>
      </c>
      <c r="L1055">
        <v>48.73</v>
      </c>
      <c r="M1055">
        <v>875.14</v>
      </c>
      <c r="N1055">
        <v>923.87</v>
      </c>
    </row>
    <row r="1056" spans="1:14" x14ac:dyDescent="0.3">
      <c r="A1056" s="2">
        <v>43862</v>
      </c>
      <c r="B1056" t="s">
        <v>66</v>
      </c>
      <c r="C1056">
        <v>2020</v>
      </c>
      <c r="D1056">
        <v>2</v>
      </c>
      <c r="E1056" t="s">
        <v>59</v>
      </c>
      <c r="F1056" t="s">
        <v>23</v>
      </c>
      <c r="G1056">
        <v>10</v>
      </c>
      <c r="H1056" t="s">
        <v>20</v>
      </c>
      <c r="I1056">
        <v>309.20999999999998</v>
      </c>
      <c r="J1056">
        <v>498.48</v>
      </c>
      <c r="K1056">
        <v>134.29</v>
      </c>
      <c r="L1056">
        <v>178.52</v>
      </c>
      <c r="M1056">
        <v>941.98</v>
      </c>
      <c r="N1056">
        <v>1120.5</v>
      </c>
    </row>
    <row r="1057" spans="1:14" x14ac:dyDescent="0.3">
      <c r="A1057" s="2">
        <v>43862</v>
      </c>
      <c r="B1057" t="s">
        <v>66</v>
      </c>
      <c r="C1057">
        <v>2020</v>
      </c>
      <c r="D1057">
        <v>2</v>
      </c>
      <c r="E1057" t="s">
        <v>59</v>
      </c>
      <c r="F1057" t="s">
        <v>24</v>
      </c>
      <c r="G1057">
        <v>4</v>
      </c>
      <c r="H1057" t="s">
        <v>18</v>
      </c>
      <c r="I1057">
        <v>36.32</v>
      </c>
      <c r="J1057">
        <v>49.4</v>
      </c>
      <c r="K1057">
        <v>85.2</v>
      </c>
      <c r="L1057">
        <v>1.45</v>
      </c>
      <c r="M1057">
        <v>170.92</v>
      </c>
      <c r="N1057">
        <v>172.37</v>
      </c>
    </row>
    <row r="1058" spans="1:14" x14ac:dyDescent="0.3">
      <c r="A1058" s="2">
        <v>43862</v>
      </c>
      <c r="B1058" t="s">
        <v>66</v>
      </c>
      <c r="C1058">
        <v>2020</v>
      </c>
      <c r="D1058">
        <v>2</v>
      </c>
      <c r="E1058" t="s">
        <v>59</v>
      </c>
      <c r="F1058" t="s">
        <v>25</v>
      </c>
      <c r="G1058">
        <v>22</v>
      </c>
      <c r="H1058" t="s">
        <v>20</v>
      </c>
      <c r="I1058">
        <v>402.09</v>
      </c>
      <c r="J1058">
        <v>497.24</v>
      </c>
      <c r="K1058">
        <v>775.67</v>
      </c>
      <c r="L1058">
        <v>599.41</v>
      </c>
      <c r="M1058">
        <v>1675</v>
      </c>
      <c r="N1058">
        <v>2274.41</v>
      </c>
    </row>
    <row r="1059" spans="1:14" x14ac:dyDescent="0.3">
      <c r="A1059" s="2">
        <v>43862</v>
      </c>
      <c r="B1059" t="s">
        <v>66</v>
      </c>
      <c r="C1059">
        <v>2020</v>
      </c>
      <c r="D1059">
        <v>2</v>
      </c>
      <c r="E1059" t="s">
        <v>59</v>
      </c>
      <c r="F1059" t="s">
        <v>26</v>
      </c>
      <c r="G1059">
        <v>38</v>
      </c>
      <c r="H1059" t="s">
        <v>18</v>
      </c>
      <c r="I1059">
        <v>27.39</v>
      </c>
      <c r="J1059">
        <v>39.07</v>
      </c>
      <c r="K1059">
        <v>173.35</v>
      </c>
      <c r="L1059">
        <v>0.08</v>
      </c>
      <c r="M1059">
        <v>239.81</v>
      </c>
      <c r="N1059">
        <v>239.89</v>
      </c>
    </row>
    <row r="1060" spans="1:14" x14ac:dyDescent="0.3">
      <c r="A1060" s="2">
        <v>43862</v>
      </c>
      <c r="B1060" t="s">
        <v>66</v>
      </c>
      <c r="C1060">
        <v>2020</v>
      </c>
      <c r="D1060">
        <v>2</v>
      </c>
      <c r="E1060" t="s">
        <v>59</v>
      </c>
      <c r="F1060" t="s">
        <v>27</v>
      </c>
      <c r="G1060">
        <v>7</v>
      </c>
      <c r="H1060" t="s">
        <v>18</v>
      </c>
      <c r="I1060">
        <v>782.09</v>
      </c>
      <c r="J1060">
        <v>993.45</v>
      </c>
      <c r="K1060">
        <v>1965.09</v>
      </c>
      <c r="L1060">
        <v>94.12</v>
      </c>
      <c r="M1060">
        <v>3740.63</v>
      </c>
      <c r="N1060">
        <v>3834.75</v>
      </c>
    </row>
    <row r="1061" spans="1:14" x14ac:dyDescent="0.3">
      <c r="A1061" s="2">
        <v>43862</v>
      </c>
      <c r="B1061" t="s">
        <v>66</v>
      </c>
      <c r="C1061">
        <v>2020</v>
      </c>
      <c r="D1061">
        <v>2</v>
      </c>
      <c r="E1061" t="s">
        <v>59</v>
      </c>
      <c r="F1061" t="s">
        <v>28</v>
      </c>
      <c r="G1061">
        <v>30</v>
      </c>
      <c r="H1061" t="s">
        <v>20</v>
      </c>
      <c r="I1061">
        <v>107.93</v>
      </c>
      <c r="J1061">
        <v>148.28</v>
      </c>
      <c r="K1061">
        <v>151.18</v>
      </c>
      <c r="L1061">
        <v>3.22</v>
      </c>
      <c r="M1061">
        <v>407.39</v>
      </c>
      <c r="N1061">
        <v>410.61</v>
      </c>
    </row>
    <row r="1062" spans="1:14" x14ac:dyDescent="0.3">
      <c r="A1062" s="2">
        <v>43862</v>
      </c>
      <c r="B1062" t="s">
        <v>66</v>
      </c>
      <c r="C1062">
        <v>2020</v>
      </c>
      <c r="D1062">
        <v>2</v>
      </c>
      <c r="E1062" t="s">
        <v>59</v>
      </c>
      <c r="F1062" t="s">
        <v>29</v>
      </c>
      <c r="G1062">
        <v>24</v>
      </c>
      <c r="H1062" t="s">
        <v>20</v>
      </c>
      <c r="I1062">
        <v>1983.73</v>
      </c>
      <c r="J1062">
        <v>2534.41</v>
      </c>
      <c r="K1062">
        <v>2208.14</v>
      </c>
      <c r="L1062">
        <v>489.26</v>
      </c>
      <c r="M1062">
        <v>6726.28</v>
      </c>
      <c r="N1062">
        <v>7215.54</v>
      </c>
    </row>
    <row r="1063" spans="1:14" x14ac:dyDescent="0.3">
      <c r="A1063" s="2">
        <v>43862</v>
      </c>
      <c r="B1063" t="s">
        <v>66</v>
      </c>
      <c r="C1063">
        <v>2020</v>
      </c>
      <c r="D1063">
        <v>2</v>
      </c>
      <c r="E1063" t="s">
        <v>59</v>
      </c>
      <c r="F1063" t="s">
        <v>30</v>
      </c>
      <c r="G1063">
        <v>6</v>
      </c>
      <c r="H1063" t="s">
        <v>20</v>
      </c>
      <c r="I1063">
        <v>883.07</v>
      </c>
      <c r="J1063">
        <v>1269.3599999999999</v>
      </c>
      <c r="K1063">
        <v>2868.45</v>
      </c>
      <c r="L1063">
        <v>245.55</v>
      </c>
      <c r="M1063">
        <v>5020.88</v>
      </c>
      <c r="N1063">
        <v>5266.43</v>
      </c>
    </row>
    <row r="1064" spans="1:14" x14ac:dyDescent="0.3">
      <c r="A1064" s="2">
        <v>43862</v>
      </c>
      <c r="B1064" t="s">
        <v>66</v>
      </c>
      <c r="C1064">
        <v>2020</v>
      </c>
      <c r="D1064">
        <v>2</v>
      </c>
      <c r="E1064" t="s">
        <v>59</v>
      </c>
      <c r="F1064" t="s">
        <v>31</v>
      </c>
      <c r="G1064">
        <v>2</v>
      </c>
      <c r="H1064" t="s">
        <v>20</v>
      </c>
      <c r="I1064">
        <v>102.18</v>
      </c>
      <c r="J1064">
        <v>140.37</v>
      </c>
      <c r="K1064">
        <v>376.8</v>
      </c>
      <c r="L1064">
        <v>1.34</v>
      </c>
      <c r="M1064">
        <v>619.35</v>
      </c>
      <c r="N1064">
        <v>620.69000000000005</v>
      </c>
    </row>
    <row r="1065" spans="1:14" x14ac:dyDescent="0.3">
      <c r="A1065" s="2">
        <v>43862</v>
      </c>
      <c r="B1065" t="s">
        <v>66</v>
      </c>
      <c r="C1065">
        <v>2020</v>
      </c>
      <c r="D1065">
        <v>2</v>
      </c>
      <c r="E1065" t="s">
        <v>59</v>
      </c>
      <c r="F1065" t="s">
        <v>32</v>
      </c>
      <c r="G1065">
        <v>1</v>
      </c>
      <c r="H1065" t="s">
        <v>18</v>
      </c>
      <c r="I1065">
        <v>93.82</v>
      </c>
      <c r="J1065">
        <v>144.4</v>
      </c>
      <c r="K1065">
        <v>76.08</v>
      </c>
      <c r="L1065">
        <v>1.87</v>
      </c>
      <c r="M1065">
        <v>314.3</v>
      </c>
      <c r="N1065">
        <v>316.17</v>
      </c>
    </row>
    <row r="1066" spans="1:14" x14ac:dyDescent="0.3">
      <c r="A1066" s="2">
        <v>43862</v>
      </c>
      <c r="B1066" t="s">
        <v>66</v>
      </c>
      <c r="C1066">
        <v>2020</v>
      </c>
      <c r="D1066">
        <v>2</v>
      </c>
      <c r="E1066" t="s">
        <v>59</v>
      </c>
      <c r="F1066" t="s">
        <v>33</v>
      </c>
      <c r="G1066">
        <v>20</v>
      </c>
      <c r="H1066" t="s">
        <v>20</v>
      </c>
      <c r="I1066">
        <v>367.84</v>
      </c>
      <c r="J1066">
        <v>476.85</v>
      </c>
      <c r="K1066">
        <v>755.25</v>
      </c>
      <c r="L1066">
        <v>470.93</v>
      </c>
      <c r="M1066">
        <v>1599.94</v>
      </c>
      <c r="N1066">
        <v>2070.87</v>
      </c>
    </row>
    <row r="1067" spans="1:14" x14ac:dyDescent="0.3">
      <c r="A1067" s="2">
        <v>43862</v>
      </c>
      <c r="B1067" t="s">
        <v>66</v>
      </c>
      <c r="C1067">
        <v>2020</v>
      </c>
      <c r="D1067">
        <v>2</v>
      </c>
      <c r="E1067" t="s">
        <v>59</v>
      </c>
      <c r="F1067" t="s">
        <v>34</v>
      </c>
      <c r="G1067">
        <v>29</v>
      </c>
      <c r="H1067" t="s">
        <v>20</v>
      </c>
      <c r="I1067">
        <v>1826.93</v>
      </c>
      <c r="J1067">
        <v>2380.61</v>
      </c>
      <c r="K1067">
        <v>2516.9499999999998</v>
      </c>
      <c r="L1067">
        <v>689.34</v>
      </c>
      <c r="M1067">
        <v>6724.49</v>
      </c>
      <c r="N1067">
        <v>7413.83</v>
      </c>
    </row>
    <row r="1068" spans="1:14" x14ac:dyDescent="0.3">
      <c r="A1068" s="2">
        <v>43862</v>
      </c>
      <c r="B1068" t="s">
        <v>66</v>
      </c>
      <c r="C1068">
        <v>2020</v>
      </c>
      <c r="D1068">
        <v>2</v>
      </c>
      <c r="E1068" t="s">
        <v>59</v>
      </c>
      <c r="F1068" t="s">
        <v>35</v>
      </c>
      <c r="G1068">
        <v>32</v>
      </c>
      <c r="H1068" t="s">
        <v>20</v>
      </c>
      <c r="I1068">
        <v>574.63</v>
      </c>
      <c r="J1068">
        <v>845.43</v>
      </c>
      <c r="K1068">
        <v>320.52999999999997</v>
      </c>
      <c r="L1068">
        <v>13.53</v>
      </c>
      <c r="M1068">
        <v>1740.59</v>
      </c>
      <c r="N1068">
        <v>1754.12</v>
      </c>
    </row>
    <row r="1069" spans="1:14" x14ac:dyDescent="0.3">
      <c r="A1069" s="2">
        <v>43862</v>
      </c>
      <c r="B1069" t="s">
        <v>66</v>
      </c>
      <c r="C1069">
        <v>2020</v>
      </c>
      <c r="D1069">
        <v>2</v>
      </c>
      <c r="E1069" t="s">
        <v>59</v>
      </c>
      <c r="F1069" t="s">
        <v>67</v>
      </c>
      <c r="G1069">
        <v>37</v>
      </c>
      <c r="H1069" t="s">
        <v>18</v>
      </c>
      <c r="I1069">
        <v>0.71</v>
      </c>
      <c r="J1069">
        <v>0.71</v>
      </c>
      <c r="K1069">
        <v>0.09</v>
      </c>
      <c r="L1069">
        <v>2.96</v>
      </c>
      <c r="M1069">
        <v>1.51</v>
      </c>
      <c r="N1069">
        <v>4.47</v>
      </c>
    </row>
    <row r="1070" spans="1:14" x14ac:dyDescent="0.3">
      <c r="A1070" s="2">
        <v>43862</v>
      </c>
      <c r="B1070" t="s">
        <v>66</v>
      </c>
      <c r="C1070">
        <v>2020</v>
      </c>
      <c r="D1070">
        <v>2</v>
      </c>
      <c r="E1070" t="s">
        <v>59</v>
      </c>
      <c r="F1070" t="s">
        <v>36</v>
      </c>
      <c r="G1070">
        <v>31</v>
      </c>
      <c r="H1070" t="s">
        <v>18</v>
      </c>
      <c r="I1070">
        <v>0.99</v>
      </c>
      <c r="J1070">
        <v>1.1100000000000001</v>
      </c>
      <c r="K1070">
        <v>0.04</v>
      </c>
      <c r="L1070">
        <v>0</v>
      </c>
      <c r="M1070">
        <v>2.14</v>
      </c>
      <c r="N1070">
        <v>2.14</v>
      </c>
    </row>
    <row r="1071" spans="1:14" x14ac:dyDescent="0.3">
      <c r="A1071" s="2">
        <v>43862</v>
      </c>
      <c r="B1071" t="s">
        <v>66</v>
      </c>
      <c r="C1071">
        <v>2020</v>
      </c>
      <c r="D1071">
        <v>2</v>
      </c>
      <c r="E1071" t="s">
        <v>59</v>
      </c>
      <c r="F1071" t="s">
        <v>37</v>
      </c>
      <c r="G1071">
        <v>23</v>
      </c>
      <c r="H1071" t="s">
        <v>20</v>
      </c>
      <c r="I1071">
        <v>620.12</v>
      </c>
      <c r="J1071">
        <v>820.25</v>
      </c>
      <c r="K1071">
        <v>667.92</v>
      </c>
      <c r="L1071">
        <v>512.74</v>
      </c>
      <c r="M1071">
        <v>2108.29</v>
      </c>
      <c r="N1071">
        <v>2621.0300000000002</v>
      </c>
    </row>
    <row r="1072" spans="1:14" x14ac:dyDescent="0.3">
      <c r="A1072" s="2">
        <v>43862</v>
      </c>
      <c r="B1072" t="s">
        <v>66</v>
      </c>
      <c r="C1072">
        <v>2020</v>
      </c>
      <c r="D1072">
        <v>2</v>
      </c>
      <c r="E1072" t="s">
        <v>59</v>
      </c>
      <c r="F1072" t="s">
        <v>38</v>
      </c>
      <c r="G1072">
        <v>27</v>
      </c>
      <c r="H1072" t="s">
        <v>20</v>
      </c>
      <c r="I1072">
        <v>4437.5600000000004</v>
      </c>
      <c r="J1072">
        <v>5443.23</v>
      </c>
      <c r="K1072">
        <v>4853.54</v>
      </c>
      <c r="L1072">
        <v>1000.33</v>
      </c>
      <c r="M1072">
        <v>14734.33</v>
      </c>
      <c r="N1072">
        <v>15734.66</v>
      </c>
    </row>
    <row r="1073" spans="1:14" x14ac:dyDescent="0.3">
      <c r="A1073" s="2">
        <v>43862</v>
      </c>
      <c r="B1073" t="s">
        <v>66</v>
      </c>
      <c r="C1073">
        <v>2020</v>
      </c>
      <c r="D1073">
        <v>2</v>
      </c>
      <c r="E1073" t="s">
        <v>59</v>
      </c>
      <c r="F1073" t="s">
        <v>39</v>
      </c>
      <c r="G1073">
        <v>14</v>
      </c>
      <c r="H1073" t="s">
        <v>20</v>
      </c>
      <c r="I1073">
        <v>13.97</v>
      </c>
      <c r="J1073">
        <v>20.440000000000001</v>
      </c>
      <c r="K1073">
        <v>2.79</v>
      </c>
      <c r="L1073">
        <v>0.16</v>
      </c>
      <c r="M1073">
        <v>37.200000000000003</v>
      </c>
      <c r="N1073">
        <v>37.36</v>
      </c>
    </row>
    <row r="1074" spans="1:14" x14ac:dyDescent="0.3">
      <c r="A1074" s="2">
        <v>43862</v>
      </c>
      <c r="B1074" t="s">
        <v>66</v>
      </c>
      <c r="C1074">
        <v>2020</v>
      </c>
      <c r="D1074">
        <v>2</v>
      </c>
      <c r="E1074" t="s">
        <v>59</v>
      </c>
      <c r="F1074" t="s">
        <v>40</v>
      </c>
      <c r="G1074">
        <v>17</v>
      </c>
      <c r="H1074" t="s">
        <v>20</v>
      </c>
      <c r="I1074">
        <v>19.98</v>
      </c>
      <c r="J1074">
        <v>29.18</v>
      </c>
      <c r="K1074">
        <v>107.18</v>
      </c>
      <c r="L1074">
        <v>0.23</v>
      </c>
      <c r="M1074">
        <v>156.34</v>
      </c>
      <c r="N1074">
        <v>156.57</v>
      </c>
    </row>
    <row r="1075" spans="1:14" x14ac:dyDescent="0.3">
      <c r="A1075" s="2">
        <v>43862</v>
      </c>
      <c r="B1075" t="s">
        <v>66</v>
      </c>
      <c r="C1075">
        <v>2020</v>
      </c>
      <c r="D1075">
        <v>2</v>
      </c>
      <c r="E1075" t="s">
        <v>59</v>
      </c>
      <c r="F1075" t="s">
        <v>41</v>
      </c>
      <c r="G1075">
        <v>15</v>
      </c>
      <c r="H1075" t="s">
        <v>20</v>
      </c>
      <c r="I1075">
        <v>7.42</v>
      </c>
      <c r="J1075">
        <v>12.99</v>
      </c>
      <c r="K1075">
        <v>4.3</v>
      </c>
      <c r="L1075">
        <v>0.13</v>
      </c>
      <c r="M1075">
        <v>24.71</v>
      </c>
      <c r="N1075">
        <v>24.84</v>
      </c>
    </row>
    <row r="1076" spans="1:14" x14ac:dyDescent="0.3">
      <c r="A1076" s="2">
        <v>43862</v>
      </c>
      <c r="B1076" t="s">
        <v>66</v>
      </c>
      <c r="C1076">
        <v>2020</v>
      </c>
      <c r="D1076">
        <v>2</v>
      </c>
      <c r="E1076" t="s">
        <v>59</v>
      </c>
      <c r="F1076" t="s">
        <v>42</v>
      </c>
      <c r="G1076">
        <v>13</v>
      </c>
      <c r="H1076" t="s">
        <v>20</v>
      </c>
      <c r="I1076">
        <v>8.26</v>
      </c>
      <c r="J1076">
        <v>11.31</v>
      </c>
      <c r="K1076">
        <v>4.3600000000000003</v>
      </c>
      <c r="L1076">
        <v>1</v>
      </c>
      <c r="M1076">
        <v>23.93</v>
      </c>
      <c r="N1076">
        <v>24.93</v>
      </c>
    </row>
    <row r="1077" spans="1:14" x14ac:dyDescent="0.3">
      <c r="A1077" s="2">
        <v>43862</v>
      </c>
      <c r="B1077" t="s">
        <v>66</v>
      </c>
      <c r="C1077">
        <v>2020</v>
      </c>
      <c r="D1077">
        <v>2</v>
      </c>
      <c r="E1077" t="s">
        <v>59</v>
      </c>
      <c r="F1077" t="s">
        <v>43</v>
      </c>
      <c r="G1077">
        <v>21</v>
      </c>
      <c r="H1077" t="s">
        <v>20</v>
      </c>
      <c r="I1077">
        <v>618.78</v>
      </c>
      <c r="J1077">
        <v>804.85</v>
      </c>
      <c r="K1077">
        <v>792.59</v>
      </c>
      <c r="L1077">
        <v>573.94000000000005</v>
      </c>
      <c r="M1077">
        <v>2216.2199999999998</v>
      </c>
      <c r="N1077">
        <v>2790.16</v>
      </c>
    </row>
    <row r="1078" spans="1:14" x14ac:dyDescent="0.3">
      <c r="A1078" s="2">
        <v>43862</v>
      </c>
      <c r="B1078" t="s">
        <v>66</v>
      </c>
      <c r="C1078">
        <v>2020</v>
      </c>
      <c r="D1078">
        <v>2</v>
      </c>
      <c r="E1078" t="s">
        <v>59</v>
      </c>
      <c r="F1078" t="s">
        <v>44</v>
      </c>
      <c r="G1078">
        <v>34</v>
      </c>
      <c r="H1078" t="s">
        <v>18</v>
      </c>
      <c r="I1078">
        <v>22.56</v>
      </c>
      <c r="J1078">
        <v>34.369999999999997</v>
      </c>
      <c r="K1078">
        <v>100.99</v>
      </c>
      <c r="L1078">
        <v>0.94</v>
      </c>
      <c r="M1078">
        <v>157.91999999999999</v>
      </c>
      <c r="N1078">
        <v>158.86000000000001</v>
      </c>
    </row>
    <row r="1079" spans="1:14" x14ac:dyDescent="0.3">
      <c r="A1079" s="2">
        <v>43862</v>
      </c>
      <c r="B1079" t="s">
        <v>66</v>
      </c>
      <c r="C1079">
        <v>2020</v>
      </c>
      <c r="D1079">
        <v>2</v>
      </c>
      <c r="E1079" t="s">
        <v>59</v>
      </c>
      <c r="F1079" t="s">
        <v>45</v>
      </c>
      <c r="G1079">
        <v>3</v>
      </c>
      <c r="H1079" t="s">
        <v>20</v>
      </c>
      <c r="I1079">
        <v>308.58</v>
      </c>
      <c r="J1079">
        <v>503.82</v>
      </c>
      <c r="K1079">
        <v>403.5</v>
      </c>
      <c r="L1079">
        <v>13.04</v>
      </c>
      <c r="M1079">
        <v>1215.9000000000001</v>
      </c>
      <c r="N1079">
        <v>1228.94</v>
      </c>
    </row>
    <row r="1080" spans="1:14" x14ac:dyDescent="0.3">
      <c r="A1080" s="2">
        <v>43862</v>
      </c>
      <c r="B1080" t="s">
        <v>66</v>
      </c>
      <c r="C1080">
        <v>2020</v>
      </c>
      <c r="D1080">
        <v>2</v>
      </c>
      <c r="E1080" t="s">
        <v>59</v>
      </c>
      <c r="F1080" t="s">
        <v>46</v>
      </c>
      <c r="G1080">
        <v>8</v>
      </c>
      <c r="H1080" t="s">
        <v>20</v>
      </c>
      <c r="I1080">
        <v>801.02</v>
      </c>
      <c r="J1080">
        <v>1046.69</v>
      </c>
      <c r="K1080">
        <v>968.05</v>
      </c>
      <c r="L1080">
        <v>116.33</v>
      </c>
      <c r="M1080">
        <v>2815.76</v>
      </c>
      <c r="N1080">
        <v>2932.09</v>
      </c>
    </row>
    <row r="1081" spans="1:14" x14ac:dyDescent="0.3">
      <c r="A1081" s="2">
        <v>43862</v>
      </c>
      <c r="B1081" t="s">
        <v>66</v>
      </c>
      <c r="C1081">
        <v>2020</v>
      </c>
      <c r="D1081">
        <v>2</v>
      </c>
      <c r="E1081" t="s">
        <v>59</v>
      </c>
      <c r="F1081" t="s">
        <v>47</v>
      </c>
      <c r="G1081">
        <v>11</v>
      </c>
      <c r="H1081" t="s">
        <v>20</v>
      </c>
      <c r="I1081">
        <v>9.76</v>
      </c>
      <c r="J1081">
        <v>15.98</v>
      </c>
      <c r="K1081">
        <v>156.85</v>
      </c>
      <c r="L1081">
        <v>0.06</v>
      </c>
      <c r="M1081">
        <v>182.59</v>
      </c>
      <c r="N1081">
        <v>182.65</v>
      </c>
    </row>
    <row r="1082" spans="1:14" x14ac:dyDescent="0.3">
      <c r="A1082" s="2">
        <v>43862</v>
      </c>
      <c r="B1082" t="s">
        <v>66</v>
      </c>
      <c r="C1082">
        <v>2020</v>
      </c>
      <c r="D1082">
        <v>2</v>
      </c>
      <c r="E1082" t="s">
        <v>59</v>
      </c>
      <c r="F1082" t="s">
        <v>48</v>
      </c>
      <c r="G1082">
        <v>33</v>
      </c>
      <c r="H1082" t="s">
        <v>20</v>
      </c>
      <c r="I1082">
        <v>1702.54</v>
      </c>
      <c r="J1082">
        <v>2332.04</v>
      </c>
      <c r="K1082">
        <v>1988.5</v>
      </c>
      <c r="L1082">
        <v>403.41</v>
      </c>
      <c r="M1082">
        <v>6023.08</v>
      </c>
      <c r="N1082">
        <v>6426.49</v>
      </c>
    </row>
    <row r="1083" spans="1:14" x14ac:dyDescent="0.3">
      <c r="A1083" s="2">
        <v>43862</v>
      </c>
      <c r="B1083" t="s">
        <v>66</v>
      </c>
      <c r="C1083">
        <v>2020</v>
      </c>
      <c r="D1083">
        <v>2</v>
      </c>
      <c r="E1083" t="s">
        <v>59</v>
      </c>
      <c r="F1083" t="s">
        <v>49</v>
      </c>
      <c r="G1083">
        <v>36</v>
      </c>
      <c r="H1083" t="s">
        <v>20</v>
      </c>
      <c r="I1083">
        <v>932.54</v>
      </c>
      <c r="J1083">
        <v>1208.5999999999999</v>
      </c>
      <c r="K1083">
        <v>933.38</v>
      </c>
      <c r="L1083">
        <v>592.61</v>
      </c>
      <c r="M1083">
        <v>3074.52</v>
      </c>
      <c r="N1083">
        <v>3667.13</v>
      </c>
    </row>
    <row r="1084" spans="1:14" x14ac:dyDescent="0.3">
      <c r="A1084" s="2">
        <v>43862</v>
      </c>
      <c r="B1084" t="s">
        <v>66</v>
      </c>
      <c r="C1084">
        <v>2020</v>
      </c>
      <c r="D1084">
        <v>2</v>
      </c>
      <c r="E1084" t="s">
        <v>59</v>
      </c>
      <c r="F1084" t="s">
        <v>50</v>
      </c>
      <c r="G1084">
        <v>16</v>
      </c>
      <c r="H1084" t="s">
        <v>20</v>
      </c>
      <c r="I1084">
        <v>22.55</v>
      </c>
      <c r="J1084">
        <v>33.57</v>
      </c>
      <c r="K1084">
        <v>6.92</v>
      </c>
      <c r="L1084">
        <v>0.22</v>
      </c>
      <c r="M1084">
        <v>63.04</v>
      </c>
      <c r="N1084">
        <v>63.26</v>
      </c>
    </row>
    <row r="1085" spans="1:14" x14ac:dyDescent="0.3">
      <c r="A1085" s="2">
        <v>43862</v>
      </c>
      <c r="B1085" t="s">
        <v>66</v>
      </c>
      <c r="C1085">
        <v>2020</v>
      </c>
      <c r="D1085">
        <v>2</v>
      </c>
      <c r="E1085" t="s">
        <v>59</v>
      </c>
      <c r="F1085" t="s">
        <v>51</v>
      </c>
      <c r="G1085">
        <v>9</v>
      </c>
      <c r="H1085" t="s">
        <v>20</v>
      </c>
      <c r="I1085">
        <v>1229.3</v>
      </c>
      <c r="J1085">
        <v>1869.38</v>
      </c>
      <c r="K1085">
        <v>1478.92</v>
      </c>
      <c r="L1085">
        <v>1198.31</v>
      </c>
      <c r="M1085">
        <v>4577.6000000000004</v>
      </c>
      <c r="N1085">
        <v>5775.91</v>
      </c>
    </row>
    <row r="1086" spans="1:14" x14ac:dyDescent="0.3">
      <c r="A1086" s="2">
        <v>43862</v>
      </c>
      <c r="B1086" t="s">
        <v>66</v>
      </c>
      <c r="C1086">
        <v>2020</v>
      </c>
      <c r="D1086">
        <v>2</v>
      </c>
      <c r="E1086" t="s">
        <v>59</v>
      </c>
      <c r="F1086" t="s">
        <v>52</v>
      </c>
      <c r="G1086">
        <v>5</v>
      </c>
      <c r="H1086" t="s">
        <v>20</v>
      </c>
      <c r="I1086">
        <v>229.59</v>
      </c>
      <c r="J1086">
        <v>310.31</v>
      </c>
      <c r="K1086">
        <v>723.23</v>
      </c>
      <c r="L1086">
        <v>17.8</v>
      </c>
      <c r="M1086">
        <v>1263.1300000000001</v>
      </c>
      <c r="N1086">
        <v>1280.93</v>
      </c>
    </row>
    <row r="1087" spans="1:14" x14ac:dyDescent="0.3">
      <c r="A1087" s="2">
        <v>43862</v>
      </c>
      <c r="B1087" t="s">
        <v>66</v>
      </c>
      <c r="C1087">
        <v>2020</v>
      </c>
      <c r="D1087">
        <v>2</v>
      </c>
      <c r="E1087" t="s">
        <v>59</v>
      </c>
      <c r="F1087" t="s">
        <v>53</v>
      </c>
      <c r="G1087">
        <v>19</v>
      </c>
      <c r="H1087" t="s">
        <v>20</v>
      </c>
      <c r="I1087">
        <v>1140.54</v>
      </c>
      <c r="J1087">
        <v>1539.89</v>
      </c>
      <c r="K1087">
        <v>910.58</v>
      </c>
      <c r="L1087">
        <v>350.53</v>
      </c>
      <c r="M1087">
        <v>3591.01</v>
      </c>
      <c r="N1087">
        <v>3941.54</v>
      </c>
    </row>
    <row r="1088" spans="1:14" x14ac:dyDescent="0.3">
      <c r="A1088" s="2">
        <v>43891</v>
      </c>
      <c r="B1088" t="s">
        <v>66</v>
      </c>
      <c r="C1088">
        <v>2020</v>
      </c>
      <c r="D1088">
        <v>3</v>
      </c>
      <c r="E1088" t="s">
        <v>60</v>
      </c>
      <c r="F1088" t="s">
        <v>17</v>
      </c>
      <c r="G1088">
        <v>35</v>
      </c>
      <c r="H1088" t="s">
        <v>18</v>
      </c>
      <c r="I1088">
        <v>15.87</v>
      </c>
      <c r="J1088">
        <v>19.61</v>
      </c>
      <c r="K1088">
        <v>3.04</v>
      </c>
      <c r="L1088">
        <v>0.06</v>
      </c>
      <c r="M1088">
        <v>38.520000000000003</v>
      </c>
      <c r="N1088">
        <v>38.58</v>
      </c>
    </row>
    <row r="1089" spans="1:14" x14ac:dyDescent="0.3">
      <c r="A1089" s="2">
        <v>43891</v>
      </c>
      <c r="B1089" t="s">
        <v>66</v>
      </c>
      <c r="C1089">
        <v>2020</v>
      </c>
      <c r="D1089">
        <v>3</v>
      </c>
      <c r="E1089" t="s">
        <v>60</v>
      </c>
      <c r="F1089" t="s">
        <v>19</v>
      </c>
      <c r="G1089">
        <v>28</v>
      </c>
      <c r="H1089" t="s">
        <v>20</v>
      </c>
      <c r="I1089">
        <v>561.24</v>
      </c>
      <c r="J1089">
        <v>789.01</v>
      </c>
      <c r="K1089">
        <v>896.06</v>
      </c>
      <c r="L1089">
        <v>301.83</v>
      </c>
      <c r="M1089">
        <v>2246.31</v>
      </c>
      <c r="N1089">
        <v>2548.14</v>
      </c>
    </row>
    <row r="1090" spans="1:14" x14ac:dyDescent="0.3">
      <c r="A1090" s="2">
        <v>43891</v>
      </c>
      <c r="B1090" t="s">
        <v>66</v>
      </c>
      <c r="C1090">
        <v>2020</v>
      </c>
      <c r="D1090">
        <v>3</v>
      </c>
      <c r="E1090" t="s">
        <v>60</v>
      </c>
      <c r="F1090" t="s">
        <v>21</v>
      </c>
      <c r="G1090">
        <v>12</v>
      </c>
      <c r="H1090" t="s">
        <v>20</v>
      </c>
      <c r="I1090">
        <v>27.5</v>
      </c>
      <c r="J1090">
        <v>33.229999999999997</v>
      </c>
      <c r="K1090">
        <v>5.96</v>
      </c>
      <c r="L1090">
        <v>0.01</v>
      </c>
      <c r="M1090">
        <v>66.69</v>
      </c>
      <c r="N1090">
        <v>66.7</v>
      </c>
    </row>
    <row r="1091" spans="1:14" x14ac:dyDescent="0.3">
      <c r="A1091" s="2">
        <v>43891</v>
      </c>
      <c r="B1091" t="s">
        <v>66</v>
      </c>
      <c r="C1091">
        <v>2020</v>
      </c>
      <c r="D1091">
        <v>3</v>
      </c>
      <c r="E1091" t="s">
        <v>60</v>
      </c>
      <c r="F1091" t="s">
        <v>22</v>
      </c>
      <c r="G1091">
        <v>18</v>
      </c>
      <c r="H1091" t="s">
        <v>20</v>
      </c>
      <c r="I1091">
        <v>288.87</v>
      </c>
      <c r="J1091">
        <v>389.2</v>
      </c>
      <c r="K1091">
        <v>213.26</v>
      </c>
      <c r="L1091">
        <v>40.39</v>
      </c>
      <c r="M1091">
        <v>891.33</v>
      </c>
      <c r="N1091">
        <v>931.72</v>
      </c>
    </row>
    <row r="1092" spans="1:14" x14ac:dyDescent="0.3">
      <c r="A1092" s="2">
        <v>43891</v>
      </c>
      <c r="B1092" t="s">
        <v>66</v>
      </c>
      <c r="C1092">
        <v>2020</v>
      </c>
      <c r="D1092">
        <v>3</v>
      </c>
      <c r="E1092" t="s">
        <v>60</v>
      </c>
      <c r="F1092" t="s">
        <v>23</v>
      </c>
      <c r="G1092">
        <v>10</v>
      </c>
      <c r="H1092" t="s">
        <v>20</v>
      </c>
      <c r="I1092">
        <v>305.76</v>
      </c>
      <c r="J1092">
        <v>496.81</v>
      </c>
      <c r="K1092">
        <v>118.13</v>
      </c>
      <c r="L1092">
        <v>135.25</v>
      </c>
      <c r="M1092">
        <v>920.7</v>
      </c>
      <c r="N1092">
        <v>1055.95</v>
      </c>
    </row>
    <row r="1093" spans="1:14" x14ac:dyDescent="0.3">
      <c r="A1093" s="2">
        <v>43891</v>
      </c>
      <c r="B1093" t="s">
        <v>66</v>
      </c>
      <c r="C1093">
        <v>2020</v>
      </c>
      <c r="D1093">
        <v>3</v>
      </c>
      <c r="E1093" t="s">
        <v>60</v>
      </c>
      <c r="F1093" t="s">
        <v>24</v>
      </c>
      <c r="G1093">
        <v>4</v>
      </c>
      <c r="H1093" t="s">
        <v>18</v>
      </c>
      <c r="I1093">
        <v>30.03</v>
      </c>
      <c r="J1093">
        <v>41.32</v>
      </c>
      <c r="K1093">
        <v>79.41</v>
      </c>
      <c r="L1093">
        <v>2.5</v>
      </c>
      <c r="M1093">
        <v>150.76</v>
      </c>
      <c r="N1093">
        <v>153.26</v>
      </c>
    </row>
    <row r="1094" spans="1:14" x14ac:dyDescent="0.3">
      <c r="A1094" s="2">
        <v>43891</v>
      </c>
      <c r="B1094" t="s">
        <v>66</v>
      </c>
      <c r="C1094">
        <v>2020</v>
      </c>
      <c r="D1094">
        <v>3</v>
      </c>
      <c r="E1094" t="s">
        <v>60</v>
      </c>
      <c r="F1094" t="s">
        <v>25</v>
      </c>
      <c r="G1094">
        <v>22</v>
      </c>
      <c r="H1094" t="s">
        <v>20</v>
      </c>
      <c r="I1094">
        <v>418.63</v>
      </c>
      <c r="J1094">
        <v>500.24</v>
      </c>
      <c r="K1094">
        <v>595.26</v>
      </c>
      <c r="L1094">
        <v>579.03</v>
      </c>
      <c r="M1094">
        <v>1514.13</v>
      </c>
      <c r="N1094">
        <v>2093.16</v>
      </c>
    </row>
    <row r="1095" spans="1:14" x14ac:dyDescent="0.3">
      <c r="A1095" s="2">
        <v>43891</v>
      </c>
      <c r="B1095" t="s">
        <v>66</v>
      </c>
      <c r="C1095">
        <v>2020</v>
      </c>
      <c r="D1095">
        <v>3</v>
      </c>
      <c r="E1095" t="s">
        <v>60</v>
      </c>
      <c r="F1095" t="s">
        <v>26</v>
      </c>
      <c r="G1095">
        <v>38</v>
      </c>
      <c r="H1095" t="s">
        <v>18</v>
      </c>
      <c r="I1095">
        <v>29.41</v>
      </c>
      <c r="J1095">
        <v>40.26</v>
      </c>
      <c r="K1095">
        <v>193.93</v>
      </c>
      <c r="L1095">
        <v>0.2</v>
      </c>
      <c r="M1095">
        <v>263.60000000000002</v>
      </c>
      <c r="N1095">
        <v>263.8</v>
      </c>
    </row>
    <row r="1096" spans="1:14" x14ac:dyDescent="0.3">
      <c r="A1096" s="2">
        <v>43891</v>
      </c>
      <c r="B1096" t="s">
        <v>66</v>
      </c>
      <c r="C1096">
        <v>2020</v>
      </c>
      <c r="D1096">
        <v>3</v>
      </c>
      <c r="E1096" t="s">
        <v>60</v>
      </c>
      <c r="F1096" t="s">
        <v>27</v>
      </c>
      <c r="G1096">
        <v>7</v>
      </c>
      <c r="H1096" t="s">
        <v>18</v>
      </c>
      <c r="I1096">
        <v>680.88</v>
      </c>
      <c r="J1096">
        <v>881.72</v>
      </c>
      <c r="K1096">
        <v>1617.06</v>
      </c>
      <c r="L1096">
        <v>93.33</v>
      </c>
      <c r="M1096">
        <v>3179.66</v>
      </c>
      <c r="N1096">
        <v>3272.99</v>
      </c>
    </row>
    <row r="1097" spans="1:14" x14ac:dyDescent="0.3">
      <c r="A1097" s="2">
        <v>43891</v>
      </c>
      <c r="B1097" t="s">
        <v>66</v>
      </c>
      <c r="C1097">
        <v>2020</v>
      </c>
      <c r="D1097">
        <v>3</v>
      </c>
      <c r="E1097" t="s">
        <v>60</v>
      </c>
      <c r="F1097" t="s">
        <v>28</v>
      </c>
      <c r="G1097">
        <v>30</v>
      </c>
      <c r="H1097" t="s">
        <v>20</v>
      </c>
      <c r="I1097">
        <v>77.180000000000007</v>
      </c>
      <c r="J1097">
        <v>111.96</v>
      </c>
      <c r="K1097">
        <v>125.14</v>
      </c>
      <c r="L1097">
        <v>2.2000000000000002</v>
      </c>
      <c r="M1097">
        <v>314.27999999999997</v>
      </c>
      <c r="N1097">
        <v>316.48</v>
      </c>
    </row>
    <row r="1098" spans="1:14" x14ac:dyDescent="0.3">
      <c r="A1098" s="2">
        <v>43891</v>
      </c>
      <c r="B1098" t="s">
        <v>66</v>
      </c>
      <c r="C1098">
        <v>2020</v>
      </c>
      <c r="D1098">
        <v>3</v>
      </c>
      <c r="E1098" t="s">
        <v>60</v>
      </c>
      <c r="F1098" t="s">
        <v>29</v>
      </c>
      <c r="G1098">
        <v>24</v>
      </c>
      <c r="H1098" t="s">
        <v>20</v>
      </c>
      <c r="I1098">
        <v>1886.25</v>
      </c>
      <c r="J1098">
        <v>2359.5500000000002</v>
      </c>
      <c r="K1098">
        <v>2218.04</v>
      </c>
      <c r="L1098">
        <v>356.62</v>
      </c>
      <c r="M1098">
        <v>6463.84</v>
      </c>
      <c r="N1098">
        <v>6820.46</v>
      </c>
    </row>
    <row r="1099" spans="1:14" x14ac:dyDescent="0.3">
      <c r="A1099" s="2">
        <v>43891</v>
      </c>
      <c r="B1099" t="s">
        <v>66</v>
      </c>
      <c r="C1099">
        <v>2020</v>
      </c>
      <c r="D1099">
        <v>3</v>
      </c>
      <c r="E1099" t="s">
        <v>60</v>
      </c>
      <c r="F1099" t="s">
        <v>30</v>
      </c>
      <c r="G1099">
        <v>6</v>
      </c>
      <c r="H1099" t="s">
        <v>20</v>
      </c>
      <c r="I1099">
        <v>736.47</v>
      </c>
      <c r="J1099">
        <v>1074.1400000000001</v>
      </c>
      <c r="K1099">
        <v>2678.42</v>
      </c>
      <c r="L1099">
        <v>385.26</v>
      </c>
      <c r="M1099">
        <v>4489.03</v>
      </c>
      <c r="N1099">
        <v>4874.29</v>
      </c>
    </row>
    <row r="1100" spans="1:14" x14ac:dyDescent="0.3">
      <c r="A1100" s="2">
        <v>43891</v>
      </c>
      <c r="B1100" t="s">
        <v>66</v>
      </c>
      <c r="C1100">
        <v>2020</v>
      </c>
      <c r="D1100">
        <v>3</v>
      </c>
      <c r="E1100" t="s">
        <v>60</v>
      </c>
      <c r="F1100" t="s">
        <v>31</v>
      </c>
      <c r="G1100">
        <v>2</v>
      </c>
      <c r="H1100" t="s">
        <v>20</v>
      </c>
      <c r="I1100">
        <v>91.2</v>
      </c>
      <c r="J1100">
        <v>135.87</v>
      </c>
      <c r="K1100">
        <v>367.61</v>
      </c>
      <c r="L1100">
        <v>1.21</v>
      </c>
      <c r="M1100">
        <v>594.67999999999995</v>
      </c>
      <c r="N1100">
        <v>595.89</v>
      </c>
    </row>
    <row r="1101" spans="1:14" x14ac:dyDescent="0.3">
      <c r="A1101" s="2">
        <v>43891</v>
      </c>
      <c r="B1101" t="s">
        <v>66</v>
      </c>
      <c r="C1101">
        <v>2020</v>
      </c>
      <c r="D1101">
        <v>3</v>
      </c>
      <c r="E1101" t="s">
        <v>60</v>
      </c>
      <c r="F1101" t="s">
        <v>32</v>
      </c>
      <c r="G1101">
        <v>1</v>
      </c>
      <c r="H1101" t="s">
        <v>18</v>
      </c>
      <c r="I1101">
        <v>69.89</v>
      </c>
      <c r="J1101">
        <v>126</v>
      </c>
      <c r="K1101">
        <v>77.12</v>
      </c>
      <c r="L1101">
        <v>3.16</v>
      </c>
      <c r="M1101">
        <v>273.01</v>
      </c>
      <c r="N1101">
        <v>276.17</v>
      </c>
    </row>
    <row r="1102" spans="1:14" x14ac:dyDescent="0.3">
      <c r="A1102" s="2">
        <v>43891</v>
      </c>
      <c r="B1102" t="s">
        <v>66</v>
      </c>
      <c r="C1102">
        <v>2020</v>
      </c>
      <c r="D1102">
        <v>3</v>
      </c>
      <c r="E1102" t="s">
        <v>60</v>
      </c>
      <c r="F1102" t="s">
        <v>33</v>
      </c>
      <c r="G1102">
        <v>20</v>
      </c>
      <c r="H1102" t="s">
        <v>20</v>
      </c>
      <c r="I1102">
        <v>388.64</v>
      </c>
      <c r="J1102">
        <v>499.95</v>
      </c>
      <c r="K1102">
        <v>666.91</v>
      </c>
      <c r="L1102">
        <v>493.93</v>
      </c>
      <c r="M1102">
        <v>1555.5</v>
      </c>
      <c r="N1102">
        <v>2049.4299999999998</v>
      </c>
    </row>
    <row r="1103" spans="1:14" x14ac:dyDescent="0.3">
      <c r="A1103" s="2">
        <v>43891</v>
      </c>
      <c r="B1103" t="s">
        <v>66</v>
      </c>
      <c r="C1103">
        <v>2020</v>
      </c>
      <c r="D1103">
        <v>3</v>
      </c>
      <c r="E1103" t="s">
        <v>60</v>
      </c>
      <c r="F1103" t="s">
        <v>34</v>
      </c>
      <c r="G1103">
        <v>29</v>
      </c>
      <c r="H1103" t="s">
        <v>20</v>
      </c>
      <c r="I1103">
        <v>1716.85</v>
      </c>
      <c r="J1103">
        <v>2230.64</v>
      </c>
      <c r="K1103">
        <v>2386.8000000000002</v>
      </c>
      <c r="L1103">
        <v>810.01</v>
      </c>
      <c r="M1103">
        <v>6334.29</v>
      </c>
      <c r="N1103">
        <v>7144.3</v>
      </c>
    </row>
    <row r="1104" spans="1:14" x14ac:dyDescent="0.3">
      <c r="A1104" s="2">
        <v>43891</v>
      </c>
      <c r="B1104" t="s">
        <v>66</v>
      </c>
      <c r="C1104">
        <v>2020</v>
      </c>
      <c r="D1104">
        <v>3</v>
      </c>
      <c r="E1104" t="s">
        <v>60</v>
      </c>
      <c r="F1104" t="s">
        <v>35</v>
      </c>
      <c r="G1104">
        <v>32</v>
      </c>
      <c r="H1104" t="s">
        <v>20</v>
      </c>
      <c r="I1104">
        <v>476.03</v>
      </c>
      <c r="J1104">
        <v>714.6</v>
      </c>
      <c r="K1104">
        <v>277.68</v>
      </c>
      <c r="L1104">
        <v>6.95</v>
      </c>
      <c r="M1104">
        <v>1468.31</v>
      </c>
      <c r="N1104">
        <v>1475.26</v>
      </c>
    </row>
    <row r="1105" spans="1:14" x14ac:dyDescent="0.3">
      <c r="A1105" s="2">
        <v>43891</v>
      </c>
      <c r="B1105" t="s">
        <v>66</v>
      </c>
      <c r="C1105">
        <v>2020</v>
      </c>
      <c r="D1105">
        <v>3</v>
      </c>
      <c r="E1105" t="s">
        <v>60</v>
      </c>
      <c r="F1105" t="s">
        <v>67</v>
      </c>
      <c r="G1105">
        <v>37</v>
      </c>
      <c r="H1105" t="s">
        <v>18</v>
      </c>
      <c r="I1105">
        <v>0.22</v>
      </c>
      <c r="J1105">
        <v>0.22</v>
      </c>
      <c r="K1105">
        <v>0.15</v>
      </c>
      <c r="L1105">
        <v>0.25</v>
      </c>
      <c r="M1105">
        <v>0.59</v>
      </c>
      <c r="N1105">
        <v>0.84</v>
      </c>
    </row>
    <row r="1106" spans="1:14" x14ac:dyDescent="0.3">
      <c r="A1106" s="2">
        <v>43891</v>
      </c>
      <c r="B1106" t="s">
        <v>66</v>
      </c>
      <c r="C1106">
        <v>2020</v>
      </c>
      <c r="D1106">
        <v>3</v>
      </c>
      <c r="E1106" t="s">
        <v>60</v>
      </c>
      <c r="F1106" t="s">
        <v>36</v>
      </c>
      <c r="G1106">
        <v>31</v>
      </c>
      <c r="H1106" t="s">
        <v>18</v>
      </c>
      <c r="I1106">
        <v>0.13</v>
      </c>
      <c r="J1106">
        <v>1.18</v>
      </c>
      <c r="K1106">
        <v>0.03</v>
      </c>
      <c r="L1106">
        <v>0</v>
      </c>
      <c r="M1106">
        <v>1.34</v>
      </c>
      <c r="N1106">
        <v>1.34</v>
      </c>
    </row>
    <row r="1107" spans="1:14" x14ac:dyDescent="0.3">
      <c r="A1107" s="2">
        <v>43891</v>
      </c>
      <c r="B1107" t="s">
        <v>66</v>
      </c>
      <c r="C1107">
        <v>2020</v>
      </c>
      <c r="D1107">
        <v>3</v>
      </c>
      <c r="E1107" t="s">
        <v>60</v>
      </c>
      <c r="F1107" t="s">
        <v>37</v>
      </c>
      <c r="G1107">
        <v>23</v>
      </c>
      <c r="H1107" t="s">
        <v>20</v>
      </c>
      <c r="I1107">
        <v>541.53</v>
      </c>
      <c r="J1107">
        <v>746.66</v>
      </c>
      <c r="K1107">
        <v>645.04</v>
      </c>
      <c r="L1107">
        <v>474.16</v>
      </c>
      <c r="M1107">
        <v>1933.23</v>
      </c>
      <c r="N1107">
        <v>2407.39</v>
      </c>
    </row>
    <row r="1108" spans="1:14" x14ac:dyDescent="0.3">
      <c r="A1108" s="2">
        <v>43891</v>
      </c>
      <c r="B1108" t="s">
        <v>66</v>
      </c>
      <c r="C1108">
        <v>2020</v>
      </c>
      <c r="D1108">
        <v>3</v>
      </c>
      <c r="E1108" t="s">
        <v>60</v>
      </c>
      <c r="F1108" t="s">
        <v>38</v>
      </c>
      <c r="G1108">
        <v>27</v>
      </c>
      <c r="H1108" t="s">
        <v>20</v>
      </c>
      <c r="I1108">
        <v>4232.3999999999996</v>
      </c>
      <c r="J1108">
        <v>5126.62</v>
      </c>
      <c r="K1108">
        <v>4755.47</v>
      </c>
      <c r="L1108">
        <v>887.61</v>
      </c>
      <c r="M1108">
        <v>14114.49</v>
      </c>
      <c r="N1108">
        <v>15002.1</v>
      </c>
    </row>
    <row r="1109" spans="1:14" x14ac:dyDescent="0.3">
      <c r="A1109" s="2">
        <v>43891</v>
      </c>
      <c r="B1109" t="s">
        <v>66</v>
      </c>
      <c r="C1109">
        <v>2020</v>
      </c>
      <c r="D1109">
        <v>3</v>
      </c>
      <c r="E1109" t="s">
        <v>60</v>
      </c>
      <c r="F1109" t="s">
        <v>39</v>
      </c>
      <c r="G1109">
        <v>14</v>
      </c>
      <c r="H1109" t="s">
        <v>20</v>
      </c>
      <c r="I1109">
        <v>13.67</v>
      </c>
      <c r="J1109">
        <v>20.350000000000001</v>
      </c>
      <c r="K1109">
        <v>1.73</v>
      </c>
      <c r="L1109">
        <v>0.14000000000000001</v>
      </c>
      <c r="M1109">
        <v>35.75</v>
      </c>
      <c r="N1109">
        <v>35.89</v>
      </c>
    </row>
    <row r="1110" spans="1:14" x14ac:dyDescent="0.3">
      <c r="A1110" s="2">
        <v>43891</v>
      </c>
      <c r="B1110" t="s">
        <v>66</v>
      </c>
      <c r="C1110">
        <v>2020</v>
      </c>
      <c r="D1110">
        <v>3</v>
      </c>
      <c r="E1110" t="s">
        <v>60</v>
      </c>
      <c r="F1110" t="s">
        <v>40</v>
      </c>
      <c r="G1110">
        <v>17</v>
      </c>
      <c r="H1110" t="s">
        <v>20</v>
      </c>
      <c r="I1110">
        <v>18.440000000000001</v>
      </c>
      <c r="J1110">
        <v>23.82</v>
      </c>
      <c r="K1110">
        <v>90.4</v>
      </c>
      <c r="L1110">
        <v>7.0000000000000007E-2</v>
      </c>
      <c r="M1110">
        <v>132.66</v>
      </c>
      <c r="N1110">
        <v>132.72999999999999</v>
      </c>
    </row>
    <row r="1111" spans="1:14" x14ac:dyDescent="0.3">
      <c r="A1111" s="2">
        <v>43891</v>
      </c>
      <c r="B1111" t="s">
        <v>66</v>
      </c>
      <c r="C1111">
        <v>2020</v>
      </c>
      <c r="D1111">
        <v>3</v>
      </c>
      <c r="E1111" t="s">
        <v>60</v>
      </c>
      <c r="F1111" t="s">
        <v>41</v>
      </c>
      <c r="G1111">
        <v>15</v>
      </c>
      <c r="H1111" t="s">
        <v>20</v>
      </c>
      <c r="I1111">
        <v>11.65</v>
      </c>
      <c r="J1111">
        <v>17</v>
      </c>
      <c r="K1111">
        <v>4.51</v>
      </c>
      <c r="L1111">
        <v>0.02</v>
      </c>
      <c r="M1111">
        <v>33.159999999999997</v>
      </c>
      <c r="N1111">
        <v>33.18</v>
      </c>
    </row>
    <row r="1112" spans="1:14" x14ac:dyDescent="0.3">
      <c r="A1112" s="2">
        <v>43891</v>
      </c>
      <c r="B1112" t="s">
        <v>66</v>
      </c>
      <c r="C1112">
        <v>2020</v>
      </c>
      <c r="D1112">
        <v>3</v>
      </c>
      <c r="E1112" t="s">
        <v>60</v>
      </c>
      <c r="F1112" t="s">
        <v>42</v>
      </c>
      <c r="G1112">
        <v>13</v>
      </c>
      <c r="H1112" t="s">
        <v>20</v>
      </c>
      <c r="I1112">
        <v>14.1</v>
      </c>
      <c r="J1112">
        <v>18.32</v>
      </c>
      <c r="K1112">
        <v>5.9</v>
      </c>
      <c r="L1112">
        <v>0.44</v>
      </c>
      <c r="M1112">
        <v>38.32</v>
      </c>
      <c r="N1112">
        <v>38.76</v>
      </c>
    </row>
    <row r="1113" spans="1:14" x14ac:dyDescent="0.3">
      <c r="A1113" s="2">
        <v>43891</v>
      </c>
      <c r="B1113" t="s">
        <v>66</v>
      </c>
      <c r="C1113">
        <v>2020</v>
      </c>
      <c r="D1113">
        <v>3</v>
      </c>
      <c r="E1113" t="s">
        <v>60</v>
      </c>
      <c r="F1113" t="s">
        <v>43</v>
      </c>
      <c r="G1113">
        <v>21</v>
      </c>
      <c r="H1113" t="s">
        <v>20</v>
      </c>
      <c r="I1113">
        <v>583.79</v>
      </c>
      <c r="J1113">
        <v>776.28</v>
      </c>
      <c r="K1113">
        <v>731.77</v>
      </c>
      <c r="L1113">
        <v>541.04</v>
      </c>
      <c r="M1113">
        <v>2091.84</v>
      </c>
      <c r="N1113">
        <v>2632.88</v>
      </c>
    </row>
    <row r="1114" spans="1:14" x14ac:dyDescent="0.3">
      <c r="A1114" s="2">
        <v>43891</v>
      </c>
      <c r="B1114" t="s">
        <v>66</v>
      </c>
      <c r="C1114">
        <v>2020</v>
      </c>
      <c r="D1114">
        <v>3</v>
      </c>
      <c r="E1114" t="s">
        <v>60</v>
      </c>
      <c r="F1114" t="s">
        <v>44</v>
      </c>
      <c r="G1114">
        <v>34</v>
      </c>
      <c r="H1114" t="s">
        <v>18</v>
      </c>
      <c r="I1114">
        <v>20.53</v>
      </c>
      <c r="J1114">
        <v>30.34</v>
      </c>
      <c r="K1114">
        <v>98.08</v>
      </c>
      <c r="L1114">
        <v>0.37</v>
      </c>
      <c r="M1114">
        <v>148.94999999999999</v>
      </c>
      <c r="N1114">
        <v>149.32</v>
      </c>
    </row>
    <row r="1115" spans="1:14" x14ac:dyDescent="0.3">
      <c r="A1115" s="2">
        <v>43891</v>
      </c>
      <c r="B1115" t="s">
        <v>66</v>
      </c>
      <c r="C1115">
        <v>2020</v>
      </c>
      <c r="D1115">
        <v>3</v>
      </c>
      <c r="E1115" t="s">
        <v>60</v>
      </c>
      <c r="F1115" t="s">
        <v>45</v>
      </c>
      <c r="G1115">
        <v>3</v>
      </c>
      <c r="H1115" t="s">
        <v>20</v>
      </c>
      <c r="I1115">
        <v>301.44</v>
      </c>
      <c r="J1115">
        <v>484.36</v>
      </c>
      <c r="K1115">
        <v>374.6</v>
      </c>
      <c r="L1115">
        <v>20.41</v>
      </c>
      <c r="M1115">
        <v>1160.4000000000001</v>
      </c>
      <c r="N1115">
        <v>1180.81</v>
      </c>
    </row>
    <row r="1116" spans="1:14" x14ac:dyDescent="0.3">
      <c r="A1116" s="2">
        <v>43891</v>
      </c>
      <c r="B1116" t="s">
        <v>66</v>
      </c>
      <c r="C1116">
        <v>2020</v>
      </c>
      <c r="D1116">
        <v>3</v>
      </c>
      <c r="E1116" t="s">
        <v>60</v>
      </c>
      <c r="F1116" t="s">
        <v>46</v>
      </c>
      <c r="G1116">
        <v>8</v>
      </c>
      <c r="H1116" t="s">
        <v>20</v>
      </c>
      <c r="I1116">
        <v>729.83</v>
      </c>
      <c r="J1116">
        <v>1007.84</v>
      </c>
      <c r="K1116">
        <v>978.25</v>
      </c>
      <c r="L1116">
        <v>104.51</v>
      </c>
      <c r="M1116">
        <v>2715.92</v>
      </c>
      <c r="N1116">
        <v>2820.43</v>
      </c>
    </row>
    <row r="1117" spans="1:14" x14ac:dyDescent="0.3">
      <c r="A1117" s="2">
        <v>43891</v>
      </c>
      <c r="B1117" t="s">
        <v>66</v>
      </c>
      <c r="C1117">
        <v>2020</v>
      </c>
      <c r="D1117">
        <v>3</v>
      </c>
      <c r="E1117" t="s">
        <v>60</v>
      </c>
      <c r="F1117" t="s">
        <v>47</v>
      </c>
      <c r="G1117">
        <v>11</v>
      </c>
      <c r="H1117" t="s">
        <v>20</v>
      </c>
      <c r="I1117">
        <v>12.23</v>
      </c>
      <c r="J1117">
        <v>16.149999999999999</v>
      </c>
      <c r="K1117">
        <v>160.88</v>
      </c>
      <c r="L1117">
        <v>7.0000000000000007E-2</v>
      </c>
      <c r="M1117">
        <v>189.26</v>
      </c>
      <c r="N1117">
        <v>189.33</v>
      </c>
    </row>
    <row r="1118" spans="1:14" x14ac:dyDescent="0.3">
      <c r="A1118" s="2">
        <v>43891</v>
      </c>
      <c r="B1118" t="s">
        <v>66</v>
      </c>
      <c r="C1118">
        <v>2020</v>
      </c>
      <c r="D1118">
        <v>3</v>
      </c>
      <c r="E1118" t="s">
        <v>60</v>
      </c>
      <c r="F1118" t="s">
        <v>48</v>
      </c>
      <c r="G1118">
        <v>33</v>
      </c>
      <c r="H1118" t="s">
        <v>20</v>
      </c>
      <c r="I1118">
        <v>1580.73</v>
      </c>
      <c r="J1118">
        <v>2223.19</v>
      </c>
      <c r="K1118">
        <v>1939.88</v>
      </c>
      <c r="L1118">
        <v>434.02</v>
      </c>
      <c r="M1118">
        <v>5743.8</v>
      </c>
      <c r="N1118">
        <v>6177.82</v>
      </c>
    </row>
    <row r="1119" spans="1:14" x14ac:dyDescent="0.3">
      <c r="A1119" s="2">
        <v>43891</v>
      </c>
      <c r="B1119" t="s">
        <v>66</v>
      </c>
      <c r="C1119">
        <v>2020</v>
      </c>
      <c r="D1119">
        <v>3</v>
      </c>
      <c r="E1119" t="s">
        <v>60</v>
      </c>
      <c r="F1119" t="s">
        <v>49</v>
      </c>
      <c r="G1119">
        <v>36</v>
      </c>
      <c r="H1119" t="s">
        <v>20</v>
      </c>
      <c r="I1119">
        <v>846.3</v>
      </c>
      <c r="J1119">
        <v>1139.9000000000001</v>
      </c>
      <c r="K1119">
        <v>996.38</v>
      </c>
      <c r="L1119">
        <v>579.99</v>
      </c>
      <c r="M1119">
        <v>2982.58</v>
      </c>
      <c r="N1119">
        <v>3562.57</v>
      </c>
    </row>
    <row r="1120" spans="1:14" x14ac:dyDescent="0.3">
      <c r="A1120" s="2">
        <v>43891</v>
      </c>
      <c r="B1120" t="s">
        <v>66</v>
      </c>
      <c r="C1120">
        <v>2020</v>
      </c>
      <c r="D1120">
        <v>3</v>
      </c>
      <c r="E1120" t="s">
        <v>60</v>
      </c>
      <c r="F1120" t="s">
        <v>50</v>
      </c>
      <c r="G1120">
        <v>16</v>
      </c>
      <c r="H1120" t="s">
        <v>20</v>
      </c>
      <c r="I1120">
        <v>23.46</v>
      </c>
      <c r="J1120">
        <v>36.67</v>
      </c>
      <c r="K1120">
        <v>6.74</v>
      </c>
      <c r="L1120">
        <v>0.25</v>
      </c>
      <c r="M1120">
        <v>66.87</v>
      </c>
      <c r="N1120">
        <v>67.12</v>
      </c>
    </row>
    <row r="1121" spans="1:14" x14ac:dyDescent="0.3">
      <c r="A1121" s="2">
        <v>43891</v>
      </c>
      <c r="B1121" t="s">
        <v>66</v>
      </c>
      <c r="C1121">
        <v>2020</v>
      </c>
      <c r="D1121">
        <v>3</v>
      </c>
      <c r="E1121" t="s">
        <v>60</v>
      </c>
      <c r="F1121" t="s">
        <v>51</v>
      </c>
      <c r="G1121">
        <v>9</v>
      </c>
      <c r="H1121" t="s">
        <v>20</v>
      </c>
      <c r="I1121">
        <v>1182.98</v>
      </c>
      <c r="J1121">
        <v>1794.76</v>
      </c>
      <c r="K1121">
        <v>1432.72</v>
      </c>
      <c r="L1121">
        <v>883.26</v>
      </c>
      <c r="M1121">
        <v>4410.46</v>
      </c>
      <c r="N1121">
        <v>5293.72</v>
      </c>
    </row>
    <row r="1122" spans="1:14" x14ac:dyDescent="0.3">
      <c r="A1122" s="2">
        <v>43891</v>
      </c>
      <c r="B1122" t="s">
        <v>66</v>
      </c>
      <c r="C1122">
        <v>2020</v>
      </c>
      <c r="D1122">
        <v>3</v>
      </c>
      <c r="E1122" t="s">
        <v>60</v>
      </c>
      <c r="F1122" t="s">
        <v>52</v>
      </c>
      <c r="G1122">
        <v>5</v>
      </c>
      <c r="H1122" t="s">
        <v>20</v>
      </c>
      <c r="I1122">
        <v>221.45</v>
      </c>
      <c r="J1122">
        <v>277.36</v>
      </c>
      <c r="K1122">
        <v>686.08</v>
      </c>
      <c r="L1122">
        <v>9.84</v>
      </c>
      <c r="M1122">
        <v>1184.8900000000001</v>
      </c>
      <c r="N1122">
        <v>1194.73</v>
      </c>
    </row>
    <row r="1123" spans="1:14" x14ac:dyDescent="0.3">
      <c r="A1123" s="2">
        <v>43891</v>
      </c>
      <c r="B1123" t="s">
        <v>66</v>
      </c>
      <c r="C1123">
        <v>2020</v>
      </c>
      <c r="D1123">
        <v>3</v>
      </c>
      <c r="E1123" t="s">
        <v>60</v>
      </c>
      <c r="F1123" t="s">
        <v>53</v>
      </c>
      <c r="G1123">
        <v>19</v>
      </c>
      <c r="H1123" t="s">
        <v>20</v>
      </c>
      <c r="I1123">
        <v>1035.42</v>
      </c>
      <c r="J1123">
        <v>1401.37</v>
      </c>
      <c r="K1123">
        <v>829.19</v>
      </c>
      <c r="L1123">
        <v>316.27</v>
      </c>
      <c r="M1123">
        <v>3265.98</v>
      </c>
      <c r="N1123">
        <v>3582.25</v>
      </c>
    </row>
    <row r="1124" spans="1:14" x14ac:dyDescent="0.3">
      <c r="A1124" s="2">
        <v>43922</v>
      </c>
      <c r="B1124" t="s">
        <v>68</v>
      </c>
      <c r="C1124">
        <v>2020</v>
      </c>
      <c r="D1124">
        <v>4</v>
      </c>
      <c r="E1124" t="s">
        <v>62</v>
      </c>
      <c r="F1124" t="s">
        <v>17</v>
      </c>
      <c r="G1124">
        <v>35</v>
      </c>
      <c r="H1124" t="s">
        <v>18</v>
      </c>
      <c r="I1124">
        <v>4.0199999999999996</v>
      </c>
      <c r="J1124">
        <v>4.5599999999999996</v>
      </c>
      <c r="K1124">
        <v>2.59</v>
      </c>
      <c r="L1124">
        <v>0.01</v>
      </c>
      <c r="M1124">
        <v>11.17</v>
      </c>
      <c r="N1124">
        <v>11.18</v>
      </c>
    </row>
    <row r="1125" spans="1:14" x14ac:dyDescent="0.3">
      <c r="A1125" s="2">
        <v>43922</v>
      </c>
      <c r="B1125" t="s">
        <v>68</v>
      </c>
      <c r="C1125">
        <v>2020</v>
      </c>
      <c r="D1125">
        <v>4</v>
      </c>
      <c r="E1125" t="s">
        <v>62</v>
      </c>
      <c r="F1125" t="s">
        <v>19</v>
      </c>
      <c r="G1125">
        <v>28</v>
      </c>
      <c r="H1125" t="s">
        <v>20</v>
      </c>
      <c r="I1125">
        <v>181.93</v>
      </c>
      <c r="J1125">
        <v>211.97</v>
      </c>
      <c r="K1125">
        <v>145.57</v>
      </c>
      <c r="L1125">
        <v>9.3000000000000007</v>
      </c>
      <c r="M1125">
        <v>539.47</v>
      </c>
      <c r="N1125">
        <v>548.77</v>
      </c>
    </row>
    <row r="1126" spans="1:14" x14ac:dyDescent="0.3">
      <c r="A1126" s="2">
        <v>43922</v>
      </c>
      <c r="B1126" t="s">
        <v>68</v>
      </c>
      <c r="C1126">
        <v>2020</v>
      </c>
      <c r="D1126">
        <v>4</v>
      </c>
      <c r="E1126" t="s">
        <v>62</v>
      </c>
      <c r="F1126" t="s">
        <v>21</v>
      </c>
      <c r="G1126">
        <v>12</v>
      </c>
      <c r="H1126" t="s">
        <v>20</v>
      </c>
      <c r="I1126">
        <v>18.399999999999999</v>
      </c>
      <c r="J1126">
        <v>21.3</v>
      </c>
      <c r="K1126">
        <v>2.4700000000000002</v>
      </c>
      <c r="L1126">
        <v>0.5</v>
      </c>
      <c r="M1126">
        <v>42.17</v>
      </c>
      <c r="N1126">
        <v>42.67</v>
      </c>
    </row>
    <row r="1127" spans="1:14" x14ac:dyDescent="0.3">
      <c r="A1127" s="2">
        <v>43922</v>
      </c>
      <c r="B1127" t="s">
        <v>68</v>
      </c>
      <c r="C1127">
        <v>2020</v>
      </c>
      <c r="D1127">
        <v>4</v>
      </c>
      <c r="E1127" t="s">
        <v>62</v>
      </c>
      <c r="F1127" t="s">
        <v>22</v>
      </c>
      <c r="G1127">
        <v>18</v>
      </c>
      <c r="H1127" t="s">
        <v>20</v>
      </c>
      <c r="I1127">
        <v>80.2</v>
      </c>
      <c r="J1127">
        <v>100.64</v>
      </c>
      <c r="K1127">
        <v>78.540000000000006</v>
      </c>
      <c r="L1127">
        <v>5.0999999999999996</v>
      </c>
      <c r="M1127">
        <v>259.38</v>
      </c>
      <c r="N1127">
        <v>264.48</v>
      </c>
    </row>
    <row r="1128" spans="1:14" x14ac:dyDescent="0.3">
      <c r="A1128" s="2">
        <v>43922</v>
      </c>
      <c r="B1128" t="s">
        <v>68</v>
      </c>
      <c r="C1128">
        <v>2020</v>
      </c>
      <c r="D1128">
        <v>4</v>
      </c>
      <c r="E1128" t="s">
        <v>62</v>
      </c>
      <c r="F1128" t="s">
        <v>23</v>
      </c>
      <c r="G1128">
        <v>10</v>
      </c>
      <c r="H1128" t="s">
        <v>20</v>
      </c>
      <c r="I1128">
        <v>112.93</v>
      </c>
      <c r="J1128">
        <v>137.57</v>
      </c>
      <c r="K1128">
        <v>32.049999999999997</v>
      </c>
      <c r="L1128">
        <v>0.03</v>
      </c>
      <c r="M1128">
        <v>282.55</v>
      </c>
      <c r="N1128">
        <v>282.58</v>
      </c>
    </row>
    <row r="1129" spans="1:14" x14ac:dyDescent="0.3">
      <c r="A1129" s="2">
        <v>43922</v>
      </c>
      <c r="B1129" t="s">
        <v>68</v>
      </c>
      <c r="C1129">
        <v>2020</v>
      </c>
      <c r="D1129">
        <v>4</v>
      </c>
      <c r="E1129" t="s">
        <v>62</v>
      </c>
      <c r="F1129" t="s">
        <v>24</v>
      </c>
      <c r="G1129">
        <v>4</v>
      </c>
      <c r="H1129" t="s">
        <v>18</v>
      </c>
      <c r="I1129">
        <v>8.35</v>
      </c>
      <c r="J1129">
        <v>9.34</v>
      </c>
      <c r="K1129">
        <v>22.64</v>
      </c>
      <c r="L1129">
        <v>0.01</v>
      </c>
      <c r="M1129">
        <v>40.33</v>
      </c>
      <c r="N1129">
        <v>40.340000000000003</v>
      </c>
    </row>
    <row r="1130" spans="1:14" x14ac:dyDescent="0.3">
      <c r="A1130" s="2">
        <v>43922</v>
      </c>
      <c r="B1130" t="s">
        <v>68</v>
      </c>
      <c r="C1130">
        <v>2020</v>
      </c>
      <c r="D1130">
        <v>4</v>
      </c>
      <c r="E1130" t="s">
        <v>62</v>
      </c>
      <c r="F1130" t="s">
        <v>25</v>
      </c>
      <c r="G1130">
        <v>22</v>
      </c>
      <c r="H1130" t="s">
        <v>20</v>
      </c>
      <c r="I1130">
        <v>82.62</v>
      </c>
      <c r="J1130">
        <v>93.38</v>
      </c>
      <c r="K1130">
        <v>171.36</v>
      </c>
      <c r="L1130">
        <v>3.49</v>
      </c>
      <c r="M1130">
        <v>347.36</v>
      </c>
      <c r="N1130">
        <v>350.85</v>
      </c>
    </row>
    <row r="1131" spans="1:14" x14ac:dyDescent="0.3">
      <c r="A1131" s="2">
        <v>43922</v>
      </c>
      <c r="B1131" t="s">
        <v>68</v>
      </c>
      <c r="C1131">
        <v>2020</v>
      </c>
      <c r="D1131">
        <v>4</v>
      </c>
      <c r="E1131" t="s">
        <v>62</v>
      </c>
      <c r="F1131" t="s">
        <v>26</v>
      </c>
      <c r="G1131">
        <v>38</v>
      </c>
      <c r="H1131" t="s">
        <v>18</v>
      </c>
      <c r="I1131">
        <v>5.52</v>
      </c>
      <c r="J1131">
        <v>5.94</v>
      </c>
      <c r="K1131">
        <v>27.27</v>
      </c>
      <c r="L1131">
        <v>0.02</v>
      </c>
      <c r="M1131">
        <v>38.729999999999997</v>
      </c>
      <c r="N1131">
        <v>38.75</v>
      </c>
    </row>
    <row r="1132" spans="1:14" x14ac:dyDescent="0.3">
      <c r="A1132" s="2">
        <v>43922</v>
      </c>
      <c r="B1132" t="s">
        <v>68</v>
      </c>
      <c r="C1132">
        <v>2020</v>
      </c>
      <c r="D1132">
        <v>4</v>
      </c>
      <c r="E1132" t="s">
        <v>62</v>
      </c>
      <c r="F1132" t="s">
        <v>27</v>
      </c>
      <c r="G1132">
        <v>7</v>
      </c>
      <c r="H1132" t="s">
        <v>18</v>
      </c>
      <c r="I1132">
        <v>216.38</v>
      </c>
      <c r="J1132">
        <v>240.7</v>
      </c>
      <c r="K1132">
        <v>526.28</v>
      </c>
      <c r="L1132">
        <v>6.55</v>
      </c>
      <c r="M1132">
        <v>983.36</v>
      </c>
      <c r="N1132">
        <v>989.91</v>
      </c>
    </row>
    <row r="1133" spans="1:14" x14ac:dyDescent="0.3">
      <c r="A1133" s="2">
        <v>43922</v>
      </c>
      <c r="B1133" t="s">
        <v>68</v>
      </c>
      <c r="C1133">
        <v>2020</v>
      </c>
      <c r="D1133">
        <v>4</v>
      </c>
      <c r="E1133" t="s">
        <v>62</v>
      </c>
      <c r="F1133" t="s">
        <v>28</v>
      </c>
      <c r="G1133">
        <v>30</v>
      </c>
      <c r="H1133" t="s">
        <v>20</v>
      </c>
      <c r="I1133">
        <v>19.079999999999998</v>
      </c>
      <c r="J1133">
        <v>24.33</v>
      </c>
      <c r="K1133">
        <v>23.82</v>
      </c>
      <c r="L1133">
        <v>0.01</v>
      </c>
      <c r="M1133">
        <v>67.23</v>
      </c>
      <c r="N1133">
        <v>67.239999999999995</v>
      </c>
    </row>
    <row r="1134" spans="1:14" x14ac:dyDescent="0.3">
      <c r="A1134" s="2">
        <v>43922</v>
      </c>
      <c r="B1134" t="s">
        <v>68</v>
      </c>
      <c r="C1134">
        <v>2020</v>
      </c>
      <c r="D1134">
        <v>4</v>
      </c>
      <c r="E1134" t="s">
        <v>62</v>
      </c>
      <c r="F1134" t="s">
        <v>29</v>
      </c>
      <c r="G1134">
        <v>24</v>
      </c>
      <c r="H1134" t="s">
        <v>20</v>
      </c>
      <c r="I1134">
        <v>411.21</v>
      </c>
      <c r="J1134">
        <v>464.24</v>
      </c>
      <c r="K1134">
        <v>325.7</v>
      </c>
      <c r="L1134">
        <v>94.95</v>
      </c>
      <c r="M1134">
        <v>1201.1500000000001</v>
      </c>
      <c r="N1134">
        <v>1296.0999999999999</v>
      </c>
    </row>
    <row r="1135" spans="1:14" x14ac:dyDescent="0.3">
      <c r="A1135" s="2">
        <v>43922</v>
      </c>
      <c r="B1135" t="s">
        <v>68</v>
      </c>
      <c r="C1135">
        <v>2020</v>
      </c>
      <c r="D1135">
        <v>4</v>
      </c>
      <c r="E1135" t="s">
        <v>62</v>
      </c>
      <c r="F1135" t="s">
        <v>30</v>
      </c>
      <c r="G1135">
        <v>6</v>
      </c>
      <c r="H1135" t="s">
        <v>20</v>
      </c>
      <c r="I1135">
        <v>211.73</v>
      </c>
      <c r="J1135">
        <v>253.81</v>
      </c>
      <c r="K1135">
        <v>1088.94</v>
      </c>
      <c r="L1135">
        <v>152.16999999999999</v>
      </c>
      <c r="M1135">
        <v>1554.48</v>
      </c>
      <c r="N1135">
        <v>1706.65</v>
      </c>
    </row>
    <row r="1136" spans="1:14" x14ac:dyDescent="0.3">
      <c r="A1136" s="2">
        <v>43922</v>
      </c>
      <c r="B1136" t="s">
        <v>68</v>
      </c>
      <c r="C1136">
        <v>2020</v>
      </c>
      <c r="D1136">
        <v>4</v>
      </c>
      <c r="E1136" t="s">
        <v>62</v>
      </c>
      <c r="F1136" t="s">
        <v>31</v>
      </c>
      <c r="G1136">
        <v>2</v>
      </c>
      <c r="H1136" t="s">
        <v>20</v>
      </c>
      <c r="I1136">
        <v>26.47</v>
      </c>
      <c r="J1136">
        <v>31.59</v>
      </c>
      <c r="K1136">
        <v>68.84</v>
      </c>
      <c r="L1136">
        <v>0.01</v>
      </c>
      <c r="M1136">
        <v>126.9</v>
      </c>
      <c r="N1136">
        <v>126.91</v>
      </c>
    </row>
    <row r="1137" spans="1:14" x14ac:dyDescent="0.3">
      <c r="A1137" s="2">
        <v>43922</v>
      </c>
      <c r="B1137" t="s">
        <v>68</v>
      </c>
      <c r="C1137">
        <v>2020</v>
      </c>
      <c r="D1137">
        <v>4</v>
      </c>
      <c r="E1137" t="s">
        <v>62</v>
      </c>
      <c r="F1137" t="s">
        <v>32</v>
      </c>
      <c r="G1137">
        <v>1</v>
      </c>
      <c r="H1137" t="s">
        <v>18</v>
      </c>
      <c r="I1137">
        <v>31.54</v>
      </c>
      <c r="J1137">
        <v>37.119999999999997</v>
      </c>
      <c r="K1137">
        <v>22.4</v>
      </c>
      <c r="L1137">
        <v>7.0000000000000007E-2</v>
      </c>
      <c r="M1137">
        <v>91.06</v>
      </c>
      <c r="N1137">
        <v>91.13</v>
      </c>
    </row>
    <row r="1138" spans="1:14" x14ac:dyDescent="0.3">
      <c r="A1138" s="2">
        <v>43922</v>
      </c>
      <c r="B1138" t="s">
        <v>68</v>
      </c>
      <c r="C1138">
        <v>2020</v>
      </c>
      <c r="D1138">
        <v>4</v>
      </c>
      <c r="E1138" t="s">
        <v>62</v>
      </c>
      <c r="F1138" t="s">
        <v>33</v>
      </c>
      <c r="G1138">
        <v>20</v>
      </c>
      <c r="H1138" t="s">
        <v>20</v>
      </c>
      <c r="I1138">
        <v>74.64</v>
      </c>
      <c r="J1138">
        <v>89.09</v>
      </c>
      <c r="K1138">
        <v>44.95</v>
      </c>
      <c r="L1138">
        <v>35.04</v>
      </c>
      <c r="M1138">
        <v>208.68</v>
      </c>
      <c r="N1138">
        <v>243.72</v>
      </c>
    </row>
    <row r="1139" spans="1:14" x14ac:dyDescent="0.3">
      <c r="A1139" s="2">
        <v>43922</v>
      </c>
      <c r="B1139" t="s">
        <v>68</v>
      </c>
      <c r="C1139">
        <v>2020</v>
      </c>
      <c r="D1139">
        <v>4</v>
      </c>
      <c r="E1139" t="s">
        <v>62</v>
      </c>
      <c r="F1139" t="s">
        <v>34</v>
      </c>
      <c r="G1139">
        <v>29</v>
      </c>
      <c r="H1139" t="s">
        <v>20</v>
      </c>
      <c r="I1139">
        <v>484.21</v>
      </c>
      <c r="J1139">
        <v>576.9</v>
      </c>
      <c r="K1139">
        <v>930.72</v>
      </c>
      <c r="L1139">
        <v>36.71</v>
      </c>
      <c r="M1139">
        <v>1991.83</v>
      </c>
      <c r="N1139">
        <v>2028.54</v>
      </c>
    </row>
    <row r="1140" spans="1:14" x14ac:dyDescent="0.3">
      <c r="A1140" s="2">
        <v>43922</v>
      </c>
      <c r="B1140" t="s">
        <v>68</v>
      </c>
      <c r="C1140">
        <v>2020</v>
      </c>
      <c r="D1140">
        <v>4</v>
      </c>
      <c r="E1140" t="s">
        <v>62</v>
      </c>
      <c r="F1140" t="s">
        <v>35</v>
      </c>
      <c r="G1140">
        <v>32</v>
      </c>
      <c r="H1140" t="s">
        <v>20</v>
      </c>
      <c r="I1140">
        <v>93.56</v>
      </c>
      <c r="J1140">
        <v>127.46</v>
      </c>
      <c r="K1140">
        <v>57.98</v>
      </c>
      <c r="L1140">
        <v>1.18</v>
      </c>
      <c r="M1140">
        <v>279</v>
      </c>
      <c r="N1140">
        <v>280.18</v>
      </c>
    </row>
    <row r="1141" spans="1:14" x14ac:dyDescent="0.3">
      <c r="A1141" s="2">
        <v>43922</v>
      </c>
      <c r="B1141" t="s">
        <v>68</v>
      </c>
      <c r="C1141">
        <v>2020</v>
      </c>
      <c r="D1141">
        <v>4</v>
      </c>
      <c r="E1141" t="s">
        <v>62</v>
      </c>
      <c r="F1141" t="s">
        <v>67</v>
      </c>
      <c r="G1141">
        <v>37</v>
      </c>
      <c r="H1141" t="s">
        <v>18</v>
      </c>
      <c r="I1141">
        <v>1.24</v>
      </c>
      <c r="J1141">
        <v>1.29</v>
      </c>
      <c r="K1141">
        <v>0.52</v>
      </c>
      <c r="L1141">
        <v>0.78</v>
      </c>
      <c r="M1141">
        <v>3.05</v>
      </c>
      <c r="N1141">
        <v>3.83</v>
      </c>
    </row>
    <row r="1142" spans="1:14" x14ac:dyDescent="0.3">
      <c r="A1142" s="2">
        <v>43922</v>
      </c>
      <c r="B1142" t="s">
        <v>68</v>
      </c>
      <c r="C1142">
        <v>2020</v>
      </c>
      <c r="D1142">
        <v>4</v>
      </c>
      <c r="E1142" t="s">
        <v>62</v>
      </c>
      <c r="F1142" t="s">
        <v>36</v>
      </c>
      <c r="G1142">
        <v>31</v>
      </c>
      <c r="H1142" t="s">
        <v>18</v>
      </c>
      <c r="I1142">
        <v>0.21</v>
      </c>
      <c r="J1142">
        <v>0.21</v>
      </c>
      <c r="K1142">
        <v>7.0000000000000007E-2</v>
      </c>
      <c r="L1142">
        <v>0</v>
      </c>
      <c r="M1142">
        <v>0.49</v>
      </c>
      <c r="N1142">
        <v>0.49</v>
      </c>
    </row>
    <row r="1143" spans="1:14" x14ac:dyDescent="0.3">
      <c r="A1143" s="2">
        <v>43922</v>
      </c>
      <c r="B1143" t="s">
        <v>68</v>
      </c>
      <c r="C1143">
        <v>2020</v>
      </c>
      <c r="D1143">
        <v>4</v>
      </c>
      <c r="E1143" t="s">
        <v>62</v>
      </c>
      <c r="F1143" t="s">
        <v>37</v>
      </c>
      <c r="G1143">
        <v>23</v>
      </c>
      <c r="H1143" t="s">
        <v>20</v>
      </c>
      <c r="I1143">
        <v>149.04</v>
      </c>
      <c r="J1143">
        <v>176.19</v>
      </c>
      <c r="K1143">
        <v>104.08</v>
      </c>
      <c r="L1143">
        <v>33.619999999999997</v>
      </c>
      <c r="M1143">
        <v>429.31</v>
      </c>
      <c r="N1143">
        <v>462.93</v>
      </c>
    </row>
    <row r="1144" spans="1:14" x14ac:dyDescent="0.3">
      <c r="A1144" s="2">
        <v>43922</v>
      </c>
      <c r="B1144" t="s">
        <v>68</v>
      </c>
      <c r="C1144">
        <v>2020</v>
      </c>
      <c r="D1144">
        <v>4</v>
      </c>
      <c r="E1144" t="s">
        <v>62</v>
      </c>
      <c r="F1144" t="s">
        <v>38</v>
      </c>
      <c r="G1144">
        <v>27</v>
      </c>
      <c r="H1144" t="s">
        <v>20</v>
      </c>
      <c r="I1144">
        <v>1059.94</v>
      </c>
      <c r="J1144">
        <v>1231.44</v>
      </c>
      <c r="K1144">
        <v>2256.87</v>
      </c>
      <c r="L1144">
        <v>38.479999999999997</v>
      </c>
      <c r="M1144">
        <v>4548.25</v>
      </c>
      <c r="N1144">
        <v>4586.7299999999996</v>
      </c>
    </row>
    <row r="1145" spans="1:14" x14ac:dyDescent="0.3">
      <c r="A1145" s="2">
        <v>43922</v>
      </c>
      <c r="B1145" t="s">
        <v>68</v>
      </c>
      <c r="C1145">
        <v>2020</v>
      </c>
      <c r="D1145">
        <v>4</v>
      </c>
      <c r="E1145" t="s">
        <v>62</v>
      </c>
      <c r="F1145" t="s">
        <v>39</v>
      </c>
      <c r="G1145">
        <v>14</v>
      </c>
      <c r="H1145" t="s">
        <v>20</v>
      </c>
      <c r="I1145">
        <v>8.59</v>
      </c>
      <c r="J1145">
        <v>11.47</v>
      </c>
      <c r="K1145">
        <v>1.44</v>
      </c>
      <c r="L1145">
        <v>0</v>
      </c>
      <c r="M1145">
        <v>21.5</v>
      </c>
      <c r="N1145">
        <v>21.5</v>
      </c>
    </row>
    <row r="1146" spans="1:14" x14ac:dyDescent="0.3">
      <c r="A1146" s="2">
        <v>43922</v>
      </c>
      <c r="B1146" t="s">
        <v>68</v>
      </c>
      <c r="C1146">
        <v>2020</v>
      </c>
      <c r="D1146">
        <v>4</v>
      </c>
      <c r="E1146" t="s">
        <v>62</v>
      </c>
      <c r="F1146" t="s">
        <v>40</v>
      </c>
      <c r="G1146">
        <v>17</v>
      </c>
      <c r="H1146" t="s">
        <v>20</v>
      </c>
      <c r="I1146">
        <v>8.1999999999999993</v>
      </c>
      <c r="J1146">
        <v>9.09</v>
      </c>
      <c r="K1146">
        <v>3.4</v>
      </c>
      <c r="L1146">
        <v>0.01</v>
      </c>
      <c r="M1146">
        <v>20.69</v>
      </c>
      <c r="N1146">
        <v>20.7</v>
      </c>
    </row>
    <row r="1147" spans="1:14" x14ac:dyDescent="0.3">
      <c r="A1147" s="2">
        <v>43922</v>
      </c>
      <c r="B1147" t="s">
        <v>68</v>
      </c>
      <c r="C1147">
        <v>2020</v>
      </c>
      <c r="D1147">
        <v>4</v>
      </c>
      <c r="E1147" t="s">
        <v>62</v>
      </c>
      <c r="F1147" t="s">
        <v>41</v>
      </c>
      <c r="G1147">
        <v>15</v>
      </c>
      <c r="H1147" t="s">
        <v>20</v>
      </c>
      <c r="I1147">
        <v>3.35</v>
      </c>
      <c r="J1147">
        <v>4.16</v>
      </c>
      <c r="K1147">
        <v>1.73</v>
      </c>
      <c r="L1147">
        <v>0</v>
      </c>
      <c r="M1147">
        <v>9.24</v>
      </c>
      <c r="N1147">
        <v>9.24</v>
      </c>
    </row>
    <row r="1148" spans="1:14" x14ac:dyDescent="0.3">
      <c r="A1148" s="2">
        <v>43922</v>
      </c>
      <c r="B1148" t="s">
        <v>68</v>
      </c>
      <c r="C1148">
        <v>2020</v>
      </c>
      <c r="D1148">
        <v>4</v>
      </c>
      <c r="E1148" t="s">
        <v>62</v>
      </c>
      <c r="F1148" t="s">
        <v>42</v>
      </c>
      <c r="G1148">
        <v>13</v>
      </c>
      <c r="H1148" t="s">
        <v>20</v>
      </c>
      <c r="I1148">
        <v>6.29</v>
      </c>
      <c r="J1148">
        <v>7.47</v>
      </c>
      <c r="K1148">
        <v>0.59</v>
      </c>
      <c r="L1148">
        <v>0.02</v>
      </c>
      <c r="M1148">
        <v>14.35</v>
      </c>
      <c r="N1148">
        <v>14.37</v>
      </c>
    </row>
    <row r="1149" spans="1:14" x14ac:dyDescent="0.3">
      <c r="A1149" s="2">
        <v>43922</v>
      </c>
      <c r="B1149" t="s">
        <v>68</v>
      </c>
      <c r="C1149">
        <v>2020</v>
      </c>
      <c r="D1149">
        <v>4</v>
      </c>
      <c r="E1149" t="s">
        <v>62</v>
      </c>
      <c r="F1149" t="s">
        <v>43</v>
      </c>
      <c r="G1149">
        <v>21</v>
      </c>
      <c r="H1149" t="s">
        <v>20</v>
      </c>
      <c r="I1149">
        <v>310.12</v>
      </c>
      <c r="J1149">
        <v>360.36</v>
      </c>
      <c r="K1149">
        <v>101.36</v>
      </c>
      <c r="L1149">
        <v>2.4500000000000002</v>
      </c>
      <c r="M1149">
        <v>771.84</v>
      </c>
      <c r="N1149">
        <v>774.29</v>
      </c>
    </row>
    <row r="1150" spans="1:14" x14ac:dyDescent="0.3">
      <c r="A1150" s="2">
        <v>43922</v>
      </c>
      <c r="B1150" t="s">
        <v>68</v>
      </c>
      <c r="C1150">
        <v>2020</v>
      </c>
      <c r="D1150">
        <v>4</v>
      </c>
      <c r="E1150" t="s">
        <v>62</v>
      </c>
      <c r="F1150" t="s">
        <v>44</v>
      </c>
      <c r="G1150">
        <v>34</v>
      </c>
      <c r="H1150" t="s">
        <v>18</v>
      </c>
      <c r="I1150">
        <v>4.25</v>
      </c>
      <c r="J1150">
        <v>5.33</v>
      </c>
      <c r="K1150">
        <v>21.94</v>
      </c>
      <c r="L1150">
        <v>0.01</v>
      </c>
      <c r="M1150">
        <v>31.52</v>
      </c>
      <c r="N1150">
        <v>31.53</v>
      </c>
    </row>
    <row r="1151" spans="1:14" x14ac:dyDescent="0.3">
      <c r="A1151" s="2">
        <v>43922</v>
      </c>
      <c r="B1151" t="s">
        <v>68</v>
      </c>
      <c r="C1151">
        <v>2020</v>
      </c>
      <c r="D1151">
        <v>4</v>
      </c>
      <c r="E1151" t="s">
        <v>62</v>
      </c>
      <c r="F1151" t="s">
        <v>45</v>
      </c>
      <c r="G1151">
        <v>3</v>
      </c>
      <c r="H1151" t="s">
        <v>20</v>
      </c>
      <c r="I1151">
        <v>85.14</v>
      </c>
      <c r="J1151">
        <v>101.94</v>
      </c>
      <c r="K1151">
        <v>86.29</v>
      </c>
      <c r="L1151">
        <v>0.19</v>
      </c>
      <c r="M1151">
        <v>273.37</v>
      </c>
      <c r="N1151">
        <v>273.56</v>
      </c>
    </row>
    <row r="1152" spans="1:14" x14ac:dyDescent="0.3">
      <c r="A1152" s="2">
        <v>43922</v>
      </c>
      <c r="B1152" t="s">
        <v>68</v>
      </c>
      <c r="C1152">
        <v>2020</v>
      </c>
      <c r="D1152">
        <v>4</v>
      </c>
      <c r="E1152" t="s">
        <v>62</v>
      </c>
      <c r="F1152" t="s">
        <v>46</v>
      </c>
      <c r="G1152">
        <v>8</v>
      </c>
      <c r="H1152" t="s">
        <v>20</v>
      </c>
      <c r="I1152">
        <v>177.78</v>
      </c>
      <c r="J1152">
        <v>183.86</v>
      </c>
      <c r="K1152">
        <v>92.62</v>
      </c>
      <c r="L1152">
        <v>42.59</v>
      </c>
      <c r="M1152">
        <v>454.26</v>
      </c>
      <c r="N1152">
        <v>496.85</v>
      </c>
    </row>
    <row r="1153" spans="1:14" x14ac:dyDescent="0.3">
      <c r="A1153" s="2">
        <v>43922</v>
      </c>
      <c r="B1153" t="s">
        <v>68</v>
      </c>
      <c r="C1153">
        <v>2020</v>
      </c>
      <c r="D1153">
        <v>4</v>
      </c>
      <c r="E1153" t="s">
        <v>62</v>
      </c>
      <c r="F1153" t="s">
        <v>47</v>
      </c>
      <c r="G1153">
        <v>11</v>
      </c>
      <c r="H1153" t="s">
        <v>20</v>
      </c>
      <c r="I1153">
        <v>4.53</v>
      </c>
      <c r="J1153">
        <v>5.53</v>
      </c>
      <c r="K1153">
        <v>70.98</v>
      </c>
      <c r="L1153">
        <v>0</v>
      </c>
      <c r="M1153">
        <v>81.040000000000006</v>
      </c>
      <c r="N1153">
        <v>81.040000000000006</v>
      </c>
    </row>
    <row r="1154" spans="1:14" x14ac:dyDescent="0.3">
      <c r="A1154" s="2">
        <v>43922</v>
      </c>
      <c r="B1154" t="s">
        <v>68</v>
      </c>
      <c r="C1154">
        <v>2020</v>
      </c>
      <c r="D1154">
        <v>4</v>
      </c>
      <c r="E1154" t="s">
        <v>62</v>
      </c>
      <c r="F1154" t="s">
        <v>48</v>
      </c>
      <c r="G1154">
        <v>33</v>
      </c>
      <c r="H1154" t="s">
        <v>20</v>
      </c>
      <c r="I1154">
        <v>371.71</v>
      </c>
      <c r="J1154">
        <v>451.05</v>
      </c>
      <c r="K1154">
        <v>594.51</v>
      </c>
      <c r="L1154">
        <v>2.78</v>
      </c>
      <c r="M1154">
        <v>1417.27</v>
      </c>
      <c r="N1154">
        <v>1420.05</v>
      </c>
    </row>
    <row r="1155" spans="1:14" x14ac:dyDescent="0.3">
      <c r="A1155" s="2">
        <v>43922</v>
      </c>
      <c r="B1155" t="s">
        <v>68</v>
      </c>
      <c r="C1155">
        <v>2020</v>
      </c>
      <c r="D1155">
        <v>4</v>
      </c>
      <c r="E1155" t="s">
        <v>62</v>
      </c>
      <c r="F1155" t="s">
        <v>49</v>
      </c>
      <c r="G1155">
        <v>36</v>
      </c>
      <c r="H1155" t="s">
        <v>20</v>
      </c>
      <c r="I1155">
        <v>214.09</v>
      </c>
      <c r="J1155">
        <v>252.67</v>
      </c>
      <c r="K1155">
        <v>318.55</v>
      </c>
      <c r="L1155">
        <v>142.83000000000001</v>
      </c>
      <c r="M1155">
        <v>785.31</v>
      </c>
      <c r="N1155">
        <v>928.14</v>
      </c>
    </row>
    <row r="1156" spans="1:14" x14ac:dyDescent="0.3">
      <c r="A1156" s="2">
        <v>43922</v>
      </c>
      <c r="B1156" t="s">
        <v>68</v>
      </c>
      <c r="C1156">
        <v>2020</v>
      </c>
      <c r="D1156">
        <v>4</v>
      </c>
      <c r="E1156" t="s">
        <v>62</v>
      </c>
      <c r="F1156" t="s">
        <v>50</v>
      </c>
      <c r="G1156">
        <v>16</v>
      </c>
      <c r="H1156" t="s">
        <v>20</v>
      </c>
      <c r="I1156">
        <v>7.99</v>
      </c>
      <c r="J1156">
        <v>9.7100000000000009</v>
      </c>
      <c r="K1156">
        <v>1.95</v>
      </c>
      <c r="L1156">
        <v>0.01</v>
      </c>
      <c r="M1156">
        <v>19.649999999999999</v>
      </c>
      <c r="N1156">
        <v>19.66</v>
      </c>
    </row>
    <row r="1157" spans="1:14" x14ac:dyDescent="0.3">
      <c r="A1157" s="2">
        <v>43922</v>
      </c>
      <c r="B1157" t="s">
        <v>68</v>
      </c>
      <c r="C1157">
        <v>2020</v>
      </c>
      <c r="D1157">
        <v>4</v>
      </c>
      <c r="E1157" t="s">
        <v>62</v>
      </c>
      <c r="F1157" t="s">
        <v>51</v>
      </c>
      <c r="G1157">
        <v>9</v>
      </c>
      <c r="H1157" t="s">
        <v>20</v>
      </c>
      <c r="I1157">
        <v>312.66000000000003</v>
      </c>
      <c r="J1157">
        <v>376.17</v>
      </c>
      <c r="K1157">
        <v>284.2</v>
      </c>
      <c r="L1157">
        <v>17.04</v>
      </c>
      <c r="M1157">
        <v>973.03</v>
      </c>
      <c r="N1157">
        <v>990.07</v>
      </c>
    </row>
    <row r="1158" spans="1:14" x14ac:dyDescent="0.3">
      <c r="A1158" s="2">
        <v>43922</v>
      </c>
      <c r="B1158" t="s">
        <v>68</v>
      </c>
      <c r="C1158">
        <v>2020</v>
      </c>
      <c r="D1158">
        <v>4</v>
      </c>
      <c r="E1158" t="s">
        <v>62</v>
      </c>
      <c r="F1158" t="s">
        <v>52</v>
      </c>
      <c r="G1158">
        <v>5</v>
      </c>
      <c r="H1158" t="s">
        <v>20</v>
      </c>
      <c r="I1158">
        <v>49.79</v>
      </c>
      <c r="J1158">
        <v>61.95</v>
      </c>
      <c r="K1158">
        <v>141.63</v>
      </c>
      <c r="L1158">
        <v>3.26</v>
      </c>
      <c r="M1158">
        <v>253.37</v>
      </c>
      <c r="N1158">
        <v>256.63</v>
      </c>
    </row>
    <row r="1159" spans="1:14" x14ac:dyDescent="0.3">
      <c r="A1159" s="2">
        <v>43922</v>
      </c>
      <c r="B1159" t="s">
        <v>68</v>
      </c>
      <c r="C1159">
        <v>2020</v>
      </c>
      <c r="D1159">
        <v>4</v>
      </c>
      <c r="E1159" t="s">
        <v>62</v>
      </c>
      <c r="F1159" t="s">
        <v>53</v>
      </c>
      <c r="G1159">
        <v>19</v>
      </c>
      <c r="H1159" t="s">
        <v>20</v>
      </c>
      <c r="I1159">
        <v>220.64</v>
      </c>
      <c r="J1159">
        <v>260.61</v>
      </c>
      <c r="K1159">
        <v>149.1</v>
      </c>
      <c r="L1159">
        <v>3.11</v>
      </c>
      <c r="M1159">
        <v>630.35</v>
      </c>
      <c r="N1159">
        <v>633.46</v>
      </c>
    </row>
    <row r="1160" spans="1:14" x14ac:dyDescent="0.3">
      <c r="A1160" s="2">
        <v>43952</v>
      </c>
      <c r="B1160" t="s">
        <v>68</v>
      </c>
      <c r="C1160">
        <v>2020</v>
      </c>
      <c r="D1160">
        <v>5</v>
      </c>
      <c r="E1160" t="s">
        <v>63</v>
      </c>
      <c r="F1160" t="s">
        <v>17</v>
      </c>
      <c r="G1160">
        <v>35</v>
      </c>
      <c r="H1160" t="s">
        <v>18</v>
      </c>
      <c r="I1160">
        <v>2.86</v>
      </c>
      <c r="J1160">
        <v>3.91</v>
      </c>
      <c r="K1160">
        <v>1.05</v>
      </c>
      <c r="L1160">
        <v>0.01</v>
      </c>
      <c r="M1160">
        <v>7.82</v>
      </c>
      <c r="N1160">
        <v>7.83</v>
      </c>
    </row>
    <row r="1161" spans="1:14" x14ac:dyDescent="0.3">
      <c r="A1161" s="2">
        <v>43952</v>
      </c>
      <c r="B1161" t="s">
        <v>68</v>
      </c>
      <c r="C1161">
        <v>2020</v>
      </c>
      <c r="D1161">
        <v>5</v>
      </c>
      <c r="E1161" t="s">
        <v>63</v>
      </c>
      <c r="F1161" t="s">
        <v>19</v>
      </c>
      <c r="G1161">
        <v>28</v>
      </c>
      <c r="H1161" t="s">
        <v>20</v>
      </c>
      <c r="I1161">
        <v>294.75</v>
      </c>
      <c r="J1161">
        <v>379.5</v>
      </c>
      <c r="K1161">
        <v>373.5</v>
      </c>
      <c r="L1161">
        <v>180.25</v>
      </c>
      <c r="M1161">
        <v>1047.75</v>
      </c>
      <c r="N1161">
        <v>1228</v>
      </c>
    </row>
    <row r="1162" spans="1:14" x14ac:dyDescent="0.3">
      <c r="A1162" s="2">
        <v>43952</v>
      </c>
      <c r="B1162" t="s">
        <v>68</v>
      </c>
      <c r="C1162">
        <v>2020</v>
      </c>
      <c r="D1162">
        <v>5</v>
      </c>
      <c r="E1162" t="s">
        <v>63</v>
      </c>
      <c r="F1162" t="s">
        <v>21</v>
      </c>
      <c r="G1162">
        <v>12</v>
      </c>
      <c r="H1162" t="s">
        <v>20</v>
      </c>
      <c r="I1162">
        <v>16.059999999999999</v>
      </c>
      <c r="J1162">
        <v>19.86</v>
      </c>
      <c r="K1162">
        <v>2.73</v>
      </c>
      <c r="L1162">
        <v>0.05</v>
      </c>
      <c r="M1162">
        <v>38.65</v>
      </c>
      <c r="N1162">
        <v>38.700000000000003</v>
      </c>
    </row>
    <row r="1163" spans="1:14" x14ac:dyDescent="0.3">
      <c r="A1163" s="2">
        <v>43952</v>
      </c>
      <c r="B1163" t="s">
        <v>68</v>
      </c>
      <c r="C1163">
        <v>2020</v>
      </c>
      <c r="D1163">
        <v>5</v>
      </c>
      <c r="E1163" t="s">
        <v>63</v>
      </c>
      <c r="F1163" t="s">
        <v>22</v>
      </c>
      <c r="G1163">
        <v>18</v>
      </c>
      <c r="H1163" t="s">
        <v>20</v>
      </c>
      <c r="I1163">
        <v>166.97</v>
      </c>
      <c r="J1163">
        <v>190.7</v>
      </c>
      <c r="K1163">
        <v>105.87</v>
      </c>
      <c r="L1163">
        <v>44.46</v>
      </c>
      <c r="M1163">
        <v>463.54</v>
      </c>
      <c r="N1163">
        <v>508</v>
      </c>
    </row>
    <row r="1164" spans="1:14" x14ac:dyDescent="0.3">
      <c r="A1164" s="2">
        <v>43952</v>
      </c>
      <c r="B1164" t="s">
        <v>68</v>
      </c>
      <c r="C1164">
        <v>2020</v>
      </c>
      <c r="D1164">
        <v>5</v>
      </c>
      <c r="E1164" t="s">
        <v>63</v>
      </c>
      <c r="F1164" t="s">
        <v>23</v>
      </c>
      <c r="G1164">
        <v>10</v>
      </c>
      <c r="H1164" t="s">
        <v>20</v>
      </c>
      <c r="I1164">
        <v>167.53</v>
      </c>
      <c r="J1164">
        <v>248.01</v>
      </c>
      <c r="K1164">
        <v>68.95</v>
      </c>
      <c r="L1164">
        <v>123.61</v>
      </c>
      <c r="M1164">
        <v>484.49</v>
      </c>
      <c r="N1164">
        <v>608.1</v>
      </c>
    </row>
    <row r="1165" spans="1:14" x14ac:dyDescent="0.3">
      <c r="A1165" s="2">
        <v>43952</v>
      </c>
      <c r="B1165" t="s">
        <v>68</v>
      </c>
      <c r="C1165">
        <v>2020</v>
      </c>
      <c r="D1165">
        <v>5</v>
      </c>
      <c r="E1165" t="s">
        <v>63</v>
      </c>
      <c r="F1165" t="s">
        <v>24</v>
      </c>
      <c r="G1165">
        <v>4</v>
      </c>
      <c r="H1165" t="s">
        <v>18</v>
      </c>
      <c r="I1165">
        <v>16.16</v>
      </c>
      <c r="J1165">
        <v>22.06</v>
      </c>
      <c r="K1165">
        <v>63.58</v>
      </c>
      <c r="L1165">
        <v>1.64</v>
      </c>
      <c r="M1165">
        <v>101.8</v>
      </c>
      <c r="N1165">
        <v>103.44</v>
      </c>
    </row>
    <row r="1166" spans="1:14" x14ac:dyDescent="0.3">
      <c r="A1166" s="2">
        <v>43952</v>
      </c>
      <c r="B1166" t="s">
        <v>68</v>
      </c>
      <c r="C1166">
        <v>2020</v>
      </c>
      <c r="D1166">
        <v>5</v>
      </c>
      <c r="E1166" t="s">
        <v>63</v>
      </c>
      <c r="F1166" t="s">
        <v>25</v>
      </c>
      <c r="G1166">
        <v>22</v>
      </c>
      <c r="H1166" t="s">
        <v>20</v>
      </c>
      <c r="I1166">
        <v>278.02</v>
      </c>
      <c r="J1166">
        <v>314.73</v>
      </c>
      <c r="K1166">
        <v>665.48</v>
      </c>
      <c r="L1166">
        <v>564.67999999999995</v>
      </c>
      <c r="M1166">
        <v>1258.23</v>
      </c>
      <c r="N1166">
        <v>1822.91</v>
      </c>
    </row>
    <row r="1167" spans="1:14" x14ac:dyDescent="0.3">
      <c r="A1167" s="2">
        <v>43952</v>
      </c>
      <c r="B1167" t="s">
        <v>68</v>
      </c>
      <c r="C1167">
        <v>2020</v>
      </c>
      <c r="D1167">
        <v>5</v>
      </c>
      <c r="E1167" t="s">
        <v>63</v>
      </c>
      <c r="F1167" t="s">
        <v>26</v>
      </c>
      <c r="G1167">
        <v>38</v>
      </c>
      <c r="H1167" t="s">
        <v>18</v>
      </c>
      <c r="I1167">
        <v>13.11</v>
      </c>
      <c r="J1167">
        <v>16.690000000000001</v>
      </c>
      <c r="K1167">
        <v>68.36</v>
      </c>
      <c r="L1167">
        <v>0.04</v>
      </c>
      <c r="M1167">
        <v>98.16</v>
      </c>
      <c r="N1167">
        <v>98.2</v>
      </c>
    </row>
    <row r="1168" spans="1:14" x14ac:dyDescent="0.3">
      <c r="A1168" s="2">
        <v>43952</v>
      </c>
      <c r="B1168" t="s">
        <v>68</v>
      </c>
      <c r="C1168">
        <v>2020</v>
      </c>
      <c r="D1168">
        <v>5</v>
      </c>
      <c r="E1168" t="s">
        <v>63</v>
      </c>
      <c r="F1168" t="s">
        <v>27</v>
      </c>
      <c r="G1168">
        <v>7</v>
      </c>
      <c r="H1168" t="s">
        <v>18</v>
      </c>
      <c r="I1168">
        <v>415.34</v>
      </c>
      <c r="J1168">
        <v>494.26</v>
      </c>
      <c r="K1168">
        <v>1191.83</v>
      </c>
      <c r="L1168">
        <v>57.35</v>
      </c>
      <c r="M1168">
        <v>2101.4299999999998</v>
      </c>
      <c r="N1168">
        <v>2158.7800000000002</v>
      </c>
    </row>
    <row r="1169" spans="1:14" x14ac:dyDescent="0.3">
      <c r="A1169" s="2">
        <v>43952</v>
      </c>
      <c r="B1169" t="s">
        <v>68</v>
      </c>
      <c r="C1169">
        <v>2020</v>
      </c>
      <c r="D1169">
        <v>5</v>
      </c>
      <c r="E1169" t="s">
        <v>63</v>
      </c>
      <c r="F1169" t="s">
        <v>28</v>
      </c>
      <c r="G1169">
        <v>30</v>
      </c>
      <c r="H1169" t="s">
        <v>20</v>
      </c>
      <c r="I1169">
        <v>39.25</v>
      </c>
      <c r="J1169">
        <v>52.64</v>
      </c>
      <c r="K1169">
        <v>58.11</v>
      </c>
      <c r="L1169">
        <v>0.85</v>
      </c>
      <c r="M1169">
        <v>150</v>
      </c>
      <c r="N1169">
        <v>150.85</v>
      </c>
    </row>
    <row r="1170" spans="1:14" x14ac:dyDescent="0.3">
      <c r="A1170" s="2">
        <v>43952</v>
      </c>
      <c r="B1170" t="s">
        <v>68</v>
      </c>
      <c r="C1170">
        <v>2020</v>
      </c>
      <c r="D1170">
        <v>5</v>
      </c>
      <c r="E1170" t="s">
        <v>63</v>
      </c>
      <c r="F1170" t="s">
        <v>29</v>
      </c>
      <c r="G1170">
        <v>24</v>
      </c>
      <c r="H1170" t="s">
        <v>20</v>
      </c>
      <c r="I1170">
        <v>855.01</v>
      </c>
      <c r="J1170">
        <v>1022.56</v>
      </c>
      <c r="K1170">
        <v>1015.66</v>
      </c>
      <c r="L1170">
        <v>184.5</v>
      </c>
      <c r="M1170">
        <v>2893.23</v>
      </c>
      <c r="N1170">
        <v>3077.73</v>
      </c>
    </row>
    <row r="1171" spans="1:14" x14ac:dyDescent="0.3">
      <c r="A1171" s="2">
        <v>43952</v>
      </c>
      <c r="B1171" t="s">
        <v>68</v>
      </c>
      <c r="C1171">
        <v>2020</v>
      </c>
      <c r="D1171">
        <v>5</v>
      </c>
      <c r="E1171" t="s">
        <v>63</v>
      </c>
      <c r="F1171" t="s">
        <v>30</v>
      </c>
      <c r="G1171">
        <v>6</v>
      </c>
      <c r="H1171" t="s">
        <v>20</v>
      </c>
      <c r="I1171">
        <v>424.52</v>
      </c>
      <c r="J1171">
        <v>546.11</v>
      </c>
      <c r="K1171">
        <v>1556.35</v>
      </c>
      <c r="L1171">
        <v>81.59</v>
      </c>
      <c r="M1171">
        <v>2526.98</v>
      </c>
      <c r="N1171">
        <v>2608.5700000000002</v>
      </c>
    </row>
    <row r="1172" spans="1:14" x14ac:dyDescent="0.3">
      <c r="A1172" s="2">
        <v>43952</v>
      </c>
      <c r="B1172" t="s">
        <v>68</v>
      </c>
      <c r="C1172">
        <v>2020</v>
      </c>
      <c r="D1172">
        <v>5</v>
      </c>
      <c r="E1172" t="s">
        <v>63</v>
      </c>
      <c r="F1172" t="s">
        <v>31</v>
      </c>
      <c r="G1172">
        <v>2</v>
      </c>
      <c r="H1172" t="s">
        <v>20</v>
      </c>
      <c r="I1172">
        <v>53.06</v>
      </c>
      <c r="J1172">
        <v>72.239999999999995</v>
      </c>
      <c r="K1172">
        <v>146.38999999999999</v>
      </c>
      <c r="L1172">
        <v>0.35</v>
      </c>
      <c r="M1172">
        <v>271.69</v>
      </c>
      <c r="N1172">
        <v>272.04000000000002</v>
      </c>
    </row>
    <row r="1173" spans="1:14" x14ac:dyDescent="0.3">
      <c r="A1173" s="2">
        <v>43952</v>
      </c>
      <c r="B1173" t="s">
        <v>68</v>
      </c>
      <c r="C1173">
        <v>2020</v>
      </c>
      <c r="D1173">
        <v>5</v>
      </c>
      <c r="E1173" t="s">
        <v>63</v>
      </c>
      <c r="F1173" t="s">
        <v>32</v>
      </c>
      <c r="G1173">
        <v>1</v>
      </c>
      <c r="H1173" t="s">
        <v>18</v>
      </c>
      <c r="I1173">
        <v>40.130000000000003</v>
      </c>
      <c r="J1173">
        <v>62.74</v>
      </c>
      <c r="K1173">
        <v>24.51</v>
      </c>
      <c r="L1173">
        <v>1.74</v>
      </c>
      <c r="M1173">
        <v>127.38</v>
      </c>
      <c r="N1173">
        <v>129.12</v>
      </c>
    </row>
    <row r="1174" spans="1:14" x14ac:dyDescent="0.3">
      <c r="A1174" s="2">
        <v>43952</v>
      </c>
      <c r="B1174" t="s">
        <v>68</v>
      </c>
      <c r="C1174">
        <v>2020</v>
      </c>
      <c r="D1174">
        <v>5</v>
      </c>
      <c r="E1174" t="s">
        <v>63</v>
      </c>
      <c r="F1174" t="s">
        <v>33</v>
      </c>
      <c r="G1174">
        <v>20</v>
      </c>
      <c r="H1174" t="s">
        <v>20</v>
      </c>
      <c r="I1174">
        <v>202.92</v>
      </c>
      <c r="J1174">
        <v>241.15</v>
      </c>
      <c r="K1174">
        <v>359.03</v>
      </c>
      <c r="L1174">
        <v>438.84</v>
      </c>
      <c r="M1174">
        <v>803.1</v>
      </c>
      <c r="N1174">
        <v>1241.94</v>
      </c>
    </row>
    <row r="1175" spans="1:14" x14ac:dyDescent="0.3">
      <c r="A1175" s="2">
        <v>43952</v>
      </c>
      <c r="B1175" t="s">
        <v>68</v>
      </c>
      <c r="C1175">
        <v>2020</v>
      </c>
      <c r="D1175">
        <v>5</v>
      </c>
      <c r="E1175" t="s">
        <v>63</v>
      </c>
      <c r="F1175" t="s">
        <v>34</v>
      </c>
      <c r="G1175">
        <v>29</v>
      </c>
      <c r="H1175" t="s">
        <v>20</v>
      </c>
      <c r="I1175">
        <v>1058.82</v>
      </c>
      <c r="J1175">
        <v>1296.28</v>
      </c>
      <c r="K1175">
        <v>1532.32</v>
      </c>
      <c r="L1175">
        <v>621.32000000000005</v>
      </c>
      <c r="M1175">
        <v>3887.42</v>
      </c>
      <c r="N1175">
        <v>4508.74</v>
      </c>
    </row>
    <row r="1176" spans="1:14" x14ac:dyDescent="0.3">
      <c r="A1176" s="2">
        <v>43952</v>
      </c>
      <c r="B1176" t="s">
        <v>68</v>
      </c>
      <c r="C1176">
        <v>2020</v>
      </c>
      <c r="D1176">
        <v>5</v>
      </c>
      <c r="E1176" t="s">
        <v>63</v>
      </c>
      <c r="F1176" t="s">
        <v>35</v>
      </c>
      <c r="G1176">
        <v>32</v>
      </c>
      <c r="H1176" t="s">
        <v>20</v>
      </c>
      <c r="I1176">
        <v>277.8</v>
      </c>
      <c r="J1176">
        <v>365.75</v>
      </c>
      <c r="K1176">
        <v>216.68</v>
      </c>
      <c r="L1176">
        <v>1.97</v>
      </c>
      <c r="M1176">
        <v>860.23</v>
      </c>
      <c r="N1176">
        <v>862.2</v>
      </c>
    </row>
    <row r="1177" spans="1:14" x14ac:dyDescent="0.3">
      <c r="A1177" s="2">
        <v>43952</v>
      </c>
      <c r="B1177" t="s">
        <v>68</v>
      </c>
      <c r="C1177">
        <v>2020</v>
      </c>
      <c r="D1177">
        <v>5</v>
      </c>
      <c r="E1177" t="s">
        <v>63</v>
      </c>
      <c r="F1177" t="s">
        <v>67</v>
      </c>
      <c r="G1177">
        <v>37</v>
      </c>
      <c r="H1177" t="s">
        <v>18</v>
      </c>
      <c r="I1177">
        <v>4.7699999999999996</v>
      </c>
      <c r="J1177">
        <v>5.35</v>
      </c>
      <c r="K1177">
        <v>1.64</v>
      </c>
      <c r="L1177">
        <v>0.4</v>
      </c>
      <c r="M1177">
        <v>11.76</v>
      </c>
      <c r="N1177">
        <v>12.16</v>
      </c>
    </row>
    <row r="1178" spans="1:14" x14ac:dyDescent="0.3">
      <c r="A1178" s="2">
        <v>43952</v>
      </c>
      <c r="B1178" t="s">
        <v>68</v>
      </c>
      <c r="C1178">
        <v>2020</v>
      </c>
      <c r="D1178">
        <v>5</v>
      </c>
      <c r="E1178" t="s">
        <v>63</v>
      </c>
      <c r="F1178" t="s">
        <v>36</v>
      </c>
      <c r="G1178">
        <v>31</v>
      </c>
      <c r="H1178" t="s">
        <v>18</v>
      </c>
      <c r="I1178">
        <v>1.21</v>
      </c>
      <c r="J1178">
        <v>1.24</v>
      </c>
      <c r="K1178">
        <v>0.03</v>
      </c>
      <c r="L1178">
        <v>0</v>
      </c>
      <c r="M1178">
        <v>2.48</v>
      </c>
      <c r="N1178">
        <v>2.48</v>
      </c>
    </row>
    <row r="1179" spans="1:14" x14ac:dyDescent="0.3">
      <c r="A1179" s="2">
        <v>43952</v>
      </c>
      <c r="B1179" t="s">
        <v>68</v>
      </c>
      <c r="C1179">
        <v>2020</v>
      </c>
      <c r="D1179">
        <v>5</v>
      </c>
      <c r="E1179" t="s">
        <v>63</v>
      </c>
      <c r="F1179" t="s">
        <v>37</v>
      </c>
      <c r="G1179">
        <v>23</v>
      </c>
      <c r="H1179" t="s">
        <v>20</v>
      </c>
      <c r="I1179">
        <v>301.48</v>
      </c>
      <c r="J1179">
        <v>368.55</v>
      </c>
      <c r="K1179">
        <v>298.52</v>
      </c>
      <c r="L1179">
        <v>370.57</v>
      </c>
      <c r="M1179">
        <v>968.55</v>
      </c>
      <c r="N1179">
        <v>1339.12</v>
      </c>
    </row>
    <row r="1180" spans="1:14" x14ac:dyDescent="0.3">
      <c r="A1180" s="2">
        <v>43952</v>
      </c>
      <c r="B1180" t="s">
        <v>68</v>
      </c>
      <c r="C1180">
        <v>2020</v>
      </c>
      <c r="D1180">
        <v>5</v>
      </c>
      <c r="E1180" t="s">
        <v>63</v>
      </c>
      <c r="F1180" t="s">
        <v>38</v>
      </c>
      <c r="G1180">
        <v>27</v>
      </c>
      <c r="H1180" t="s">
        <v>20</v>
      </c>
      <c r="I1180">
        <v>2060.79</v>
      </c>
      <c r="J1180">
        <v>2483.04</v>
      </c>
      <c r="K1180">
        <v>3374.13</v>
      </c>
      <c r="L1180">
        <v>552.92999999999995</v>
      </c>
      <c r="M1180">
        <v>7917.96</v>
      </c>
      <c r="N1180">
        <v>8470.89</v>
      </c>
    </row>
    <row r="1181" spans="1:14" x14ac:dyDescent="0.3">
      <c r="A1181" s="2">
        <v>43952</v>
      </c>
      <c r="B1181" t="s">
        <v>68</v>
      </c>
      <c r="C1181">
        <v>2020</v>
      </c>
      <c r="D1181">
        <v>5</v>
      </c>
      <c r="E1181" t="s">
        <v>63</v>
      </c>
      <c r="F1181" t="s">
        <v>39</v>
      </c>
      <c r="G1181">
        <v>14</v>
      </c>
      <c r="H1181" t="s">
        <v>20</v>
      </c>
      <c r="I1181">
        <v>7.93</v>
      </c>
      <c r="J1181">
        <v>9.59</v>
      </c>
      <c r="K1181">
        <v>1</v>
      </c>
      <c r="L1181">
        <v>0</v>
      </c>
      <c r="M1181">
        <v>18.52</v>
      </c>
      <c r="N1181">
        <v>18.52</v>
      </c>
    </row>
    <row r="1182" spans="1:14" x14ac:dyDescent="0.3">
      <c r="A1182" s="2">
        <v>43952</v>
      </c>
      <c r="B1182" t="s">
        <v>68</v>
      </c>
      <c r="C1182">
        <v>2020</v>
      </c>
      <c r="D1182">
        <v>5</v>
      </c>
      <c r="E1182" t="s">
        <v>63</v>
      </c>
      <c r="F1182" t="s">
        <v>40</v>
      </c>
      <c r="G1182">
        <v>17</v>
      </c>
      <c r="H1182" t="s">
        <v>20</v>
      </c>
      <c r="I1182">
        <v>13.98</v>
      </c>
      <c r="J1182">
        <v>16.7</v>
      </c>
      <c r="K1182">
        <v>62.43</v>
      </c>
      <c r="L1182">
        <v>0.21</v>
      </c>
      <c r="M1182">
        <v>93.11</v>
      </c>
      <c r="N1182">
        <v>93.32</v>
      </c>
    </row>
    <row r="1183" spans="1:14" x14ac:dyDescent="0.3">
      <c r="A1183" s="2">
        <v>43952</v>
      </c>
      <c r="B1183" t="s">
        <v>68</v>
      </c>
      <c r="C1183">
        <v>2020</v>
      </c>
      <c r="D1183">
        <v>5</v>
      </c>
      <c r="E1183" t="s">
        <v>63</v>
      </c>
      <c r="F1183" t="s">
        <v>41</v>
      </c>
      <c r="G1183">
        <v>15</v>
      </c>
      <c r="H1183" t="s">
        <v>20</v>
      </c>
      <c r="I1183">
        <v>3.74</v>
      </c>
      <c r="J1183">
        <v>5.47</v>
      </c>
      <c r="K1183">
        <v>1.43</v>
      </c>
      <c r="L1183">
        <v>0</v>
      </c>
      <c r="M1183">
        <v>10.64</v>
      </c>
      <c r="N1183">
        <v>10.64</v>
      </c>
    </row>
    <row r="1184" spans="1:14" x14ac:dyDescent="0.3">
      <c r="A1184" s="2">
        <v>43952</v>
      </c>
      <c r="B1184" t="s">
        <v>68</v>
      </c>
      <c r="C1184">
        <v>2020</v>
      </c>
      <c r="D1184">
        <v>5</v>
      </c>
      <c r="E1184" t="s">
        <v>63</v>
      </c>
      <c r="F1184" t="s">
        <v>42</v>
      </c>
      <c r="G1184">
        <v>13</v>
      </c>
      <c r="H1184" t="s">
        <v>20</v>
      </c>
      <c r="I1184">
        <v>12.06</v>
      </c>
      <c r="J1184">
        <v>18.38</v>
      </c>
      <c r="K1184">
        <v>1.45</v>
      </c>
      <c r="L1184">
        <v>0.85</v>
      </c>
      <c r="M1184">
        <v>31.89</v>
      </c>
      <c r="N1184">
        <v>32.74</v>
      </c>
    </row>
    <row r="1185" spans="1:14" x14ac:dyDescent="0.3">
      <c r="A1185" s="2">
        <v>43952</v>
      </c>
      <c r="B1185" t="s">
        <v>68</v>
      </c>
      <c r="C1185">
        <v>2020</v>
      </c>
      <c r="D1185">
        <v>5</v>
      </c>
      <c r="E1185" t="s">
        <v>63</v>
      </c>
      <c r="F1185" t="s">
        <v>43</v>
      </c>
      <c r="G1185">
        <v>21</v>
      </c>
      <c r="H1185" t="s">
        <v>20</v>
      </c>
      <c r="I1185">
        <v>349.83</v>
      </c>
      <c r="J1185">
        <v>440.67</v>
      </c>
      <c r="K1185">
        <v>381.15</v>
      </c>
      <c r="L1185">
        <v>552.61</v>
      </c>
      <c r="M1185">
        <v>1171.6500000000001</v>
      </c>
      <c r="N1185">
        <v>1724.26</v>
      </c>
    </row>
    <row r="1186" spans="1:14" x14ac:dyDescent="0.3">
      <c r="A1186" s="2">
        <v>43952</v>
      </c>
      <c r="B1186" t="s">
        <v>68</v>
      </c>
      <c r="C1186">
        <v>2020</v>
      </c>
      <c r="D1186">
        <v>5</v>
      </c>
      <c r="E1186" t="s">
        <v>63</v>
      </c>
      <c r="F1186" t="s">
        <v>44</v>
      </c>
      <c r="G1186">
        <v>34</v>
      </c>
      <c r="H1186" t="s">
        <v>18</v>
      </c>
      <c r="I1186">
        <v>14.74</v>
      </c>
      <c r="J1186">
        <v>17.2</v>
      </c>
      <c r="K1186">
        <v>67.03</v>
      </c>
      <c r="L1186">
        <v>0.02</v>
      </c>
      <c r="M1186">
        <v>98.97</v>
      </c>
      <c r="N1186">
        <v>98.99</v>
      </c>
    </row>
    <row r="1187" spans="1:14" x14ac:dyDescent="0.3">
      <c r="A1187" s="2">
        <v>43952</v>
      </c>
      <c r="B1187" t="s">
        <v>68</v>
      </c>
      <c r="C1187">
        <v>2020</v>
      </c>
      <c r="D1187">
        <v>5</v>
      </c>
      <c r="E1187" t="s">
        <v>63</v>
      </c>
      <c r="F1187" t="s">
        <v>45</v>
      </c>
      <c r="G1187">
        <v>3</v>
      </c>
      <c r="H1187" t="s">
        <v>20</v>
      </c>
      <c r="I1187">
        <v>171.36</v>
      </c>
      <c r="J1187">
        <v>240.67</v>
      </c>
      <c r="K1187">
        <v>236.13</v>
      </c>
      <c r="L1187">
        <v>8.7899999999999991</v>
      </c>
      <c r="M1187">
        <v>648.16</v>
      </c>
      <c r="N1187">
        <v>656.95</v>
      </c>
    </row>
    <row r="1188" spans="1:14" x14ac:dyDescent="0.3">
      <c r="A1188" s="2">
        <v>43952</v>
      </c>
      <c r="B1188" t="s">
        <v>68</v>
      </c>
      <c r="C1188">
        <v>2020</v>
      </c>
      <c r="D1188">
        <v>5</v>
      </c>
      <c r="E1188" t="s">
        <v>63</v>
      </c>
      <c r="F1188" t="s">
        <v>46</v>
      </c>
      <c r="G1188">
        <v>8</v>
      </c>
      <c r="H1188" t="s">
        <v>20</v>
      </c>
      <c r="I1188">
        <v>379.21</v>
      </c>
      <c r="J1188">
        <v>463.22</v>
      </c>
      <c r="K1188">
        <v>525.83000000000004</v>
      </c>
      <c r="L1188">
        <v>47.75</v>
      </c>
      <c r="M1188">
        <v>1368.26</v>
      </c>
      <c r="N1188">
        <v>1416.01</v>
      </c>
    </row>
    <row r="1189" spans="1:14" x14ac:dyDescent="0.3">
      <c r="A1189" s="2">
        <v>43952</v>
      </c>
      <c r="B1189" t="s">
        <v>68</v>
      </c>
      <c r="C1189">
        <v>2020</v>
      </c>
      <c r="D1189">
        <v>5</v>
      </c>
      <c r="E1189" t="s">
        <v>63</v>
      </c>
      <c r="F1189" t="s">
        <v>47</v>
      </c>
      <c r="G1189">
        <v>11</v>
      </c>
      <c r="H1189" t="s">
        <v>20</v>
      </c>
      <c r="I1189">
        <v>8.91</v>
      </c>
      <c r="J1189">
        <v>10.96</v>
      </c>
      <c r="K1189">
        <v>74.319999999999993</v>
      </c>
      <c r="L1189">
        <v>0.31</v>
      </c>
      <c r="M1189">
        <v>94.19</v>
      </c>
      <c r="N1189">
        <v>94.5</v>
      </c>
    </row>
    <row r="1190" spans="1:14" x14ac:dyDescent="0.3">
      <c r="A1190" s="2">
        <v>43952</v>
      </c>
      <c r="B1190" t="s">
        <v>68</v>
      </c>
      <c r="C1190">
        <v>2020</v>
      </c>
      <c r="D1190">
        <v>5</v>
      </c>
      <c r="E1190" t="s">
        <v>63</v>
      </c>
      <c r="F1190" t="s">
        <v>48</v>
      </c>
      <c r="G1190">
        <v>33</v>
      </c>
      <c r="H1190" t="s">
        <v>20</v>
      </c>
      <c r="I1190">
        <v>793.88</v>
      </c>
      <c r="J1190">
        <v>1064.6500000000001</v>
      </c>
      <c r="K1190">
        <v>1217.97</v>
      </c>
      <c r="L1190">
        <v>446.28</v>
      </c>
      <c r="M1190">
        <v>3076.5</v>
      </c>
      <c r="N1190">
        <v>3522.78</v>
      </c>
    </row>
    <row r="1191" spans="1:14" x14ac:dyDescent="0.3">
      <c r="A1191" s="2">
        <v>43952</v>
      </c>
      <c r="B1191" t="s">
        <v>68</v>
      </c>
      <c r="C1191">
        <v>2020</v>
      </c>
      <c r="D1191">
        <v>5</v>
      </c>
      <c r="E1191" t="s">
        <v>63</v>
      </c>
      <c r="F1191" t="s">
        <v>49</v>
      </c>
      <c r="G1191">
        <v>36</v>
      </c>
      <c r="H1191" t="s">
        <v>20</v>
      </c>
      <c r="I1191">
        <v>432.73</v>
      </c>
      <c r="J1191">
        <v>543.23</v>
      </c>
      <c r="K1191">
        <v>685.39</v>
      </c>
      <c r="L1191">
        <v>227.07</v>
      </c>
      <c r="M1191">
        <v>1661.35</v>
      </c>
      <c r="N1191">
        <v>1888.42</v>
      </c>
    </row>
    <row r="1192" spans="1:14" x14ac:dyDescent="0.3">
      <c r="A1192" s="2">
        <v>43952</v>
      </c>
      <c r="B1192" t="s">
        <v>68</v>
      </c>
      <c r="C1192">
        <v>2020</v>
      </c>
      <c r="D1192">
        <v>5</v>
      </c>
      <c r="E1192" t="s">
        <v>63</v>
      </c>
      <c r="F1192" t="s">
        <v>50</v>
      </c>
      <c r="G1192">
        <v>16</v>
      </c>
      <c r="H1192" t="s">
        <v>20</v>
      </c>
      <c r="I1192">
        <v>36.4</v>
      </c>
      <c r="J1192">
        <v>42.11</v>
      </c>
      <c r="K1192">
        <v>16.34</v>
      </c>
      <c r="L1192">
        <v>0.19</v>
      </c>
      <c r="M1192">
        <v>94.85</v>
      </c>
      <c r="N1192">
        <v>95.04</v>
      </c>
    </row>
    <row r="1193" spans="1:14" x14ac:dyDescent="0.3">
      <c r="A1193" s="2">
        <v>43952</v>
      </c>
      <c r="B1193" t="s">
        <v>68</v>
      </c>
      <c r="C1193">
        <v>2020</v>
      </c>
      <c r="D1193">
        <v>5</v>
      </c>
      <c r="E1193" t="s">
        <v>63</v>
      </c>
      <c r="F1193" t="s">
        <v>51</v>
      </c>
      <c r="G1193">
        <v>9</v>
      </c>
      <c r="H1193" t="s">
        <v>20</v>
      </c>
      <c r="I1193">
        <v>710.21</v>
      </c>
      <c r="J1193">
        <v>945.92</v>
      </c>
      <c r="K1193">
        <v>758.01</v>
      </c>
      <c r="L1193">
        <v>768.52</v>
      </c>
      <c r="M1193">
        <v>2414.14</v>
      </c>
      <c r="N1193">
        <v>3182.66</v>
      </c>
    </row>
    <row r="1194" spans="1:14" x14ac:dyDescent="0.3">
      <c r="A1194" s="2">
        <v>43952</v>
      </c>
      <c r="B1194" t="s">
        <v>68</v>
      </c>
      <c r="C1194">
        <v>2020</v>
      </c>
      <c r="D1194">
        <v>5</v>
      </c>
      <c r="E1194" t="s">
        <v>63</v>
      </c>
      <c r="F1194" t="s">
        <v>52</v>
      </c>
      <c r="G1194">
        <v>5</v>
      </c>
      <c r="H1194" t="s">
        <v>20</v>
      </c>
      <c r="I1194">
        <v>144.84</v>
      </c>
      <c r="J1194">
        <v>170</v>
      </c>
      <c r="K1194">
        <v>299.19</v>
      </c>
      <c r="L1194">
        <v>0.56000000000000005</v>
      </c>
      <c r="M1194">
        <v>614.03</v>
      </c>
      <c r="N1194">
        <v>614.59</v>
      </c>
    </row>
    <row r="1195" spans="1:14" x14ac:dyDescent="0.3">
      <c r="A1195" s="2">
        <v>43952</v>
      </c>
      <c r="B1195" t="s">
        <v>68</v>
      </c>
      <c r="C1195">
        <v>2020</v>
      </c>
      <c r="D1195">
        <v>5</v>
      </c>
      <c r="E1195" t="s">
        <v>63</v>
      </c>
      <c r="F1195" t="s">
        <v>53</v>
      </c>
      <c r="G1195">
        <v>19</v>
      </c>
      <c r="H1195" t="s">
        <v>20</v>
      </c>
      <c r="I1195">
        <v>549.45000000000005</v>
      </c>
      <c r="J1195">
        <v>702.23</v>
      </c>
      <c r="K1195">
        <v>405.94</v>
      </c>
      <c r="L1195">
        <v>298.82</v>
      </c>
      <c r="M1195">
        <v>1657.62</v>
      </c>
      <c r="N1195">
        <v>1956.44</v>
      </c>
    </row>
    <row r="1196" spans="1:14" x14ac:dyDescent="0.3">
      <c r="A1196" s="2">
        <v>43983</v>
      </c>
      <c r="B1196" t="s">
        <v>68</v>
      </c>
      <c r="C1196">
        <v>2020</v>
      </c>
      <c r="D1196">
        <v>6</v>
      </c>
      <c r="E1196" t="s">
        <v>64</v>
      </c>
      <c r="F1196" t="s">
        <v>17</v>
      </c>
      <c r="G1196">
        <v>35</v>
      </c>
      <c r="H1196" t="s">
        <v>18</v>
      </c>
      <c r="I1196">
        <v>23.65</v>
      </c>
      <c r="J1196">
        <v>26.73</v>
      </c>
      <c r="K1196">
        <v>3.74</v>
      </c>
      <c r="L1196">
        <v>7.0000000000000007E-2</v>
      </c>
      <c r="M1196">
        <v>54.12</v>
      </c>
      <c r="N1196">
        <v>54.19</v>
      </c>
    </row>
    <row r="1197" spans="1:14" x14ac:dyDescent="0.3">
      <c r="A1197" s="2">
        <v>43983</v>
      </c>
      <c r="B1197" t="s">
        <v>68</v>
      </c>
      <c r="C1197">
        <v>2020</v>
      </c>
      <c r="D1197">
        <v>6</v>
      </c>
      <c r="E1197" t="s">
        <v>64</v>
      </c>
      <c r="F1197" t="s">
        <v>19</v>
      </c>
      <c r="G1197">
        <v>28</v>
      </c>
      <c r="H1197" t="s">
        <v>20</v>
      </c>
      <c r="I1197">
        <v>627.42999999999995</v>
      </c>
      <c r="J1197">
        <v>846.94</v>
      </c>
      <c r="K1197">
        <v>805.05</v>
      </c>
      <c r="L1197">
        <v>87.66</v>
      </c>
      <c r="M1197">
        <v>2279.42</v>
      </c>
      <c r="N1197">
        <v>2367.08</v>
      </c>
    </row>
    <row r="1198" spans="1:14" x14ac:dyDescent="0.3">
      <c r="A1198" s="2">
        <v>43983</v>
      </c>
      <c r="B1198" t="s">
        <v>68</v>
      </c>
      <c r="C1198">
        <v>2020</v>
      </c>
      <c r="D1198">
        <v>6</v>
      </c>
      <c r="E1198" t="s">
        <v>64</v>
      </c>
      <c r="F1198" t="s">
        <v>21</v>
      </c>
      <c r="G1198">
        <v>12</v>
      </c>
      <c r="H1198" t="s">
        <v>20</v>
      </c>
      <c r="I1198">
        <v>19.420000000000002</v>
      </c>
      <c r="J1198">
        <v>25.43</v>
      </c>
      <c r="K1198">
        <v>4.07</v>
      </c>
      <c r="L1198">
        <v>0.47</v>
      </c>
      <c r="M1198">
        <v>48.92</v>
      </c>
      <c r="N1198">
        <v>49.39</v>
      </c>
    </row>
    <row r="1199" spans="1:14" x14ac:dyDescent="0.3">
      <c r="A1199" s="2">
        <v>43983</v>
      </c>
      <c r="B1199" t="s">
        <v>68</v>
      </c>
      <c r="C1199">
        <v>2020</v>
      </c>
      <c r="D1199">
        <v>6</v>
      </c>
      <c r="E1199" t="s">
        <v>64</v>
      </c>
      <c r="F1199" t="s">
        <v>22</v>
      </c>
      <c r="G1199">
        <v>18</v>
      </c>
      <c r="H1199" t="s">
        <v>20</v>
      </c>
      <c r="I1199">
        <v>279.85000000000002</v>
      </c>
      <c r="J1199">
        <v>359.88</v>
      </c>
      <c r="K1199">
        <v>298.87</v>
      </c>
      <c r="L1199">
        <v>27.87</v>
      </c>
      <c r="M1199">
        <v>938.6</v>
      </c>
      <c r="N1199">
        <v>966.47</v>
      </c>
    </row>
    <row r="1200" spans="1:14" x14ac:dyDescent="0.3">
      <c r="A1200" s="2">
        <v>43983</v>
      </c>
      <c r="B1200" t="s">
        <v>68</v>
      </c>
      <c r="C1200">
        <v>2020</v>
      </c>
      <c r="D1200">
        <v>6</v>
      </c>
      <c r="E1200" t="s">
        <v>64</v>
      </c>
      <c r="F1200" t="s">
        <v>23</v>
      </c>
      <c r="G1200">
        <v>10</v>
      </c>
      <c r="H1200" t="s">
        <v>20</v>
      </c>
      <c r="I1200">
        <v>341.6</v>
      </c>
      <c r="J1200">
        <v>569.77</v>
      </c>
      <c r="K1200">
        <v>119.18</v>
      </c>
      <c r="L1200">
        <v>131.83000000000001</v>
      </c>
      <c r="M1200">
        <v>1030.55</v>
      </c>
      <c r="N1200">
        <v>1162.3800000000001</v>
      </c>
    </row>
    <row r="1201" spans="1:14" x14ac:dyDescent="0.3">
      <c r="A1201" s="2">
        <v>43983</v>
      </c>
      <c r="B1201" t="s">
        <v>68</v>
      </c>
      <c r="C1201">
        <v>2020</v>
      </c>
      <c r="D1201">
        <v>6</v>
      </c>
      <c r="E1201" t="s">
        <v>64</v>
      </c>
      <c r="F1201" t="s">
        <v>24</v>
      </c>
      <c r="G1201">
        <v>4</v>
      </c>
      <c r="H1201" t="s">
        <v>18</v>
      </c>
      <c r="I1201">
        <v>26.85</v>
      </c>
      <c r="J1201">
        <v>35.200000000000003</v>
      </c>
      <c r="K1201">
        <v>94.76</v>
      </c>
      <c r="L1201">
        <v>1.88</v>
      </c>
      <c r="M1201">
        <v>156.81</v>
      </c>
      <c r="N1201">
        <v>158.69</v>
      </c>
    </row>
    <row r="1202" spans="1:14" x14ac:dyDescent="0.3">
      <c r="A1202" s="2">
        <v>43983</v>
      </c>
      <c r="B1202" t="s">
        <v>68</v>
      </c>
      <c r="C1202">
        <v>2020</v>
      </c>
      <c r="D1202">
        <v>6</v>
      </c>
      <c r="E1202" t="s">
        <v>64</v>
      </c>
      <c r="F1202" t="s">
        <v>25</v>
      </c>
      <c r="G1202">
        <v>22</v>
      </c>
      <c r="H1202" t="s">
        <v>20</v>
      </c>
      <c r="I1202">
        <v>472.28</v>
      </c>
      <c r="J1202">
        <v>546.34</v>
      </c>
      <c r="K1202">
        <v>744.26</v>
      </c>
      <c r="L1202">
        <v>785.71</v>
      </c>
      <c r="M1202">
        <v>1762.88</v>
      </c>
      <c r="N1202">
        <v>2548.59</v>
      </c>
    </row>
    <row r="1203" spans="1:14" x14ac:dyDescent="0.3">
      <c r="A1203" s="2">
        <v>43983</v>
      </c>
      <c r="B1203" t="s">
        <v>68</v>
      </c>
      <c r="C1203">
        <v>2020</v>
      </c>
      <c r="D1203">
        <v>6</v>
      </c>
      <c r="E1203" t="s">
        <v>64</v>
      </c>
      <c r="F1203" t="s">
        <v>26</v>
      </c>
      <c r="G1203">
        <v>38</v>
      </c>
      <c r="H1203" t="s">
        <v>18</v>
      </c>
      <c r="I1203">
        <v>20.6</v>
      </c>
      <c r="J1203">
        <v>27.52</v>
      </c>
      <c r="K1203">
        <v>144.08000000000001</v>
      </c>
      <c r="L1203">
        <v>0.11</v>
      </c>
      <c r="M1203">
        <v>192.2</v>
      </c>
      <c r="N1203">
        <v>192.31</v>
      </c>
    </row>
    <row r="1204" spans="1:14" x14ac:dyDescent="0.3">
      <c r="A1204" s="2">
        <v>43983</v>
      </c>
      <c r="B1204" t="s">
        <v>68</v>
      </c>
      <c r="C1204">
        <v>2020</v>
      </c>
      <c r="D1204">
        <v>6</v>
      </c>
      <c r="E1204" t="s">
        <v>64</v>
      </c>
      <c r="F1204" t="s">
        <v>27</v>
      </c>
      <c r="G1204">
        <v>7</v>
      </c>
      <c r="H1204" t="s">
        <v>18</v>
      </c>
      <c r="I1204">
        <v>651.99</v>
      </c>
      <c r="J1204">
        <v>762.25</v>
      </c>
      <c r="K1204">
        <v>1790.27</v>
      </c>
      <c r="L1204">
        <v>44.72</v>
      </c>
      <c r="M1204">
        <v>3204.51</v>
      </c>
      <c r="N1204">
        <v>3249.23</v>
      </c>
    </row>
    <row r="1205" spans="1:14" x14ac:dyDescent="0.3">
      <c r="A1205" s="2">
        <v>43983</v>
      </c>
      <c r="B1205" t="s">
        <v>68</v>
      </c>
      <c r="C1205">
        <v>2020</v>
      </c>
      <c r="D1205">
        <v>6</v>
      </c>
      <c r="E1205" t="s">
        <v>64</v>
      </c>
      <c r="F1205" t="s">
        <v>28</v>
      </c>
      <c r="G1205">
        <v>30</v>
      </c>
      <c r="H1205" t="s">
        <v>20</v>
      </c>
      <c r="I1205">
        <v>75.83</v>
      </c>
      <c r="J1205">
        <v>102.63</v>
      </c>
      <c r="K1205">
        <v>141.36000000000001</v>
      </c>
      <c r="L1205">
        <v>4.13</v>
      </c>
      <c r="M1205">
        <v>319.82</v>
      </c>
      <c r="N1205">
        <v>323.95</v>
      </c>
    </row>
    <row r="1206" spans="1:14" x14ac:dyDescent="0.3">
      <c r="A1206" s="2">
        <v>43983</v>
      </c>
      <c r="B1206" t="s">
        <v>68</v>
      </c>
      <c r="C1206">
        <v>2020</v>
      </c>
      <c r="D1206">
        <v>6</v>
      </c>
      <c r="E1206" t="s">
        <v>64</v>
      </c>
      <c r="F1206" t="s">
        <v>29</v>
      </c>
      <c r="G1206">
        <v>24</v>
      </c>
      <c r="H1206" t="s">
        <v>20</v>
      </c>
      <c r="I1206">
        <v>1747.47</v>
      </c>
      <c r="J1206">
        <v>2068.35</v>
      </c>
      <c r="K1206">
        <v>1973.11</v>
      </c>
      <c r="L1206">
        <v>235.71</v>
      </c>
      <c r="M1206">
        <v>5788.93</v>
      </c>
      <c r="N1206">
        <v>6024.64</v>
      </c>
    </row>
    <row r="1207" spans="1:14" x14ac:dyDescent="0.3">
      <c r="A1207" s="2">
        <v>43983</v>
      </c>
      <c r="B1207" t="s">
        <v>68</v>
      </c>
      <c r="C1207">
        <v>2020</v>
      </c>
      <c r="D1207">
        <v>6</v>
      </c>
      <c r="E1207" t="s">
        <v>64</v>
      </c>
      <c r="F1207" t="s">
        <v>30</v>
      </c>
      <c r="G1207">
        <v>6</v>
      </c>
      <c r="H1207" t="s">
        <v>20</v>
      </c>
      <c r="I1207">
        <v>712.4</v>
      </c>
      <c r="J1207">
        <v>878.41</v>
      </c>
      <c r="K1207">
        <v>1998.32</v>
      </c>
      <c r="L1207">
        <v>108.01</v>
      </c>
      <c r="M1207">
        <v>3589.13</v>
      </c>
      <c r="N1207">
        <v>3697.14</v>
      </c>
    </row>
    <row r="1208" spans="1:14" x14ac:dyDescent="0.3">
      <c r="A1208" s="2">
        <v>43983</v>
      </c>
      <c r="B1208" t="s">
        <v>68</v>
      </c>
      <c r="C1208">
        <v>2020</v>
      </c>
      <c r="D1208">
        <v>6</v>
      </c>
      <c r="E1208" t="s">
        <v>64</v>
      </c>
      <c r="F1208" t="s">
        <v>31</v>
      </c>
      <c r="G1208">
        <v>2</v>
      </c>
      <c r="H1208" t="s">
        <v>20</v>
      </c>
      <c r="I1208">
        <v>106.72</v>
      </c>
      <c r="J1208">
        <v>152.68</v>
      </c>
      <c r="K1208">
        <v>357.99</v>
      </c>
      <c r="L1208">
        <v>1.1100000000000001</v>
      </c>
      <c r="M1208">
        <v>617.39</v>
      </c>
      <c r="N1208">
        <v>618.5</v>
      </c>
    </row>
    <row r="1209" spans="1:14" x14ac:dyDescent="0.3">
      <c r="A1209" s="2">
        <v>43983</v>
      </c>
      <c r="B1209" t="s">
        <v>68</v>
      </c>
      <c r="C1209">
        <v>2020</v>
      </c>
      <c r="D1209">
        <v>6</v>
      </c>
      <c r="E1209" t="s">
        <v>64</v>
      </c>
      <c r="F1209" t="s">
        <v>32</v>
      </c>
      <c r="G1209">
        <v>1</v>
      </c>
      <c r="H1209" t="s">
        <v>18</v>
      </c>
      <c r="I1209">
        <v>81.16</v>
      </c>
      <c r="J1209">
        <v>136.31</v>
      </c>
      <c r="K1209">
        <v>82.44</v>
      </c>
      <c r="L1209">
        <v>24.85</v>
      </c>
      <c r="M1209">
        <v>299.91000000000003</v>
      </c>
      <c r="N1209">
        <v>324.76</v>
      </c>
    </row>
    <row r="1210" spans="1:14" x14ac:dyDescent="0.3">
      <c r="A1210" s="2">
        <v>43983</v>
      </c>
      <c r="B1210" t="s">
        <v>68</v>
      </c>
      <c r="C1210">
        <v>2020</v>
      </c>
      <c r="D1210">
        <v>6</v>
      </c>
      <c r="E1210" t="s">
        <v>64</v>
      </c>
      <c r="F1210" t="s">
        <v>33</v>
      </c>
      <c r="G1210">
        <v>20</v>
      </c>
      <c r="H1210" t="s">
        <v>20</v>
      </c>
      <c r="I1210">
        <v>328.95</v>
      </c>
      <c r="J1210">
        <v>398.96</v>
      </c>
      <c r="K1210">
        <v>371.62</v>
      </c>
      <c r="L1210">
        <v>543.75</v>
      </c>
      <c r="M1210">
        <v>1099.53</v>
      </c>
      <c r="N1210">
        <v>1643.28</v>
      </c>
    </row>
    <row r="1211" spans="1:14" x14ac:dyDescent="0.3">
      <c r="A1211" s="2">
        <v>43983</v>
      </c>
      <c r="B1211" t="s">
        <v>68</v>
      </c>
      <c r="C1211">
        <v>2020</v>
      </c>
      <c r="D1211">
        <v>6</v>
      </c>
      <c r="E1211" t="s">
        <v>64</v>
      </c>
      <c r="F1211" t="s">
        <v>34</v>
      </c>
      <c r="G1211">
        <v>29</v>
      </c>
      <c r="H1211" t="s">
        <v>20</v>
      </c>
      <c r="I1211">
        <v>1795.6</v>
      </c>
      <c r="J1211">
        <v>2221.71</v>
      </c>
      <c r="K1211">
        <v>2033.28</v>
      </c>
      <c r="L1211">
        <v>659.18</v>
      </c>
      <c r="M1211">
        <v>6050.59</v>
      </c>
      <c r="N1211">
        <v>6709.77</v>
      </c>
    </row>
    <row r="1212" spans="1:14" x14ac:dyDescent="0.3">
      <c r="A1212" s="2">
        <v>43983</v>
      </c>
      <c r="B1212" t="s">
        <v>68</v>
      </c>
      <c r="C1212">
        <v>2020</v>
      </c>
      <c r="D1212">
        <v>6</v>
      </c>
      <c r="E1212" t="s">
        <v>64</v>
      </c>
      <c r="F1212" t="s">
        <v>35</v>
      </c>
      <c r="G1212">
        <v>32</v>
      </c>
      <c r="H1212" t="s">
        <v>20</v>
      </c>
      <c r="I1212">
        <v>506.93</v>
      </c>
      <c r="J1212">
        <v>746.15</v>
      </c>
      <c r="K1212">
        <v>246.57</v>
      </c>
      <c r="L1212">
        <v>30.29</v>
      </c>
      <c r="M1212">
        <v>1499.65</v>
      </c>
      <c r="N1212">
        <v>1529.94</v>
      </c>
    </row>
    <row r="1213" spans="1:14" x14ac:dyDescent="0.3">
      <c r="A1213" s="2">
        <v>43983</v>
      </c>
      <c r="B1213" t="s">
        <v>68</v>
      </c>
      <c r="C1213">
        <v>2020</v>
      </c>
      <c r="D1213">
        <v>6</v>
      </c>
      <c r="E1213" t="s">
        <v>64</v>
      </c>
      <c r="F1213" t="s">
        <v>67</v>
      </c>
      <c r="G1213">
        <v>37</v>
      </c>
      <c r="H1213" t="s">
        <v>18</v>
      </c>
      <c r="I1213">
        <v>2.67</v>
      </c>
      <c r="J1213">
        <v>3.29</v>
      </c>
      <c r="K1213">
        <v>0.71</v>
      </c>
      <c r="L1213">
        <v>0.79</v>
      </c>
      <c r="M1213">
        <v>6.67</v>
      </c>
      <c r="N1213">
        <v>7.46</v>
      </c>
    </row>
    <row r="1214" spans="1:14" x14ac:dyDescent="0.3">
      <c r="A1214" s="2">
        <v>43983</v>
      </c>
      <c r="B1214" t="s">
        <v>68</v>
      </c>
      <c r="C1214">
        <v>2020</v>
      </c>
      <c r="D1214">
        <v>6</v>
      </c>
      <c r="E1214" t="s">
        <v>64</v>
      </c>
      <c r="F1214" t="s">
        <v>36</v>
      </c>
      <c r="G1214">
        <v>31</v>
      </c>
      <c r="H1214" t="s">
        <v>18</v>
      </c>
      <c r="I1214">
        <v>0.36</v>
      </c>
      <c r="J1214">
        <v>0.63</v>
      </c>
      <c r="K1214">
        <v>0.03</v>
      </c>
      <c r="L1214">
        <v>0</v>
      </c>
      <c r="M1214">
        <v>1.02</v>
      </c>
      <c r="N1214">
        <v>1.02</v>
      </c>
    </row>
    <row r="1215" spans="1:14" x14ac:dyDescent="0.3">
      <c r="A1215" s="2">
        <v>43983</v>
      </c>
      <c r="B1215" t="s">
        <v>68</v>
      </c>
      <c r="C1215">
        <v>2020</v>
      </c>
      <c r="D1215">
        <v>6</v>
      </c>
      <c r="E1215" t="s">
        <v>64</v>
      </c>
      <c r="F1215" t="s">
        <v>37</v>
      </c>
      <c r="G1215">
        <v>23</v>
      </c>
      <c r="H1215" t="s">
        <v>20</v>
      </c>
      <c r="I1215">
        <v>596.53</v>
      </c>
      <c r="J1215">
        <v>762.02</v>
      </c>
      <c r="K1215">
        <v>617.27</v>
      </c>
      <c r="L1215">
        <v>765.81</v>
      </c>
      <c r="M1215">
        <v>1975.82</v>
      </c>
      <c r="N1215">
        <v>2741.63</v>
      </c>
    </row>
    <row r="1216" spans="1:14" x14ac:dyDescent="0.3">
      <c r="A1216" s="2">
        <v>43983</v>
      </c>
      <c r="B1216" t="s">
        <v>68</v>
      </c>
      <c r="C1216">
        <v>2020</v>
      </c>
      <c r="D1216">
        <v>6</v>
      </c>
      <c r="E1216" t="s">
        <v>64</v>
      </c>
      <c r="F1216" t="s">
        <v>38</v>
      </c>
      <c r="G1216">
        <v>27</v>
      </c>
      <c r="H1216" t="s">
        <v>20</v>
      </c>
      <c r="I1216">
        <v>4269.6400000000003</v>
      </c>
      <c r="J1216">
        <v>4924.05</v>
      </c>
      <c r="K1216">
        <v>5250.02</v>
      </c>
      <c r="L1216">
        <v>543.19000000000005</v>
      </c>
      <c r="M1216">
        <v>14443.71</v>
      </c>
      <c r="N1216">
        <v>14986.9</v>
      </c>
    </row>
    <row r="1217" spans="1:14" x14ac:dyDescent="0.3">
      <c r="A1217" s="2">
        <v>43983</v>
      </c>
      <c r="B1217" t="s">
        <v>68</v>
      </c>
      <c r="C1217">
        <v>2020</v>
      </c>
      <c r="D1217">
        <v>6</v>
      </c>
      <c r="E1217" t="s">
        <v>64</v>
      </c>
      <c r="F1217" t="s">
        <v>39</v>
      </c>
      <c r="G1217">
        <v>14</v>
      </c>
      <c r="H1217" t="s">
        <v>20</v>
      </c>
      <c r="I1217">
        <v>10.45</v>
      </c>
      <c r="J1217">
        <v>16.13</v>
      </c>
      <c r="K1217">
        <v>2.2200000000000002</v>
      </c>
      <c r="L1217">
        <v>0.08</v>
      </c>
      <c r="M1217">
        <v>28.8</v>
      </c>
      <c r="N1217">
        <v>28.88</v>
      </c>
    </row>
    <row r="1218" spans="1:14" x14ac:dyDescent="0.3">
      <c r="A1218" s="2">
        <v>43983</v>
      </c>
      <c r="B1218" t="s">
        <v>68</v>
      </c>
      <c r="C1218">
        <v>2020</v>
      </c>
      <c r="D1218">
        <v>6</v>
      </c>
      <c r="E1218" t="s">
        <v>64</v>
      </c>
      <c r="F1218" t="s">
        <v>40</v>
      </c>
      <c r="G1218">
        <v>17</v>
      </c>
      <c r="H1218" t="s">
        <v>20</v>
      </c>
      <c r="I1218">
        <v>15.57</v>
      </c>
      <c r="J1218">
        <v>20.84</v>
      </c>
      <c r="K1218">
        <v>79.23</v>
      </c>
      <c r="L1218">
        <v>0.31</v>
      </c>
      <c r="M1218">
        <v>115.64</v>
      </c>
      <c r="N1218">
        <v>115.95</v>
      </c>
    </row>
    <row r="1219" spans="1:14" x14ac:dyDescent="0.3">
      <c r="A1219" s="2">
        <v>43983</v>
      </c>
      <c r="B1219" t="s">
        <v>68</v>
      </c>
      <c r="C1219">
        <v>2020</v>
      </c>
      <c r="D1219">
        <v>6</v>
      </c>
      <c r="E1219" t="s">
        <v>64</v>
      </c>
      <c r="F1219" t="s">
        <v>41</v>
      </c>
      <c r="G1219">
        <v>15</v>
      </c>
      <c r="H1219" t="s">
        <v>20</v>
      </c>
      <c r="I1219">
        <v>7.42</v>
      </c>
      <c r="J1219">
        <v>11.85</v>
      </c>
      <c r="K1219">
        <v>4.82</v>
      </c>
      <c r="L1219">
        <v>0.11</v>
      </c>
      <c r="M1219">
        <v>24.09</v>
      </c>
      <c r="N1219">
        <v>24.2</v>
      </c>
    </row>
    <row r="1220" spans="1:14" x14ac:dyDescent="0.3">
      <c r="A1220" s="2">
        <v>43983</v>
      </c>
      <c r="B1220" t="s">
        <v>68</v>
      </c>
      <c r="C1220">
        <v>2020</v>
      </c>
      <c r="D1220">
        <v>6</v>
      </c>
      <c r="E1220" t="s">
        <v>64</v>
      </c>
      <c r="F1220" t="s">
        <v>42</v>
      </c>
      <c r="G1220">
        <v>13</v>
      </c>
      <c r="H1220" t="s">
        <v>20</v>
      </c>
      <c r="I1220">
        <v>11.12</v>
      </c>
      <c r="J1220">
        <v>16.920000000000002</v>
      </c>
      <c r="K1220">
        <v>4.0999999999999996</v>
      </c>
      <c r="L1220">
        <v>0.27</v>
      </c>
      <c r="M1220">
        <v>32.14</v>
      </c>
      <c r="N1220">
        <v>32.409999999999997</v>
      </c>
    </row>
    <row r="1221" spans="1:14" x14ac:dyDescent="0.3">
      <c r="A1221" s="2">
        <v>43983</v>
      </c>
      <c r="B1221" t="s">
        <v>68</v>
      </c>
      <c r="C1221">
        <v>2020</v>
      </c>
      <c r="D1221">
        <v>6</v>
      </c>
      <c r="E1221" t="s">
        <v>64</v>
      </c>
      <c r="F1221" t="s">
        <v>43</v>
      </c>
      <c r="G1221">
        <v>21</v>
      </c>
      <c r="H1221" t="s">
        <v>20</v>
      </c>
      <c r="I1221">
        <v>574.01</v>
      </c>
      <c r="J1221">
        <v>759.17</v>
      </c>
      <c r="K1221">
        <v>452.09</v>
      </c>
      <c r="L1221">
        <v>908.48</v>
      </c>
      <c r="M1221">
        <v>1785.27</v>
      </c>
      <c r="N1221">
        <v>2693.75</v>
      </c>
    </row>
    <row r="1222" spans="1:14" x14ac:dyDescent="0.3">
      <c r="A1222" s="2">
        <v>43983</v>
      </c>
      <c r="B1222" t="s">
        <v>68</v>
      </c>
      <c r="C1222">
        <v>2020</v>
      </c>
      <c r="D1222">
        <v>6</v>
      </c>
      <c r="E1222" t="s">
        <v>64</v>
      </c>
      <c r="F1222" t="s">
        <v>44</v>
      </c>
      <c r="G1222">
        <v>34</v>
      </c>
      <c r="H1222" t="s">
        <v>18</v>
      </c>
      <c r="I1222">
        <v>18.100000000000001</v>
      </c>
      <c r="J1222">
        <v>28.51</v>
      </c>
      <c r="K1222">
        <v>93.72</v>
      </c>
      <c r="L1222">
        <v>0.25</v>
      </c>
      <c r="M1222">
        <v>140.33000000000001</v>
      </c>
      <c r="N1222">
        <v>140.58000000000001</v>
      </c>
    </row>
    <row r="1223" spans="1:14" x14ac:dyDescent="0.3">
      <c r="A1223" s="2">
        <v>43983</v>
      </c>
      <c r="B1223" t="s">
        <v>68</v>
      </c>
      <c r="C1223">
        <v>2020</v>
      </c>
      <c r="D1223">
        <v>6</v>
      </c>
      <c r="E1223" t="s">
        <v>64</v>
      </c>
      <c r="F1223" t="s">
        <v>45</v>
      </c>
      <c r="G1223">
        <v>3</v>
      </c>
      <c r="H1223" t="s">
        <v>20</v>
      </c>
      <c r="I1223">
        <v>358.69</v>
      </c>
      <c r="J1223">
        <v>508.07</v>
      </c>
      <c r="K1223">
        <v>429.31</v>
      </c>
      <c r="L1223">
        <v>27.32</v>
      </c>
      <c r="M1223">
        <v>1296.07</v>
      </c>
      <c r="N1223">
        <v>1323.39</v>
      </c>
    </row>
    <row r="1224" spans="1:14" x14ac:dyDescent="0.3">
      <c r="A1224" s="2">
        <v>43983</v>
      </c>
      <c r="B1224" t="s">
        <v>68</v>
      </c>
      <c r="C1224">
        <v>2020</v>
      </c>
      <c r="D1224">
        <v>6</v>
      </c>
      <c r="E1224" t="s">
        <v>64</v>
      </c>
      <c r="F1224" t="s">
        <v>46</v>
      </c>
      <c r="G1224">
        <v>8</v>
      </c>
      <c r="H1224" t="s">
        <v>20</v>
      </c>
      <c r="I1224">
        <v>798.07</v>
      </c>
      <c r="J1224">
        <v>1037.01</v>
      </c>
      <c r="K1224">
        <v>826.39</v>
      </c>
      <c r="L1224">
        <v>112.64</v>
      </c>
      <c r="M1224">
        <v>2661.47</v>
      </c>
      <c r="N1224">
        <v>2774.11</v>
      </c>
    </row>
    <row r="1225" spans="1:14" x14ac:dyDescent="0.3">
      <c r="A1225" s="2">
        <v>43983</v>
      </c>
      <c r="B1225" t="s">
        <v>68</v>
      </c>
      <c r="C1225">
        <v>2020</v>
      </c>
      <c r="D1225">
        <v>6</v>
      </c>
      <c r="E1225" t="s">
        <v>64</v>
      </c>
      <c r="F1225" t="s">
        <v>47</v>
      </c>
      <c r="G1225">
        <v>11</v>
      </c>
      <c r="H1225" t="s">
        <v>20</v>
      </c>
      <c r="I1225">
        <v>11.98</v>
      </c>
      <c r="J1225">
        <v>17.37</v>
      </c>
      <c r="K1225">
        <v>316.19</v>
      </c>
      <c r="L1225">
        <v>0.01</v>
      </c>
      <c r="M1225">
        <v>345.54</v>
      </c>
      <c r="N1225">
        <v>345.55</v>
      </c>
    </row>
    <row r="1226" spans="1:14" x14ac:dyDescent="0.3">
      <c r="A1226" s="2">
        <v>43983</v>
      </c>
      <c r="B1226" t="s">
        <v>68</v>
      </c>
      <c r="C1226">
        <v>2020</v>
      </c>
      <c r="D1226">
        <v>6</v>
      </c>
      <c r="E1226" t="s">
        <v>64</v>
      </c>
      <c r="F1226" t="s">
        <v>48</v>
      </c>
      <c r="G1226">
        <v>33</v>
      </c>
      <c r="H1226" t="s">
        <v>20</v>
      </c>
      <c r="I1226">
        <v>1347.16</v>
      </c>
      <c r="J1226">
        <v>1723.18</v>
      </c>
      <c r="K1226">
        <v>1607.53</v>
      </c>
      <c r="L1226">
        <v>297.64</v>
      </c>
      <c r="M1226">
        <v>4677.87</v>
      </c>
      <c r="N1226">
        <v>4975.51</v>
      </c>
    </row>
    <row r="1227" spans="1:14" x14ac:dyDescent="0.3">
      <c r="A1227" s="2">
        <v>43983</v>
      </c>
      <c r="B1227" t="s">
        <v>68</v>
      </c>
      <c r="C1227">
        <v>2020</v>
      </c>
      <c r="D1227">
        <v>6</v>
      </c>
      <c r="E1227" t="s">
        <v>64</v>
      </c>
      <c r="F1227" t="s">
        <v>49</v>
      </c>
      <c r="G1227">
        <v>36</v>
      </c>
      <c r="H1227" t="s">
        <v>20</v>
      </c>
      <c r="I1227">
        <v>813.51</v>
      </c>
      <c r="J1227">
        <v>1073.58</v>
      </c>
      <c r="K1227">
        <v>899.09</v>
      </c>
      <c r="L1227">
        <v>489.99</v>
      </c>
      <c r="M1227">
        <v>2786.18</v>
      </c>
      <c r="N1227">
        <v>3276.17</v>
      </c>
    </row>
    <row r="1228" spans="1:14" x14ac:dyDescent="0.3">
      <c r="A1228" s="2">
        <v>43983</v>
      </c>
      <c r="B1228" t="s">
        <v>68</v>
      </c>
      <c r="C1228">
        <v>2020</v>
      </c>
      <c r="D1228">
        <v>6</v>
      </c>
      <c r="E1228" t="s">
        <v>64</v>
      </c>
      <c r="F1228" t="s">
        <v>50</v>
      </c>
      <c r="G1228">
        <v>16</v>
      </c>
      <c r="H1228" t="s">
        <v>20</v>
      </c>
      <c r="I1228">
        <v>22.52</v>
      </c>
      <c r="J1228">
        <v>35.85</v>
      </c>
      <c r="K1228">
        <v>5.47</v>
      </c>
      <c r="L1228">
        <v>0.7</v>
      </c>
      <c r="M1228">
        <v>63.84</v>
      </c>
      <c r="N1228">
        <v>64.540000000000006</v>
      </c>
    </row>
    <row r="1229" spans="1:14" x14ac:dyDescent="0.3">
      <c r="A1229" s="2">
        <v>43983</v>
      </c>
      <c r="B1229" t="s">
        <v>68</v>
      </c>
      <c r="C1229">
        <v>2020</v>
      </c>
      <c r="D1229">
        <v>6</v>
      </c>
      <c r="E1229" t="s">
        <v>64</v>
      </c>
      <c r="F1229" t="s">
        <v>51</v>
      </c>
      <c r="G1229">
        <v>9</v>
      </c>
      <c r="H1229" t="s">
        <v>20</v>
      </c>
      <c r="I1229">
        <v>1251.9000000000001</v>
      </c>
      <c r="J1229">
        <v>1775.87</v>
      </c>
      <c r="K1229">
        <v>1277.69</v>
      </c>
      <c r="L1229">
        <v>888.12</v>
      </c>
      <c r="M1229">
        <v>4305.46</v>
      </c>
      <c r="N1229">
        <v>5193.58</v>
      </c>
    </row>
    <row r="1230" spans="1:14" x14ac:dyDescent="0.3">
      <c r="A1230" s="2">
        <v>43983</v>
      </c>
      <c r="B1230" t="s">
        <v>68</v>
      </c>
      <c r="C1230">
        <v>2020</v>
      </c>
      <c r="D1230">
        <v>6</v>
      </c>
      <c r="E1230" t="s">
        <v>64</v>
      </c>
      <c r="F1230" t="s">
        <v>52</v>
      </c>
      <c r="G1230">
        <v>5</v>
      </c>
      <c r="H1230" t="s">
        <v>20</v>
      </c>
      <c r="I1230">
        <v>184.09</v>
      </c>
      <c r="J1230">
        <v>238.62</v>
      </c>
      <c r="K1230">
        <v>469.81</v>
      </c>
      <c r="L1230">
        <v>2.42</v>
      </c>
      <c r="M1230">
        <v>892.52</v>
      </c>
      <c r="N1230">
        <v>894.94</v>
      </c>
    </row>
    <row r="1231" spans="1:14" x14ac:dyDescent="0.3">
      <c r="A1231" s="2">
        <v>43983</v>
      </c>
      <c r="B1231" t="s">
        <v>68</v>
      </c>
      <c r="C1231">
        <v>2020</v>
      </c>
      <c r="D1231">
        <v>6</v>
      </c>
      <c r="E1231" t="s">
        <v>64</v>
      </c>
      <c r="F1231" t="s">
        <v>53</v>
      </c>
      <c r="G1231">
        <v>19</v>
      </c>
      <c r="H1231" t="s">
        <v>20</v>
      </c>
      <c r="I1231">
        <v>858.86</v>
      </c>
      <c r="J1231">
        <v>1102.1500000000001</v>
      </c>
      <c r="K1231">
        <v>834.58</v>
      </c>
      <c r="L1231">
        <v>332.79</v>
      </c>
      <c r="M1231">
        <v>2795.59</v>
      </c>
      <c r="N1231">
        <v>3128.38</v>
      </c>
    </row>
    <row r="1232" spans="1:14" x14ac:dyDescent="0.3">
      <c r="A1232" s="2">
        <v>44013</v>
      </c>
      <c r="B1232" t="s">
        <v>68</v>
      </c>
      <c r="C1232">
        <v>2020</v>
      </c>
      <c r="D1232">
        <v>7</v>
      </c>
      <c r="E1232" t="s">
        <v>65</v>
      </c>
      <c r="F1232" t="s">
        <v>17</v>
      </c>
      <c r="G1232">
        <v>35</v>
      </c>
      <c r="H1232" t="s">
        <v>18</v>
      </c>
      <c r="I1232">
        <v>6.42</v>
      </c>
      <c r="J1232">
        <v>8.82</v>
      </c>
      <c r="K1232">
        <v>2.27</v>
      </c>
      <c r="L1232">
        <v>0.02</v>
      </c>
      <c r="M1232">
        <v>17.510000000000002</v>
      </c>
      <c r="N1232">
        <v>17.53</v>
      </c>
    </row>
    <row r="1233" spans="1:14" x14ac:dyDescent="0.3">
      <c r="A1233" s="2">
        <v>44013</v>
      </c>
      <c r="B1233" t="s">
        <v>68</v>
      </c>
      <c r="C1233">
        <v>2020</v>
      </c>
      <c r="D1233">
        <v>7</v>
      </c>
      <c r="E1233" t="s">
        <v>65</v>
      </c>
      <c r="F1233" t="s">
        <v>19</v>
      </c>
      <c r="G1233">
        <v>28</v>
      </c>
      <c r="H1233" t="s">
        <v>20</v>
      </c>
      <c r="I1233">
        <v>546.47</v>
      </c>
      <c r="J1233">
        <v>755.24</v>
      </c>
      <c r="K1233">
        <v>701.47</v>
      </c>
      <c r="L1233">
        <v>135.03</v>
      </c>
      <c r="M1233">
        <v>2003.18</v>
      </c>
      <c r="N1233">
        <v>2138.21</v>
      </c>
    </row>
    <row r="1234" spans="1:14" x14ac:dyDescent="0.3">
      <c r="A1234" s="2">
        <v>44013</v>
      </c>
      <c r="B1234" t="s">
        <v>68</v>
      </c>
      <c r="C1234">
        <v>2020</v>
      </c>
      <c r="D1234">
        <v>7</v>
      </c>
      <c r="E1234" t="s">
        <v>65</v>
      </c>
      <c r="F1234" t="s">
        <v>21</v>
      </c>
      <c r="G1234">
        <v>12</v>
      </c>
      <c r="H1234" t="s">
        <v>20</v>
      </c>
      <c r="I1234">
        <v>12.32</v>
      </c>
      <c r="J1234">
        <v>17.12</v>
      </c>
      <c r="K1234">
        <v>3.36</v>
      </c>
      <c r="L1234">
        <v>7.0000000000000007E-2</v>
      </c>
      <c r="M1234">
        <v>32.799999999999997</v>
      </c>
      <c r="N1234">
        <v>32.869999999999997</v>
      </c>
    </row>
    <row r="1235" spans="1:14" x14ac:dyDescent="0.3">
      <c r="A1235" s="2">
        <v>44013</v>
      </c>
      <c r="B1235" t="s">
        <v>68</v>
      </c>
      <c r="C1235">
        <v>2020</v>
      </c>
      <c r="D1235">
        <v>7</v>
      </c>
      <c r="E1235" t="s">
        <v>65</v>
      </c>
      <c r="F1235" t="s">
        <v>22</v>
      </c>
      <c r="G1235">
        <v>18</v>
      </c>
      <c r="H1235" t="s">
        <v>20</v>
      </c>
      <c r="I1235">
        <v>200.86</v>
      </c>
      <c r="J1235">
        <v>270.63</v>
      </c>
      <c r="K1235">
        <v>231.3</v>
      </c>
      <c r="L1235">
        <v>20.03</v>
      </c>
      <c r="M1235">
        <v>702.79</v>
      </c>
      <c r="N1235">
        <v>722.82</v>
      </c>
    </row>
    <row r="1236" spans="1:14" x14ac:dyDescent="0.3">
      <c r="A1236" s="2">
        <v>44013</v>
      </c>
      <c r="B1236" t="s">
        <v>68</v>
      </c>
      <c r="C1236">
        <v>2020</v>
      </c>
      <c r="D1236">
        <v>7</v>
      </c>
      <c r="E1236" t="s">
        <v>65</v>
      </c>
      <c r="F1236" t="s">
        <v>23</v>
      </c>
      <c r="G1236">
        <v>10</v>
      </c>
      <c r="H1236" t="s">
        <v>20</v>
      </c>
      <c r="I1236">
        <v>297</v>
      </c>
      <c r="J1236">
        <v>467.13</v>
      </c>
      <c r="K1236">
        <v>107.17</v>
      </c>
      <c r="L1236">
        <v>189.51</v>
      </c>
      <c r="M1236">
        <v>871.3</v>
      </c>
      <c r="N1236">
        <v>1060.81</v>
      </c>
    </row>
    <row r="1237" spans="1:14" x14ac:dyDescent="0.3">
      <c r="A1237" s="2">
        <v>44013</v>
      </c>
      <c r="B1237" t="s">
        <v>68</v>
      </c>
      <c r="C1237">
        <v>2020</v>
      </c>
      <c r="D1237">
        <v>7</v>
      </c>
      <c r="E1237" t="s">
        <v>65</v>
      </c>
      <c r="F1237" t="s">
        <v>24</v>
      </c>
      <c r="G1237">
        <v>4</v>
      </c>
      <c r="H1237" t="s">
        <v>18</v>
      </c>
      <c r="I1237">
        <v>25.66</v>
      </c>
      <c r="J1237">
        <v>36.67</v>
      </c>
      <c r="K1237">
        <v>73.989999999999995</v>
      </c>
      <c r="L1237">
        <v>1.01</v>
      </c>
      <c r="M1237">
        <v>136.32</v>
      </c>
      <c r="N1237">
        <v>137.33000000000001</v>
      </c>
    </row>
    <row r="1238" spans="1:14" x14ac:dyDescent="0.3">
      <c r="A1238" s="2">
        <v>44013</v>
      </c>
      <c r="B1238" t="s">
        <v>68</v>
      </c>
      <c r="C1238">
        <v>2020</v>
      </c>
      <c r="D1238">
        <v>7</v>
      </c>
      <c r="E1238" t="s">
        <v>65</v>
      </c>
      <c r="F1238" t="s">
        <v>25</v>
      </c>
      <c r="G1238">
        <v>22</v>
      </c>
      <c r="H1238" t="s">
        <v>20</v>
      </c>
      <c r="I1238">
        <v>375.37</v>
      </c>
      <c r="J1238">
        <v>456.29</v>
      </c>
      <c r="K1238">
        <v>561.92999999999995</v>
      </c>
      <c r="L1238">
        <v>438.73</v>
      </c>
      <c r="M1238">
        <v>1393.59</v>
      </c>
      <c r="N1238">
        <v>1832.32</v>
      </c>
    </row>
    <row r="1239" spans="1:14" x14ac:dyDescent="0.3">
      <c r="A1239" s="2">
        <v>44013</v>
      </c>
      <c r="B1239" t="s">
        <v>68</v>
      </c>
      <c r="C1239">
        <v>2020</v>
      </c>
      <c r="D1239">
        <v>7</v>
      </c>
      <c r="E1239" t="s">
        <v>65</v>
      </c>
      <c r="F1239" t="s">
        <v>26</v>
      </c>
      <c r="G1239">
        <v>38</v>
      </c>
      <c r="H1239" t="s">
        <v>18</v>
      </c>
      <c r="I1239">
        <v>20.92</v>
      </c>
      <c r="J1239">
        <v>29.1</v>
      </c>
      <c r="K1239">
        <v>156.69999999999999</v>
      </c>
      <c r="L1239">
        <v>0.23</v>
      </c>
      <c r="M1239">
        <v>206.72</v>
      </c>
      <c r="N1239">
        <v>206.95</v>
      </c>
    </row>
    <row r="1240" spans="1:14" x14ac:dyDescent="0.3">
      <c r="A1240" s="2">
        <v>44013</v>
      </c>
      <c r="B1240" t="s">
        <v>68</v>
      </c>
      <c r="C1240">
        <v>2020</v>
      </c>
      <c r="D1240">
        <v>7</v>
      </c>
      <c r="E1240" t="s">
        <v>65</v>
      </c>
      <c r="F1240" t="s">
        <v>27</v>
      </c>
      <c r="G1240">
        <v>7</v>
      </c>
      <c r="H1240" t="s">
        <v>18</v>
      </c>
      <c r="I1240">
        <v>521.96</v>
      </c>
      <c r="J1240">
        <v>653.16999999999996</v>
      </c>
      <c r="K1240">
        <v>1375.09</v>
      </c>
      <c r="L1240">
        <v>78.56</v>
      </c>
      <c r="M1240">
        <v>2550.2199999999998</v>
      </c>
      <c r="N1240">
        <v>2628.78</v>
      </c>
    </row>
    <row r="1241" spans="1:14" x14ac:dyDescent="0.3">
      <c r="A1241" s="2">
        <v>44013</v>
      </c>
      <c r="B1241" t="s">
        <v>68</v>
      </c>
      <c r="C1241">
        <v>2020</v>
      </c>
      <c r="D1241">
        <v>7</v>
      </c>
      <c r="E1241" t="s">
        <v>65</v>
      </c>
      <c r="F1241" t="s">
        <v>28</v>
      </c>
      <c r="G1241">
        <v>30</v>
      </c>
      <c r="H1241" t="s">
        <v>20</v>
      </c>
      <c r="I1241">
        <v>60.14</v>
      </c>
      <c r="J1241">
        <v>80.709999999999994</v>
      </c>
      <c r="K1241">
        <v>114.89</v>
      </c>
      <c r="L1241">
        <v>1.04</v>
      </c>
      <c r="M1241">
        <v>255.74</v>
      </c>
      <c r="N1241">
        <v>256.77999999999997</v>
      </c>
    </row>
    <row r="1242" spans="1:14" x14ac:dyDescent="0.3">
      <c r="A1242" s="2">
        <v>44013</v>
      </c>
      <c r="B1242" t="s">
        <v>68</v>
      </c>
      <c r="C1242">
        <v>2020</v>
      </c>
      <c r="D1242">
        <v>7</v>
      </c>
      <c r="E1242" t="s">
        <v>65</v>
      </c>
      <c r="F1242" t="s">
        <v>29</v>
      </c>
      <c r="G1242">
        <v>24</v>
      </c>
      <c r="H1242" t="s">
        <v>20</v>
      </c>
      <c r="I1242">
        <v>1560.85</v>
      </c>
      <c r="J1242">
        <v>1888.71</v>
      </c>
      <c r="K1242">
        <v>1689.87</v>
      </c>
      <c r="L1242">
        <v>481.27</v>
      </c>
      <c r="M1242">
        <v>5139.43</v>
      </c>
      <c r="N1242">
        <v>5620.7</v>
      </c>
    </row>
    <row r="1243" spans="1:14" x14ac:dyDescent="0.3">
      <c r="A1243" s="2">
        <v>44013</v>
      </c>
      <c r="B1243" t="s">
        <v>68</v>
      </c>
      <c r="C1243">
        <v>2020</v>
      </c>
      <c r="D1243">
        <v>7</v>
      </c>
      <c r="E1243" t="s">
        <v>65</v>
      </c>
      <c r="F1243" t="s">
        <v>30</v>
      </c>
      <c r="G1243">
        <v>6</v>
      </c>
      <c r="H1243" t="s">
        <v>20</v>
      </c>
      <c r="I1243">
        <v>610.65</v>
      </c>
      <c r="J1243">
        <v>804.29</v>
      </c>
      <c r="K1243">
        <v>1854.43</v>
      </c>
      <c r="L1243">
        <v>213.67</v>
      </c>
      <c r="M1243">
        <v>3269.37</v>
      </c>
      <c r="N1243">
        <v>3483.04</v>
      </c>
    </row>
    <row r="1244" spans="1:14" x14ac:dyDescent="0.3">
      <c r="A1244" s="2">
        <v>44013</v>
      </c>
      <c r="B1244" t="s">
        <v>68</v>
      </c>
      <c r="C1244">
        <v>2020</v>
      </c>
      <c r="D1244">
        <v>7</v>
      </c>
      <c r="E1244" t="s">
        <v>65</v>
      </c>
      <c r="F1244" t="s">
        <v>31</v>
      </c>
      <c r="G1244">
        <v>2</v>
      </c>
      <c r="H1244" t="s">
        <v>20</v>
      </c>
      <c r="I1244">
        <v>101.82</v>
      </c>
      <c r="J1244">
        <v>147.44999999999999</v>
      </c>
      <c r="K1244">
        <v>354.21</v>
      </c>
      <c r="L1244">
        <v>1.59</v>
      </c>
      <c r="M1244">
        <v>603.48</v>
      </c>
      <c r="N1244">
        <v>605.07000000000005</v>
      </c>
    </row>
    <row r="1245" spans="1:14" x14ac:dyDescent="0.3">
      <c r="A1245" s="2">
        <v>44013</v>
      </c>
      <c r="B1245" t="s">
        <v>68</v>
      </c>
      <c r="C1245">
        <v>2020</v>
      </c>
      <c r="D1245">
        <v>7</v>
      </c>
      <c r="E1245" t="s">
        <v>65</v>
      </c>
      <c r="F1245" t="s">
        <v>32</v>
      </c>
      <c r="G1245">
        <v>1</v>
      </c>
      <c r="H1245" t="s">
        <v>18</v>
      </c>
      <c r="I1245">
        <v>75.31</v>
      </c>
      <c r="J1245">
        <v>130.38</v>
      </c>
      <c r="K1245">
        <v>85.74</v>
      </c>
      <c r="L1245">
        <v>6.41</v>
      </c>
      <c r="M1245">
        <v>291.43</v>
      </c>
      <c r="N1245">
        <v>297.83999999999997</v>
      </c>
    </row>
    <row r="1246" spans="1:14" x14ac:dyDescent="0.3">
      <c r="A1246" s="2">
        <v>44013</v>
      </c>
      <c r="B1246" t="s">
        <v>68</v>
      </c>
      <c r="C1246">
        <v>2020</v>
      </c>
      <c r="D1246">
        <v>7</v>
      </c>
      <c r="E1246" t="s">
        <v>65</v>
      </c>
      <c r="F1246" t="s">
        <v>33</v>
      </c>
      <c r="G1246">
        <v>20</v>
      </c>
      <c r="H1246" t="s">
        <v>20</v>
      </c>
      <c r="I1246">
        <v>274.12</v>
      </c>
      <c r="J1246">
        <v>361.54</v>
      </c>
      <c r="K1246">
        <v>360.85</v>
      </c>
      <c r="L1246">
        <v>343.07</v>
      </c>
      <c r="M1246">
        <v>996.51</v>
      </c>
      <c r="N1246">
        <v>1339.58</v>
      </c>
    </row>
    <row r="1247" spans="1:14" x14ac:dyDescent="0.3">
      <c r="A1247" s="2">
        <v>44013</v>
      </c>
      <c r="B1247" t="s">
        <v>68</v>
      </c>
      <c r="C1247">
        <v>2020</v>
      </c>
      <c r="D1247">
        <v>7</v>
      </c>
      <c r="E1247" t="s">
        <v>65</v>
      </c>
      <c r="F1247" t="s">
        <v>34</v>
      </c>
      <c r="G1247">
        <v>29</v>
      </c>
      <c r="H1247" t="s">
        <v>20</v>
      </c>
      <c r="I1247">
        <v>1412.94</v>
      </c>
      <c r="J1247">
        <v>1841.27</v>
      </c>
      <c r="K1247">
        <v>2055.7800000000002</v>
      </c>
      <c r="L1247">
        <v>703.8</v>
      </c>
      <c r="M1247">
        <v>5309.99</v>
      </c>
      <c r="N1247">
        <v>6013.79</v>
      </c>
    </row>
    <row r="1248" spans="1:14" x14ac:dyDescent="0.3">
      <c r="A1248" s="2">
        <v>44013</v>
      </c>
      <c r="B1248" t="s">
        <v>68</v>
      </c>
      <c r="C1248">
        <v>2020</v>
      </c>
      <c r="D1248">
        <v>7</v>
      </c>
      <c r="E1248" t="s">
        <v>65</v>
      </c>
      <c r="F1248" t="s">
        <v>35</v>
      </c>
      <c r="G1248">
        <v>32</v>
      </c>
      <c r="H1248" t="s">
        <v>20</v>
      </c>
      <c r="I1248">
        <v>417.07</v>
      </c>
      <c r="J1248">
        <v>662.03</v>
      </c>
      <c r="K1248">
        <v>234.77</v>
      </c>
      <c r="L1248">
        <v>4.41</v>
      </c>
      <c r="M1248">
        <v>1313.87</v>
      </c>
      <c r="N1248">
        <v>1318.28</v>
      </c>
    </row>
    <row r="1249" spans="1:14" x14ac:dyDescent="0.3">
      <c r="A1249" s="2">
        <v>44013</v>
      </c>
      <c r="B1249" t="s">
        <v>68</v>
      </c>
      <c r="C1249">
        <v>2020</v>
      </c>
      <c r="D1249">
        <v>7</v>
      </c>
      <c r="E1249" t="s">
        <v>65</v>
      </c>
      <c r="F1249" t="s">
        <v>67</v>
      </c>
      <c r="G1249">
        <v>37</v>
      </c>
      <c r="H1249" t="s">
        <v>18</v>
      </c>
      <c r="I1249">
        <v>2.61</v>
      </c>
      <c r="J1249">
        <v>3.04</v>
      </c>
      <c r="K1249">
        <v>0.96</v>
      </c>
      <c r="L1249">
        <v>0.03</v>
      </c>
      <c r="M1249">
        <v>6.61</v>
      </c>
      <c r="N1249">
        <v>6.64</v>
      </c>
    </row>
    <row r="1250" spans="1:14" x14ac:dyDescent="0.3">
      <c r="A1250" s="2">
        <v>44013</v>
      </c>
      <c r="B1250" t="s">
        <v>68</v>
      </c>
      <c r="C1250">
        <v>2020</v>
      </c>
      <c r="D1250">
        <v>7</v>
      </c>
      <c r="E1250" t="s">
        <v>65</v>
      </c>
      <c r="F1250" t="s">
        <v>36</v>
      </c>
      <c r="G1250">
        <v>31</v>
      </c>
      <c r="H1250" t="s">
        <v>18</v>
      </c>
      <c r="I1250">
        <v>0.78</v>
      </c>
      <c r="J1250">
        <v>0.86</v>
      </c>
      <c r="K1250">
        <v>0.02</v>
      </c>
      <c r="L1250">
        <v>0</v>
      </c>
      <c r="M1250">
        <v>1.66</v>
      </c>
      <c r="N1250">
        <v>1.66</v>
      </c>
    </row>
    <row r="1251" spans="1:14" x14ac:dyDescent="0.3">
      <c r="A1251" s="2">
        <v>44013</v>
      </c>
      <c r="B1251" t="s">
        <v>68</v>
      </c>
      <c r="C1251">
        <v>2020</v>
      </c>
      <c r="D1251">
        <v>7</v>
      </c>
      <c r="E1251" t="s">
        <v>65</v>
      </c>
      <c r="F1251" t="s">
        <v>37</v>
      </c>
      <c r="G1251">
        <v>23</v>
      </c>
      <c r="H1251" t="s">
        <v>20</v>
      </c>
      <c r="I1251">
        <v>523.76</v>
      </c>
      <c r="J1251">
        <v>713.93</v>
      </c>
      <c r="K1251">
        <v>584.35</v>
      </c>
      <c r="L1251">
        <v>466.81</v>
      </c>
      <c r="M1251">
        <v>1822.04</v>
      </c>
      <c r="N1251">
        <v>2288.85</v>
      </c>
    </row>
    <row r="1252" spans="1:14" x14ac:dyDescent="0.3">
      <c r="A1252" s="2">
        <v>44013</v>
      </c>
      <c r="B1252" t="s">
        <v>68</v>
      </c>
      <c r="C1252">
        <v>2020</v>
      </c>
      <c r="D1252">
        <v>7</v>
      </c>
      <c r="E1252" t="s">
        <v>65</v>
      </c>
      <c r="F1252" t="s">
        <v>38</v>
      </c>
      <c r="G1252">
        <v>27</v>
      </c>
      <c r="H1252" t="s">
        <v>20</v>
      </c>
      <c r="I1252">
        <v>3235.22</v>
      </c>
      <c r="J1252">
        <v>3831.92</v>
      </c>
      <c r="K1252">
        <v>4811.57</v>
      </c>
      <c r="L1252">
        <v>628.82000000000005</v>
      </c>
      <c r="M1252">
        <v>11878.71</v>
      </c>
      <c r="N1252">
        <v>12507.53</v>
      </c>
    </row>
    <row r="1253" spans="1:14" x14ac:dyDescent="0.3">
      <c r="A1253" s="2">
        <v>44013</v>
      </c>
      <c r="B1253" t="s">
        <v>68</v>
      </c>
      <c r="C1253">
        <v>2020</v>
      </c>
      <c r="D1253">
        <v>7</v>
      </c>
      <c r="E1253" t="s">
        <v>65</v>
      </c>
      <c r="F1253" t="s">
        <v>39</v>
      </c>
      <c r="G1253">
        <v>14</v>
      </c>
      <c r="H1253" t="s">
        <v>20</v>
      </c>
      <c r="I1253">
        <v>9.3000000000000007</v>
      </c>
      <c r="J1253">
        <v>14.84</v>
      </c>
      <c r="K1253">
        <v>1.1599999999999999</v>
      </c>
      <c r="L1253">
        <v>0.02</v>
      </c>
      <c r="M1253">
        <v>25.3</v>
      </c>
      <c r="N1253">
        <v>25.32</v>
      </c>
    </row>
    <row r="1254" spans="1:14" x14ac:dyDescent="0.3">
      <c r="A1254" s="2">
        <v>44013</v>
      </c>
      <c r="B1254" t="s">
        <v>68</v>
      </c>
      <c r="C1254">
        <v>2020</v>
      </c>
      <c r="D1254">
        <v>7</v>
      </c>
      <c r="E1254" t="s">
        <v>65</v>
      </c>
      <c r="F1254" t="s">
        <v>40</v>
      </c>
      <c r="G1254">
        <v>17</v>
      </c>
      <c r="H1254" t="s">
        <v>20</v>
      </c>
      <c r="I1254">
        <v>18.25</v>
      </c>
      <c r="J1254">
        <v>23.54</v>
      </c>
      <c r="K1254">
        <v>78.63</v>
      </c>
      <c r="L1254">
        <v>0.01</v>
      </c>
      <c r="M1254">
        <v>120.42</v>
      </c>
      <c r="N1254">
        <v>120.43</v>
      </c>
    </row>
    <row r="1255" spans="1:14" x14ac:dyDescent="0.3">
      <c r="A1255" s="2">
        <v>44013</v>
      </c>
      <c r="B1255" t="s">
        <v>68</v>
      </c>
      <c r="C1255">
        <v>2020</v>
      </c>
      <c r="D1255">
        <v>7</v>
      </c>
      <c r="E1255" t="s">
        <v>65</v>
      </c>
      <c r="F1255" t="s">
        <v>41</v>
      </c>
      <c r="G1255">
        <v>15</v>
      </c>
      <c r="H1255" t="s">
        <v>20</v>
      </c>
      <c r="I1255">
        <v>5.34</v>
      </c>
      <c r="J1255">
        <v>9.0299999999999994</v>
      </c>
      <c r="K1255">
        <v>1.64</v>
      </c>
      <c r="L1255">
        <v>0</v>
      </c>
      <c r="M1255">
        <v>16.010000000000002</v>
      </c>
      <c r="N1255">
        <v>16.010000000000002</v>
      </c>
    </row>
    <row r="1256" spans="1:14" x14ac:dyDescent="0.3">
      <c r="A1256" s="2">
        <v>44013</v>
      </c>
      <c r="B1256" t="s">
        <v>68</v>
      </c>
      <c r="C1256">
        <v>2020</v>
      </c>
      <c r="D1256">
        <v>7</v>
      </c>
      <c r="E1256" t="s">
        <v>65</v>
      </c>
      <c r="F1256" t="s">
        <v>42</v>
      </c>
      <c r="G1256">
        <v>13</v>
      </c>
      <c r="H1256" t="s">
        <v>20</v>
      </c>
      <c r="I1256">
        <v>9.34</v>
      </c>
      <c r="J1256">
        <v>11.98</v>
      </c>
      <c r="K1256">
        <v>3.6</v>
      </c>
      <c r="L1256">
        <v>0.41</v>
      </c>
      <c r="M1256">
        <v>24.92</v>
      </c>
      <c r="N1256">
        <v>25.33</v>
      </c>
    </row>
    <row r="1257" spans="1:14" x14ac:dyDescent="0.3">
      <c r="A1257" s="2">
        <v>44013</v>
      </c>
      <c r="B1257" t="s">
        <v>68</v>
      </c>
      <c r="C1257">
        <v>2020</v>
      </c>
      <c r="D1257">
        <v>7</v>
      </c>
      <c r="E1257" t="s">
        <v>65</v>
      </c>
      <c r="F1257" t="s">
        <v>43</v>
      </c>
      <c r="G1257">
        <v>21</v>
      </c>
      <c r="H1257" t="s">
        <v>20</v>
      </c>
      <c r="I1257">
        <v>641.76</v>
      </c>
      <c r="J1257">
        <v>794.02</v>
      </c>
      <c r="K1257">
        <v>444.01</v>
      </c>
      <c r="L1257">
        <v>468.62</v>
      </c>
      <c r="M1257">
        <v>1879.79</v>
      </c>
      <c r="N1257">
        <v>2348.41</v>
      </c>
    </row>
    <row r="1258" spans="1:14" x14ac:dyDescent="0.3">
      <c r="A1258" s="2">
        <v>44013</v>
      </c>
      <c r="B1258" t="s">
        <v>68</v>
      </c>
      <c r="C1258">
        <v>2020</v>
      </c>
      <c r="D1258">
        <v>7</v>
      </c>
      <c r="E1258" t="s">
        <v>65</v>
      </c>
      <c r="F1258" t="s">
        <v>44</v>
      </c>
      <c r="G1258">
        <v>34</v>
      </c>
      <c r="H1258" t="s">
        <v>18</v>
      </c>
      <c r="I1258">
        <v>17.55</v>
      </c>
      <c r="J1258">
        <v>26.91</v>
      </c>
      <c r="K1258">
        <v>91.45</v>
      </c>
      <c r="L1258">
        <v>0.42</v>
      </c>
      <c r="M1258">
        <v>135.91</v>
      </c>
      <c r="N1258">
        <v>136.33000000000001</v>
      </c>
    </row>
    <row r="1259" spans="1:14" x14ac:dyDescent="0.3">
      <c r="A1259" s="2">
        <v>44013</v>
      </c>
      <c r="B1259" t="s">
        <v>68</v>
      </c>
      <c r="C1259">
        <v>2020</v>
      </c>
      <c r="D1259">
        <v>7</v>
      </c>
      <c r="E1259" t="s">
        <v>65</v>
      </c>
      <c r="F1259" t="s">
        <v>45</v>
      </c>
      <c r="G1259">
        <v>3</v>
      </c>
      <c r="H1259" t="s">
        <v>20</v>
      </c>
      <c r="I1259">
        <v>308.75</v>
      </c>
      <c r="J1259">
        <v>489.57</v>
      </c>
      <c r="K1259">
        <v>364.63</v>
      </c>
      <c r="L1259">
        <v>24.8</v>
      </c>
      <c r="M1259">
        <v>1162.95</v>
      </c>
      <c r="N1259">
        <v>1187.75</v>
      </c>
    </row>
    <row r="1260" spans="1:14" x14ac:dyDescent="0.3">
      <c r="A1260" s="2">
        <v>44013</v>
      </c>
      <c r="B1260" t="s">
        <v>68</v>
      </c>
      <c r="C1260">
        <v>2020</v>
      </c>
      <c r="D1260">
        <v>7</v>
      </c>
      <c r="E1260" t="s">
        <v>65</v>
      </c>
      <c r="F1260" t="s">
        <v>46</v>
      </c>
      <c r="G1260">
        <v>8</v>
      </c>
      <c r="H1260" t="s">
        <v>20</v>
      </c>
      <c r="I1260">
        <v>754.19</v>
      </c>
      <c r="J1260">
        <v>1032.2</v>
      </c>
      <c r="K1260">
        <v>856.31</v>
      </c>
      <c r="L1260">
        <v>153.97999999999999</v>
      </c>
      <c r="M1260">
        <v>2642.7</v>
      </c>
      <c r="N1260">
        <v>2796.68</v>
      </c>
    </row>
    <row r="1261" spans="1:14" x14ac:dyDescent="0.3">
      <c r="A1261" s="2">
        <v>44013</v>
      </c>
      <c r="B1261" t="s">
        <v>68</v>
      </c>
      <c r="C1261">
        <v>2020</v>
      </c>
      <c r="D1261">
        <v>7</v>
      </c>
      <c r="E1261" t="s">
        <v>65</v>
      </c>
      <c r="F1261" t="s">
        <v>47</v>
      </c>
      <c r="G1261">
        <v>11</v>
      </c>
      <c r="H1261" t="s">
        <v>20</v>
      </c>
      <c r="I1261">
        <v>13.99</v>
      </c>
      <c r="J1261">
        <v>17</v>
      </c>
      <c r="K1261">
        <v>155.41999999999999</v>
      </c>
      <c r="L1261">
        <v>0.02</v>
      </c>
      <c r="M1261">
        <v>186.41</v>
      </c>
      <c r="N1261">
        <v>186.43</v>
      </c>
    </row>
    <row r="1262" spans="1:14" x14ac:dyDescent="0.3">
      <c r="A1262" s="2">
        <v>44013</v>
      </c>
      <c r="B1262" t="s">
        <v>68</v>
      </c>
      <c r="C1262">
        <v>2020</v>
      </c>
      <c r="D1262">
        <v>7</v>
      </c>
      <c r="E1262" t="s">
        <v>65</v>
      </c>
      <c r="F1262" t="s">
        <v>48</v>
      </c>
      <c r="G1262">
        <v>33</v>
      </c>
      <c r="H1262" t="s">
        <v>20</v>
      </c>
      <c r="I1262">
        <v>1262.3</v>
      </c>
      <c r="J1262">
        <v>1687.56</v>
      </c>
      <c r="K1262">
        <v>1379.63</v>
      </c>
      <c r="L1262">
        <v>305.27</v>
      </c>
      <c r="M1262">
        <v>4329.49</v>
      </c>
      <c r="N1262">
        <v>4634.76</v>
      </c>
    </row>
    <row r="1263" spans="1:14" x14ac:dyDescent="0.3">
      <c r="A1263" s="2">
        <v>44013</v>
      </c>
      <c r="B1263" t="s">
        <v>68</v>
      </c>
      <c r="C1263">
        <v>2020</v>
      </c>
      <c r="D1263">
        <v>7</v>
      </c>
      <c r="E1263" t="s">
        <v>65</v>
      </c>
      <c r="F1263" t="s">
        <v>49</v>
      </c>
      <c r="G1263">
        <v>36</v>
      </c>
      <c r="H1263" t="s">
        <v>20</v>
      </c>
      <c r="I1263">
        <v>633.30999999999995</v>
      </c>
      <c r="J1263">
        <v>923.49</v>
      </c>
      <c r="K1263">
        <v>882.42</v>
      </c>
      <c r="L1263">
        <v>436.79</v>
      </c>
      <c r="M1263">
        <v>2439.2199999999998</v>
      </c>
      <c r="N1263">
        <v>2876.01</v>
      </c>
    </row>
    <row r="1264" spans="1:14" x14ac:dyDescent="0.3">
      <c r="A1264" s="2">
        <v>44013</v>
      </c>
      <c r="B1264" t="s">
        <v>68</v>
      </c>
      <c r="C1264">
        <v>2020</v>
      </c>
      <c r="D1264">
        <v>7</v>
      </c>
      <c r="E1264" t="s">
        <v>65</v>
      </c>
      <c r="F1264" t="s">
        <v>50</v>
      </c>
      <c r="G1264">
        <v>16</v>
      </c>
      <c r="H1264" t="s">
        <v>20</v>
      </c>
      <c r="I1264">
        <v>18.77</v>
      </c>
      <c r="J1264">
        <v>25.23</v>
      </c>
      <c r="K1264">
        <v>3.94</v>
      </c>
      <c r="L1264">
        <v>0.05</v>
      </c>
      <c r="M1264">
        <v>47.94</v>
      </c>
      <c r="N1264">
        <v>47.99</v>
      </c>
    </row>
    <row r="1265" spans="1:14" x14ac:dyDescent="0.3">
      <c r="A1265" s="2">
        <v>44013</v>
      </c>
      <c r="B1265" t="s">
        <v>68</v>
      </c>
      <c r="C1265">
        <v>2020</v>
      </c>
      <c r="D1265">
        <v>7</v>
      </c>
      <c r="E1265" t="s">
        <v>65</v>
      </c>
      <c r="F1265" t="s">
        <v>51</v>
      </c>
      <c r="G1265">
        <v>9</v>
      </c>
      <c r="H1265" t="s">
        <v>20</v>
      </c>
      <c r="I1265">
        <v>1115.5</v>
      </c>
      <c r="J1265">
        <v>1785.56</v>
      </c>
      <c r="K1265">
        <v>1131.2</v>
      </c>
      <c r="L1265">
        <v>1066.67</v>
      </c>
      <c r="M1265">
        <v>4032.26</v>
      </c>
      <c r="N1265">
        <v>5098.93</v>
      </c>
    </row>
    <row r="1266" spans="1:14" x14ac:dyDescent="0.3">
      <c r="A1266" s="2">
        <v>44013</v>
      </c>
      <c r="B1266" t="s">
        <v>68</v>
      </c>
      <c r="C1266">
        <v>2020</v>
      </c>
      <c r="D1266">
        <v>7</v>
      </c>
      <c r="E1266" t="s">
        <v>65</v>
      </c>
      <c r="F1266" t="s">
        <v>52</v>
      </c>
      <c r="G1266">
        <v>5</v>
      </c>
      <c r="H1266" t="s">
        <v>20</v>
      </c>
      <c r="I1266">
        <v>190.62</v>
      </c>
      <c r="J1266">
        <v>247.03</v>
      </c>
      <c r="K1266">
        <v>543.15</v>
      </c>
      <c r="L1266">
        <v>7.01</v>
      </c>
      <c r="M1266">
        <v>980.8</v>
      </c>
      <c r="N1266">
        <v>987.81</v>
      </c>
    </row>
    <row r="1267" spans="1:14" x14ac:dyDescent="0.3">
      <c r="A1267" s="2">
        <v>44013</v>
      </c>
      <c r="B1267" t="s">
        <v>68</v>
      </c>
      <c r="C1267">
        <v>2020</v>
      </c>
      <c r="D1267">
        <v>7</v>
      </c>
      <c r="E1267" t="s">
        <v>65</v>
      </c>
      <c r="F1267" t="s">
        <v>53</v>
      </c>
      <c r="G1267">
        <v>19</v>
      </c>
      <c r="H1267" t="s">
        <v>20</v>
      </c>
      <c r="I1267">
        <v>850.43</v>
      </c>
      <c r="J1267">
        <v>1151.54</v>
      </c>
      <c r="K1267">
        <v>727.54</v>
      </c>
      <c r="L1267">
        <v>280.04000000000002</v>
      </c>
      <c r="M1267">
        <v>2729.51</v>
      </c>
      <c r="N1267">
        <v>3009.55</v>
      </c>
    </row>
    <row r="1268" spans="1:14" x14ac:dyDescent="0.3">
      <c r="A1268" s="2">
        <v>44044</v>
      </c>
      <c r="B1268" t="s">
        <v>68</v>
      </c>
      <c r="C1268">
        <v>2020</v>
      </c>
      <c r="D1268">
        <v>8</v>
      </c>
      <c r="E1268" t="s">
        <v>16</v>
      </c>
      <c r="F1268" t="s">
        <v>17</v>
      </c>
      <c r="G1268">
        <v>35</v>
      </c>
      <c r="H1268" t="s">
        <v>18</v>
      </c>
      <c r="I1268">
        <v>4.4400000000000004</v>
      </c>
      <c r="J1268">
        <v>6.96</v>
      </c>
      <c r="K1268">
        <v>1.1599999999999999</v>
      </c>
      <c r="L1268">
        <v>0.02</v>
      </c>
      <c r="M1268">
        <v>12.56</v>
      </c>
      <c r="N1268">
        <v>12.58</v>
      </c>
    </row>
    <row r="1269" spans="1:14" x14ac:dyDescent="0.3">
      <c r="A1269" s="2">
        <v>44044</v>
      </c>
      <c r="B1269" t="s">
        <v>68</v>
      </c>
      <c r="C1269">
        <v>2020</v>
      </c>
      <c r="D1269">
        <v>8</v>
      </c>
      <c r="E1269" t="s">
        <v>16</v>
      </c>
      <c r="F1269" t="s">
        <v>19</v>
      </c>
      <c r="G1269">
        <v>28</v>
      </c>
      <c r="H1269" t="s">
        <v>20</v>
      </c>
      <c r="I1269">
        <v>501.87</v>
      </c>
      <c r="J1269">
        <v>675.12</v>
      </c>
      <c r="K1269">
        <v>636.28</v>
      </c>
      <c r="L1269">
        <v>141.75</v>
      </c>
      <c r="M1269">
        <v>1813.27</v>
      </c>
      <c r="N1269">
        <v>1955.02</v>
      </c>
    </row>
    <row r="1270" spans="1:14" x14ac:dyDescent="0.3">
      <c r="A1270" s="2">
        <v>44044</v>
      </c>
      <c r="B1270" t="s">
        <v>68</v>
      </c>
      <c r="C1270">
        <v>2020</v>
      </c>
      <c r="D1270">
        <v>8</v>
      </c>
      <c r="E1270" t="s">
        <v>16</v>
      </c>
      <c r="F1270" t="s">
        <v>21</v>
      </c>
      <c r="G1270">
        <v>12</v>
      </c>
      <c r="H1270" t="s">
        <v>20</v>
      </c>
      <c r="I1270">
        <v>13.15</v>
      </c>
      <c r="J1270">
        <v>17.329999999999998</v>
      </c>
      <c r="K1270">
        <v>4.54</v>
      </c>
      <c r="L1270">
        <v>0.02</v>
      </c>
      <c r="M1270">
        <v>35.020000000000003</v>
      </c>
      <c r="N1270">
        <v>35.04</v>
      </c>
    </row>
    <row r="1271" spans="1:14" x14ac:dyDescent="0.3">
      <c r="A1271" s="2">
        <v>44044</v>
      </c>
      <c r="B1271" t="s">
        <v>68</v>
      </c>
      <c r="C1271">
        <v>2020</v>
      </c>
      <c r="D1271">
        <v>8</v>
      </c>
      <c r="E1271" t="s">
        <v>16</v>
      </c>
      <c r="F1271" t="s">
        <v>22</v>
      </c>
      <c r="G1271">
        <v>18</v>
      </c>
      <c r="H1271" t="s">
        <v>20</v>
      </c>
      <c r="I1271">
        <v>201.16</v>
      </c>
      <c r="J1271">
        <v>270.35000000000002</v>
      </c>
      <c r="K1271">
        <v>232.11</v>
      </c>
      <c r="L1271">
        <v>5.35</v>
      </c>
      <c r="M1271">
        <v>703.62</v>
      </c>
      <c r="N1271">
        <v>708.97</v>
      </c>
    </row>
    <row r="1272" spans="1:14" x14ac:dyDescent="0.3">
      <c r="A1272" s="2">
        <v>44044</v>
      </c>
      <c r="B1272" t="s">
        <v>68</v>
      </c>
      <c r="C1272">
        <v>2020</v>
      </c>
      <c r="D1272">
        <v>8</v>
      </c>
      <c r="E1272" t="s">
        <v>16</v>
      </c>
      <c r="F1272" t="s">
        <v>23</v>
      </c>
      <c r="G1272">
        <v>10</v>
      </c>
      <c r="H1272" t="s">
        <v>20</v>
      </c>
      <c r="I1272">
        <v>249</v>
      </c>
      <c r="J1272">
        <v>437</v>
      </c>
      <c r="K1272">
        <v>121.21</v>
      </c>
      <c r="L1272">
        <v>159.63</v>
      </c>
      <c r="M1272">
        <v>807.21</v>
      </c>
      <c r="N1272">
        <v>966.84</v>
      </c>
    </row>
    <row r="1273" spans="1:14" x14ac:dyDescent="0.3">
      <c r="A1273" s="2">
        <v>44044</v>
      </c>
      <c r="B1273" t="s">
        <v>68</v>
      </c>
      <c r="C1273">
        <v>2020</v>
      </c>
      <c r="D1273">
        <v>8</v>
      </c>
      <c r="E1273" t="s">
        <v>16</v>
      </c>
      <c r="F1273" t="s">
        <v>24</v>
      </c>
      <c r="G1273">
        <v>4</v>
      </c>
      <c r="H1273" t="s">
        <v>18</v>
      </c>
      <c r="I1273">
        <v>26.34</v>
      </c>
      <c r="J1273">
        <v>36.61</v>
      </c>
      <c r="K1273">
        <v>74.88</v>
      </c>
      <c r="L1273">
        <v>0.69</v>
      </c>
      <c r="M1273">
        <v>137.83000000000001</v>
      </c>
      <c r="N1273">
        <v>138.52000000000001</v>
      </c>
    </row>
    <row r="1274" spans="1:14" x14ac:dyDescent="0.3">
      <c r="A1274" s="2">
        <v>44044</v>
      </c>
      <c r="B1274" t="s">
        <v>68</v>
      </c>
      <c r="C1274">
        <v>2020</v>
      </c>
      <c r="D1274">
        <v>8</v>
      </c>
      <c r="E1274" t="s">
        <v>16</v>
      </c>
      <c r="F1274" t="s">
        <v>25</v>
      </c>
      <c r="G1274">
        <v>22</v>
      </c>
      <c r="H1274" t="s">
        <v>20</v>
      </c>
      <c r="I1274">
        <v>378.44</v>
      </c>
      <c r="J1274">
        <v>443.94</v>
      </c>
      <c r="K1274">
        <v>697.35</v>
      </c>
      <c r="L1274">
        <v>474.7</v>
      </c>
      <c r="M1274">
        <v>1519.73</v>
      </c>
      <c r="N1274">
        <v>1994.43</v>
      </c>
    </row>
    <row r="1275" spans="1:14" x14ac:dyDescent="0.3">
      <c r="A1275" s="2">
        <v>44044</v>
      </c>
      <c r="B1275" t="s">
        <v>68</v>
      </c>
      <c r="C1275">
        <v>2020</v>
      </c>
      <c r="D1275">
        <v>8</v>
      </c>
      <c r="E1275" t="s">
        <v>16</v>
      </c>
      <c r="F1275" t="s">
        <v>26</v>
      </c>
      <c r="G1275">
        <v>38</v>
      </c>
      <c r="H1275" t="s">
        <v>18</v>
      </c>
      <c r="I1275">
        <v>21.73</v>
      </c>
      <c r="J1275">
        <v>27.74</v>
      </c>
      <c r="K1275">
        <v>166.27</v>
      </c>
      <c r="L1275">
        <v>0.03</v>
      </c>
      <c r="M1275">
        <v>215.74</v>
      </c>
      <c r="N1275">
        <v>215.77</v>
      </c>
    </row>
    <row r="1276" spans="1:14" x14ac:dyDescent="0.3">
      <c r="A1276" s="2">
        <v>44044</v>
      </c>
      <c r="B1276" t="s">
        <v>68</v>
      </c>
      <c r="C1276">
        <v>2020</v>
      </c>
      <c r="D1276">
        <v>8</v>
      </c>
      <c r="E1276" t="s">
        <v>16</v>
      </c>
      <c r="F1276" t="s">
        <v>27</v>
      </c>
      <c r="G1276">
        <v>7</v>
      </c>
      <c r="H1276" t="s">
        <v>18</v>
      </c>
      <c r="I1276">
        <v>565.26</v>
      </c>
      <c r="J1276">
        <v>697.42</v>
      </c>
      <c r="K1276">
        <v>1535.15</v>
      </c>
      <c r="L1276">
        <v>82.5</v>
      </c>
      <c r="M1276">
        <v>2797.83</v>
      </c>
      <c r="N1276">
        <v>2880.33</v>
      </c>
    </row>
    <row r="1277" spans="1:14" x14ac:dyDescent="0.3">
      <c r="A1277" s="2">
        <v>44044</v>
      </c>
      <c r="B1277" t="s">
        <v>68</v>
      </c>
      <c r="C1277">
        <v>2020</v>
      </c>
      <c r="D1277">
        <v>8</v>
      </c>
      <c r="E1277" t="s">
        <v>16</v>
      </c>
      <c r="F1277" t="s">
        <v>28</v>
      </c>
      <c r="G1277">
        <v>30</v>
      </c>
      <c r="H1277" t="s">
        <v>20</v>
      </c>
      <c r="I1277">
        <v>41.92</v>
      </c>
      <c r="J1277">
        <v>60.52</v>
      </c>
      <c r="K1277">
        <v>110.19</v>
      </c>
      <c r="L1277">
        <v>0.61</v>
      </c>
      <c r="M1277">
        <v>212.63</v>
      </c>
      <c r="N1277">
        <v>213.24</v>
      </c>
    </row>
    <row r="1278" spans="1:14" x14ac:dyDescent="0.3">
      <c r="A1278" s="2">
        <v>44044</v>
      </c>
      <c r="B1278" t="s">
        <v>68</v>
      </c>
      <c r="C1278">
        <v>2020</v>
      </c>
      <c r="D1278">
        <v>8</v>
      </c>
      <c r="E1278" t="s">
        <v>16</v>
      </c>
      <c r="F1278" t="s">
        <v>29</v>
      </c>
      <c r="G1278">
        <v>24</v>
      </c>
      <c r="H1278" t="s">
        <v>20</v>
      </c>
      <c r="I1278">
        <v>1591.56</v>
      </c>
      <c r="J1278">
        <v>1902.64</v>
      </c>
      <c r="K1278">
        <v>2079.7600000000002</v>
      </c>
      <c r="L1278">
        <v>455.73</v>
      </c>
      <c r="M1278">
        <v>5573.96</v>
      </c>
      <c r="N1278">
        <v>6029.69</v>
      </c>
    </row>
    <row r="1279" spans="1:14" x14ac:dyDescent="0.3">
      <c r="A1279" s="2">
        <v>44044</v>
      </c>
      <c r="B1279" t="s">
        <v>68</v>
      </c>
      <c r="C1279">
        <v>2020</v>
      </c>
      <c r="D1279">
        <v>8</v>
      </c>
      <c r="E1279" t="s">
        <v>16</v>
      </c>
      <c r="F1279" t="s">
        <v>30</v>
      </c>
      <c r="G1279">
        <v>6</v>
      </c>
      <c r="H1279" t="s">
        <v>20</v>
      </c>
      <c r="I1279">
        <v>678.45</v>
      </c>
      <c r="J1279">
        <v>942.07</v>
      </c>
      <c r="K1279">
        <v>2379.38</v>
      </c>
      <c r="L1279">
        <v>373.29</v>
      </c>
      <c r="M1279">
        <v>3999.9</v>
      </c>
      <c r="N1279">
        <v>4373.1899999999996</v>
      </c>
    </row>
    <row r="1280" spans="1:14" x14ac:dyDescent="0.3">
      <c r="A1280" s="2">
        <v>44044</v>
      </c>
      <c r="B1280" t="s">
        <v>68</v>
      </c>
      <c r="C1280">
        <v>2020</v>
      </c>
      <c r="D1280">
        <v>8</v>
      </c>
      <c r="E1280" t="s">
        <v>16</v>
      </c>
      <c r="F1280" t="s">
        <v>31</v>
      </c>
      <c r="G1280">
        <v>2</v>
      </c>
      <c r="H1280" t="s">
        <v>20</v>
      </c>
      <c r="I1280">
        <v>99.84</v>
      </c>
      <c r="J1280">
        <v>140.79</v>
      </c>
      <c r="K1280">
        <v>354.85</v>
      </c>
      <c r="L1280">
        <v>1.19</v>
      </c>
      <c r="M1280">
        <v>595.48</v>
      </c>
      <c r="N1280">
        <v>596.66999999999996</v>
      </c>
    </row>
    <row r="1281" spans="1:14" x14ac:dyDescent="0.3">
      <c r="A1281" s="2">
        <v>44044</v>
      </c>
      <c r="B1281" t="s">
        <v>68</v>
      </c>
      <c r="C1281">
        <v>2020</v>
      </c>
      <c r="D1281">
        <v>8</v>
      </c>
      <c r="E1281" t="s">
        <v>16</v>
      </c>
      <c r="F1281" t="s">
        <v>32</v>
      </c>
      <c r="G1281">
        <v>1</v>
      </c>
      <c r="H1281" t="s">
        <v>18</v>
      </c>
      <c r="I1281">
        <v>69.61</v>
      </c>
      <c r="J1281">
        <v>121.56</v>
      </c>
      <c r="K1281">
        <v>130.32</v>
      </c>
      <c r="L1281">
        <v>4.34</v>
      </c>
      <c r="M1281">
        <v>321.49</v>
      </c>
      <c r="N1281">
        <v>325.83</v>
      </c>
    </row>
    <row r="1282" spans="1:14" x14ac:dyDescent="0.3">
      <c r="A1282" s="2">
        <v>44044</v>
      </c>
      <c r="B1282" t="s">
        <v>68</v>
      </c>
      <c r="C1282">
        <v>2020</v>
      </c>
      <c r="D1282">
        <v>8</v>
      </c>
      <c r="E1282" t="s">
        <v>16</v>
      </c>
      <c r="F1282" t="s">
        <v>33</v>
      </c>
      <c r="G1282">
        <v>20</v>
      </c>
      <c r="H1282" t="s">
        <v>20</v>
      </c>
      <c r="I1282">
        <v>278.98</v>
      </c>
      <c r="J1282">
        <v>360.14</v>
      </c>
      <c r="K1282">
        <v>514.76</v>
      </c>
      <c r="L1282">
        <v>344.16</v>
      </c>
      <c r="M1282">
        <v>1153.8800000000001</v>
      </c>
      <c r="N1282">
        <v>1498.04</v>
      </c>
    </row>
    <row r="1283" spans="1:14" x14ac:dyDescent="0.3">
      <c r="A1283" s="2">
        <v>44044</v>
      </c>
      <c r="B1283" t="s">
        <v>68</v>
      </c>
      <c r="C1283">
        <v>2020</v>
      </c>
      <c r="D1283">
        <v>8</v>
      </c>
      <c r="E1283" t="s">
        <v>16</v>
      </c>
      <c r="F1283" t="s">
        <v>34</v>
      </c>
      <c r="G1283">
        <v>29</v>
      </c>
      <c r="H1283" t="s">
        <v>20</v>
      </c>
      <c r="I1283">
        <v>1440.66</v>
      </c>
      <c r="J1283">
        <v>1848.19</v>
      </c>
      <c r="K1283">
        <v>1717.39</v>
      </c>
      <c r="L1283">
        <v>495.75</v>
      </c>
      <c r="M1283">
        <v>5006.24</v>
      </c>
      <c r="N1283">
        <v>5501.99</v>
      </c>
    </row>
    <row r="1284" spans="1:14" x14ac:dyDescent="0.3">
      <c r="A1284" s="2">
        <v>44044</v>
      </c>
      <c r="B1284" t="s">
        <v>68</v>
      </c>
      <c r="C1284">
        <v>2020</v>
      </c>
      <c r="D1284">
        <v>8</v>
      </c>
      <c r="E1284" t="s">
        <v>16</v>
      </c>
      <c r="F1284" t="s">
        <v>35</v>
      </c>
      <c r="G1284">
        <v>32</v>
      </c>
      <c r="H1284" t="s">
        <v>20</v>
      </c>
      <c r="I1284">
        <v>407.98</v>
      </c>
      <c r="J1284">
        <v>598.63</v>
      </c>
      <c r="K1284">
        <v>219.71</v>
      </c>
      <c r="L1284">
        <v>2.93</v>
      </c>
      <c r="M1284">
        <v>1226.32</v>
      </c>
      <c r="N1284">
        <v>1229.25</v>
      </c>
    </row>
    <row r="1285" spans="1:14" x14ac:dyDescent="0.3">
      <c r="A1285" s="2">
        <v>44044</v>
      </c>
      <c r="B1285" t="s">
        <v>68</v>
      </c>
      <c r="C1285">
        <v>2020</v>
      </c>
      <c r="D1285">
        <v>8</v>
      </c>
      <c r="E1285" t="s">
        <v>16</v>
      </c>
      <c r="F1285" t="s">
        <v>67</v>
      </c>
      <c r="G1285">
        <v>37</v>
      </c>
      <c r="H1285" t="s">
        <v>18</v>
      </c>
      <c r="I1285">
        <v>1.53</v>
      </c>
      <c r="J1285">
        <v>1.99</v>
      </c>
      <c r="K1285">
        <v>0.82</v>
      </c>
      <c r="L1285">
        <v>0.24</v>
      </c>
      <c r="M1285">
        <v>4.34</v>
      </c>
      <c r="N1285">
        <v>4.58</v>
      </c>
    </row>
    <row r="1286" spans="1:14" x14ac:dyDescent="0.3">
      <c r="A1286" s="2">
        <v>44044</v>
      </c>
      <c r="B1286" t="s">
        <v>68</v>
      </c>
      <c r="C1286">
        <v>2020</v>
      </c>
      <c r="D1286">
        <v>8</v>
      </c>
      <c r="E1286" t="s">
        <v>16</v>
      </c>
      <c r="F1286" t="s">
        <v>36</v>
      </c>
      <c r="G1286">
        <v>31</v>
      </c>
      <c r="H1286" t="s">
        <v>18</v>
      </c>
      <c r="I1286">
        <v>0.16</v>
      </c>
      <c r="J1286">
        <v>0.17</v>
      </c>
      <c r="K1286">
        <v>7.0000000000000007E-2</v>
      </c>
      <c r="L1286">
        <v>0</v>
      </c>
      <c r="M1286">
        <v>0.4</v>
      </c>
      <c r="N1286">
        <v>0.4</v>
      </c>
    </row>
    <row r="1287" spans="1:14" x14ac:dyDescent="0.3">
      <c r="A1287" s="2">
        <v>44044</v>
      </c>
      <c r="B1287" t="s">
        <v>68</v>
      </c>
      <c r="C1287">
        <v>2020</v>
      </c>
      <c r="D1287">
        <v>8</v>
      </c>
      <c r="E1287" t="s">
        <v>16</v>
      </c>
      <c r="F1287" t="s">
        <v>37</v>
      </c>
      <c r="G1287">
        <v>23</v>
      </c>
      <c r="H1287" t="s">
        <v>20</v>
      </c>
      <c r="I1287">
        <v>520.69000000000005</v>
      </c>
      <c r="J1287">
        <v>698.85</v>
      </c>
      <c r="K1287">
        <v>560.57000000000005</v>
      </c>
      <c r="L1287">
        <v>428.73</v>
      </c>
      <c r="M1287">
        <v>1780.11</v>
      </c>
      <c r="N1287">
        <v>2208.84</v>
      </c>
    </row>
    <row r="1288" spans="1:14" x14ac:dyDescent="0.3">
      <c r="A1288" s="2">
        <v>44044</v>
      </c>
      <c r="B1288" t="s">
        <v>68</v>
      </c>
      <c r="C1288">
        <v>2020</v>
      </c>
      <c r="D1288">
        <v>8</v>
      </c>
      <c r="E1288" t="s">
        <v>16</v>
      </c>
      <c r="F1288" t="s">
        <v>38</v>
      </c>
      <c r="G1288">
        <v>27</v>
      </c>
      <c r="H1288" t="s">
        <v>20</v>
      </c>
      <c r="I1288">
        <v>2993</v>
      </c>
      <c r="J1288">
        <v>3690.06</v>
      </c>
      <c r="K1288">
        <v>4197.79</v>
      </c>
      <c r="L1288">
        <v>720.92</v>
      </c>
      <c r="M1288">
        <v>10880.85</v>
      </c>
      <c r="N1288">
        <v>11601.77</v>
      </c>
    </row>
    <row r="1289" spans="1:14" x14ac:dyDescent="0.3">
      <c r="A1289" s="2">
        <v>44044</v>
      </c>
      <c r="B1289" t="s">
        <v>68</v>
      </c>
      <c r="C1289">
        <v>2020</v>
      </c>
      <c r="D1289">
        <v>8</v>
      </c>
      <c r="E1289" t="s">
        <v>16</v>
      </c>
      <c r="F1289" t="s">
        <v>39</v>
      </c>
      <c r="G1289">
        <v>14</v>
      </c>
      <c r="H1289" t="s">
        <v>20</v>
      </c>
      <c r="I1289">
        <v>9.75</v>
      </c>
      <c r="J1289">
        <v>14.21</v>
      </c>
      <c r="K1289">
        <v>2.14</v>
      </c>
      <c r="L1289">
        <v>0</v>
      </c>
      <c r="M1289">
        <v>26.1</v>
      </c>
      <c r="N1289">
        <v>26.1</v>
      </c>
    </row>
    <row r="1290" spans="1:14" x14ac:dyDescent="0.3">
      <c r="A1290" s="2">
        <v>44044</v>
      </c>
      <c r="B1290" t="s">
        <v>68</v>
      </c>
      <c r="C1290">
        <v>2020</v>
      </c>
      <c r="D1290">
        <v>8</v>
      </c>
      <c r="E1290" t="s">
        <v>16</v>
      </c>
      <c r="F1290" t="s">
        <v>40</v>
      </c>
      <c r="G1290">
        <v>17</v>
      </c>
      <c r="H1290" t="s">
        <v>20</v>
      </c>
      <c r="I1290">
        <v>16.46</v>
      </c>
      <c r="J1290">
        <v>21.38</v>
      </c>
      <c r="K1290">
        <v>70.209999999999994</v>
      </c>
      <c r="L1290">
        <v>0.13</v>
      </c>
      <c r="M1290">
        <v>108.05</v>
      </c>
      <c r="N1290">
        <v>108.18</v>
      </c>
    </row>
    <row r="1291" spans="1:14" x14ac:dyDescent="0.3">
      <c r="A1291" s="2">
        <v>44044</v>
      </c>
      <c r="B1291" t="s">
        <v>68</v>
      </c>
      <c r="C1291">
        <v>2020</v>
      </c>
      <c r="D1291">
        <v>8</v>
      </c>
      <c r="E1291" t="s">
        <v>16</v>
      </c>
      <c r="F1291" t="s">
        <v>41</v>
      </c>
      <c r="G1291">
        <v>15</v>
      </c>
      <c r="H1291" t="s">
        <v>20</v>
      </c>
      <c r="I1291">
        <v>3.94</v>
      </c>
      <c r="J1291">
        <v>6.74</v>
      </c>
      <c r="K1291">
        <v>1.44</v>
      </c>
      <c r="L1291">
        <v>0.02</v>
      </c>
      <c r="M1291">
        <v>12.12</v>
      </c>
      <c r="N1291">
        <v>12.14</v>
      </c>
    </row>
    <row r="1292" spans="1:14" x14ac:dyDescent="0.3">
      <c r="A1292" s="2">
        <v>44044</v>
      </c>
      <c r="B1292" t="s">
        <v>68</v>
      </c>
      <c r="C1292">
        <v>2020</v>
      </c>
      <c r="D1292">
        <v>8</v>
      </c>
      <c r="E1292" t="s">
        <v>16</v>
      </c>
      <c r="F1292" t="s">
        <v>42</v>
      </c>
      <c r="G1292">
        <v>13</v>
      </c>
      <c r="H1292" t="s">
        <v>20</v>
      </c>
      <c r="I1292">
        <v>12.14</v>
      </c>
      <c r="J1292">
        <v>15.66</v>
      </c>
      <c r="K1292">
        <v>3.24</v>
      </c>
      <c r="L1292">
        <v>0.32</v>
      </c>
      <c r="M1292">
        <v>31.04</v>
      </c>
      <c r="N1292">
        <v>31.36</v>
      </c>
    </row>
    <row r="1293" spans="1:14" x14ac:dyDescent="0.3">
      <c r="A1293" s="2">
        <v>44044</v>
      </c>
      <c r="B1293" t="s">
        <v>68</v>
      </c>
      <c r="C1293">
        <v>2020</v>
      </c>
      <c r="D1293">
        <v>8</v>
      </c>
      <c r="E1293" t="s">
        <v>16</v>
      </c>
      <c r="F1293" t="s">
        <v>43</v>
      </c>
      <c r="G1293">
        <v>21</v>
      </c>
      <c r="H1293" t="s">
        <v>20</v>
      </c>
      <c r="I1293">
        <v>538.91</v>
      </c>
      <c r="J1293">
        <v>686.15</v>
      </c>
      <c r="K1293">
        <v>630.14</v>
      </c>
      <c r="L1293">
        <v>493.08</v>
      </c>
      <c r="M1293">
        <v>1855.2</v>
      </c>
      <c r="N1293">
        <v>2348.2800000000002</v>
      </c>
    </row>
    <row r="1294" spans="1:14" x14ac:dyDescent="0.3">
      <c r="A1294" s="2">
        <v>44044</v>
      </c>
      <c r="B1294" t="s">
        <v>68</v>
      </c>
      <c r="C1294">
        <v>2020</v>
      </c>
      <c r="D1294">
        <v>8</v>
      </c>
      <c r="E1294" t="s">
        <v>16</v>
      </c>
      <c r="F1294" t="s">
        <v>44</v>
      </c>
      <c r="G1294">
        <v>34</v>
      </c>
      <c r="H1294" t="s">
        <v>18</v>
      </c>
      <c r="I1294">
        <v>15.9</v>
      </c>
      <c r="J1294">
        <v>24.73</v>
      </c>
      <c r="K1294">
        <v>95.98</v>
      </c>
      <c r="L1294">
        <v>0.18</v>
      </c>
      <c r="M1294">
        <v>136.61000000000001</v>
      </c>
      <c r="N1294">
        <v>136.79</v>
      </c>
    </row>
    <row r="1295" spans="1:14" x14ac:dyDescent="0.3">
      <c r="A1295" s="2">
        <v>44044</v>
      </c>
      <c r="B1295" t="s">
        <v>68</v>
      </c>
      <c r="C1295">
        <v>2020</v>
      </c>
      <c r="D1295">
        <v>8</v>
      </c>
      <c r="E1295" t="s">
        <v>16</v>
      </c>
      <c r="F1295" t="s">
        <v>45</v>
      </c>
      <c r="G1295">
        <v>3</v>
      </c>
      <c r="H1295" t="s">
        <v>20</v>
      </c>
      <c r="I1295">
        <v>277.24</v>
      </c>
      <c r="J1295">
        <v>457.08</v>
      </c>
      <c r="K1295">
        <v>385.9</v>
      </c>
      <c r="L1295">
        <v>18.28</v>
      </c>
      <c r="M1295">
        <v>1120.22</v>
      </c>
      <c r="N1295">
        <v>1138.5</v>
      </c>
    </row>
    <row r="1296" spans="1:14" x14ac:dyDescent="0.3">
      <c r="A1296" s="2">
        <v>44044</v>
      </c>
      <c r="B1296" t="s">
        <v>68</v>
      </c>
      <c r="C1296">
        <v>2020</v>
      </c>
      <c r="D1296">
        <v>8</v>
      </c>
      <c r="E1296" t="s">
        <v>16</v>
      </c>
      <c r="F1296" t="s">
        <v>46</v>
      </c>
      <c r="G1296">
        <v>8</v>
      </c>
      <c r="H1296" t="s">
        <v>20</v>
      </c>
      <c r="I1296">
        <v>693.36</v>
      </c>
      <c r="J1296">
        <v>951.07</v>
      </c>
      <c r="K1296">
        <v>836.95</v>
      </c>
      <c r="L1296">
        <v>100.6</v>
      </c>
      <c r="M1296">
        <v>2481.38</v>
      </c>
      <c r="N1296">
        <v>2581.98</v>
      </c>
    </row>
    <row r="1297" spans="1:14" x14ac:dyDescent="0.3">
      <c r="A1297" s="2">
        <v>44044</v>
      </c>
      <c r="B1297" t="s">
        <v>68</v>
      </c>
      <c r="C1297">
        <v>2020</v>
      </c>
      <c r="D1297">
        <v>8</v>
      </c>
      <c r="E1297" t="s">
        <v>16</v>
      </c>
      <c r="F1297" t="s">
        <v>47</v>
      </c>
      <c r="G1297">
        <v>11</v>
      </c>
      <c r="H1297" t="s">
        <v>20</v>
      </c>
      <c r="I1297">
        <v>11</v>
      </c>
      <c r="J1297">
        <v>12.96</v>
      </c>
      <c r="K1297">
        <v>123.23</v>
      </c>
      <c r="L1297">
        <v>0.01</v>
      </c>
      <c r="M1297">
        <v>147.19</v>
      </c>
      <c r="N1297">
        <v>147.19999999999999</v>
      </c>
    </row>
    <row r="1298" spans="1:14" x14ac:dyDescent="0.3">
      <c r="A1298" s="2">
        <v>44044</v>
      </c>
      <c r="B1298" t="s">
        <v>68</v>
      </c>
      <c r="C1298">
        <v>2020</v>
      </c>
      <c r="D1298">
        <v>8</v>
      </c>
      <c r="E1298" t="s">
        <v>16</v>
      </c>
      <c r="F1298" t="s">
        <v>48</v>
      </c>
      <c r="G1298">
        <v>33</v>
      </c>
      <c r="H1298" t="s">
        <v>20</v>
      </c>
      <c r="I1298">
        <v>1381.18</v>
      </c>
      <c r="J1298">
        <v>1868.69</v>
      </c>
      <c r="K1298">
        <v>1534.78</v>
      </c>
      <c r="L1298">
        <v>458.82</v>
      </c>
      <c r="M1298">
        <v>4784.6499999999996</v>
      </c>
      <c r="N1298">
        <v>5243.47</v>
      </c>
    </row>
    <row r="1299" spans="1:14" x14ac:dyDescent="0.3">
      <c r="A1299" s="2">
        <v>44044</v>
      </c>
      <c r="B1299" t="s">
        <v>68</v>
      </c>
      <c r="C1299">
        <v>2020</v>
      </c>
      <c r="D1299">
        <v>8</v>
      </c>
      <c r="E1299" t="s">
        <v>16</v>
      </c>
      <c r="F1299" t="s">
        <v>49</v>
      </c>
      <c r="G1299">
        <v>36</v>
      </c>
      <c r="H1299" t="s">
        <v>20</v>
      </c>
      <c r="I1299">
        <v>660.91</v>
      </c>
      <c r="J1299">
        <v>904.44</v>
      </c>
      <c r="K1299">
        <v>792.54</v>
      </c>
      <c r="L1299">
        <v>435.01</v>
      </c>
      <c r="M1299">
        <v>2357.89</v>
      </c>
      <c r="N1299">
        <v>2792.9</v>
      </c>
    </row>
    <row r="1300" spans="1:14" x14ac:dyDescent="0.3">
      <c r="A1300" s="2">
        <v>44044</v>
      </c>
      <c r="B1300" t="s">
        <v>68</v>
      </c>
      <c r="C1300">
        <v>2020</v>
      </c>
      <c r="D1300">
        <v>8</v>
      </c>
      <c r="E1300" t="s">
        <v>16</v>
      </c>
      <c r="F1300" t="s">
        <v>50</v>
      </c>
      <c r="G1300">
        <v>16</v>
      </c>
      <c r="H1300" t="s">
        <v>20</v>
      </c>
      <c r="I1300">
        <v>15.8</v>
      </c>
      <c r="J1300">
        <v>22.07</v>
      </c>
      <c r="K1300">
        <v>5.16</v>
      </c>
      <c r="L1300">
        <v>0.11</v>
      </c>
      <c r="M1300">
        <v>43.03</v>
      </c>
      <c r="N1300">
        <v>43.14</v>
      </c>
    </row>
    <row r="1301" spans="1:14" x14ac:dyDescent="0.3">
      <c r="A1301" s="2">
        <v>44044</v>
      </c>
      <c r="B1301" t="s">
        <v>68</v>
      </c>
      <c r="C1301">
        <v>2020</v>
      </c>
      <c r="D1301">
        <v>8</v>
      </c>
      <c r="E1301" t="s">
        <v>16</v>
      </c>
      <c r="F1301" t="s">
        <v>51</v>
      </c>
      <c r="G1301">
        <v>9</v>
      </c>
      <c r="H1301" t="s">
        <v>20</v>
      </c>
      <c r="I1301">
        <v>1076.44</v>
      </c>
      <c r="J1301">
        <v>1659.68</v>
      </c>
      <c r="K1301">
        <v>1265.02</v>
      </c>
      <c r="L1301">
        <v>1096.4100000000001</v>
      </c>
      <c r="M1301">
        <v>4001.14</v>
      </c>
      <c r="N1301">
        <v>5097.55</v>
      </c>
    </row>
    <row r="1302" spans="1:14" x14ac:dyDescent="0.3">
      <c r="A1302" s="2">
        <v>44044</v>
      </c>
      <c r="B1302" t="s">
        <v>68</v>
      </c>
      <c r="C1302">
        <v>2020</v>
      </c>
      <c r="D1302">
        <v>8</v>
      </c>
      <c r="E1302" t="s">
        <v>16</v>
      </c>
      <c r="F1302" t="s">
        <v>52</v>
      </c>
      <c r="G1302">
        <v>5</v>
      </c>
      <c r="H1302" t="s">
        <v>20</v>
      </c>
      <c r="I1302">
        <v>184.6</v>
      </c>
      <c r="J1302">
        <v>249.44</v>
      </c>
      <c r="K1302">
        <v>564.19000000000005</v>
      </c>
      <c r="L1302">
        <v>7.52</v>
      </c>
      <c r="M1302">
        <v>998.23</v>
      </c>
      <c r="N1302">
        <v>1005.75</v>
      </c>
    </row>
    <row r="1303" spans="1:14" x14ac:dyDescent="0.3">
      <c r="A1303" s="2">
        <v>44044</v>
      </c>
      <c r="B1303" t="s">
        <v>68</v>
      </c>
      <c r="C1303">
        <v>2020</v>
      </c>
      <c r="D1303">
        <v>8</v>
      </c>
      <c r="E1303" t="s">
        <v>16</v>
      </c>
      <c r="F1303" t="s">
        <v>53</v>
      </c>
      <c r="G1303">
        <v>19</v>
      </c>
      <c r="H1303" t="s">
        <v>20</v>
      </c>
      <c r="I1303">
        <v>896.77</v>
      </c>
      <c r="J1303">
        <v>1162.76</v>
      </c>
      <c r="K1303">
        <v>754.09</v>
      </c>
      <c r="L1303">
        <v>239.32</v>
      </c>
      <c r="M1303">
        <v>2813.62</v>
      </c>
      <c r="N1303">
        <v>3052.94</v>
      </c>
    </row>
    <row r="1304" spans="1:14" x14ac:dyDescent="0.3">
      <c r="A1304" s="2">
        <v>44075</v>
      </c>
      <c r="B1304" t="s">
        <v>68</v>
      </c>
      <c r="C1304">
        <v>2020</v>
      </c>
      <c r="D1304">
        <v>9</v>
      </c>
      <c r="E1304" t="s">
        <v>54</v>
      </c>
      <c r="F1304" t="s">
        <v>17</v>
      </c>
      <c r="G1304">
        <v>35</v>
      </c>
      <c r="H1304" t="s">
        <v>18</v>
      </c>
      <c r="I1304">
        <v>6.86</v>
      </c>
      <c r="J1304">
        <v>9.27</v>
      </c>
      <c r="K1304">
        <v>2.91</v>
      </c>
      <c r="L1304">
        <v>0.02</v>
      </c>
      <c r="M1304">
        <v>19.04</v>
      </c>
      <c r="N1304">
        <v>19.059999999999999</v>
      </c>
    </row>
    <row r="1305" spans="1:14" x14ac:dyDescent="0.3">
      <c r="A1305" s="2">
        <v>44075</v>
      </c>
      <c r="B1305" t="s">
        <v>68</v>
      </c>
      <c r="C1305">
        <v>2020</v>
      </c>
      <c r="D1305">
        <v>9</v>
      </c>
      <c r="E1305" t="s">
        <v>54</v>
      </c>
      <c r="F1305" t="s">
        <v>19</v>
      </c>
      <c r="G1305">
        <v>28</v>
      </c>
      <c r="H1305" t="s">
        <v>20</v>
      </c>
      <c r="I1305">
        <v>533.13</v>
      </c>
      <c r="J1305">
        <v>724.76</v>
      </c>
      <c r="K1305">
        <v>700.35</v>
      </c>
      <c r="L1305">
        <v>182.41</v>
      </c>
      <c r="M1305">
        <v>1958.24</v>
      </c>
      <c r="N1305">
        <v>2140.65</v>
      </c>
    </row>
    <row r="1306" spans="1:14" x14ac:dyDescent="0.3">
      <c r="A1306" s="2">
        <v>44075</v>
      </c>
      <c r="B1306" t="s">
        <v>68</v>
      </c>
      <c r="C1306">
        <v>2020</v>
      </c>
      <c r="D1306">
        <v>9</v>
      </c>
      <c r="E1306" t="s">
        <v>54</v>
      </c>
      <c r="F1306" t="s">
        <v>21</v>
      </c>
      <c r="G1306">
        <v>12</v>
      </c>
      <c r="H1306" t="s">
        <v>20</v>
      </c>
      <c r="I1306">
        <v>12.68</v>
      </c>
      <c r="J1306">
        <v>17.47</v>
      </c>
      <c r="K1306">
        <v>5.26</v>
      </c>
      <c r="L1306">
        <v>0.01</v>
      </c>
      <c r="M1306">
        <v>35.409999999999997</v>
      </c>
      <c r="N1306">
        <v>35.42</v>
      </c>
    </row>
    <row r="1307" spans="1:14" x14ac:dyDescent="0.3">
      <c r="A1307" s="2">
        <v>44075</v>
      </c>
      <c r="B1307" t="s">
        <v>68</v>
      </c>
      <c r="C1307">
        <v>2020</v>
      </c>
      <c r="D1307">
        <v>9</v>
      </c>
      <c r="E1307" t="s">
        <v>54</v>
      </c>
      <c r="F1307" t="s">
        <v>22</v>
      </c>
      <c r="G1307">
        <v>18</v>
      </c>
      <c r="H1307" t="s">
        <v>20</v>
      </c>
      <c r="I1307">
        <v>275.37</v>
      </c>
      <c r="J1307">
        <v>362.1</v>
      </c>
      <c r="K1307">
        <v>257.69</v>
      </c>
      <c r="L1307">
        <v>17.260000000000002</v>
      </c>
      <c r="M1307">
        <v>895.16</v>
      </c>
      <c r="N1307">
        <v>912.42</v>
      </c>
    </row>
    <row r="1308" spans="1:14" x14ac:dyDescent="0.3">
      <c r="A1308" s="2">
        <v>44075</v>
      </c>
      <c r="B1308" t="s">
        <v>68</v>
      </c>
      <c r="C1308">
        <v>2020</v>
      </c>
      <c r="D1308">
        <v>9</v>
      </c>
      <c r="E1308" t="s">
        <v>54</v>
      </c>
      <c r="F1308" t="s">
        <v>23</v>
      </c>
      <c r="G1308">
        <v>10</v>
      </c>
      <c r="H1308" t="s">
        <v>20</v>
      </c>
      <c r="I1308">
        <v>263.48</v>
      </c>
      <c r="J1308">
        <v>458.23</v>
      </c>
      <c r="K1308">
        <v>114.14</v>
      </c>
      <c r="L1308">
        <v>159.91</v>
      </c>
      <c r="M1308">
        <v>835.85</v>
      </c>
      <c r="N1308">
        <v>995.76</v>
      </c>
    </row>
    <row r="1309" spans="1:14" x14ac:dyDescent="0.3">
      <c r="A1309" s="2">
        <v>44075</v>
      </c>
      <c r="B1309" t="s">
        <v>68</v>
      </c>
      <c r="C1309">
        <v>2020</v>
      </c>
      <c r="D1309">
        <v>9</v>
      </c>
      <c r="E1309" t="s">
        <v>54</v>
      </c>
      <c r="F1309" t="s">
        <v>24</v>
      </c>
      <c r="G1309">
        <v>4</v>
      </c>
      <c r="H1309" t="s">
        <v>18</v>
      </c>
      <c r="I1309">
        <v>25.99</v>
      </c>
      <c r="J1309">
        <v>33.18</v>
      </c>
      <c r="K1309">
        <v>81.77</v>
      </c>
      <c r="L1309">
        <v>0.54</v>
      </c>
      <c r="M1309">
        <v>140.94</v>
      </c>
      <c r="N1309">
        <v>141.47999999999999</v>
      </c>
    </row>
    <row r="1310" spans="1:14" x14ac:dyDescent="0.3">
      <c r="A1310" s="2">
        <v>44075</v>
      </c>
      <c r="B1310" t="s">
        <v>68</v>
      </c>
      <c r="C1310">
        <v>2020</v>
      </c>
      <c r="D1310">
        <v>9</v>
      </c>
      <c r="E1310" t="s">
        <v>54</v>
      </c>
      <c r="F1310" t="s">
        <v>25</v>
      </c>
      <c r="G1310">
        <v>22</v>
      </c>
      <c r="H1310" t="s">
        <v>20</v>
      </c>
      <c r="I1310">
        <v>341.1</v>
      </c>
      <c r="J1310">
        <v>413.23</v>
      </c>
      <c r="K1310">
        <v>640.09</v>
      </c>
      <c r="L1310">
        <v>447.05</v>
      </c>
      <c r="M1310">
        <v>1394.42</v>
      </c>
      <c r="N1310">
        <v>1841.47</v>
      </c>
    </row>
    <row r="1311" spans="1:14" x14ac:dyDescent="0.3">
      <c r="A1311" s="2">
        <v>44075</v>
      </c>
      <c r="B1311" t="s">
        <v>68</v>
      </c>
      <c r="C1311">
        <v>2020</v>
      </c>
      <c r="D1311">
        <v>9</v>
      </c>
      <c r="E1311" t="s">
        <v>54</v>
      </c>
      <c r="F1311" t="s">
        <v>26</v>
      </c>
      <c r="G1311">
        <v>38</v>
      </c>
      <c r="H1311" t="s">
        <v>18</v>
      </c>
      <c r="I1311">
        <v>26.7</v>
      </c>
      <c r="J1311">
        <v>34.44</v>
      </c>
      <c r="K1311">
        <v>178.53</v>
      </c>
      <c r="L1311">
        <v>0.22</v>
      </c>
      <c r="M1311">
        <v>239.67</v>
      </c>
      <c r="N1311">
        <v>239.89</v>
      </c>
    </row>
    <row r="1312" spans="1:14" x14ac:dyDescent="0.3">
      <c r="A1312" s="2">
        <v>44075</v>
      </c>
      <c r="B1312" t="s">
        <v>68</v>
      </c>
      <c r="C1312">
        <v>2020</v>
      </c>
      <c r="D1312">
        <v>9</v>
      </c>
      <c r="E1312" t="s">
        <v>54</v>
      </c>
      <c r="F1312" t="s">
        <v>27</v>
      </c>
      <c r="G1312">
        <v>7</v>
      </c>
      <c r="H1312" t="s">
        <v>18</v>
      </c>
      <c r="I1312">
        <v>615.34</v>
      </c>
      <c r="J1312">
        <v>760.64</v>
      </c>
      <c r="K1312">
        <v>1703.69</v>
      </c>
      <c r="L1312">
        <v>65.83</v>
      </c>
      <c r="M1312">
        <v>3079.67</v>
      </c>
      <c r="N1312">
        <v>3145.5</v>
      </c>
    </row>
    <row r="1313" spans="1:14" x14ac:dyDescent="0.3">
      <c r="A1313" s="2">
        <v>44075</v>
      </c>
      <c r="B1313" t="s">
        <v>68</v>
      </c>
      <c r="C1313">
        <v>2020</v>
      </c>
      <c r="D1313">
        <v>9</v>
      </c>
      <c r="E1313" t="s">
        <v>54</v>
      </c>
      <c r="F1313" t="s">
        <v>28</v>
      </c>
      <c r="G1313">
        <v>30</v>
      </c>
      <c r="H1313" t="s">
        <v>20</v>
      </c>
      <c r="I1313">
        <v>55.66</v>
      </c>
      <c r="J1313">
        <v>75.349999999999994</v>
      </c>
      <c r="K1313">
        <v>107.92</v>
      </c>
      <c r="L1313">
        <v>1.34</v>
      </c>
      <c r="M1313">
        <v>238.93</v>
      </c>
      <c r="N1313">
        <v>240.27</v>
      </c>
    </row>
    <row r="1314" spans="1:14" x14ac:dyDescent="0.3">
      <c r="A1314" s="2">
        <v>44075</v>
      </c>
      <c r="B1314" t="s">
        <v>68</v>
      </c>
      <c r="C1314">
        <v>2020</v>
      </c>
      <c r="D1314">
        <v>9</v>
      </c>
      <c r="E1314" t="s">
        <v>54</v>
      </c>
      <c r="F1314" t="s">
        <v>29</v>
      </c>
      <c r="G1314">
        <v>24</v>
      </c>
      <c r="H1314" t="s">
        <v>20</v>
      </c>
      <c r="I1314">
        <v>1646.57</v>
      </c>
      <c r="J1314">
        <v>2003.99</v>
      </c>
      <c r="K1314">
        <v>2048.0300000000002</v>
      </c>
      <c r="L1314">
        <v>391.68</v>
      </c>
      <c r="M1314">
        <v>5698.59</v>
      </c>
      <c r="N1314">
        <v>6090.27</v>
      </c>
    </row>
    <row r="1315" spans="1:14" x14ac:dyDescent="0.3">
      <c r="A1315" s="2">
        <v>44075</v>
      </c>
      <c r="B1315" t="s">
        <v>68</v>
      </c>
      <c r="C1315">
        <v>2020</v>
      </c>
      <c r="D1315">
        <v>9</v>
      </c>
      <c r="E1315" t="s">
        <v>54</v>
      </c>
      <c r="F1315" t="s">
        <v>30</v>
      </c>
      <c r="G1315">
        <v>6</v>
      </c>
      <c r="H1315" t="s">
        <v>20</v>
      </c>
      <c r="I1315">
        <v>740.4</v>
      </c>
      <c r="J1315">
        <v>1048.1300000000001</v>
      </c>
      <c r="K1315">
        <v>2562.79</v>
      </c>
      <c r="L1315">
        <v>360.59</v>
      </c>
      <c r="M1315">
        <v>4351.32</v>
      </c>
      <c r="N1315">
        <v>4711.91</v>
      </c>
    </row>
    <row r="1316" spans="1:14" x14ac:dyDescent="0.3">
      <c r="A1316" s="2">
        <v>44075</v>
      </c>
      <c r="B1316" t="s">
        <v>68</v>
      </c>
      <c r="C1316">
        <v>2020</v>
      </c>
      <c r="D1316">
        <v>9</v>
      </c>
      <c r="E1316" t="s">
        <v>54</v>
      </c>
      <c r="F1316" t="s">
        <v>31</v>
      </c>
      <c r="G1316">
        <v>2</v>
      </c>
      <c r="H1316" t="s">
        <v>20</v>
      </c>
      <c r="I1316">
        <v>104.81</v>
      </c>
      <c r="J1316">
        <v>151.80000000000001</v>
      </c>
      <c r="K1316">
        <v>396.03</v>
      </c>
      <c r="L1316">
        <v>0.72</v>
      </c>
      <c r="M1316">
        <v>652.64</v>
      </c>
      <c r="N1316">
        <v>653.36</v>
      </c>
    </row>
    <row r="1317" spans="1:14" x14ac:dyDescent="0.3">
      <c r="A1317" s="2">
        <v>44075</v>
      </c>
      <c r="B1317" t="s">
        <v>68</v>
      </c>
      <c r="C1317">
        <v>2020</v>
      </c>
      <c r="D1317">
        <v>9</v>
      </c>
      <c r="E1317" t="s">
        <v>54</v>
      </c>
      <c r="F1317" t="s">
        <v>32</v>
      </c>
      <c r="G1317">
        <v>1</v>
      </c>
      <c r="H1317" t="s">
        <v>18</v>
      </c>
      <c r="I1317">
        <v>82.69</v>
      </c>
      <c r="J1317">
        <v>143.84</v>
      </c>
      <c r="K1317">
        <v>135.30000000000001</v>
      </c>
      <c r="L1317">
        <v>5.73</v>
      </c>
      <c r="M1317">
        <v>361.83</v>
      </c>
      <c r="N1317">
        <v>367.56</v>
      </c>
    </row>
    <row r="1318" spans="1:14" x14ac:dyDescent="0.3">
      <c r="A1318" s="2">
        <v>44075</v>
      </c>
      <c r="B1318" t="s">
        <v>68</v>
      </c>
      <c r="C1318">
        <v>2020</v>
      </c>
      <c r="D1318">
        <v>9</v>
      </c>
      <c r="E1318" t="s">
        <v>54</v>
      </c>
      <c r="F1318" t="s">
        <v>33</v>
      </c>
      <c r="G1318">
        <v>20</v>
      </c>
      <c r="H1318" t="s">
        <v>20</v>
      </c>
      <c r="I1318">
        <v>286.36</v>
      </c>
      <c r="J1318">
        <v>366.89</v>
      </c>
      <c r="K1318">
        <v>624.66999999999996</v>
      </c>
      <c r="L1318">
        <v>377.64</v>
      </c>
      <c r="M1318">
        <v>1277.92</v>
      </c>
      <c r="N1318">
        <v>1655.56</v>
      </c>
    </row>
    <row r="1319" spans="1:14" x14ac:dyDescent="0.3">
      <c r="A1319" s="2">
        <v>44075</v>
      </c>
      <c r="B1319" t="s">
        <v>68</v>
      </c>
      <c r="C1319">
        <v>2020</v>
      </c>
      <c r="D1319">
        <v>9</v>
      </c>
      <c r="E1319" t="s">
        <v>54</v>
      </c>
      <c r="F1319" t="s">
        <v>34</v>
      </c>
      <c r="G1319">
        <v>29</v>
      </c>
      <c r="H1319" t="s">
        <v>20</v>
      </c>
      <c r="I1319">
        <v>1548.22</v>
      </c>
      <c r="J1319">
        <v>1989.73</v>
      </c>
      <c r="K1319">
        <v>1974.56</v>
      </c>
      <c r="L1319">
        <v>537.91999999999996</v>
      </c>
      <c r="M1319">
        <v>5512.51</v>
      </c>
      <c r="N1319">
        <v>6050.43</v>
      </c>
    </row>
    <row r="1320" spans="1:14" x14ac:dyDescent="0.3">
      <c r="A1320" s="2">
        <v>44075</v>
      </c>
      <c r="B1320" t="s">
        <v>68</v>
      </c>
      <c r="C1320">
        <v>2020</v>
      </c>
      <c r="D1320">
        <v>9</v>
      </c>
      <c r="E1320" t="s">
        <v>54</v>
      </c>
      <c r="F1320" t="s">
        <v>35</v>
      </c>
      <c r="G1320">
        <v>32</v>
      </c>
      <c r="H1320" t="s">
        <v>20</v>
      </c>
      <c r="I1320">
        <v>520.45000000000005</v>
      </c>
      <c r="J1320">
        <v>778.08</v>
      </c>
      <c r="K1320">
        <v>249.44</v>
      </c>
      <c r="L1320">
        <v>4.0999999999999996</v>
      </c>
      <c r="M1320">
        <v>1547.97</v>
      </c>
      <c r="N1320">
        <v>1552.07</v>
      </c>
    </row>
    <row r="1321" spans="1:14" x14ac:dyDescent="0.3">
      <c r="A1321" s="2">
        <v>44075</v>
      </c>
      <c r="B1321" t="s">
        <v>68</v>
      </c>
      <c r="C1321">
        <v>2020</v>
      </c>
      <c r="D1321">
        <v>9</v>
      </c>
      <c r="E1321" t="s">
        <v>54</v>
      </c>
      <c r="F1321" t="s">
        <v>67</v>
      </c>
      <c r="G1321">
        <v>37</v>
      </c>
      <c r="H1321" t="s">
        <v>18</v>
      </c>
      <c r="I1321">
        <v>3.14</v>
      </c>
      <c r="J1321">
        <v>4.29</v>
      </c>
      <c r="K1321">
        <v>1.99</v>
      </c>
      <c r="L1321">
        <v>0.03</v>
      </c>
      <c r="M1321">
        <v>9.42</v>
      </c>
      <c r="N1321">
        <v>9.4499999999999993</v>
      </c>
    </row>
    <row r="1322" spans="1:14" x14ac:dyDescent="0.3">
      <c r="A1322" s="2">
        <v>44075</v>
      </c>
      <c r="B1322" t="s">
        <v>68</v>
      </c>
      <c r="C1322">
        <v>2020</v>
      </c>
      <c r="D1322">
        <v>9</v>
      </c>
      <c r="E1322" t="s">
        <v>54</v>
      </c>
      <c r="F1322" t="s">
        <v>36</v>
      </c>
      <c r="G1322">
        <v>31</v>
      </c>
      <c r="H1322" t="s">
        <v>18</v>
      </c>
      <c r="I1322">
        <v>0.19</v>
      </c>
      <c r="J1322">
        <v>0.42</v>
      </c>
      <c r="K1322">
        <v>0.1</v>
      </c>
      <c r="L1322">
        <v>0</v>
      </c>
      <c r="M1322">
        <v>0.71</v>
      </c>
      <c r="N1322">
        <v>0.71</v>
      </c>
    </row>
    <row r="1323" spans="1:14" x14ac:dyDescent="0.3">
      <c r="A1323" s="2">
        <v>44075</v>
      </c>
      <c r="B1323" t="s">
        <v>68</v>
      </c>
      <c r="C1323">
        <v>2020</v>
      </c>
      <c r="D1323">
        <v>9</v>
      </c>
      <c r="E1323" t="s">
        <v>54</v>
      </c>
      <c r="F1323" t="s">
        <v>37</v>
      </c>
      <c r="G1323">
        <v>23</v>
      </c>
      <c r="H1323" t="s">
        <v>20</v>
      </c>
      <c r="I1323">
        <v>484.64</v>
      </c>
      <c r="J1323">
        <v>639.25</v>
      </c>
      <c r="K1323">
        <v>598.19000000000005</v>
      </c>
      <c r="L1323">
        <v>454.36</v>
      </c>
      <c r="M1323">
        <v>1722.08</v>
      </c>
      <c r="N1323">
        <v>2176.44</v>
      </c>
    </row>
    <row r="1324" spans="1:14" x14ac:dyDescent="0.3">
      <c r="A1324" s="2">
        <v>44075</v>
      </c>
      <c r="B1324" t="s">
        <v>68</v>
      </c>
      <c r="C1324">
        <v>2020</v>
      </c>
      <c r="D1324">
        <v>9</v>
      </c>
      <c r="E1324" t="s">
        <v>54</v>
      </c>
      <c r="F1324" t="s">
        <v>38</v>
      </c>
      <c r="G1324">
        <v>27</v>
      </c>
      <c r="H1324" t="s">
        <v>20</v>
      </c>
      <c r="I1324">
        <v>3786.63</v>
      </c>
      <c r="J1324">
        <v>4463.92</v>
      </c>
      <c r="K1324">
        <v>4699.53</v>
      </c>
      <c r="L1324">
        <v>596.05999999999995</v>
      </c>
      <c r="M1324">
        <v>12950.08</v>
      </c>
      <c r="N1324">
        <v>13546.14</v>
      </c>
    </row>
    <row r="1325" spans="1:14" x14ac:dyDescent="0.3">
      <c r="A1325" s="2">
        <v>44075</v>
      </c>
      <c r="B1325" t="s">
        <v>68</v>
      </c>
      <c r="C1325">
        <v>2020</v>
      </c>
      <c r="D1325">
        <v>9</v>
      </c>
      <c r="E1325" t="s">
        <v>54</v>
      </c>
      <c r="F1325" t="s">
        <v>39</v>
      </c>
      <c r="G1325">
        <v>14</v>
      </c>
      <c r="H1325" t="s">
        <v>20</v>
      </c>
      <c r="I1325">
        <v>13</v>
      </c>
      <c r="J1325">
        <v>17.97</v>
      </c>
      <c r="K1325">
        <v>2.21</v>
      </c>
      <c r="L1325">
        <v>0.35</v>
      </c>
      <c r="M1325">
        <v>33.18</v>
      </c>
      <c r="N1325">
        <v>33.53</v>
      </c>
    </row>
    <row r="1326" spans="1:14" x14ac:dyDescent="0.3">
      <c r="A1326" s="2">
        <v>44075</v>
      </c>
      <c r="B1326" t="s">
        <v>68</v>
      </c>
      <c r="C1326">
        <v>2020</v>
      </c>
      <c r="D1326">
        <v>9</v>
      </c>
      <c r="E1326" t="s">
        <v>54</v>
      </c>
      <c r="F1326" t="s">
        <v>40</v>
      </c>
      <c r="G1326">
        <v>17</v>
      </c>
      <c r="H1326" t="s">
        <v>20</v>
      </c>
      <c r="I1326">
        <v>15.47</v>
      </c>
      <c r="J1326">
        <v>20.49</v>
      </c>
      <c r="K1326">
        <v>63.65</v>
      </c>
      <c r="L1326">
        <v>0.04</v>
      </c>
      <c r="M1326">
        <v>99.61</v>
      </c>
      <c r="N1326">
        <v>99.65</v>
      </c>
    </row>
    <row r="1327" spans="1:14" x14ac:dyDescent="0.3">
      <c r="A1327" s="2">
        <v>44075</v>
      </c>
      <c r="B1327" t="s">
        <v>68</v>
      </c>
      <c r="C1327">
        <v>2020</v>
      </c>
      <c r="D1327">
        <v>9</v>
      </c>
      <c r="E1327" t="s">
        <v>54</v>
      </c>
      <c r="F1327" t="s">
        <v>41</v>
      </c>
      <c r="G1327">
        <v>15</v>
      </c>
      <c r="H1327" t="s">
        <v>20</v>
      </c>
      <c r="I1327">
        <v>5.51</v>
      </c>
      <c r="J1327">
        <v>8.23</v>
      </c>
      <c r="K1327">
        <v>3.07</v>
      </c>
      <c r="L1327">
        <v>0.08</v>
      </c>
      <c r="M1327">
        <v>16.809999999999999</v>
      </c>
      <c r="N1327">
        <v>16.89</v>
      </c>
    </row>
    <row r="1328" spans="1:14" x14ac:dyDescent="0.3">
      <c r="A1328" s="2">
        <v>44075</v>
      </c>
      <c r="B1328" t="s">
        <v>68</v>
      </c>
      <c r="C1328">
        <v>2020</v>
      </c>
      <c r="D1328">
        <v>9</v>
      </c>
      <c r="E1328" t="s">
        <v>54</v>
      </c>
      <c r="F1328" t="s">
        <v>42</v>
      </c>
      <c r="G1328">
        <v>13</v>
      </c>
      <c r="H1328" t="s">
        <v>20</v>
      </c>
      <c r="I1328">
        <v>11.43</v>
      </c>
      <c r="J1328">
        <v>13.82</v>
      </c>
      <c r="K1328">
        <v>4.01</v>
      </c>
      <c r="L1328">
        <v>0.19</v>
      </c>
      <c r="M1328">
        <v>29.26</v>
      </c>
      <c r="N1328">
        <v>29.45</v>
      </c>
    </row>
    <row r="1329" spans="1:14" x14ac:dyDescent="0.3">
      <c r="A1329" s="2">
        <v>44075</v>
      </c>
      <c r="B1329" t="s">
        <v>68</v>
      </c>
      <c r="C1329">
        <v>2020</v>
      </c>
      <c r="D1329">
        <v>9</v>
      </c>
      <c r="E1329" t="s">
        <v>54</v>
      </c>
      <c r="F1329" t="s">
        <v>43</v>
      </c>
      <c r="G1329">
        <v>21</v>
      </c>
      <c r="H1329" t="s">
        <v>20</v>
      </c>
      <c r="I1329">
        <v>497.18</v>
      </c>
      <c r="J1329">
        <v>631.08000000000004</v>
      </c>
      <c r="K1329">
        <v>763.24</v>
      </c>
      <c r="L1329">
        <v>492.49</v>
      </c>
      <c r="M1329">
        <v>1891.5</v>
      </c>
      <c r="N1329">
        <v>2383.9899999999998</v>
      </c>
    </row>
    <row r="1330" spans="1:14" x14ac:dyDescent="0.3">
      <c r="A1330" s="2">
        <v>44075</v>
      </c>
      <c r="B1330" t="s">
        <v>68</v>
      </c>
      <c r="C1330">
        <v>2020</v>
      </c>
      <c r="D1330">
        <v>9</v>
      </c>
      <c r="E1330" t="s">
        <v>54</v>
      </c>
      <c r="F1330" t="s">
        <v>44</v>
      </c>
      <c r="G1330">
        <v>34</v>
      </c>
      <c r="H1330" t="s">
        <v>18</v>
      </c>
      <c r="I1330">
        <v>20.81</v>
      </c>
      <c r="J1330">
        <v>33.92</v>
      </c>
      <c r="K1330">
        <v>93.49</v>
      </c>
      <c r="L1330">
        <v>7.0000000000000007E-2</v>
      </c>
      <c r="M1330">
        <v>148.22</v>
      </c>
      <c r="N1330">
        <v>148.29</v>
      </c>
    </row>
    <row r="1331" spans="1:14" x14ac:dyDescent="0.3">
      <c r="A1331" s="2">
        <v>44075</v>
      </c>
      <c r="B1331" t="s">
        <v>68</v>
      </c>
      <c r="C1331">
        <v>2020</v>
      </c>
      <c r="D1331">
        <v>9</v>
      </c>
      <c r="E1331" t="s">
        <v>54</v>
      </c>
      <c r="F1331" t="s">
        <v>45</v>
      </c>
      <c r="G1331">
        <v>3</v>
      </c>
      <c r="H1331" t="s">
        <v>20</v>
      </c>
      <c r="I1331">
        <v>287.83</v>
      </c>
      <c r="J1331">
        <v>483.73</v>
      </c>
      <c r="K1331">
        <v>408.81</v>
      </c>
      <c r="L1331">
        <v>14.12</v>
      </c>
      <c r="M1331">
        <v>1180.3699999999999</v>
      </c>
      <c r="N1331">
        <v>1194.49</v>
      </c>
    </row>
    <row r="1332" spans="1:14" x14ac:dyDescent="0.3">
      <c r="A1332" s="2">
        <v>44075</v>
      </c>
      <c r="B1332" t="s">
        <v>68</v>
      </c>
      <c r="C1332">
        <v>2020</v>
      </c>
      <c r="D1332">
        <v>9</v>
      </c>
      <c r="E1332" t="s">
        <v>54</v>
      </c>
      <c r="F1332" t="s">
        <v>46</v>
      </c>
      <c r="G1332">
        <v>8</v>
      </c>
      <c r="H1332" t="s">
        <v>20</v>
      </c>
      <c r="I1332">
        <v>702.76</v>
      </c>
      <c r="J1332">
        <v>934.71</v>
      </c>
      <c r="K1332">
        <v>900.08</v>
      </c>
      <c r="L1332">
        <v>109.26</v>
      </c>
      <c r="M1332">
        <v>2537.5500000000002</v>
      </c>
      <c r="N1332">
        <v>2646.81</v>
      </c>
    </row>
    <row r="1333" spans="1:14" x14ac:dyDescent="0.3">
      <c r="A1333" s="2">
        <v>44075</v>
      </c>
      <c r="B1333" t="s">
        <v>68</v>
      </c>
      <c r="C1333">
        <v>2020</v>
      </c>
      <c r="D1333">
        <v>9</v>
      </c>
      <c r="E1333" t="s">
        <v>54</v>
      </c>
      <c r="F1333" t="s">
        <v>47</v>
      </c>
      <c r="G1333">
        <v>11</v>
      </c>
      <c r="H1333" t="s">
        <v>20</v>
      </c>
      <c r="I1333">
        <v>10.83</v>
      </c>
      <c r="J1333">
        <v>14.53</v>
      </c>
      <c r="K1333">
        <v>81.02</v>
      </c>
      <c r="L1333">
        <v>0.01</v>
      </c>
      <c r="M1333">
        <v>106.38</v>
      </c>
      <c r="N1333">
        <v>106.39</v>
      </c>
    </row>
    <row r="1334" spans="1:14" x14ac:dyDescent="0.3">
      <c r="A1334" s="2">
        <v>44075</v>
      </c>
      <c r="B1334" t="s">
        <v>68</v>
      </c>
      <c r="C1334">
        <v>2020</v>
      </c>
      <c r="D1334">
        <v>9</v>
      </c>
      <c r="E1334" t="s">
        <v>54</v>
      </c>
      <c r="F1334" t="s">
        <v>48</v>
      </c>
      <c r="G1334">
        <v>33</v>
      </c>
      <c r="H1334" t="s">
        <v>20</v>
      </c>
      <c r="I1334">
        <v>1709.96</v>
      </c>
      <c r="J1334">
        <v>2230.39</v>
      </c>
      <c r="K1334">
        <v>2004.02</v>
      </c>
      <c r="L1334">
        <v>509.65</v>
      </c>
      <c r="M1334">
        <v>5944.37</v>
      </c>
      <c r="N1334">
        <v>6454.02</v>
      </c>
    </row>
    <row r="1335" spans="1:14" x14ac:dyDescent="0.3">
      <c r="A1335" s="2">
        <v>44075</v>
      </c>
      <c r="B1335" t="s">
        <v>68</v>
      </c>
      <c r="C1335">
        <v>2020</v>
      </c>
      <c r="D1335">
        <v>9</v>
      </c>
      <c r="E1335" t="s">
        <v>54</v>
      </c>
      <c r="F1335" t="s">
        <v>49</v>
      </c>
      <c r="G1335">
        <v>36</v>
      </c>
      <c r="H1335" t="s">
        <v>20</v>
      </c>
      <c r="I1335">
        <v>678.14</v>
      </c>
      <c r="J1335">
        <v>919.81</v>
      </c>
      <c r="K1335">
        <v>801.48</v>
      </c>
      <c r="L1335">
        <v>397.06</v>
      </c>
      <c r="M1335">
        <v>2399.4299999999998</v>
      </c>
      <c r="N1335">
        <v>2796.49</v>
      </c>
    </row>
    <row r="1336" spans="1:14" x14ac:dyDescent="0.3">
      <c r="A1336" s="2">
        <v>44075</v>
      </c>
      <c r="B1336" t="s">
        <v>68</v>
      </c>
      <c r="C1336">
        <v>2020</v>
      </c>
      <c r="D1336">
        <v>9</v>
      </c>
      <c r="E1336" t="s">
        <v>54</v>
      </c>
      <c r="F1336" t="s">
        <v>50</v>
      </c>
      <c r="G1336">
        <v>16</v>
      </c>
      <c r="H1336" t="s">
        <v>20</v>
      </c>
      <c r="I1336">
        <v>18.559999999999999</v>
      </c>
      <c r="J1336">
        <v>26.33</v>
      </c>
      <c r="K1336">
        <v>5.37</v>
      </c>
      <c r="L1336">
        <v>0.12</v>
      </c>
      <c r="M1336">
        <v>50.26</v>
      </c>
      <c r="N1336">
        <v>50.38</v>
      </c>
    </row>
    <row r="1337" spans="1:14" x14ac:dyDescent="0.3">
      <c r="A1337" s="2">
        <v>44075</v>
      </c>
      <c r="B1337" t="s">
        <v>68</v>
      </c>
      <c r="C1337">
        <v>2020</v>
      </c>
      <c r="D1337">
        <v>9</v>
      </c>
      <c r="E1337" t="s">
        <v>54</v>
      </c>
      <c r="F1337" t="s">
        <v>51</v>
      </c>
      <c r="G1337">
        <v>9</v>
      </c>
      <c r="H1337" t="s">
        <v>20</v>
      </c>
      <c r="I1337">
        <v>1143.83</v>
      </c>
      <c r="J1337">
        <v>1700.43</v>
      </c>
      <c r="K1337">
        <v>1284.27</v>
      </c>
      <c r="L1337">
        <v>946.32</v>
      </c>
      <c r="M1337">
        <v>4128.53</v>
      </c>
      <c r="N1337">
        <v>5074.8500000000004</v>
      </c>
    </row>
    <row r="1338" spans="1:14" x14ac:dyDescent="0.3">
      <c r="A1338" s="2">
        <v>44075</v>
      </c>
      <c r="B1338" t="s">
        <v>68</v>
      </c>
      <c r="C1338">
        <v>2020</v>
      </c>
      <c r="D1338">
        <v>9</v>
      </c>
      <c r="E1338" t="s">
        <v>54</v>
      </c>
      <c r="F1338" t="s">
        <v>52</v>
      </c>
      <c r="G1338">
        <v>5</v>
      </c>
      <c r="H1338" t="s">
        <v>20</v>
      </c>
      <c r="I1338">
        <v>205.63</v>
      </c>
      <c r="J1338">
        <v>276.95</v>
      </c>
      <c r="K1338">
        <v>572.42999999999995</v>
      </c>
      <c r="L1338">
        <v>9.73</v>
      </c>
      <c r="M1338">
        <v>1055.01</v>
      </c>
      <c r="N1338">
        <v>1064.74</v>
      </c>
    </row>
    <row r="1339" spans="1:14" x14ac:dyDescent="0.3">
      <c r="A1339" s="2">
        <v>44075</v>
      </c>
      <c r="B1339" t="s">
        <v>68</v>
      </c>
      <c r="C1339">
        <v>2020</v>
      </c>
      <c r="D1339">
        <v>9</v>
      </c>
      <c r="E1339" t="s">
        <v>54</v>
      </c>
      <c r="F1339" t="s">
        <v>53</v>
      </c>
      <c r="G1339">
        <v>19</v>
      </c>
      <c r="H1339" t="s">
        <v>20</v>
      </c>
      <c r="I1339">
        <v>1046</v>
      </c>
      <c r="J1339">
        <v>1325.71</v>
      </c>
      <c r="K1339">
        <v>768.96</v>
      </c>
      <c r="L1339">
        <v>252.6</v>
      </c>
      <c r="M1339">
        <v>3140.67</v>
      </c>
      <c r="N1339">
        <v>3393.27</v>
      </c>
    </row>
    <row r="1340" spans="1:14" x14ac:dyDescent="0.3">
      <c r="A1340" s="2">
        <v>44105</v>
      </c>
      <c r="B1340" t="s">
        <v>68</v>
      </c>
      <c r="C1340">
        <v>2020</v>
      </c>
      <c r="D1340">
        <v>10</v>
      </c>
      <c r="E1340" t="s">
        <v>55</v>
      </c>
      <c r="F1340" t="s">
        <v>17</v>
      </c>
      <c r="G1340">
        <v>35</v>
      </c>
      <c r="H1340" t="s">
        <v>18</v>
      </c>
      <c r="I1340">
        <v>6.16</v>
      </c>
      <c r="J1340">
        <v>10.28</v>
      </c>
      <c r="K1340">
        <v>1.96</v>
      </c>
      <c r="L1340">
        <v>0.14000000000000001</v>
      </c>
      <c r="M1340">
        <v>18.399999999999999</v>
      </c>
      <c r="N1340">
        <v>18.54</v>
      </c>
    </row>
    <row r="1341" spans="1:14" x14ac:dyDescent="0.3">
      <c r="A1341" s="2">
        <v>44105</v>
      </c>
      <c r="B1341" t="s">
        <v>68</v>
      </c>
      <c r="C1341">
        <v>2020</v>
      </c>
      <c r="D1341">
        <v>10</v>
      </c>
      <c r="E1341" t="s">
        <v>55</v>
      </c>
      <c r="F1341" t="s">
        <v>19</v>
      </c>
      <c r="G1341">
        <v>28</v>
      </c>
      <c r="H1341" t="s">
        <v>20</v>
      </c>
      <c r="I1341">
        <v>573.54</v>
      </c>
      <c r="J1341">
        <v>805.42</v>
      </c>
      <c r="K1341">
        <v>832.63</v>
      </c>
      <c r="L1341">
        <v>268.77999999999997</v>
      </c>
      <c r="M1341">
        <v>2211.59</v>
      </c>
      <c r="N1341">
        <v>2480.37</v>
      </c>
    </row>
    <row r="1342" spans="1:14" x14ac:dyDescent="0.3">
      <c r="A1342" s="2">
        <v>44105</v>
      </c>
      <c r="B1342" t="s">
        <v>68</v>
      </c>
      <c r="C1342">
        <v>2020</v>
      </c>
      <c r="D1342">
        <v>10</v>
      </c>
      <c r="E1342" t="s">
        <v>55</v>
      </c>
      <c r="F1342" t="s">
        <v>21</v>
      </c>
      <c r="G1342">
        <v>12</v>
      </c>
      <c r="H1342" t="s">
        <v>20</v>
      </c>
      <c r="I1342">
        <v>39.35</v>
      </c>
      <c r="J1342">
        <v>50.35</v>
      </c>
      <c r="K1342">
        <v>7.42</v>
      </c>
      <c r="L1342">
        <v>0.46</v>
      </c>
      <c r="M1342">
        <v>97.12</v>
      </c>
      <c r="N1342">
        <v>97.58</v>
      </c>
    </row>
    <row r="1343" spans="1:14" x14ac:dyDescent="0.3">
      <c r="A1343" s="2">
        <v>44105</v>
      </c>
      <c r="B1343" t="s">
        <v>68</v>
      </c>
      <c r="C1343">
        <v>2020</v>
      </c>
      <c r="D1343">
        <v>10</v>
      </c>
      <c r="E1343" t="s">
        <v>55</v>
      </c>
      <c r="F1343" t="s">
        <v>22</v>
      </c>
      <c r="G1343">
        <v>18</v>
      </c>
      <c r="H1343" t="s">
        <v>20</v>
      </c>
      <c r="I1343">
        <v>302.64</v>
      </c>
      <c r="J1343">
        <v>410.39</v>
      </c>
      <c r="K1343">
        <v>290.72000000000003</v>
      </c>
      <c r="L1343">
        <v>12.9</v>
      </c>
      <c r="M1343">
        <v>1003.75</v>
      </c>
      <c r="N1343">
        <v>1016.65</v>
      </c>
    </row>
    <row r="1344" spans="1:14" x14ac:dyDescent="0.3">
      <c r="A1344" s="2">
        <v>44105</v>
      </c>
      <c r="B1344" t="s">
        <v>68</v>
      </c>
      <c r="C1344">
        <v>2020</v>
      </c>
      <c r="D1344">
        <v>10</v>
      </c>
      <c r="E1344" t="s">
        <v>55</v>
      </c>
      <c r="F1344" t="s">
        <v>23</v>
      </c>
      <c r="G1344">
        <v>10</v>
      </c>
      <c r="H1344" t="s">
        <v>20</v>
      </c>
      <c r="I1344">
        <v>277.08</v>
      </c>
      <c r="J1344">
        <v>478.33</v>
      </c>
      <c r="K1344">
        <v>119.12</v>
      </c>
      <c r="L1344">
        <v>135.93</v>
      </c>
      <c r="M1344">
        <v>874.53</v>
      </c>
      <c r="N1344">
        <v>1010.46</v>
      </c>
    </row>
    <row r="1345" spans="1:14" x14ac:dyDescent="0.3">
      <c r="A1345" s="2">
        <v>44105</v>
      </c>
      <c r="B1345" t="s">
        <v>68</v>
      </c>
      <c r="C1345">
        <v>2020</v>
      </c>
      <c r="D1345">
        <v>10</v>
      </c>
      <c r="E1345" t="s">
        <v>55</v>
      </c>
      <c r="F1345" t="s">
        <v>24</v>
      </c>
      <c r="G1345">
        <v>4</v>
      </c>
      <c r="H1345" t="s">
        <v>18</v>
      </c>
      <c r="I1345">
        <v>26.27</v>
      </c>
      <c r="J1345">
        <v>34.380000000000003</v>
      </c>
      <c r="K1345">
        <v>90.63</v>
      </c>
      <c r="L1345">
        <v>0.7</v>
      </c>
      <c r="M1345">
        <v>151.28</v>
      </c>
      <c r="N1345">
        <v>151.97999999999999</v>
      </c>
    </row>
    <row r="1346" spans="1:14" x14ac:dyDescent="0.3">
      <c r="A1346" s="2">
        <v>44105</v>
      </c>
      <c r="B1346" t="s">
        <v>68</v>
      </c>
      <c r="C1346">
        <v>2020</v>
      </c>
      <c r="D1346">
        <v>10</v>
      </c>
      <c r="E1346" t="s">
        <v>55</v>
      </c>
      <c r="F1346" t="s">
        <v>25</v>
      </c>
      <c r="G1346">
        <v>22</v>
      </c>
      <c r="H1346" t="s">
        <v>20</v>
      </c>
      <c r="I1346">
        <v>383.31</v>
      </c>
      <c r="J1346">
        <v>450.12</v>
      </c>
      <c r="K1346">
        <v>698.7</v>
      </c>
      <c r="L1346">
        <v>441.84</v>
      </c>
      <c r="M1346">
        <v>1532.13</v>
      </c>
      <c r="N1346">
        <v>1973.97</v>
      </c>
    </row>
    <row r="1347" spans="1:14" x14ac:dyDescent="0.3">
      <c r="A1347" s="2">
        <v>44105</v>
      </c>
      <c r="B1347" t="s">
        <v>68</v>
      </c>
      <c r="C1347">
        <v>2020</v>
      </c>
      <c r="D1347">
        <v>10</v>
      </c>
      <c r="E1347" t="s">
        <v>55</v>
      </c>
      <c r="F1347" t="s">
        <v>26</v>
      </c>
      <c r="G1347">
        <v>38</v>
      </c>
      <c r="H1347" t="s">
        <v>18</v>
      </c>
      <c r="I1347">
        <v>31.5</v>
      </c>
      <c r="J1347">
        <v>38.54</v>
      </c>
      <c r="K1347">
        <v>220.09</v>
      </c>
      <c r="L1347">
        <v>0.23</v>
      </c>
      <c r="M1347">
        <v>290.13</v>
      </c>
      <c r="N1347">
        <v>290.36</v>
      </c>
    </row>
    <row r="1348" spans="1:14" x14ac:dyDescent="0.3">
      <c r="A1348" s="2">
        <v>44105</v>
      </c>
      <c r="B1348" t="s">
        <v>68</v>
      </c>
      <c r="C1348">
        <v>2020</v>
      </c>
      <c r="D1348">
        <v>10</v>
      </c>
      <c r="E1348" t="s">
        <v>55</v>
      </c>
      <c r="F1348" t="s">
        <v>27</v>
      </c>
      <c r="G1348">
        <v>7</v>
      </c>
      <c r="H1348" t="s">
        <v>18</v>
      </c>
      <c r="I1348">
        <v>637.64</v>
      </c>
      <c r="J1348">
        <v>813.35</v>
      </c>
      <c r="K1348">
        <v>1682.96</v>
      </c>
      <c r="L1348">
        <v>76.8</v>
      </c>
      <c r="M1348">
        <v>3133.95</v>
      </c>
      <c r="N1348">
        <v>3210.75</v>
      </c>
    </row>
    <row r="1349" spans="1:14" x14ac:dyDescent="0.3">
      <c r="A1349" s="2">
        <v>44105</v>
      </c>
      <c r="B1349" t="s">
        <v>68</v>
      </c>
      <c r="C1349">
        <v>2020</v>
      </c>
      <c r="D1349">
        <v>10</v>
      </c>
      <c r="E1349" t="s">
        <v>55</v>
      </c>
      <c r="F1349" t="s">
        <v>28</v>
      </c>
      <c r="G1349">
        <v>30</v>
      </c>
      <c r="H1349" t="s">
        <v>20</v>
      </c>
      <c r="I1349">
        <v>59.7</v>
      </c>
      <c r="J1349">
        <v>84.46</v>
      </c>
      <c r="K1349">
        <v>164.53</v>
      </c>
      <c r="L1349">
        <v>0.97</v>
      </c>
      <c r="M1349">
        <v>308.69</v>
      </c>
      <c r="N1349">
        <v>309.66000000000003</v>
      </c>
    </row>
    <row r="1350" spans="1:14" x14ac:dyDescent="0.3">
      <c r="A1350" s="2">
        <v>44105</v>
      </c>
      <c r="B1350" t="s">
        <v>68</v>
      </c>
      <c r="C1350">
        <v>2020</v>
      </c>
      <c r="D1350">
        <v>10</v>
      </c>
      <c r="E1350" t="s">
        <v>55</v>
      </c>
      <c r="F1350" t="s">
        <v>29</v>
      </c>
      <c r="G1350">
        <v>24</v>
      </c>
      <c r="H1350" t="s">
        <v>20</v>
      </c>
      <c r="I1350">
        <v>1752.86</v>
      </c>
      <c r="J1350">
        <v>2230.71</v>
      </c>
      <c r="K1350">
        <v>2403.16</v>
      </c>
      <c r="L1350">
        <v>399.8</v>
      </c>
      <c r="M1350">
        <v>6386.73</v>
      </c>
      <c r="N1350">
        <v>6786.53</v>
      </c>
    </row>
    <row r="1351" spans="1:14" x14ac:dyDescent="0.3">
      <c r="A1351" s="2">
        <v>44105</v>
      </c>
      <c r="B1351" t="s">
        <v>68</v>
      </c>
      <c r="C1351">
        <v>2020</v>
      </c>
      <c r="D1351">
        <v>10</v>
      </c>
      <c r="E1351" t="s">
        <v>55</v>
      </c>
      <c r="F1351" t="s">
        <v>30</v>
      </c>
      <c r="G1351">
        <v>6</v>
      </c>
      <c r="H1351" t="s">
        <v>20</v>
      </c>
      <c r="I1351">
        <v>866.43</v>
      </c>
      <c r="J1351">
        <v>1195.94</v>
      </c>
      <c r="K1351">
        <v>2974.29</v>
      </c>
      <c r="L1351">
        <v>396.6</v>
      </c>
      <c r="M1351">
        <v>5036.66</v>
      </c>
      <c r="N1351">
        <v>5433.26</v>
      </c>
    </row>
    <row r="1352" spans="1:14" x14ac:dyDescent="0.3">
      <c r="A1352" s="2">
        <v>44105</v>
      </c>
      <c r="B1352" t="s">
        <v>68</v>
      </c>
      <c r="C1352">
        <v>2020</v>
      </c>
      <c r="D1352">
        <v>10</v>
      </c>
      <c r="E1352" t="s">
        <v>55</v>
      </c>
      <c r="F1352" t="s">
        <v>31</v>
      </c>
      <c r="G1352">
        <v>2</v>
      </c>
      <c r="H1352" t="s">
        <v>20</v>
      </c>
      <c r="I1352">
        <v>113.59</v>
      </c>
      <c r="J1352">
        <v>163.03</v>
      </c>
      <c r="K1352">
        <v>413.51</v>
      </c>
      <c r="L1352">
        <v>0.85</v>
      </c>
      <c r="M1352">
        <v>690.13</v>
      </c>
      <c r="N1352">
        <v>690.98</v>
      </c>
    </row>
    <row r="1353" spans="1:14" x14ac:dyDescent="0.3">
      <c r="A1353" s="2">
        <v>44105</v>
      </c>
      <c r="B1353" t="s">
        <v>68</v>
      </c>
      <c r="C1353">
        <v>2020</v>
      </c>
      <c r="D1353">
        <v>10</v>
      </c>
      <c r="E1353" t="s">
        <v>55</v>
      </c>
      <c r="F1353" t="s">
        <v>32</v>
      </c>
      <c r="G1353">
        <v>1</v>
      </c>
      <c r="H1353" t="s">
        <v>18</v>
      </c>
      <c r="I1353">
        <v>98.23</v>
      </c>
      <c r="J1353">
        <v>163.62</v>
      </c>
      <c r="K1353">
        <v>111.29</v>
      </c>
      <c r="L1353">
        <v>4</v>
      </c>
      <c r="M1353">
        <v>373.14</v>
      </c>
      <c r="N1353">
        <v>377.14</v>
      </c>
    </row>
    <row r="1354" spans="1:14" x14ac:dyDescent="0.3">
      <c r="A1354" s="2">
        <v>44105</v>
      </c>
      <c r="B1354" t="s">
        <v>68</v>
      </c>
      <c r="C1354">
        <v>2020</v>
      </c>
      <c r="D1354">
        <v>10</v>
      </c>
      <c r="E1354" t="s">
        <v>55</v>
      </c>
      <c r="F1354" t="s">
        <v>33</v>
      </c>
      <c r="G1354">
        <v>20</v>
      </c>
      <c r="H1354" t="s">
        <v>20</v>
      </c>
      <c r="I1354">
        <v>312.70999999999998</v>
      </c>
      <c r="J1354">
        <v>415.86</v>
      </c>
      <c r="K1354">
        <v>646.37</v>
      </c>
      <c r="L1354">
        <v>396.23</v>
      </c>
      <c r="M1354">
        <v>1374.94</v>
      </c>
      <c r="N1354">
        <v>1771.17</v>
      </c>
    </row>
    <row r="1355" spans="1:14" x14ac:dyDescent="0.3">
      <c r="A1355" s="2">
        <v>44105</v>
      </c>
      <c r="B1355" t="s">
        <v>68</v>
      </c>
      <c r="C1355">
        <v>2020</v>
      </c>
      <c r="D1355">
        <v>10</v>
      </c>
      <c r="E1355" t="s">
        <v>55</v>
      </c>
      <c r="F1355" t="s">
        <v>34</v>
      </c>
      <c r="G1355">
        <v>29</v>
      </c>
      <c r="H1355" t="s">
        <v>20</v>
      </c>
      <c r="I1355">
        <v>1597.37</v>
      </c>
      <c r="J1355">
        <v>2087.02</v>
      </c>
      <c r="K1355">
        <v>2549.5300000000002</v>
      </c>
      <c r="L1355">
        <v>764.16</v>
      </c>
      <c r="M1355">
        <v>6233.92</v>
      </c>
      <c r="N1355">
        <v>6998.08</v>
      </c>
    </row>
    <row r="1356" spans="1:14" x14ac:dyDescent="0.3">
      <c r="A1356" s="2">
        <v>44105</v>
      </c>
      <c r="B1356" t="s">
        <v>68</v>
      </c>
      <c r="C1356">
        <v>2020</v>
      </c>
      <c r="D1356">
        <v>10</v>
      </c>
      <c r="E1356" t="s">
        <v>55</v>
      </c>
      <c r="F1356" t="s">
        <v>35</v>
      </c>
      <c r="G1356">
        <v>32</v>
      </c>
      <c r="H1356" t="s">
        <v>20</v>
      </c>
      <c r="I1356">
        <v>541.87</v>
      </c>
      <c r="J1356">
        <v>798.87</v>
      </c>
      <c r="K1356">
        <v>319.97000000000003</v>
      </c>
      <c r="L1356">
        <v>3.82</v>
      </c>
      <c r="M1356">
        <v>1660.71</v>
      </c>
      <c r="N1356">
        <v>1664.53</v>
      </c>
    </row>
    <row r="1357" spans="1:14" x14ac:dyDescent="0.3">
      <c r="A1357" s="2">
        <v>44105</v>
      </c>
      <c r="B1357" t="s">
        <v>68</v>
      </c>
      <c r="C1357">
        <v>2020</v>
      </c>
      <c r="D1357">
        <v>10</v>
      </c>
      <c r="E1357" t="s">
        <v>55</v>
      </c>
      <c r="F1357" t="s">
        <v>67</v>
      </c>
      <c r="G1357">
        <v>37</v>
      </c>
      <c r="H1357" t="s">
        <v>18</v>
      </c>
      <c r="I1357">
        <v>5.64</v>
      </c>
      <c r="J1357">
        <v>6.91</v>
      </c>
      <c r="K1357">
        <v>1.96</v>
      </c>
      <c r="L1357">
        <v>0</v>
      </c>
      <c r="M1357">
        <v>14.51</v>
      </c>
      <c r="N1357">
        <v>14.51</v>
      </c>
    </row>
    <row r="1358" spans="1:14" x14ac:dyDescent="0.3">
      <c r="A1358" s="2">
        <v>44105</v>
      </c>
      <c r="B1358" t="s">
        <v>68</v>
      </c>
      <c r="C1358">
        <v>2020</v>
      </c>
      <c r="D1358">
        <v>10</v>
      </c>
      <c r="E1358" t="s">
        <v>55</v>
      </c>
      <c r="F1358" t="s">
        <v>36</v>
      </c>
      <c r="G1358">
        <v>31</v>
      </c>
      <c r="H1358" t="s">
        <v>18</v>
      </c>
      <c r="I1358">
        <v>0.36</v>
      </c>
      <c r="J1358">
        <v>0.66</v>
      </c>
      <c r="K1358">
        <v>0.1</v>
      </c>
      <c r="L1358">
        <v>0</v>
      </c>
      <c r="M1358">
        <v>1.1200000000000001</v>
      </c>
      <c r="N1358">
        <v>1.1200000000000001</v>
      </c>
    </row>
    <row r="1359" spans="1:14" x14ac:dyDescent="0.3">
      <c r="A1359" s="2">
        <v>44105</v>
      </c>
      <c r="B1359" t="s">
        <v>68</v>
      </c>
      <c r="C1359">
        <v>2020</v>
      </c>
      <c r="D1359">
        <v>10</v>
      </c>
      <c r="E1359" t="s">
        <v>55</v>
      </c>
      <c r="F1359" t="s">
        <v>37</v>
      </c>
      <c r="G1359">
        <v>23</v>
      </c>
      <c r="H1359" t="s">
        <v>20</v>
      </c>
      <c r="I1359">
        <v>547</v>
      </c>
      <c r="J1359">
        <v>754.35</v>
      </c>
      <c r="K1359">
        <v>642.05999999999995</v>
      </c>
      <c r="L1359">
        <v>459.89</v>
      </c>
      <c r="M1359">
        <v>1943.41</v>
      </c>
      <c r="N1359">
        <v>2403.3000000000002</v>
      </c>
    </row>
    <row r="1360" spans="1:14" x14ac:dyDescent="0.3">
      <c r="A1360" s="2">
        <v>44105</v>
      </c>
      <c r="B1360" t="s">
        <v>68</v>
      </c>
      <c r="C1360">
        <v>2020</v>
      </c>
      <c r="D1360">
        <v>10</v>
      </c>
      <c r="E1360" t="s">
        <v>55</v>
      </c>
      <c r="F1360" t="s">
        <v>38</v>
      </c>
      <c r="G1360">
        <v>27</v>
      </c>
      <c r="H1360" t="s">
        <v>20</v>
      </c>
      <c r="I1360">
        <v>4188.9399999999996</v>
      </c>
      <c r="J1360">
        <v>4975.66</v>
      </c>
      <c r="K1360">
        <v>5808.3</v>
      </c>
      <c r="L1360">
        <v>825.98</v>
      </c>
      <c r="M1360">
        <v>14972.9</v>
      </c>
      <c r="N1360">
        <v>15798.88</v>
      </c>
    </row>
    <row r="1361" spans="1:14" x14ac:dyDescent="0.3">
      <c r="A1361" s="2">
        <v>44105</v>
      </c>
      <c r="B1361" t="s">
        <v>68</v>
      </c>
      <c r="C1361">
        <v>2020</v>
      </c>
      <c r="D1361">
        <v>10</v>
      </c>
      <c r="E1361" t="s">
        <v>55</v>
      </c>
      <c r="F1361" t="s">
        <v>39</v>
      </c>
      <c r="G1361">
        <v>14</v>
      </c>
      <c r="H1361" t="s">
        <v>20</v>
      </c>
      <c r="I1361">
        <v>15.98</v>
      </c>
      <c r="J1361">
        <v>25.18</v>
      </c>
      <c r="K1361">
        <v>1.92</v>
      </c>
      <c r="L1361">
        <v>0.1</v>
      </c>
      <c r="M1361">
        <v>43.08</v>
      </c>
      <c r="N1361">
        <v>43.18</v>
      </c>
    </row>
    <row r="1362" spans="1:14" x14ac:dyDescent="0.3">
      <c r="A1362" s="2">
        <v>44105</v>
      </c>
      <c r="B1362" t="s">
        <v>68</v>
      </c>
      <c r="C1362">
        <v>2020</v>
      </c>
      <c r="D1362">
        <v>10</v>
      </c>
      <c r="E1362" t="s">
        <v>55</v>
      </c>
      <c r="F1362" t="s">
        <v>40</v>
      </c>
      <c r="G1362">
        <v>17</v>
      </c>
      <c r="H1362" t="s">
        <v>20</v>
      </c>
      <c r="I1362">
        <v>21.22</v>
      </c>
      <c r="J1362">
        <v>28.61</v>
      </c>
      <c r="K1362">
        <v>67.180000000000007</v>
      </c>
      <c r="L1362">
        <v>0.38</v>
      </c>
      <c r="M1362">
        <v>117.01</v>
      </c>
      <c r="N1362">
        <v>117.39</v>
      </c>
    </row>
    <row r="1363" spans="1:14" x14ac:dyDescent="0.3">
      <c r="A1363" s="2">
        <v>44105</v>
      </c>
      <c r="B1363" t="s">
        <v>68</v>
      </c>
      <c r="C1363">
        <v>2020</v>
      </c>
      <c r="D1363">
        <v>10</v>
      </c>
      <c r="E1363" t="s">
        <v>55</v>
      </c>
      <c r="F1363" t="s">
        <v>41</v>
      </c>
      <c r="G1363">
        <v>15</v>
      </c>
      <c r="H1363" t="s">
        <v>20</v>
      </c>
      <c r="I1363">
        <v>10.56</v>
      </c>
      <c r="J1363">
        <v>17.7</v>
      </c>
      <c r="K1363">
        <v>3.19</v>
      </c>
      <c r="L1363">
        <v>0.2</v>
      </c>
      <c r="M1363">
        <v>31.45</v>
      </c>
      <c r="N1363">
        <v>31.65</v>
      </c>
    </row>
    <row r="1364" spans="1:14" x14ac:dyDescent="0.3">
      <c r="A1364" s="2">
        <v>44105</v>
      </c>
      <c r="B1364" t="s">
        <v>68</v>
      </c>
      <c r="C1364">
        <v>2020</v>
      </c>
      <c r="D1364">
        <v>10</v>
      </c>
      <c r="E1364" t="s">
        <v>55</v>
      </c>
      <c r="F1364" t="s">
        <v>42</v>
      </c>
      <c r="G1364">
        <v>13</v>
      </c>
      <c r="H1364" t="s">
        <v>20</v>
      </c>
      <c r="I1364">
        <v>10.58</v>
      </c>
      <c r="J1364">
        <v>13.16</v>
      </c>
      <c r="K1364">
        <v>5.58</v>
      </c>
      <c r="L1364">
        <v>0.18</v>
      </c>
      <c r="M1364">
        <v>29.32</v>
      </c>
      <c r="N1364">
        <v>29.5</v>
      </c>
    </row>
    <row r="1365" spans="1:14" x14ac:dyDescent="0.3">
      <c r="A1365" s="2">
        <v>44105</v>
      </c>
      <c r="B1365" t="s">
        <v>68</v>
      </c>
      <c r="C1365">
        <v>2020</v>
      </c>
      <c r="D1365">
        <v>10</v>
      </c>
      <c r="E1365" t="s">
        <v>55</v>
      </c>
      <c r="F1365" t="s">
        <v>43</v>
      </c>
      <c r="G1365">
        <v>21</v>
      </c>
      <c r="H1365" t="s">
        <v>20</v>
      </c>
      <c r="I1365">
        <v>523.72</v>
      </c>
      <c r="J1365">
        <v>660.09</v>
      </c>
      <c r="K1365">
        <v>731.65</v>
      </c>
      <c r="L1365">
        <v>503.81</v>
      </c>
      <c r="M1365">
        <v>1915.46</v>
      </c>
      <c r="N1365">
        <v>2419.27</v>
      </c>
    </row>
    <row r="1366" spans="1:14" x14ac:dyDescent="0.3">
      <c r="A1366" s="2">
        <v>44105</v>
      </c>
      <c r="B1366" t="s">
        <v>68</v>
      </c>
      <c r="C1366">
        <v>2020</v>
      </c>
      <c r="D1366">
        <v>10</v>
      </c>
      <c r="E1366" t="s">
        <v>55</v>
      </c>
      <c r="F1366" t="s">
        <v>44</v>
      </c>
      <c r="G1366">
        <v>34</v>
      </c>
      <c r="H1366" t="s">
        <v>18</v>
      </c>
      <c r="I1366">
        <v>20.12</v>
      </c>
      <c r="J1366">
        <v>30.96</v>
      </c>
      <c r="K1366">
        <v>109.66</v>
      </c>
      <c r="L1366">
        <v>0.21</v>
      </c>
      <c r="M1366">
        <v>160.74</v>
      </c>
      <c r="N1366">
        <v>160.94999999999999</v>
      </c>
    </row>
    <row r="1367" spans="1:14" x14ac:dyDescent="0.3">
      <c r="A1367" s="2">
        <v>44105</v>
      </c>
      <c r="B1367" t="s">
        <v>68</v>
      </c>
      <c r="C1367">
        <v>2020</v>
      </c>
      <c r="D1367">
        <v>10</v>
      </c>
      <c r="E1367" t="s">
        <v>55</v>
      </c>
      <c r="F1367" t="s">
        <v>45</v>
      </c>
      <c r="G1367">
        <v>3</v>
      </c>
      <c r="H1367" t="s">
        <v>20</v>
      </c>
      <c r="I1367">
        <v>331.48</v>
      </c>
      <c r="J1367">
        <v>538</v>
      </c>
      <c r="K1367">
        <v>492.67</v>
      </c>
      <c r="L1367">
        <v>14.07</v>
      </c>
      <c r="M1367">
        <v>1362.15</v>
      </c>
      <c r="N1367">
        <v>1376.22</v>
      </c>
    </row>
    <row r="1368" spans="1:14" x14ac:dyDescent="0.3">
      <c r="A1368" s="2">
        <v>44105</v>
      </c>
      <c r="B1368" t="s">
        <v>68</v>
      </c>
      <c r="C1368">
        <v>2020</v>
      </c>
      <c r="D1368">
        <v>10</v>
      </c>
      <c r="E1368" t="s">
        <v>55</v>
      </c>
      <c r="F1368" t="s">
        <v>46</v>
      </c>
      <c r="G1368">
        <v>8</v>
      </c>
      <c r="H1368" t="s">
        <v>20</v>
      </c>
      <c r="I1368">
        <v>739.3</v>
      </c>
      <c r="J1368">
        <v>1018.58</v>
      </c>
      <c r="K1368">
        <v>1072.1400000000001</v>
      </c>
      <c r="L1368">
        <v>135.5</v>
      </c>
      <c r="M1368">
        <v>2830.02</v>
      </c>
      <c r="N1368">
        <v>2965.52</v>
      </c>
    </row>
    <row r="1369" spans="1:14" x14ac:dyDescent="0.3">
      <c r="A1369" s="2">
        <v>44105</v>
      </c>
      <c r="B1369" t="s">
        <v>68</v>
      </c>
      <c r="C1369">
        <v>2020</v>
      </c>
      <c r="D1369">
        <v>10</v>
      </c>
      <c r="E1369" t="s">
        <v>55</v>
      </c>
      <c r="F1369" t="s">
        <v>47</v>
      </c>
      <c r="G1369">
        <v>11</v>
      </c>
      <c r="H1369" t="s">
        <v>20</v>
      </c>
      <c r="I1369">
        <v>13.06</v>
      </c>
      <c r="J1369">
        <v>17.91</v>
      </c>
      <c r="K1369">
        <v>145.88999999999999</v>
      </c>
      <c r="L1369">
        <v>0.01</v>
      </c>
      <c r="M1369">
        <v>176.86</v>
      </c>
      <c r="N1369">
        <v>176.87</v>
      </c>
    </row>
    <row r="1370" spans="1:14" x14ac:dyDescent="0.3">
      <c r="A1370" s="2">
        <v>44105</v>
      </c>
      <c r="B1370" t="s">
        <v>68</v>
      </c>
      <c r="C1370">
        <v>2020</v>
      </c>
      <c r="D1370">
        <v>10</v>
      </c>
      <c r="E1370" t="s">
        <v>55</v>
      </c>
      <c r="F1370" t="s">
        <v>48</v>
      </c>
      <c r="G1370">
        <v>33</v>
      </c>
      <c r="H1370" t="s">
        <v>20</v>
      </c>
      <c r="I1370">
        <v>1745.08</v>
      </c>
      <c r="J1370">
        <v>2402.5500000000002</v>
      </c>
      <c r="K1370">
        <v>2284.79</v>
      </c>
      <c r="L1370">
        <v>468.45</v>
      </c>
      <c r="M1370">
        <v>6432.42</v>
      </c>
      <c r="N1370">
        <v>6900.87</v>
      </c>
    </row>
    <row r="1371" spans="1:14" x14ac:dyDescent="0.3">
      <c r="A1371" s="2">
        <v>44105</v>
      </c>
      <c r="B1371" t="s">
        <v>68</v>
      </c>
      <c r="C1371">
        <v>2020</v>
      </c>
      <c r="D1371">
        <v>10</v>
      </c>
      <c r="E1371" t="s">
        <v>55</v>
      </c>
      <c r="F1371" t="s">
        <v>49</v>
      </c>
      <c r="G1371">
        <v>36</v>
      </c>
      <c r="H1371" t="s">
        <v>20</v>
      </c>
      <c r="I1371">
        <v>835.94</v>
      </c>
      <c r="J1371">
        <v>1122.5</v>
      </c>
      <c r="K1371">
        <v>1001.24</v>
      </c>
      <c r="L1371">
        <v>423.76</v>
      </c>
      <c r="M1371">
        <v>2959.68</v>
      </c>
      <c r="N1371">
        <v>3383.44</v>
      </c>
    </row>
    <row r="1372" spans="1:14" x14ac:dyDescent="0.3">
      <c r="A1372" s="2">
        <v>44105</v>
      </c>
      <c r="B1372" t="s">
        <v>68</v>
      </c>
      <c r="C1372">
        <v>2020</v>
      </c>
      <c r="D1372">
        <v>10</v>
      </c>
      <c r="E1372" t="s">
        <v>55</v>
      </c>
      <c r="F1372" t="s">
        <v>50</v>
      </c>
      <c r="G1372">
        <v>16</v>
      </c>
      <c r="H1372" t="s">
        <v>20</v>
      </c>
      <c r="I1372">
        <v>22.09</v>
      </c>
      <c r="J1372">
        <v>29.44</v>
      </c>
      <c r="K1372">
        <v>5.6</v>
      </c>
      <c r="L1372">
        <v>0.06</v>
      </c>
      <c r="M1372">
        <v>57.13</v>
      </c>
      <c r="N1372">
        <v>57.19</v>
      </c>
    </row>
    <row r="1373" spans="1:14" x14ac:dyDescent="0.3">
      <c r="A1373" s="2">
        <v>44105</v>
      </c>
      <c r="B1373" t="s">
        <v>68</v>
      </c>
      <c r="C1373">
        <v>2020</v>
      </c>
      <c r="D1373">
        <v>10</v>
      </c>
      <c r="E1373" t="s">
        <v>55</v>
      </c>
      <c r="F1373" t="s">
        <v>51</v>
      </c>
      <c r="G1373">
        <v>9</v>
      </c>
      <c r="H1373" t="s">
        <v>20</v>
      </c>
      <c r="I1373">
        <v>1207.8699999999999</v>
      </c>
      <c r="J1373">
        <v>1768.77</v>
      </c>
      <c r="K1373">
        <v>1467</v>
      </c>
      <c r="L1373">
        <v>1027.8</v>
      </c>
      <c r="M1373">
        <v>4443.6400000000003</v>
      </c>
      <c r="N1373">
        <v>5471.44</v>
      </c>
    </row>
    <row r="1374" spans="1:14" x14ac:dyDescent="0.3">
      <c r="A1374" s="2">
        <v>44105</v>
      </c>
      <c r="B1374" t="s">
        <v>68</v>
      </c>
      <c r="C1374">
        <v>2020</v>
      </c>
      <c r="D1374">
        <v>10</v>
      </c>
      <c r="E1374" t="s">
        <v>55</v>
      </c>
      <c r="F1374" t="s">
        <v>52</v>
      </c>
      <c r="G1374">
        <v>5</v>
      </c>
      <c r="H1374" t="s">
        <v>20</v>
      </c>
      <c r="I1374">
        <v>228.93</v>
      </c>
      <c r="J1374">
        <v>335.97</v>
      </c>
      <c r="K1374">
        <v>696.33</v>
      </c>
      <c r="L1374">
        <v>11.01</v>
      </c>
      <c r="M1374">
        <v>1261.23</v>
      </c>
      <c r="N1374">
        <v>1272.24</v>
      </c>
    </row>
    <row r="1375" spans="1:14" x14ac:dyDescent="0.3">
      <c r="A1375" s="2">
        <v>44105</v>
      </c>
      <c r="B1375" t="s">
        <v>68</v>
      </c>
      <c r="C1375">
        <v>2020</v>
      </c>
      <c r="D1375">
        <v>10</v>
      </c>
      <c r="E1375" t="s">
        <v>55</v>
      </c>
      <c r="F1375" t="s">
        <v>53</v>
      </c>
      <c r="G1375">
        <v>19</v>
      </c>
      <c r="H1375" t="s">
        <v>20</v>
      </c>
      <c r="I1375">
        <v>1100.1500000000001</v>
      </c>
      <c r="J1375">
        <v>1427.98</v>
      </c>
      <c r="K1375">
        <v>906.28</v>
      </c>
      <c r="L1375">
        <v>303.26</v>
      </c>
      <c r="M1375">
        <v>3434.41</v>
      </c>
      <c r="N1375">
        <v>3737.67</v>
      </c>
    </row>
    <row r="1376" spans="1:14" x14ac:dyDescent="0.3">
      <c r="A1376" s="2">
        <v>44136</v>
      </c>
      <c r="B1376" t="s">
        <v>68</v>
      </c>
      <c r="C1376">
        <v>2020</v>
      </c>
      <c r="D1376">
        <v>11</v>
      </c>
      <c r="E1376" t="s">
        <v>56</v>
      </c>
      <c r="F1376" t="s">
        <v>17</v>
      </c>
      <c r="G1376">
        <v>35</v>
      </c>
      <c r="H1376" t="s">
        <v>18</v>
      </c>
      <c r="I1376">
        <v>9.48</v>
      </c>
      <c r="J1376">
        <v>11.67</v>
      </c>
      <c r="K1376">
        <v>1.92</v>
      </c>
      <c r="L1376">
        <v>0.04</v>
      </c>
      <c r="M1376">
        <v>23.07</v>
      </c>
      <c r="N1376">
        <v>23.11</v>
      </c>
    </row>
    <row r="1377" spans="1:14" x14ac:dyDescent="0.3">
      <c r="A1377" s="2">
        <v>44136</v>
      </c>
      <c r="B1377" t="s">
        <v>68</v>
      </c>
      <c r="C1377">
        <v>2020</v>
      </c>
      <c r="D1377">
        <v>11</v>
      </c>
      <c r="E1377" t="s">
        <v>56</v>
      </c>
      <c r="F1377" t="s">
        <v>19</v>
      </c>
      <c r="G1377">
        <v>28</v>
      </c>
      <c r="H1377" t="s">
        <v>20</v>
      </c>
      <c r="I1377">
        <v>605.38</v>
      </c>
      <c r="J1377">
        <v>823.12</v>
      </c>
      <c r="K1377">
        <v>828.67</v>
      </c>
      <c r="L1377">
        <v>249.42</v>
      </c>
      <c r="M1377">
        <v>2257.17</v>
      </c>
      <c r="N1377">
        <v>2506.59</v>
      </c>
    </row>
    <row r="1378" spans="1:14" x14ac:dyDescent="0.3">
      <c r="A1378" s="2">
        <v>44136</v>
      </c>
      <c r="B1378" t="s">
        <v>68</v>
      </c>
      <c r="C1378">
        <v>2020</v>
      </c>
      <c r="D1378">
        <v>11</v>
      </c>
      <c r="E1378" t="s">
        <v>56</v>
      </c>
      <c r="F1378" t="s">
        <v>21</v>
      </c>
      <c r="G1378">
        <v>12</v>
      </c>
      <c r="H1378" t="s">
        <v>20</v>
      </c>
      <c r="I1378">
        <v>25.02</v>
      </c>
      <c r="J1378">
        <v>28.82</v>
      </c>
      <c r="K1378">
        <v>6.14</v>
      </c>
      <c r="L1378">
        <v>0.01</v>
      </c>
      <c r="M1378">
        <v>59.98</v>
      </c>
      <c r="N1378">
        <v>59.99</v>
      </c>
    </row>
    <row r="1379" spans="1:14" x14ac:dyDescent="0.3">
      <c r="A1379" s="2">
        <v>44136</v>
      </c>
      <c r="B1379" t="s">
        <v>68</v>
      </c>
      <c r="C1379">
        <v>2020</v>
      </c>
      <c r="D1379">
        <v>11</v>
      </c>
      <c r="E1379" t="s">
        <v>56</v>
      </c>
      <c r="F1379" t="s">
        <v>22</v>
      </c>
      <c r="G1379">
        <v>18</v>
      </c>
      <c r="H1379" t="s">
        <v>20</v>
      </c>
      <c r="I1379">
        <v>275.86</v>
      </c>
      <c r="J1379">
        <v>355.91</v>
      </c>
      <c r="K1379">
        <v>280.18</v>
      </c>
      <c r="L1379">
        <v>33.979999999999997</v>
      </c>
      <c r="M1379">
        <v>911.95</v>
      </c>
      <c r="N1379">
        <v>945.93</v>
      </c>
    </row>
    <row r="1380" spans="1:14" x14ac:dyDescent="0.3">
      <c r="A1380" s="2">
        <v>44136</v>
      </c>
      <c r="B1380" t="s">
        <v>68</v>
      </c>
      <c r="C1380">
        <v>2020</v>
      </c>
      <c r="D1380">
        <v>11</v>
      </c>
      <c r="E1380" t="s">
        <v>56</v>
      </c>
      <c r="F1380" t="s">
        <v>23</v>
      </c>
      <c r="G1380">
        <v>10</v>
      </c>
      <c r="H1380" t="s">
        <v>20</v>
      </c>
      <c r="I1380">
        <v>252.57</v>
      </c>
      <c r="J1380">
        <v>463.04</v>
      </c>
      <c r="K1380">
        <v>122.69</v>
      </c>
      <c r="L1380">
        <v>131.57</v>
      </c>
      <c r="M1380">
        <v>838.3</v>
      </c>
      <c r="N1380">
        <v>969.87</v>
      </c>
    </row>
    <row r="1381" spans="1:14" x14ac:dyDescent="0.3">
      <c r="A1381" s="2">
        <v>44136</v>
      </c>
      <c r="B1381" t="s">
        <v>68</v>
      </c>
      <c r="C1381">
        <v>2020</v>
      </c>
      <c r="D1381">
        <v>11</v>
      </c>
      <c r="E1381" t="s">
        <v>56</v>
      </c>
      <c r="F1381" t="s">
        <v>24</v>
      </c>
      <c r="G1381">
        <v>4</v>
      </c>
      <c r="H1381" t="s">
        <v>18</v>
      </c>
      <c r="I1381">
        <v>27.12</v>
      </c>
      <c r="J1381">
        <v>35.26</v>
      </c>
      <c r="K1381">
        <v>78.34</v>
      </c>
      <c r="L1381">
        <v>0.64</v>
      </c>
      <c r="M1381">
        <v>140.72</v>
      </c>
      <c r="N1381">
        <v>141.36000000000001</v>
      </c>
    </row>
    <row r="1382" spans="1:14" x14ac:dyDescent="0.3">
      <c r="A1382" s="2">
        <v>44136</v>
      </c>
      <c r="B1382" t="s">
        <v>68</v>
      </c>
      <c r="C1382">
        <v>2020</v>
      </c>
      <c r="D1382">
        <v>11</v>
      </c>
      <c r="E1382" t="s">
        <v>56</v>
      </c>
      <c r="F1382" t="s">
        <v>25</v>
      </c>
      <c r="G1382">
        <v>22</v>
      </c>
      <c r="H1382" t="s">
        <v>20</v>
      </c>
      <c r="I1382">
        <v>398.49</v>
      </c>
      <c r="J1382">
        <v>469.54</v>
      </c>
      <c r="K1382">
        <v>799.3</v>
      </c>
      <c r="L1382">
        <v>513.75</v>
      </c>
      <c r="M1382">
        <v>1667.33</v>
      </c>
      <c r="N1382">
        <v>2181.08</v>
      </c>
    </row>
    <row r="1383" spans="1:14" x14ac:dyDescent="0.3">
      <c r="A1383" s="2">
        <v>44136</v>
      </c>
      <c r="B1383" t="s">
        <v>68</v>
      </c>
      <c r="C1383">
        <v>2020</v>
      </c>
      <c r="D1383">
        <v>11</v>
      </c>
      <c r="E1383" t="s">
        <v>56</v>
      </c>
      <c r="F1383" t="s">
        <v>26</v>
      </c>
      <c r="G1383">
        <v>38</v>
      </c>
      <c r="H1383" t="s">
        <v>18</v>
      </c>
      <c r="I1383">
        <v>30.36</v>
      </c>
      <c r="J1383">
        <v>42.93</v>
      </c>
      <c r="K1383">
        <v>224.94</v>
      </c>
      <c r="L1383">
        <v>0.04</v>
      </c>
      <c r="M1383">
        <v>298.23</v>
      </c>
      <c r="N1383">
        <v>298.27</v>
      </c>
    </row>
    <row r="1384" spans="1:14" x14ac:dyDescent="0.3">
      <c r="A1384" s="2">
        <v>44136</v>
      </c>
      <c r="B1384" t="s">
        <v>68</v>
      </c>
      <c r="C1384">
        <v>2020</v>
      </c>
      <c r="D1384">
        <v>11</v>
      </c>
      <c r="E1384" t="s">
        <v>56</v>
      </c>
      <c r="F1384" t="s">
        <v>27</v>
      </c>
      <c r="G1384">
        <v>7</v>
      </c>
      <c r="H1384" t="s">
        <v>18</v>
      </c>
      <c r="I1384">
        <v>653.51</v>
      </c>
      <c r="J1384">
        <v>832.92</v>
      </c>
      <c r="K1384">
        <v>1838.82</v>
      </c>
      <c r="L1384">
        <v>87.88</v>
      </c>
      <c r="M1384">
        <v>3325.25</v>
      </c>
      <c r="N1384">
        <v>3413.13</v>
      </c>
    </row>
    <row r="1385" spans="1:14" x14ac:dyDescent="0.3">
      <c r="A1385" s="2">
        <v>44136</v>
      </c>
      <c r="B1385" t="s">
        <v>68</v>
      </c>
      <c r="C1385">
        <v>2020</v>
      </c>
      <c r="D1385">
        <v>11</v>
      </c>
      <c r="E1385" t="s">
        <v>56</v>
      </c>
      <c r="F1385" t="s">
        <v>28</v>
      </c>
      <c r="G1385">
        <v>30</v>
      </c>
      <c r="H1385" t="s">
        <v>20</v>
      </c>
      <c r="I1385">
        <v>58.66</v>
      </c>
      <c r="J1385">
        <v>85.28</v>
      </c>
      <c r="K1385">
        <v>154.38</v>
      </c>
      <c r="L1385">
        <v>1.8</v>
      </c>
      <c r="M1385">
        <v>298.32</v>
      </c>
      <c r="N1385">
        <v>300.12</v>
      </c>
    </row>
    <row r="1386" spans="1:14" x14ac:dyDescent="0.3">
      <c r="A1386" s="2">
        <v>44136</v>
      </c>
      <c r="B1386" t="s">
        <v>68</v>
      </c>
      <c r="C1386">
        <v>2020</v>
      </c>
      <c r="D1386">
        <v>11</v>
      </c>
      <c r="E1386" t="s">
        <v>56</v>
      </c>
      <c r="F1386" t="s">
        <v>29</v>
      </c>
      <c r="G1386">
        <v>24</v>
      </c>
      <c r="H1386" t="s">
        <v>20</v>
      </c>
      <c r="I1386">
        <v>1950.51</v>
      </c>
      <c r="J1386">
        <v>2448.0700000000002</v>
      </c>
      <c r="K1386">
        <v>2692.95</v>
      </c>
      <c r="L1386">
        <v>474.84</v>
      </c>
      <c r="M1386">
        <v>7091.53</v>
      </c>
      <c r="N1386">
        <v>7566.37</v>
      </c>
    </row>
    <row r="1387" spans="1:14" x14ac:dyDescent="0.3">
      <c r="A1387" s="2">
        <v>44136</v>
      </c>
      <c r="B1387" t="s">
        <v>68</v>
      </c>
      <c r="C1387">
        <v>2020</v>
      </c>
      <c r="D1387">
        <v>11</v>
      </c>
      <c r="E1387" t="s">
        <v>56</v>
      </c>
      <c r="F1387" t="s">
        <v>30</v>
      </c>
      <c r="G1387">
        <v>6</v>
      </c>
      <c r="H1387" t="s">
        <v>20</v>
      </c>
      <c r="I1387">
        <v>894.96</v>
      </c>
      <c r="J1387">
        <v>1264.21</v>
      </c>
      <c r="K1387">
        <v>3321.52</v>
      </c>
      <c r="L1387">
        <v>447.56</v>
      </c>
      <c r="M1387">
        <v>5480.69</v>
      </c>
      <c r="N1387">
        <v>5928.25</v>
      </c>
    </row>
    <row r="1388" spans="1:14" x14ac:dyDescent="0.3">
      <c r="A1388" s="2">
        <v>44136</v>
      </c>
      <c r="B1388" t="s">
        <v>68</v>
      </c>
      <c r="C1388">
        <v>2020</v>
      </c>
      <c r="D1388">
        <v>11</v>
      </c>
      <c r="E1388" t="s">
        <v>56</v>
      </c>
      <c r="F1388" t="s">
        <v>31</v>
      </c>
      <c r="G1388">
        <v>2</v>
      </c>
      <c r="H1388" t="s">
        <v>20</v>
      </c>
      <c r="I1388">
        <v>113.18</v>
      </c>
      <c r="J1388">
        <v>161.59</v>
      </c>
      <c r="K1388">
        <v>482.7</v>
      </c>
      <c r="L1388">
        <v>0.89</v>
      </c>
      <c r="M1388">
        <v>757.47</v>
      </c>
      <c r="N1388">
        <v>758.36</v>
      </c>
    </row>
    <row r="1389" spans="1:14" x14ac:dyDescent="0.3">
      <c r="A1389" s="2">
        <v>44136</v>
      </c>
      <c r="B1389" t="s">
        <v>68</v>
      </c>
      <c r="C1389">
        <v>2020</v>
      </c>
      <c r="D1389">
        <v>11</v>
      </c>
      <c r="E1389" t="s">
        <v>56</v>
      </c>
      <c r="F1389" t="s">
        <v>32</v>
      </c>
      <c r="G1389">
        <v>1</v>
      </c>
      <c r="H1389" t="s">
        <v>18</v>
      </c>
      <c r="I1389">
        <v>91.07</v>
      </c>
      <c r="J1389">
        <v>147.5</v>
      </c>
      <c r="K1389">
        <v>118.25</v>
      </c>
      <c r="L1389">
        <v>2.96</v>
      </c>
      <c r="M1389">
        <v>356.82</v>
      </c>
      <c r="N1389">
        <v>359.78</v>
      </c>
    </row>
    <row r="1390" spans="1:14" x14ac:dyDescent="0.3">
      <c r="A1390" s="2">
        <v>44136</v>
      </c>
      <c r="B1390" t="s">
        <v>68</v>
      </c>
      <c r="C1390">
        <v>2020</v>
      </c>
      <c r="D1390">
        <v>11</v>
      </c>
      <c r="E1390" t="s">
        <v>56</v>
      </c>
      <c r="F1390" t="s">
        <v>33</v>
      </c>
      <c r="G1390">
        <v>20</v>
      </c>
      <c r="H1390" t="s">
        <v>20</v>
      </c>
      <c r="I1390">
        <v>317.02</v>
      </c>
      <c r="J1390">
        <v>422.37</v>
      </c>
      <c r="K1390">
        <v>753.16</v>
      </c>
      <c r="L1390">
        <v>414.66</v>
      </c>
      <c r="M1390">
        <v>1492.55</v>
      </c>
      <c r="N1390">
        <v>1907.21</v>
      </c>
    </row>
    <row r="1391" spans="1:14" x14ac:dyDescent="0.3">
      <c r="A1391" s="2">
        <v>44136</v>
      </c>
      <c r="B1391" t="s">
        <v>68</v>
      </c>
      <c r="C1391">
        <v>2020</v>
      </c>
      <c r="D1391">
        <v>11</v>
      </c>
      <c r="E1391" t="s">
        <v>56</v>
      </c>
      <c r="F1391" t="s">
        <v>34</v>
      </c>
      <c r="G1391">
        <v>29</v>
      </c>
      <c r="H1391" t="s">
        <v>20</v>
      </c>
      <c r="I1391">
        <v>1656.86</v>
      </c>
      <c r="J1391">
        <v>2146.59</v>
      </c>
      <c r="K1391">
        <v>2440.06</v>
      </c>
      <c r="L1391">
        <v>671.74</v>
      </c>
      <c r="M1391">
        <v>6243.51</v>
      </c>
      <c r="N1391">
        <v>6915.25</v>
      </c>
    </row>
    <row r="1392" spans="1:14" x14ac:dyDescent="0.3">
      <c r="A1392" s="2">
        <v>44136</v>
      </c>
      <c r="B1392" t="s">
        <v>68</v>
      </c>
      <c r="C1392">
        <v>2020</v>
      </c>
      <c r="D1392">
        <v>11</v>
      </c>
      <c r="E1392" t="s">
        <v>56</v>
      </c>
      <c r="F1392" t="s">
        <v>35</v>
      </c>
      <c r="G1392">
        <v>32</v>
      </c>
      <c r="H1392" t="s">
        <v>20</v>
      </c>
      <c r="I1392">
        <v>512.26</v>
      </c>
      <c r="J1392">
        <v>745.81</v>
      </c>
      <c r="K1392">
        <v>307.51</v>
      </c>
      <c r="L1392">
        <v>2.65</v>
      </c>
      <c r="M1392">
        <v>1565.58</v>
      </c>
      <c r="N1392">
        <v>1568.23</v>
      </c>
    </row>
    <row r="1393" spans="1:14" x14ac:dyDescent="0.3">
      <c r="A1393" s="2">
        <v>44136</v>
      </c>
      <c r="B1393" t="s">
        <v>68</v>
      </c>
      <c r="C1393">
        <v>2020</v>
      </c>
      <c r="D1393">
        <v>11</v>
      </c>
      <c r="E1393" t="s">
        <v>56</v>
      </c>
      <c r="F1393" t="s">
        <v>67</v>
      </c>
      <c r="G1393">
        <v>37</v>
      </c>
      <c r="H1393" t="s">
        <v>18</v>
      </c>
      <c r="I1393">
        <v>2.86</v>
      </c>
      <c r="J1393">
        <v>4.47</v>
      </c>
      <c r="K1393">
        <v>1.86</v>
      </c>
      <c r="L1393">
        <v>0</v>
      </c>
      <c r="M1393">
        <v>9.19</v>
      </c>
      <c r="N1393">
        <v>9.19</v>
      </c>
    </row>
    <row r="1394" spans="1:14" x14ac:dyDescent="0.3">
      <c r="A1394" s="2">
        <v>44136</v>
      </c>
      <c r="B1394" t="s">
        <v>68</v>
      </c>
      <c r="C1394">
        <v>2020</v>
      </c>
      <c r="D1394">
        <v>11</v>
      </c>
      <c r="E1394" t="s">
        <v>56</v>
      </c>
      <c r="F1394" t="s">
        <v>36</v>
      </c>
      <c r="G1394">
        <v>31</v>
      </c>
      <c r="H1394" t="s">
        <v>18</v>
      </c>
      <c r="I1394">
        <v>0.16</v>
      </c>
      <c r="J1394">
        <v>0.28999999999999998</v>
      </c>
      <c r="K1394">
        <v>0.03</v>
      </c>
      <c r="L1394">
        <v>0</v>
      </c>
      <c r="M1394">
        <v>0.48</v>
      </c>
      <c r="N1394">
        <v>0.48</v>
      </c>
    </row>
    <row r="1395" spans="1:14" x14ac:dyDescent="0.3">
      <c r="A1395" s="2">
        <v>44136</v>
      </c>
      <c r="B1395" t="s">
        <v>68</v>
      </c>
      <c r="C1395">
        <v>2020</v>
      </c>
      <c r="D1395">
        <v>11</v>
      </c>
      <c r="E1395" t="s">
        <v>56</v>
      </c>
      <c r="F1395" t="s">
        <v>37</v>
      </c>
      <c r="G1395">
        <v>23</v>
      </c>
      <c r="H1395" t="s">
        <v>20</v>
      </c>
      <c r="I1395">
        <v>569.72</v>
      </c>
      <c r="J1395">
        <v>744.96</v>
      </c>
      <c r="K1395">
        <v>696.93</v>
      </c>
      <c r="L1395">
        <v>481.45</v>
      </c>
      <c r="M1395">
        <v>2011.61</v>
      </c>
      <c r="N1395">
        <v>2493.06</v>
      </c>
    </row>
    <row r="1396" spans="1:14" x14ac:dyDescent="0.3">
      <c r="A1396" s="2">
        <v>44136</v>
      </c>
      <c r="B1396" t="s">
        <v>68</v>
      </c>
      <c r="C1396">
        <v>2020</v>
      </c>
      <c r="D1396">
        <v>11</v>
      </c>
      <c r="E1396" t="s">
        <v>56</v>
      </c>
      <c r="F1396" t="s">
        <v>38</v>
      </c>
      <c r="G1396">
        <v>27</v>
      </c>
      <c r="H1396" t="s">
        <v>20</v>
      </c>
      <c r="I1396">
        <v>3992.81</v>
      </c>
      <c r="J1396">
        <v>4875.3599999999997</v>
      </c>
      <c r="K1396">
        <v>5144.67</v>
      </c>
      <c r="L1396">
        <v>988.01</v>
      </c>
      <c r="M1396">
        <v>14012.84</v>
      </c>
      <c r="N1396">
        <v>15000.85</v>
      </c>
    </row>
    <row r="1397" spans="1:14" x14ac:dyDescent="0.3">
      <c r="A1397" s="2">
        <v>44136</v>
      </c>
      <c r="B1397" t="s">
        <v>68</v>
      </c>
      <c r="C1397">
        <v>2020</v>
      </c>
      <c r="D1397">
        <v>11</v>
      </c>
      <c r="E1397" t="s">
        <v>56</v>
      </c>
      <c r="F1397" t="s">
        <v>39</v>
      </c>
      <c r="G1397">
        <v>14</v>
      </c>
      <c r="H1397" t="s">
        <v>20</v>
      </c>
      <c r="I1397">
        <v>11.67</v>
      </c>
      <c r="J1397">
        <v>17.600000000000001</v>
      </c>
      <c r="K1397">
        <v>2.67</v>
      </c>
      <c r="L1397">
        <v>0.03</v>
      </c>
      <c r="M1397">
        <v>31.94</v>
      </c>
      <c r="N1397">
        <v>31.97</v>
      </c>
    </row>
    <row r="1398" spans="1:14" x14ac:dyDescent="0.3">
      <c r="A1398" s="2">
        <v>44136</v>
      </c>
      <c r="B1398" t="s">
        <v>68</v>
      </c>
      <c r="C1398">
        <v>2020</v>
      </c>
      <c r="D1398">
        <v>11</v>
      </c>
      <c r="E1398" t="s">
        <v>56</v>
      </c>
      <c r="F1398" t="s">
        <v>40</v>
      </c>
      <c r="G1398">
        <v>17</v>
      </c>
      <c r="H1398" t="s">
        <v>20</v>
      </c>
      <c r="I1398">
        <v>20.27</v>
      </c>
      <c r="J1398">
        <v>25.61</v>
      </c>
      <c r="K1398">
        <v>73.739999999999995</v>
      </c>
      <c r="L1398">
        <v>0.41</v>
      </c>
      <c r="M1398">
        <v>119.62</v>
      </c>
      <c r="N1398">
        <v>120.03</v>
      </c>
    </row>
    <row r="1399" spans="1:14" x14ac:dyDescent="0.3">
      <c r="A1399" s="2">
        <v>44136</v>
      </c>
      <c r="B1399" t="s">
        <v>68</v>
      </c>
      <c r="C1399">
        <v>2020</v>
      </c>
      <c r="D1399">
        <v>11</v>
      </c>
      <c r="E1399" t="s">
        <v>56</v>
      </c>
      <c r="F1399" t="s">
        <v>41</v>
      </c>
      <c r="G1399">
        <v>15</v>
      </c>
      <c r="H1399" t="s">
        <v>20</v>
      </c>
      <c r="I1399">
        <v>5.68</v>
      </c>
      <c r="J1399">
        <v>8.7200000000000006</v>
      </c>
      <c r="K1399">
        <v>2.35</v>
      </c>
      <c r="L1399">
        <v>0.01</v>
      </c>
      <c r="M1399">
        <v>16.75</v>
      </c>
      <c r="N1399">
        <v>16.760000000000002</v>
      </c>
    </row>
    <row r="1400" spans="1:14" x14ac:dyDescent="0.3">
      <c r="A1400" s="2">
        <v>44136</v>
      </c>
      <c r="B1400" t="s">
        <v>68</v>
      </c>
      <c r="C1400">
        <v>2020</v>
      </c>
      <c r="D1400">
        <v>11</v>
      </c>
      <c r="E1400" t="s">
        <v>56</v>
      </c>
      <c r="F1400" t="s">
        <v>42</v>
      </c>
      <c r="G1400">
        <v>13</v>
      </c>
      <c r="H1400" t="s">
        <v>20</v>
      </c>
      <c r="I1400">
        <v>10.53</v>
      </c>
      <c r="J1400">
        <v>12.4</v>
      </c>
      <c r="K1400">
        <v>4.87</v>
      </c>
      <c r="L1400">
        <v>1.81</v>
      </c>
      <c r="M1400">
        <v>27.8</v>
      </c>
      <c r="N1400">
        <v>29.61</v>
      </c>
    </row>
    <row r="1401" spans="1:14" x14ac:dyDescent="0.3">
      <c r="A1401" s="2">
        <v>44136</v>
      </c>
      <c r="B1401" t="s">
        <v>68</v>
      </c>
      <c r="C1401">
        <v>2020</v>
      </c>
      <c r="D1401">
        <v>11</v>
      </c>
      <c r="E1401" t="s">
        <v>56</v>
      </c>
      <c r="F1401" t="s">
        <v>43</v>
      </c>
      <c r="G1401">
        <v>21</v>
      </c>
      <c r="H1401" t="s">
        <v>20</v>
      </c>
      <c r="I1401">
        <v>533.57000000000005</v>
      </c>
      <c r="J1401">
        <v>681.96</v>
      </c>
      <c r="K1401">
        <v>787.63</v>
      </c>
      <c r="L1401">
        <v>524.85</v>
      </c>
      <c r="M1401">
        <v>2003.16</v>
      </c>
      <c r="N1401">
        <v>2528.0100000000002</v>
      </c>
    </row>
    <row r="1402" spans="1:14" x14ac:dyDescent="0.3">
      <c r="A1402" s="2">
        <v>44136</v>
      </c>
      <c r="B1402" t="s">
        <v>68</v>
      </c>
      <c r="C1402">
        <v>2020</v>
      </c>
      <c r="D1402">
        <v>11</v>
      </c>
      <c r="E1402" t="s">
        <v>56</v>
      </c>
      <c r="F1402" t="s">
        <v>44</v>
      </c>
      <c r="G1402">
        <v>34</v>
      </c>
      <c r="H1402" t="s">
        <v>18</v>
      </c>
      <c r="I1402">
        <v>19.18</v>
      </c>
      <c r="J1402">
        <v>29.6</v>
      </c>
      <c r="K1402">
        <v>109.27</v>
      </c>
      <c r="L1402">
        <v>0.17</v>
      </c>
      <c r="M1402">
        <v>158.05000000000001</v>
      </c>
      <c r="N1402">
        <v>158.22</v>
      </c>
    </row>
    <row r="1403" spans="1:14" x14ac:dyDescent="0.3">
      <c r="A1403" s="2">
        <v>44136</v>
      </c>
      <c r="B1403" t="s">
        <v>68</v>
      </c>
      <c r="C1403">
        <v>2020</v>
      </c>
      <c r="D1403">
        <v>11</v>
      </c>
      <c r="E1403" t="s">
        <v>56</v>
      </c>
      <c r="F1403" t="s">
        <v>45</v>
      </c>
      <c r="G1403">
        <v>3</v>
      </c>
      <c r="H1403" t="s">
        <v>20</v>
      </c>
      <c r="I1403">
        <v>322.95999999999998</v>
      </c>
      <c r="J1403">
        <v>548.85</v>
      </c>
      <c r="K1403">
        <v>511.68</v>
      </c>
      <c r="L1403">
        <v>12.79</v>
      </c>
      <c r="M1403">
        <v>1383.49</v>
      </c>
      <c r="N1403">
        <v>1396.28</v>
      </c>
    </row>
    <row r="1404" spans="1:14" x14ac:dyDescent="0.3">
      <c r="A1404" s="2">
        <v>44136</v>
      </c>
      <c r="B1404" t="s">
        <v>68</v>
      </c>
      <c r="C1404">
        <v>2020</v>
      </c>
      <c r="D1404">
        <v>11</v>
      </c>
      <c r="E1404" t="s">
        <v>56</v>
      </c>
      <c r="F1404" t="s">
        <v>46</v>
      </c>
      <c r="G1404">
        <v>8</v>
      </c>
      <c r="H1404" t="s">
        <v>20</v>
      </c>
      <c r="I1404">
        <v>781.21</v>
      </c>
      <c r="J1404">
        <v>1061.6199999999999</v>
      </c>
      <c r="K1404">
        <v>1121.6199999999999</v>
      </c>
      <c r="L1404">
        <v>165.94</v>
      </c>
      <c r="M1404">
        <v>2964.45</v>
      </c>
      <c r="N1404">
        <v>3130.39</v>
      </c>
    </row>
    <row r="1405" spans="1:14" x14ac:dyDescent="0.3">
      <c r="A1405" s="2">
        <v>44136</v>
      </c>
      <c r="B1405" t="s">
        <v>68</v>
      </c>
      <c r="C1405">
        <v>2020</v>
      </c>
      <c r="D1405">
        <v>11</v>
      </c>
      <c r="E1405" t="s">
        <v>56</v>
      </c>
      <c r="F1405" t="s">
        <v>47</v>
      </c>
      <c r="G1405">
        <v>11</v>
      </c>
      <c r="H1405" t="s">
        <v>20</v>
      </c>
      <c r="I1405">
        <v>15.72</v>
      </c>
      <c r="J1405">
        <v>25.02</v>
      </c>
      <c r="K1405">
        <v>182.62</v>
      </c>
      <c r="L1405">
        <v>0.01</v>
      </c>
      <c r="M1405">
        <v>223.36</v>
      </c>
      <c r="N1405">
        <v>223.37</v>
      </c>
    </row>
    <row r="1406" spans="1:14" x14ac:dyDescent="0.3">
      <c r="A1406" s="2">
        <v>44136</v>
      </c>
      <c r="B1406" t="s">
        <v>68</v>
      </c>
      <c r="C1406">
        <v>2020</v>
      </c>
      <c r="D1406">
        <v>11</v>
      </c>
      <c r="E1406" t="s">
        <v>56</v>
      </c>
      <c r="F1406" t="s">
        <v>48</v>
      </c>
      <c r="G1406">
        <v>33</v>
      </c>
      <c r="H1406" t="s">
        <v>20</v>
      </c>
      <c r="I1406">
        <v>1735.11</v>
      </c>
      <c r="J1406">
        <v>2397.58</v>
      </c>
      <c r="K1406">
        <v>2383.83</v>
      </c>
      <c r="L1406">
        <v>567.54999999999995</v>
      </c>
      <c r="M1406">
        <v>6516.52</v>
      </c>
      <c r="N1406">
        <v>7084.07</v>
      </c>
    </row>
    <row r="1407" spans="1:14" x14ac:dyDescent="0.3">
      <c r="A1407" s="2">
        <v>44136</v>
      </c>
      <c r="B1407" t="s">
        <v>68</v>
      </c>
      <c r="C1407">
        <v>2020</v>
      </c>
      <c r="D1407">
        <v>11</v>
      </c>
      <c r="E1407" t="s">
        <v>56</v>
      </c>
      <c r="F1407" t="s">
        <v>49</v>
      </c>
      <c r="G1407">
        <v>36</v>
      </c>
      <c r="H1407" t="s">
        <v>20</v>
      </c>
      <c r="I1407">
        <v>766.82</v>
      </c>
      <c r="J1407">
        <v>1077.3900000000001</v>
      </c>
      <c r="K1407">
        <v>914.83</v>
      </c>
      <c r="L1407">
        <v>415.48</v>
      </c>
      <c r="M1407">
        <v>2759.04</v>
      </c>
      <c r="N1407">
        <v>3174.52</v>
      </c>
    </row>
    <row r="1408" spans="1:14" x14ac:dyDescent="0.3">
      <c r="A1408" s="2">
        <v>44136</v>
      </c>
      <c r="B1408" t="s">
        <v>68</v>
      </c>
      <c r="C1408">
        <v>2020</v>
      </c>
      <c r="D1408">
        <v>11</v>
      </c>
      <c r="E1408" t="s">
        <v>56</v>
      </c>
      <c r="F1408" t="s">
        <v>50</v>
      </c>
      <c r="G1408">
        <v>16</v>
      </c>
      <c r="H1408" t="s">
        <v>20</v>
      </c>
      <c r="I1408">
        <v>20.69</v>
      </c>
      <c r="J1408">
        <v>29.97</v>
      </c>
      <c r="K1408">
        <v>7.21</v>
      </c>
      <c r="L1408">
        <v>0.23</v>
      </c>
      <c r="M1408">
        <v>57.87</v>
      </c>
      <c r="N1408">
        <v>58.1</v>
      </c>
    </row>
    <row r="1409" spans="1:14" x14ac:dyDescent="0.3">
      <c r="A1409" s="2">
        <v>44136</v>
      </c>
      <c r="B1409" t="s">
        <v>68</v>
      </c>
      <c r="C1409">
        <v>2020</v>
      </c>
      <c r="D1409">
        <v>11</v>
      </c>
      <c r="E1409" t="s">
        <v>56</v>
      </c>
      <c r="F1409" t="s">
        <v>51</v>
      </c>
      <c r="G1409">
        <v>9</v>
      </c>
      <c r="H1409" t="s">
        <v>20</v>
      </c>
      <c r="I1409">
        <v>1171.76</v>
      </c>
      <c r="J1409">
        <v>1768.28</v>
      </c>
      <c r="K1409">
        <v>1636.13</v>
      </c>
      <c r="L1409">
        <v>951.79</v>
      </c>
      <c r="M1409">
        <v>4576.17</v>
      </c>
      <c r="N1409">
        <v>5527.96</v>
      </c>
    </row>
    <row r="1410" spans="1:14" x14ac:dyDescent="0.3">
      <c r="A1410" s="2">
        <v>44136</v>
      </c>
      <c r="B1410" t="s">
        <v>68</v>
      </c>
      <c r="C1410">
        <v>2020</v>
      </c>
      <c r="D1410">
        <v>11</v>
      </c>
      <c r="E1410" t="s">
        <v>56</v>
      </c>
      <c r="F1410" t="s">
        <v>52</v>
      </c>
      <c r="G1410">
        <v>5</v>
      </c>
      <c r="H1410" t="s">
        <v>20</v>
      </c>
      <c r="I1410">
        <v>204.48</v>
      </c>
      <c r="J1410">
        <v>323.76</v>
      </c>
      <c r="K1410">
        <v>748.02</v>
      </c>
      <c r="L1410">
        <v>9.24</v>
      </c>
      <c r="M1410">
        <v>1276.26</v>
      </c>
      <c r="N1410">
        <v>1285.5</v>
      </c>
    </row>
    <row r="1411" spans="1:14" x14ac:dyDescent="0.3">
      <c r="A1411" s="2">
        <v>44136</v>
      </c>
      <c r="B1411" t="s">
        <v>68</v>
      </c>
      <c r="C1411">
        <v>2020</v>
      </c>
      <c r="D1411">
        <v>11</v>
      </c>
      <c r="E1411" t="s">
        <v>56</v>
      </c>
      <c r="F1411" t="s">
        <v>53</v>
      </c>
      <c r="G1411">
        <v>19</v>
      </c>
      <c r="H1411" t="s">
        <v>20</v>
      </c>
      <c r="I1411">
        <v>1127.51</v>
      </c>
      <c r="J1411">
        <v>1416.23</v>
      </c>
      <c r="K1411">
        <v>925.16</v>
      </c>
      <c r="L1411">
        <v>278.07</v>
      </c>
      <c r="M1411">
        <v>3468.9</v>
      </c>
      <c r="N1411">
        <v>3746.97</v>
      </c>
    </row>
    <row r="1412" spans="1:14" x14ac:dyDescent="0.3">
      <c r="A1412" s="2">
        <v>44166</v>
      </c>
      <c r="B1412" t="s">
        <v>68</v>
      </c>
      <c r="C1412">
        <v>2020</v>
      </c>
      <c r="D1412">
        <v>12</v>
      </c>
      <c r="E1412" t="s">
        <v>57</v>
      </c>
      <c r="F1412" t="s">
        <v>17</v>
      </c>
      <c r="G1412">
        <v>35</v>
      </c>
      <c r="H1412" t="s">
        <v>18</v>
      </c>
      <c r="I1412">
        <v>6.98</v>
      </c>
      <c r="J1412">
        <v>10.61</v>
      </c>
      <c r="K1412">
        <v>4.29</v>
      </c>
      <c r="L1412">
        <v>0.02</v>
      </c>
      <c r="M1412">
        <v>21.88</v>
      </c>
      <c r="N1412">
        <v>21.9</v>
      </c>
    </row>
    <row r="1413" spans="1:14" x14ac:dyDescent="0.3">
      <c r="A1413" s="2">
        <v>44166</v>
      </c>
      <c r="B1413" t="s">
        <v>68</v>
      </c>
      <c r="C1413">
        <v>2020</v>
      </c>
      <c r="D1413">
        <v>12</v>
      </c>
      <c r="E1413" t="s">
        <v>57</v>
      </c>
      <c r="F1413" t="s">
        <v>19</v>
      </c>
      <c r="G1413">
        <v>28</v>
      </c>
      <c r="H1413" t="s">
        <v>20</v>
      </c>
      <c r="I1413">
        <v>607.07000000000005</v>
      </c>
      <c r="J1413">
        <v>817.35</v>
      </c>
      <c r="K1413">
        <v>925.12</v>
      </c>
      <c r="L1413">
        <v>231.36</v>
      </c>
      <c r="M1413">
        <v>2349.54</v>
      </c>
      <c r="N1413">
        <v>2580.9</v>
      </c>
    </row>
    <row r="1414" spans="1:14" x14ac:dyDescent="0.3">
      <c r="A1414" s="2">
        <v>44166</v>
      </c>
      <c r="B1414" t="s">
        <v>68</v>
      </c>
      <c r="C1414">
        <v>2020</v>
      </c>
      <c r="D1414">
        <v>12</v>
      </c>
      <c r="E1414" t="s">
        <v>57</v>
      </c>
      <c r="F1414" t="s">
        <v>21</v>
      </c>
      <c r="G1414">
        <v>12</v>
      </c>
      <c r="H1414" t="s">
        <v>20</v>
      </c>
      <c r="I1414">
        <v>16.68</v>
      </c>
      <c r="J1414">
        <v>23.67</v>
      </c>
      <c r="K1414">
        <v>5.17</v>
      </c>
      <c r="L1414">
        <v>0.04</v>
      </c>
      <c r="M1414">
        <v>45.52</v>
      </c>
      <c r="N1414">
        <v>45.56</v>
      </c>
    </row>
    <row r="1415" spans="1:14" x14ac:dyDescent="0.3">
      <c r="A1415" s="2">
        <v>44166</v>
      </c>
      <c r="B1415" t="s">
        <v>68</v>
      </c>
      <c r="C1415">
        <v>2020</v>
      </c>
      <c r="D1415">
        <v>12</v>
      </c>
      <c r="E1415" t="s">
        <v>57</v>
      </c>
      <c r="F1415" t="s">
        <v>22</v>
      </c>
      <c r="G1415">
        <v>18</v>
      </c>
      <c r="H1415" t="s">
        <v>20</v>
      </c>
      <c r="I1415">
        <v>286.89999999999998</v>
      </c>
      <c r="J1415">
        <v>393.95</v>
      </c>
      <c r="K1415">
        <v>271.43</v>
      </c>
      <c r="L1415">
        <v>31.54</v>
      </c>
      <c r="M1415">
        <v>952.28</v>
      </c>
      <c r="N1415">
        <v>983.82</v>
      </c>
    </row>
    <row r="1416" spans="1:14" x14ac:dyDescent="0.3">
      <c r="A1416" s="2">
        <v>44166</v>
      </c>
      <c r="B1416" t="s">
        <v>68</v>
      </c>
      <c r="C1416">
        <v>2020</v>
      </c>
      <c r="D1416">
        <v>12</v>
      </c>
      <c r="E1416" t="s">
        <v>57</v>
      </c>
      <c r="F1416" t="s">
        <v>23</v>
      </c>
      <c r="G1416">
        <v>10</v>
      </c>
      <c r="H1416" t="s">
        <v>20</v>
      </c>
      <c r="I1416">
        <v>280.57</v>
      </c>
      <c r="J1416">
        <v>484.72</v>
      </c>
      <c r="K1416">
        <v>129.86000000000001</v>
      </c>
      <c r="L1416">
        <v>172.28</v>
      </c>
      <c r="M1416">
        <v>895.15</v>
      </c>
      <c r="N1416">
        <v>1067.43</v>
      </c>
    </row>
    <row r="1417" spans="1:14" x14ac:dyDescent="0.3">
      <c r="A1417" s="2">
        <v>44166</v>
      </c>
      <c r="B1417" t="s">
        <v>68</v>
      </c>
      <c r="C1417">
        <v>2020</v>
      </c>
      <c r="D1417">
        <v>12</v>
      </c>
      <c r="E1417" t="s">
        <v>57</v>
      </c>
      <c r="F1417" t="s">
        <v>24</v>
      </c>
      <c r="G1417">
        <v>4</v>
      </c>
      <c r="H1417" t="s">
        <v>18</v>
      </c>
      <c r="I1417">
        <v>29.46</v>
      </c>
      <c r="J1417">
        <v>40.69</v>
      </c>
      <c r="K1417">
        <v>87.61</v>
      </c>
      <c r="L1417">
        <v>0.57999999999999996</v>
      </c>
      <c r="M1417">
        <v>157.76</v>
      </c>
      <c r="N1417">
        <v>158.34</v>
      </c>
    </row>
    <row r="1418" spans="1:14" x14ac:dyDescent="0.3">
      <c r="A1418" s="2">
        <v>44166</v>
      </c>
      <c r="B1418" t="s">
        <v>68</v>
      </c>
      <c r="C1418">
        <v>2020</v>
      </c>
      <c r="D1418">
        <v>12</v>
      </c>
      <c r="E1418" t="s">
        <v>57</v>
      </c>
      <c r="F1418" t="s">
        <v>25</v>
      </c>
      <c r="G1418">
        <v>22</v>
      </c>
      <c r="H1418" t="s">
        <v>20</v>
      </c>
      <c r="I1418">
        <v>466.66</v>
      </c>
      <c r="J1418">
        <v>551.63</v>
      </c>
      <c r="K1418">
        <v>795.42</v>
      </c>
      <c r="L1418">
        <v>535.69000000000005</v>
      </c>
      <c r="M1418">
        <v>1813.71</v>
      </c>
      <c r="N1418">
        <v>2349.4</v>
      </c>
    </row>
    <row r="1419" spans="1:14" x14ac:dyDescent="0.3">
      <c r="A1419" s="2">
        <v>44166</v>
      </c>
      <c r="B1419" t="s">
        <v>68</v>
      </c>
      <c r="C1419">
        <v>2020</v>
      </c>
      <c r="D1419">
        <v>12</v>
      </c>
      <c r="E1419" t="s">
        <v>57</v>
      </c>
      <c r="F1419" t="s">
        <v>26</v>
      </c>
      <c r="G1419">
        <v>38</v>
      </c>
      <c r="H1419" t="s">
        <v>18</v>
      </c>
      <c r="I1419">
        <v>36.229999999999997</v>
      </c>
      <c r="J1419">
        <v>46.84</v>
      </c>
      <c r="K1419">
        <v>179.58</v>
      </c>
      <c r="L1419">
        <v>0.09</v>
      </c>
      <c r="M1419">
        <v>262.64999999999998</v>
      </c>
      <c r="N1419">
        <v>262.74</v>
      </c>
    </row>
    <row r="1420" spans="1:14" x14ac:dyDescent="0.3">
      <c r="A1420" s="2">
        <v>44166</v>
      </c>
      <c r="B1420" t="s">
        <v>68</v>
      </c>
      <c r="C1420">
        <v>2020</v>
      </c>
      <c r="D1420">
        <v>12</v>
      </c>
      <c r="E1420" t="s">
        <v>57</v>
      </c>
      <c r="F1420" t="s">
        <v>27</v>
      </c>
      <c r="G1420">
        <v>7</v>
      </c>
      <c r="H1420" t="s">
        <v>18</v>
      </c>
      <c r="I1420">
        <v>701.05</v>
      </c>
      <c r="J1420">
        <v>876.45</v>
      </c>
      <c r="K1420">
        <v>1784.95</v>
      </c>
      <c r="L1420">
        <v>88.83</v>
      </c>
      <c r="M1420">
        <v>3362.45</v>
      </c>
      <c r="N1420">
        <v>3451.28</v>
      </c>
    </row>
    <row r="1421" spans="1:14" x14ac:dyDescent="0.3">
      <c r="A1421" s="2">
        <v>44166</v>
      </c>
      <c r="B1421" t="s">
        <v>68</v>
      </c>
      <c r="C1421">
        <v>2020</v>
      </c>
      <c r="D1421">
        <v>12</v>
      </c>
      <c r="E1421" t="s">
        <v>57</v>
      </c>
      <c r="F1421" t="s">
        <v>28</v>
      </c>
      <c r="G1421">
        <v>30</v>
      </c>
      <c r="H1421" t="s">
        <v>20</v>
      </c>
      <c r="I1421">
        <v>80.28</v>
      </c>
      <c r="J1421">
        <v>114.33</v>
      </c>
      <c r="K1421">
        <v>145.04</v>
      </c>
      <c r="L1421">
        <v>2.0499999999999998</v>
      </c>
      <c r="M1421">
        <v>339.65</v>
      </c>
      <c r="N1421">
        <v>341.7</v>
      </c>
    </row>
    <row r="1422" spans="1:14" x14ac:dyDescent="0.3">
      <c r="A1422" s="2">
        <v>44166</v>
      </c>
      <c r="B1422" t="s">
        <v>68</v>
      </c>
      <c r="C1422">
        <v>2020</v>
      </c>
      <c r="D1422">
        <v>12</v>
      </c>
      <c r="E1422" t="s">
        <v>57</v>
      </c>
      <c r="F1422" t="s">
        <v>29</v>
      </c>
      <c r="G1422">
        <v>24</v>
      </c>
      <c r="H1422" t="s">
        <v>20</v>
      </c>
      <c r="I1422">
        <v>1997.66</v>
      </c>
      <c r="J1422">
        <v>2464.5700000000002</v>
      </c>
      <c r="K1422">
        <v>2491.79</v>
      </c>
      <c r="L1422">
        <v>514.78</v>
      </c>
      <c r="M1422">
        <v>6954.02</v>
      </c>
      <c r="N1422">
        <v>7468.8</v>
      </c>
    </row>
    <row r="1423" spans="1:14" x14ac:dyDescent="0.3">
      <c r="A1423" s="2">
        <v>44166</v>
      </c>
      <c r="B1423" t="s">
        <v>68</v>
      </c>
      <c r="C1423">
        <v>2020</v>
      </c>
      <c r="D1423">
        <v>12</v>
      </c>
      <c r="E1423" t="s">
        <v>57</v>
      </c>
      <c r="F1423" t="s">
        <v>30</v>
      </c>
      <c r="G1423">
        <v>6</v>
      </c>
      <c r="H1423" t="s">
        <v>20</v>
      </c>
      <c r="I1423">
        <v>938.85</v>
      </c>
      <c r="J1423">
        <v>1280.9000000000001</v>
      </c>
      <c r="K1423">
        <v>3101.55</v>
      </c>
      <c r="L1423">
        <v>425.7</v>
      </c>
      <c r="M1423">
        <v>5321.3</v>
      </c>
      <c r="N1423">
        <v>5747</v>
      </c>
    </row>
    <row r="1424" spans="1:14" x14ac:dyDescent="0.3">
      <c r="A1424" s="2">
        <v>44166</v>
      </c>
      <c r="B1424" t="s">
        <v>68</v>
      </c>
      <c r="C1424">
        <v>2020</v>
      </c>
      <c r="D1424">
        <v>12</v>
      </c>
      <c r="E1424" t="s">
        <v>57</v>
      </c>
      <c r="F1424" t="s">
        <v>31</v>
      </c>
      <c r="G1424">
        <v>2</v>
      </c>
      <c r="H1424" t="s">
        <v>20</v>
      </c>
      <c r="I1424">
        <v>114.45</v>
      </c>
      <c r="J1424">
        <v>165.7</v>
      </c>
      <c r="K1424">
        <v>389.03</v>
      </c>
      <c r="L1424">
        <v>0.6</v>
      </c>
      <c r="M1424">
        <v>669.18</v>
      </c>
      <c r="N1424">
        <v>669.78</v>
      </c>
    </row>
    <row r="1425" spans="1:14" x14ac:dyDescent="0.3">
      <c r="A1425" s="2">
        <v>44166</v>
      </c>
      <c r="B1425" t="s">
        <v>68</v>
      </c>
      <c r="C1425">
        <v>2020</v>
      </c>
      <c r="D1425">
        <v>12</v>
      </c>
      <c r="E1425" t="s">
        <v>57</v>
      </c>
      <c r="F1425" t="s">
        <v>32</v>
      </c>
      <c r="G1425">
        <v>1</v>
      </c>
      <c r="H1425" t="s">
        <v>18</v>
      </c>
      <c r="I1425">
        <v>79.38</v>
      </c>
      <c r="J1425">
        <v>132.41</v>
      </c>
      <c r="K1425">
        <v>104.73</v>
      </c>
      <c r="L1425">
        <v>1.93</v>
      </c>
      <c r="M1425">
        <v>316.52</v>
      </c>
      <c r="N1425">
        <v>318.45</v>
      </c>
    </row>
    <row r="1426" spans="1:14" x14ac:dyDescent="0.3">
      <c r="A1426" s="2">
        <v>44166</v>
      </c>
      <c r="B1426" t="s">
        <v>68</v>
      </c>
      <c r="C1426">
        <v>2020</v>
      </c>
      <c r="D1426">
        <v>12</v>
      </c>
      <c r="E1426" t="s">
        <v>57</v>
      </c>
      <c r="F1426" t="s">
        <v>33</v>
      </c>
      <c r="G1426">
        <v>20</v>
      </c>
      <c r="H1426" t="s">
        <v>20</v>
      </c>
      <c r="I1426">
        <v>350.66</v>
      </c>
      <c r="J1426">
        <v>493</v>
      </c>
      <c r="K1426">
        <v>871.09</v>
      </c>
      <c r="L1426">
        <v>435.43</v>
      </c>
      <c r="M1426">
        <v>1714.75</v>
      </c>
      <c r="N1426">
        <v>2150.1799999999998</v>
      </c>
    </row>
    <row r="1427" spans="1:14" x14ac:dyDescent="0.3">
      <c r="A1427" s="2">
        <v>44166</v>
      </c>
      <c r="B1427" t="s">
        <v>68</v>
      </c>
      <c r="C1427">
        <v>2020</v>
      </c>
      <c r="D1427">
        <v>12</v>
      </c>
      <c r="E1427" t="s">
        <v>57</v>
      </c>
      <c r="F1427" t="s">
        <v>34</v>
      </c>
      <c r="G1427">
        <v>29</v>
      </c>
      <c r="H1427" t="s">
        <v>20</v>
      </c>
      <c r="I1427">
        <v>1752.76</v>
      </c>
      <c r="J1427">
        <v>2274.89</v>
      </c>
      <c r="K1427">
        <v>2785.21</v>
      </c>
      <c r="L1427">
        <v>646.42999999999995</v>
      </c>
      <c r="M1427">
        <v>6812.86</v>
      </c>
      <c r="N1427">
        <v>7459.29</v>
      </c>
    </row>
    <row r="1428" spans="1:14" x14ac:dyDescent="0.3">
      <c r="A1428" s="2">
        <v>44166</v>
      </c>
      <c r="B1428" t="s">
        <v>68</v>
      </c>
      <c r="C1428">
        <v>2020</v>
      </c>
      <c r="D1428">
        <v>12</v>
      </c>
      <c r="E1428" t="s">
        <v>57</v>
      </c>
      <c r="F1428" t="s">
        <v>35</v>
      </c>
      <c r="G1428">
        <v>32</v>
      </c>
      <c r="H1428" t="s">
        <v>20</v>
      </c>
      <c r="I1428">
        <v>585.04</v>
      </c>
      <c r="J1428">
        <v>847.83</v>
      </c>
      <c r="K1428">
        <v>339.72</v>
      </c>
      <c r="L1428">
        <v>3.8</v>
      </c>
      <c r="M1428">
        <v>1772.59</v>
      </c>
      <c r="N1428">
        <v>1776.39</v>
      </c>
    </row>
    <row r="1429" spans="1:14" x14ac:dyDescent="0.3">
      <c r="A1429" s="2">
        <v>44166</v>
      </c>
      <c r="B1429" t="s">
        <v>68</v>
      </c>
      <c r="C1429">
        <v>2020</v>
      </c>
      <c r="D1429">
        <v>12</v>
      </c>
      <c r="E1429" t="s">
        <v>57</v>
      </c>
      <c r="F1429" t="s">
        <v>67</v>
      </c>
      <c r="G1429">
        <v>37</v>
      </c>
      <c r="H1429" t="s">
        <v>18</v>
      </c>
      <c r="I1429">
        <v>2.59</v>
      </c>
      <c r="J1429">
        <v>3.98</v>
      </c>
      <c r="K1429">
        <v>1.72</v>
      </c>
      <c r="L1429">
        <v>0.02</v>
      </c>
      <c r="M1429">
        <v>8.2899999999999991</v>
      </c>
      <c r="N1429">
        <v>8.31</v>
      </c>
    </row>
    <row r="1430" spans="1:14" x14ac:dyDescent="0.3">
      <c r="A1430" s="2">
        <v>44166</v>
      </c>
      <c r="B1430" t="s">
        <v>68</v>
      </c>
      <c r="C1430">
        <v>2020</v>
      </c>
      <c r="D1430">
        <v>12</v>
      </c>
      <c r="E1430" t="s">
        <v>57</v>
      </c>
      <c r="F1430" t="s">
        <v>36</v>
      </c>
      <c r="G1430">
        <v>31</v>
      </c>
      <c r="H1430" t="s">
        <v>18</v>
      </c>
      <c r="I1430">
        <v>0.19</v>
      </c>
      <c r="J1430">
        <v>0.25</v>
      </c>
      <c r="K1430">
        <v>0.09</v>
      </c>
      <c r="L1430">
        <v>0</v>
      </c>
      <c r="M1430">
        <v>0.53</v>
      </c>
      <c r="N1430">
        <v>0.53</v>
      </c>
    </row>
    <row r="1431" spans="1:14" x14ac:dyDescent="0.3">
      <c r="A1431" s="2">
        <v>44166</v>
      </c>
      <c r="B1431" t="s">
        <v>68</v>
      </c>
      <c r="C1431">
        <v>2020</v>
      </c>
      <c r="D1431">
        <v>12</v>
      </c>
      <c r="E1431" t="s">
        <v>57</v>
      </c>
      <c r="F1431" t="s">
        <v>37</v>
      </c>
      <c r="G1431">
        <v>23</v>
      </c>
      <c r="H1431" t="s">
        <v>20</v>
      </c>
      <c r="I1431">
        <v>628.48</v>
      </c>
      <c r="J1431">
        <v>823.38</v>
      </c>
      <c r="K1431">
        <v>651.59</v>
      </c>
      <c r="L1431">
        <v>511.15</v>
      </c>
      <c r="M1431">
        <v>2103.4499999999998</v>
      </c>
      <c r="N1431">
        <v>2614.6</v>
      </c>
    </row>
    <row r="1432" spans="1:14" x14ac:dyDescent="0.3">
      <c r="A1432" s="2">
        <v>44166</v>
      </c>
      <c r="B1432" t="s">
        <v>68</v>
      </c>
      <c r="C1432">
        <v>2020</v>
      </c>
      <c r="D1432">
        <v>12</v>
      </c>
      <c r="E1432" t="s">
        <v>57</v>
      </c>
      <c r="F1432" t="s">
        <v>38</v>
      </c>
      <c r="G1432">
        <v>27</v>
      </c>
      <c r="H1432" t="s">
        <v>20</v>
      </c>
      <c r="I1432">
        <v>5098.3900000000003</v>
      </c>
      <c r="J1432">
        <v>5916.56</v>
      </c>
      <c r="K1432">
        <v>5760.9</v>
      </c>
      <c r="L1432">
        <v>923.06</v>
      </c>
      <c r="M1432">
        <v>16775.849999999999</v>
      </c>
      <c r="N1432">
        <v>17698.91</v>
      </c>
    </row>
    <row r="1433" spans="1:14" x14ac:dyDescent="0.3">
      <c r="A1433" s="2">
        <v>44166</v>
      </c>
      <c r="B1433" t="s">
        <v>68</v>
      </c>
      <c r="C1433">
        <v>2020</v>
      </c>
      <c r="D1433">
        <v>12</v>
      </c>
      <c r="E1433" t="s">
        <v>57</v>
      </c>
      <c r="F1433" t="s">
        <v>39</v>
      </c>
      <c r="G1433">
        <v>14</v>
      </c>
      <c r="H1433" t="s">
        <v>20</v>
      </c>
      <c r="I1433">
        <v>15.09</v>
      </c>
      <c r="J1433">
        <v>20.29</v>
      </c>
      <c r="K1433">
        <v>5.18</v>
      </c>
      <c r="L1433">
        <v>0.13</v>
      </c>
      <c r="M1433">
        <v>40.56</v>
      </c>
      <c r="N1433">
        <v>40.69</v>
      </c>
    </row>
    <row r="1434" spans="1:14" x14ac:dyDescent="0.3">
      <c r="A1434" s="2">
        <v>44166</v>
      </c>
      <c r="B1434" t="s">
        <v>68</v>
      </c>
      <c r="C1434">
        <v>2020</v>
      </c>
      <c r="D1434">
        <v>12</v>
      </c>
      <c r="E1434" t="s">
        <v>57</v>
      </c>
      <c r="F1434" t="s">
        <v>40</v>
      </c>
      <c r="G1434">
        <v>17</v>
      </c>
      <c r="H1434" t="s">
        <v>20</v>
      </c>
      <c r="I1434">
        <v>19.309999999999999</v>
      </c>
      <c r="J1434">
        <v>27.79</v>
      </c>
      <c r="K1434">
        <v>58.45</v>
      </c>
      <c r="L1434">
        <v>0.33</v>
      </c>
      <c r="M1434">
        <v>105.55</v>
      </c>
      <c r="N1434">
        <v>105.88</v>
      </c>
    </row>
    <row r="1435" spans="1:14" x14ac:dyDescent="0.3">
      <c r="A1435" s="2">
        <v>44166</v>
      </c>
      <c r="B1435" t="s">
        <v>68</v>
      </c>
      <c r="C1435">
        <v>2020</v>
      </c>
      <c r="D1435">
        <v>12</v>
      </c>
      <c r="E1435" t="s">
        <v>57</v>
      </c>
      <c r="F1435" t="s">
        <v>41</v>
      </c>
      <c r="G1435">
        <v>15</v>
      </c>
      <c r="H1435" t="s">
        <v>20</v>
      </c>
      <c r="I1435">
        <v>7.61</v>
      </c>
      <c r="J1435">
        <v>11.55</v>
      </c>
      <c r="K1435">
        <v>6.22</v>
      </c>
      <c r="L1435">
        <v>0.01</v>
      </c>
      <c r="M1435">
        <v>25.38</v>
      </c>
      <c r="N1435">
        <v>25.39</v>
      </c>
    </row>
    <row r="1436" spans="1:14" x14ac:dyDescent="0.3">
      <c r="A1436" s="2">
        <v>44166</v>
      </c>
      <c r="B1436" t="s">
        <v>68</v>
      </c>
      <c r="C1436">
        <v>2020</v>
      </c>
      <c r="D1436">
        <v>12</v>
      </c>
      <c r="E1436" t="s">
        <v>57</v>
      </c>
      <c r="F1436" t="s">
        <v>42</v>
      </c>
      <c r="G1436">
        <v>13</v>
      </c>
      <c r="H1436" t="s">
        <v>20</v>
      </c>
      <c r="I1436">
        <v>15.62</v>
      </c>
      <c r="J1436">
        <v>17.739999999999998</v>
      </c>
      <c r="K1436">
        <v>4.5199999999999996</v>
      </c>
      <c r="L1436">
        <v>0.34</v>
      </c>
      <c r="M1436">
        <v>37.880000000000003</v>
      </c>
      <c r="N1436">
        <v>38.22</v>
      </c>
    </row>
    <row r="1437" spans="1:14" x14ac:dyDescent="0.3">
      <c r="A1437" s="2">
        <v>44166</v>
      </c>
      <c r="B1437" t="s">
        <v>68</v>
      </c>
      <c r="C1437">
        <v>2020</v>
      </c>
      <c r="D1437">
        <v>12</v>
      </c>
      <c r="E1437" t="s">
        <v>57</v>
      </c>
      <c r="F1437" t="s">
        <v>43</v>
      </c>
      <c r="G1437">
        <v>21</v>
      </c>
      <c r="H1437" t="s">
        <v>20</v>
      </c>
      <c r="I1437">
        <v>589.41</v>
      </c>
      <c r="J1437">
        <v>765.26</v>
      </c>
      <c r="K1437">
        <v>965.75</v>
      </c>
      <c r="L1437">
        <v>539.78</v>
      </c>
      <c r="M1437">
        <v>2320.42</v>
      </c>
      <c r="N1437">
        <v>2860.2</v>
      </c>
    </row>
    <row r="1438" spans="1:14" x14ac:dyDescent="0.3">
      <c r="A1438" s="2">
        <v>44166</v>
      </c>
      <c r="B1438" t="s">
        <v>68</v>
      </c>
      <c r="C1438">
        <v>2020</v>
      </c>
      <c r="D1438">
        <v>12</v>
      </c>
      <c r="E1438" t="s">
        <v>57</v>
      </c>
      <c r="F1438" t="s">
        <v>44</v>
      </c>
      <c r="G1438">
        <v>34</v>
      </c>
      <c r="H1438" t="s">
        <v>18</v>
      </c>
      <c r="I1438">
        <v>19.46</v>
      </c>
      <c r="J1438">
        <v>30.18</v>
      </c>
      <c r="K1438">
        <v>109.13</v>
      </c>
      <c r="L1438">
        <v>0.23</v>
      </c>
      <c r="M1438">
        <v>158.77000000000001</v>
      </c>
      <c r="N1438">
        <v>159</v>
      </c>
    </row>
    <row r="1439" spans="1:14" x14ac:dyDescent="0.3">
      <c r="A1439" s="2">
        <v>44166</v>
      </c>
      <c r="B1439" t="s">
        <v>68</v>
      </c>
      <c r="C1439">
        <v>2020</v>
      </c>
      <c r="D1439">
        <v>12</v>
      </c>
      <c r="E1439" t="s">
        <v>57</v>
      </c>
      <c r="F1439" t="s">
        <v>45</v>
      </c>
      <c r="G1439">
        <v>3</v>
      </c>
      <c r="H1439" t="s">
        <v>20</v>
      </c>
      <c r="I1439">
        <v>341.87</v>
      </c>
      <c r="J1439">
        <v>531.67999999999995</v>
      </c>
      <c r="K1439">
        <v>469.66</v>
      </c>
      <c r="L1439">
        <v>9.5500000000000007</v>
      </c>
      <c r="M1439">
        <v>1343.21</v>
      </c>
      <c r="N1439">
        <v>1352.76</v>
      </c>
    </row>
    <row r="1440" spans="1:14" x14ac:dyDescent="0.3">
      <c r="A1440" s="2">
        <v>44166</v>
      </c>
      <c r="B1440" t="s">
        <v>68</v>
      </c>
      <c r="C1440">
        <v>2020</v>
      </c>
      <c r="D1440">
        <v>12</v>
      </c>
      <c r="E1440" t="s">
        <v>57</v>
      </c>
      <c r="F1440" t="s">
        <v>46</v>
      </c>
      <c r="G1440">
        <v>8</v>
      </c>
      <c r="H1440" t="s">
        <v>20</v>
      </c>
      <c r="I1440">
        <v>790.71</v>
      </c>
      <c r="J1440">
        <v>1095.77</v>
      </c>
      <c r="K1440">
        <v>1078.97</v>
      </c>
      <c r="L1440">
        <v>170</v>
      </c>
      <c r="M1440">
        <v>2965.45</v>
      </c>
      <c r="N1440">
        <v>3135.45</v>
      </c>
    </row>
    <row r="1441" spans="1:14" x14ac:dyDescent="0.3">
      <c r="A1441" s="2">
        <v>44166</v>
      </c>
      <c r="B1441" t="s">
        <v>68</v>
      </c>
      <c r="C1441">
        <v>2020</v>
      </c>
      <c r="D1441">
        <v>12</v>
      </c>
      <c r="E1441" t="s">
        <v>57</v>
      </c>
      <c r="F1441" t="s">
        <v>47</v>
      </c>
      <c r="G1441">
        <v>11</v>
      </c>
      <c r="H1441" t="s">
        <v>20</v>
      </c>
      <c r="I1441">
        <v>13.06</v>
      </c>
      <c r="J1441">
        <v>18.78</v>
      </c>
      <c r="K1441">
        <v>193.18</v>
      </c>
      <c r="L1441">
        <v>0.11</v>
      </c>
      <c r="M1441">
        <v>225.02</v>
      </c>
      <c r="N1441">
        <v>225.13</v>
      </c>
    </row>
    <row r="1442" spans="1:14" x14ac:dyDescent="0.3">
      <c r="A1442" s="2">
        <v>44166</v>
      </c>
      <c r="B1442" t="s">
        <v>68</v>
      </c>
      <c r="C1442">
        <v>2020</v>
      </c>
      <c r="D1442">
        <v>12</v>
      </c>
      <c r="E1442" t="s">
        <v>57</v>
      </c>
      <c r="F1442" t="s">
        <v>48</v>
      </c>
      <c r="G1442">
        <v>33</v>
      </c>
      <c r="H1442" t="s">
        <v>20</v>
      </c>
      <c r="I1442">
        <v>1814.91</v>
      </c>
      <c r="J1442">
        <v>2427.4299999999998</v>
      </c>
      <c r="K1442">
        <v>2148.9699999999998</v>
      </c>
      <c r="L1442">
        <v>513.6</v>
      </c>
      <c r="M1442">
        <v>6391.31</v>
      </c>
      <c r="N1442">
        <v>6904.91</v>
      </c>
    </row>
    <row r="1443" spans="1:14" x14ac:dyDescent="0.3">
      <c r="A1443" s="2">
        <v>44166</v>
      </c>
      <c r="B1443" t="s">
        <v>68</v>
      </c>
      <c r="C1443">
        <v>2020</v>
      </c>
      <c r="D1443">
        <v>12</v>
      </c>
      <c r="E1443" t="s">
        <v>57</v>
      </c>
      <c r="F1443" t="s">
        <v>49</v>
      </c>
      <c r="G1443">
        <v>36</v>
      </c>
      <c r="H1443" t="s">
        <v>20</v>
      </c>
      <c r="I1443">
        <v>869.85</v>
      </c>
      <c r="J1443">
        <v>1154.53</v>
      </c>
      <c r="K1443">
        <v>1032.49</v>
      </c>
      <c r="L1443">
        <v>486.5</v>
      </c>
      <c r="M1443">
        <v>3056.87</v>
      </c>
      <c r="N1443">
        <v>3543.37</v>
      </c>
    </row>
    <row r="1444" spans="1:14" x14ac:dyDescent="0.3">
      <c r="A1444" s="2">
        <v>44166</v>
      </c>
      <c r="B1444" t="s">
        <v>68</v>
      </c>
      <c r="C1444">
        <v>2020</v>
      </c>
      <c r="D1444">
        <v>12</v>
      </c>
      <c r="E1444" t="s">
        <v>57</v>
      </c>
      <c r="F1444" t="s">
        <v>50</v>
      </c>
      <c r="G1444">
        <v>16</v>
      </c>
      <c r="H1444" t="s">
        <v>20</v>
      </c>
      <c r="I1444">
        <v>27.68</v>
      </c>
      <c r="J1444">
        <v>39.97</v>
      </c>
      <c r="K1444">
        <v>6.48</v>
      </c>
      <c r="L1444">
        <v>0.15</v>
      </c>
      <c r="M1444">
        <v>74.13</v>
      </c>
      <c r="N1444">
        <v>74.28</v>
      </c>
    </row>
    <row r="1445" spans="1:14" x14ac:dyDescent="0.3">
      <c r="A1445" s="2">
        <v>44166</v>
      </c>
      <c r="B1445" t="s">
        <v>68</v>
      </c>
      <c r="C1445">
        <v>2020</v>
      </c>
      <c r="D1445">
        <v>12</v>
      </c>
      <c r="E1445" t="s">
        <v>57</v>
      </c>
      <c r="F1445" t="s">
        <v>51</v>
      </c>
      <c r="G1445">
        <v>9</v>
      </c>
      <c r="H1445" t="s">
        <v>20</v>
      </c>
      <c r="I1445">
        <v>1342.98</v>
      </c>
      <c r="J1445">
        <v>1997.9</v>
      </c>
      <c r="K1445">
        <v>1537.24</v>
      </c>
      <c r="L1445">
        <v>1058.8</v>
      </c>
      <c r="M1445">
        <v>4878.12</v>
      </c>
      <c r="N1445">
        <v>5936.92</v>
      </c>
    </row>
    <row r="1446" spans="1:14" x14ac:dyDescent="0.3">
      <c r="A1446" s="2">
        <v>44166</v>
      </c>
      <c r="B1446" t="s">
        <v>68</v>
      </c>
      <c r="C1446">
        <v>2020</v>
      </c>
      <c r="D1446">
        <v>12</v>
      </c>
      <c r="E1446" t="s">
        <v>57</v>
      </c>
      <c r="F1446" t="s">
        <v>52</v>
      </c>
      <c r="G1446">
        <v>5</v>
      </c>
      <c r="H1446" t="s">
        <v>20</v>
      </c>
      <c r="I1446">
        <v>209.08</v>
      </c>
      <c r="J1446">
        <v>337.54</v>
      </c>
      <c r="K1446">
        <v>690.11</v>
      </c>
      <c r="L1446">
        <v>9.07</v>
      </c>
      <c r="M1446">
        <v>1236.73</v>
      </c>
      <c r="N1446">
        <v>1245.8</v>
      </c>
    </row>
    <row r="1447" spans="1:14" x14ac:dyDescent="0.3">
      <c r="A1447" s="2">
        <v>44166</v>
      </c>
      <c r="B1447" t="s">
        <v>68</v>
      </c>
      <c r="C1447">
        <v>2020</v>
      </c>
      <c r="D1447">
        <v>12</v>
      </c>
      <c r="E1447" t="s">
        <v>57</v>
      </c>
      <c r="F1447" t="s">
        <v>53</v>
      </c>
      <c r="G1447">
        <v>19</v>
      </c>
      <c r="H1447" t="s">
        <v>20</v>
      </c>
      <c r="I1447">
        <v>1221.6600000000001</v>
      </c>
      <c r="J1447">
        <v>1555.14</v>
      </c>
      <c r="K1447">
        <v>1043.05</v>
      </c>
      <c r="L1447">
        <v>294.5</v>
      </c>
      <c r="M1447">
        <v>3819.85</v>
      </c>
      <c r="N1447">
        <v>4114.3500000000004</v>
      </c>
    </row>
    <row r="1448" spans="1:14" x14ac:dyDescent="0.3">
      <c r="A1448" s="2">
        <v>44197</v>
      </c>
      <c r="B1448" t="s">
        <v>68</v>
      </c>
      <c r="C1448">
        <v>2021</v>
      </c>
      <c r="D1448">
        <v>1</v>
      </c>
      <c r="E1448" t="s">
        <v>58</v>
      </c>
      <c r="F1448" t="s">
        <v>17</v>
      </c>
      <c r="G1448">
        <v>35</v>
      </c>
      <c r="H1448" t="s">
        <v>18</v>
      </c>
      <c r="I1448">
        <v>7.67</v>
      </c>
      <c r="J1448">
        <v>10.94</v>
      </c>
      <c r="K1448">
        <v>1.88</v>
      </c>
      <c r="L1448">
        <v>0.03</v>
      </c>
      <c r="M1448">
        <v>20.49</v>
      </c>
      <c r="N1448">
        <v>20.52</v>
      </c>
    </row>
    <row r="1449" spans="1:14" x14ac:dyDescent="0.3">
      <c r="A1449" s="2">
        <v>44197</v>
      </c>
      <c r="B1449" t="s">
        <v>68</v>
      </c>
      <c r="C1449">
        <v>2021</v>
      </c>
      <c r="D1449">
        <v>1</v>
      </c>
      <c r="E1449" t="s">
        <v>58</v>
      </c>
      <c r="F1449" t="s">
        <v>19</v>
      </c>
      <c r="G1449">
        <v>28</v>
      </c>
      <c r="H1449" t="s">
        <v>20</v>
      </c>
      <c r="I1449">
        <v>673.6</v>
      </c>
      <c r="J1449">
        <v>922.79</v>
      </c>
      <c r="K1449">
        <v>1102.74</v>
      </c>
      <c r="L1449">
        <v>180.77</v>
      </c>
      <c r="M1449">
        <v>2699.13</v>
      </c>
      <c r="N1449">
        <v>2879.9</v>
      </c>
    </row>
    <row r="1450" spans="1:14" x14ac:dyDescent="0.3">
      <c r="A1450" s="2">
        <v>44197</v>
      </c>
      <c r="B1450" t="s">
        <v>68</v>
      </c>
      <c r="C1450">
        <v>2021</v>
      </c>
      <c r="D1450">
        <v>1</v>
      </c>
      <c r="E1450" t="s">
        <v>58</v>
      </c>
      <c r="F1450" t="s">
        <v>21</v>
      </c>
      <c r="G1450">
        <v>12</v>
      </c>
      <c r="H1450" t="s">
        <v>20</v>
      </c>
      <c r="I1450">
        <v>23.48</v>
      </c>
      <c r="J1450">
        <v>29.35</v>
      </c>
      <c r="K1450">
        <v>7.1</v>
      </c>
      <c r="L1450">
        <v>7.0000000000000007E-2</v>
      </c>
      <c r="M1450">
        <v>59.93</v>
      </c>
      <c r="N1450">
        <v>60</v>
      </c>
    </row>
    <row r="1451" spans="1:14" x14ac:dyDescent="0.3">
      <c r="A1451" s="2">
        <v>44197</v>
      </c>
      <c r="B1451" t="s">
        <v>68</v>
      </c>
      <c r="C1451">
        <v>2021</v>
      </c>
      <c r="D1451">
        <v>1</v>
      </c>
      <c r="E1451" t="s">
        <v>58</v>
      </c>
      <c r="F1451" t="s">
        <v>22</v>
      </c>
      <c r="G1451">
        <v>18</v>
      </c>
      <c r="H1451" t="s">
        <v>20</v>
      </c>
      <c r="I1451">
        <v>309.06</v>
      </c>
      <c r="J1451">
        <v>406.6</v>
      </c>
      <c r="K1451">
        <v>290.97000000000003</v>
      </c>
      <c r="L1451">
        <v>43.6</v>
      </c>
      <c r="M1451">
        <v>1006.63</v>
      </c>
      <c r="N1451">
        <v>1050.23</v>
      </c>
    </row>
    <row r="1452" spans="1:14" x14ac:dyDescent="0.3">
      <c r="A1452" s="2">
        <v>44197</v>
      </c>
      <c r="B1452" t="s">
        <v>68</v>
      </c>
      <c r="C1452">
        <v>2021</v>
      </c>
      <c r="D1452">
        <v>1</v>
      </c>
      <c r="E1452" t="s">
        <v>58</v>
      </c>
      <c r="F1452" t="s">
        <v>23</v>
      </c>
      <c r="G1452">
        <v>10</v>
      </c>
      <c r="H1452" t="s">
        <v>20</v>
      </c>
      <c r="I1452">
        <v>316.82</v>
      </c>
      <c r="J1452">
        <v>576.72</v>
      </c>
      <c r="K1452">
        <v>128.4</v>
      </c>
      <c r="L1452">
        <v>168.14</v>
      </c>
      <c r="M1452">
        <v>1021.94</v>
      </c>
      <c r="N1452">
        <v>1190.08</v>
      </c>
    </row>
    <row r="1453" spans="1:14" x14ac:dyDescent="0.3">
      <c r="A1453" s="2">
        <v>44197</v>
      </c>
      <c r="B1453" t="s">
        <v>68</v>
      </c>
      <c r="C1453">
        <v>2021</v>
      </c>
      <c r="D1453">
        <v>1</v>
      </c>
      <c r="E1453" t="s">
        <v>58</v>
      </c>
      <c r="F1453" t="s">
        <v>24</v>
      </c>
      <c r="G1453">
        <v>4</v>
      </c>
      <c r="H1453" t="s">
        <v>18</v>
      </c>
      <c r="I1453">
        <v>29.08</v>
      </c>
      <c r="J1453">
        <v>47.61</v>
      </c>
      <c r="K1453">
        <v>85.97</v>
      </c>
      <c r="L1453">
        <v>2.75</v>
      </c>
      <c r="M1453">
        <v>162.66</v>
      </c>
      <c r="N1453">
        <v>165.41</v>
      </c>
    </row>
    <row r="1454" spans="1:14" x14ac:dyDescent="0.3">
      <c r="A1454" s="2">
        <v>44197</v>
      </c>
      <c r="B1454" t="s">
        <v>68</v>
      </c>
      <c r="C1454">
        <v>2021</v>
      </c>
      <c r="D1454">
        <v>1</v>
      </c>
      <c r="E1454" t="s">
        <v>58</v>
      </c>
      <c r="F1454" t="s">
        <v>25</v>
      </c>
      <c r="G1454">
        <v>22</v>
      </c>
      <c r="H1454" t="s">
        <v>20</v>
      </c>
      <c r="I1454">
        <v>475.6</v>
      </c>
      <c r="J1454">
        <v>558.04</v>
      </c>
      <c r="K1454">
        <v>923.28</v>
      </c>
      <c r="L1454">
        <v>570.17999999999995</v>
      </c>
      <c r="M1454">
        <v>1956.92</v>
      </c>
      <c r="N1454">
        <v>2527.1</v>
      </c>
    </row>
    <row r="1455" spans="1:14" x14ac:dyDescent="0.3">
      <c r="A1455" s="2">
        <v>44197</v>
      </c>
      <c r="B1455" t="s">
        <v>68</v>
      </c>
      <c r="C1455">
        <v>2021</v>
      </c>
      <c r="D1455">
        <v>1</v>
      </c>
      <c r="E1455" t="s">
        <v>58</v>
      </c>
      <c r="F1455" t="s">
        <v>26</v>
      </c>
      <c r="G1455">
        <v>38</v>
      </c>
      <c r="H1455" t="s">
        <v>18</v>
      </c>
      <c r="I1455">
        <v>34.29</v>
      </c>
      <c r="J1455">
        <v>44.03</v>
      </c>
      <c r="K1455">
        <v>203.43</v>
      </c>
      <c r="L1455">
        <v>0.34</v>
      </c>
      <c r="M1455">
        <v>281.75</v>
      </c>
      <c r="N1455">
        <v>282.08999999999997</v>
      </c>
    </row>
    <row r="1456" spans="1:14" x14ac:dyDescent="0.3">
      <c r="A1456" s="2">
        <v>44197</v>
      </c>
      <c r="B1456" t="s">
        <v>68</v>
      </c>
      <c r="C1456">
        <v>2021</v>
      </c>
      <c r="D1456">
        <v>1</v>
      </c>
      <c r="E1456" t="s">
        <v>58</v>
      </c>
      <c r="F1456" t="s">
        <v>27</v>
      </c>
      <c r="G1456">
        <v>7</v>
      </c>
      <c r="H1456" t="s">
        <v>18</v>
      </c>
      <c r="I1456">
        <v>713.35</v>
      </c>
      <c r="J1456">
        <v>922.79</v>
      </c>
      <c r="K1456">
        <v>2039.99</v>
      </c>
      <c r="L1456">
        <v>111.07</v>
      </c>
      <c r="M1456">
        <v>3676.13</v>
      </c>
      <c r="N1456">
        <v>3787.2</v>
      </c>
    </row>
    <row r="1457" spans="1:14" x14ac:dyDescent="0.3">
      <c r="A1457" s="2">
        <v>44197</v>
      </c>
      <c r="B1457" t="s">
        <v>68</v>
      </c>
      <c r="C1457">
        <v>2021</v>
      </c>
      <c r="D1457">
        <v>1</v>
      </c>
      <c r="E1457" t="s">
        <v>58</v>
      </c>
      <c r="F1457" t="s">
        <v>28</v>
      </c>
      <c r="G1457">
        <v>30</v>
      </c>
      <c r="H1457" t="s">
        <v>20</v>
      </c>
      <c r="I1457">
        <v>95.64</v>
      </c>
      <c r="J1457">
        <v>135.22999999999999</v>
      </c>
      <c r="K1457">
        <v>144.55000000000001</v>
      </c>
      <c r="L1457">
        <v>2.34</v>
      </c>
      <c r="M1457">
        <v>375.42</v>
      </c>
      <c r="N1457">
        <v>377.76</v>
      </c>
    </row>
    <row r="1458" spans="1:14" x14ac:dyDescent="0.3">
      <c r="A1458" s="2">
        <v>44197</v>
      </c>
      <c r="B1458" t="s">
        <v>68</v>
      </c>
      <c r="C1458">
        <v>2021</v>
      </c>
      <c r="D1458">
        <v>1</v>
      </c>
      <c r="E1458" t="s">
        <v>58</v>
      </c>
      <c r="F1458" t="s">
        <v>29</v>
      </c>
      <c r="G1458">
        <v>24</v>
      </c>
      <c r="H1458" t="s">
        <v>20</v>
      </c>
      <c r="I1458">
        <v>2175.58</v>
      </c>
      <c r="J1458">
        <v>2664.01</v>
      </c>
      <c r="K1458">
        <v>2612.96</v>
      </c>
      <c r="L1458">
        <v>514.35</v>
      </c>
      <c r="M1458">
        <v>7452.55</v>
      </c>
      <c r="N1458">
        <v>7966.9</v>
      </c>
    </row>
    <row r="1459" spans="1:14" x14ac:dyDescent="0.3">
      <c r="A1459" s="2">
        <v>44197</v>
      </c>
      <c r="B1459" t="s">
        <v>68</v>
      </c>
      <c r="C1459">
        <v>2021</v>
      </c>
      <c r="D1459">
        <v>1</v>
      </c>
      <c r="E1459" t="s">
        <v>58</v>
      </c>
      <c r="F1459" t="s">
        <v>30</v>
      </c>
      <c r="G1459">
        <v>6</v>
      </c>
      <c r="H1459" t="s">
        <v>20</v>
      </c>
      <c r="I1459">
        <v>926.71</v>
      </c>
      <c r="J1459">
        <v>1286.9100000000001</v>
      </c>
      <c r="K1459">
        <v>3258.17</v>
      </c>
      <c r="L1459">
        <v>430.19</v>
      </c>
      <c r="M1459">
        <v>5471.79</v>
      </c>
      <c r="N1459">
        <v>5901.98</v>
      </c>
    </row>
    <row r="1460" spans="1:14" x14ac:dyDescent="0.3">
      <c r="A1460" s="2">
        <v>44197</v>
      </c>
      <c r="B1460" t="s">
        <v>68</v>
      </c>
      <c r="C1460">
        <v>2021</v>
      </c>
      <c r="D1460">
        <v>1</v>
      </c>
      <c r="E1460" t="s">
        <v>58</v>
      </c>
      <c r="F1460" t="s">
        <v>31</v>
      </c>
      <c r="G1460">
        <v>2</v>
      </c>
      <c r="H1460" t="s">
        <v>20</v>
      </c>
      <c r="I1460">
        <v>117.58</v>
      </c>
      <c r="J1460">
        <v>173.84</v>
      </c>
      <c r="K1460">
        <v>420.2</v>
      </c>
      <c r="L1460">
        <v>1.66</v>
      </c>
      <c r="M1460">
        <v>711.62</v>
      </c>
      <c r="N1460">
        <v>713.28</v>
      </c>
    </row>
    <row r="1461" spans="1:14" x14ac:dyDescent="0.3">
      <c r="A1461" s="2">
        <v>44197</v>
      </c>
      <c r="B1461" t="s">
        <v>68</v>
      </c>
      <c r="C1461">
        <v>2021</v>
      </c>
      <c r="D1461">
        <v>1</v>
      </c>
      <c r="E1461" t="s">
        <v>58</v>
      </c>
      <c r="F1461" t="s">
        <v>32</v>
      </c>
      <c r="G1461">
        <v>1</v>
      </c>
      <c r="H1461" t="s">
        <v>18</v>
      </c>
      <c r="I1461">
        <v>105.16</v>
      </c>
      <c r="J1461">
        <v>173.06</v>
      </c>
      <c r="K1461">
        <v>93.79</v>
      </c>
      <c r="L1461">
        <v>2.39</v>
      </c>
      <c r="M1461">
        <v>372.01</v>
      </c>
      <c r="N1461">
        <v>374.4</v>
      </c>
    </row>
    <row r="1462" spans="1:14" x14ac:dyDescent="0.3">
      <c r="A1462" s="2">
        <v>44197</v>
      </c>
      <c r="B1462" t="s">
        <v>68</v>
      </c>
      <c r="C1462">
        <v>2021</v>
      </c>
      <c r="D1462">
        <v>1</v>
      </c>
      <c r="E1462" t="s">
        <v>58</v>
      </c>
      <c r="F1462" t="s">
        <v>33</v>
      </c>
      <c r="G1462">
        <v>20</v>
      </c>
      <c r="H1462" t="s">
        <v>20</v>
      </c>
      <c r="I1462">
        <v>383.54</v>
      </c>
      <c r="J1462">
        <v>522.58000000000004</v>
      </c>
      <c r="K1462">
        <v>975.91</v>
      </c>
      <c r="L1462">
        <v>412.2</v>
      </c>
      <c r="M1462">
        <v>1882.03</v>
      </c>
      <c r="N1462">
        <v>2294.23</v>
      </c>
    </row>
    <row r="1463" spans="1:14" x14ac:dyDescent="0.3">
      <c r="A1463" s="2">
        <v>44197</v>
      </c>
      <c r="B1463" t="s">
        <v>68</v>
      </c>
      <c r="C1463">
        <v>2021</v>
      </c>
      <c r="D1463">
        <v>1</v>
      </c>
      <c r="E1463" t="s">
        <v>58</v>
      </c>
      <c r="F1463" t="s">
        <v>34</v>
      </c>
      <c r="G1463">
        <v>29</v>
      </c>
      <c r="H1463" t="s">
        <v>20</v>
      </c>
      <c r="I1463">
        <v>1813.82</v>
      </c>
      <c r="J1463">
        <v>2346.21</v>
      </c>
      <c r="K1463">
        <v>3101.01</v>
      </c>
      <c r="L1463">
        <v>716.34</v>
      </c>
      <c r="M1463">
        <v>7261.04</v>
      </c>
      <c r="N1463">
        <v>7977.38</v>
      </c>
    </row>
    <row r="1464" spans="1:14" x14ac:dyDescent="0.3">
      <c r="A1464" s="2">
        <v>44197</v>
      </c>
      <c r="B1464" t="s">
        <v>68</v>
      </c>
      <c r="C1464">
        <v>2021</v>
      </c>
      <c r="D1464">
        <v>1</v>
      </c>
      <c r="E1464" t="s">
        <v>58</v>
      </c>
      <c r="F1464" t="s">
        <v>35</v>
      </c>
      <c r="G1464">
        <v>32</v>
      </c>
      <c r="H1464" t="s">
        <v>20</v>
      </c>
      <c r="I1464">
        <v>628.46</v>
      </c>
      <c r="J1464">
        <v>946.46</v>
      </c>
      <c r="K1464">
        <v>345.32</v>
      </c>
      <c r="L1464">
        <v>13.38</v>
      </c>
      <c r="M1464">
        <v>1920.24</v>
      </c>
      <c r="N1464">
        <v>1933.62</v>
      </c>
    </row>
    <row r="1465" spans="1:14" x14ac:dyDescent="0.3">
      <c r="A1465" s="2">
        <v>44197</v>
      </c>
      <c r="B1465" t="s">
        <v>68</v>
      </c>
      <c r="C1465">
        <v>2021</v>
      </c>
      <c r="D1465">
        <v>1</v>
      </c>
      <c r="E1465" t="s">
        <v>58</v>
      </c>
      <c r="F1465" t="s">
        <v>67</v>
      </c>
      <c r="G1465">
        <v>37</v>
      </c>
      <c r="H1465" t="s">
        <v>18</v>
      </c>
      <c r="I1465">
        <v>4.9400000000000004</v>
      </c>
      <c r="J1465">
        <v>8.0299999999999994</v>
      </c>
      <c r="K1465">
        <v>1.99</v>
      </c>
      <c r="L1465">
        <v>0.13</v>
      </c>
      <c r="M1465">
        <v>14.96</v>
      </c>
      <c r="N1465">
        <v>15.09</v>
      </c>
    </row>
    <row r="1466" spans="1:14" x14ac:dyDescent="0.3">
      <c r="A1466" s="2">
        <v>44197</v>
      </c>
      <c r="B1466" t="s">
        <v>68</v>
      </c>
      <c r="C1466">
        <v>2021</v>
      </c>
      <c r="D1466">
        <v>1</v>
      </c>
      <c r="E1466" t="s">
        <v>58</v>
      </c>
      <c r="F1466" t="s">
        <v>36</v>
      </c>
      <c r="G1466">
        <v>31</v>
      </c>
      <c r="H1466" t="s">
        <v>18</v>
      </c>
      <c r="I1466">
        <v>1.22</v>
      </c>
      <c r="J1466">
        <v>1.32</v>
      </c>
      <c r="K1466">
        <v>0.02</v>
      </c>
      <c r="L1466">
        <v>0</v>
      </c>
      <c r="M1466">
        <v>2.56</v>
      </c>
      <c r="N1466">
        <v>2.56</v>
      </c>
    </row>
    <row r="1467" spans="1:14" x14ac:dyDescent="0.3">
      <c r="A1467" s="2">
        <v>44197</v>
      </c>
      <c r="B1467" t="s">
        <v>68</v>
      </c>
      <c r="C1467">
        <v>2021</v>
      </c>
      <c r="D1467">
        <v>1</v>
      </c>
      <c r="E1467" t="s">
        <v>58</v>
      </c>
      <c r="F1467" t="s">
        <v>37</v>
      </c>
      <c r="G1467">
        <v>23</v>
      </c>
      <c r="H1467" t="s">
        <v>20</v>
      </c>
      <c r="I1467">
        <v>660.78</v>
      </c>
      <c r="J1467">
        <v>863.64</v>
      </c>
      <c r="K1467">
        <v>719.97</v>
      </c>
      <c r="L1467">
        <v>511.92</v>
      </c>
      <c r="M1467">
        <v>2244.39</v>
      </c>
      <c r="N1467">
        <v>2756.31</v>
      </c>
    </row>
    <row r="1468" spans="1:14" x14ac:dyDescent="0.3">
      <c r="A1468" s="2">
        <v>44197</v>
      </c>
      <c r="B1468" t="s">
        <v>68</v>
      </c>
      <c r="C1468">
        <v>2021</v>
      </c>
      <c r="D1468">
        <v>1</v>
      </c>
      <c r="E1468" t="s">
        <v>58</v>
      </c>
      <c r="F1468" t="s">
        <v>38</v>
      </c>
      <c r="G1468">
        <v>27</v>
      </c>
      <c r="H1468" t="s">
        <v>20</v>
      </c>
      <c r="I1468">
        <v>4858.3500000000004</v>
      </c>
      <c r="J1468">
        <v>5856.33</v>
      </c>
      <c r="K1468">
        <v>6320.26</v>
      </c>
      <c r="L1468">
        <v>932.49</v>
      </c>
      <c r="M1468">
        <v>17034.939999999999</v>
      </c>
      <c r="N1468">
        <v>17967.43</v>
      </c>
    </row>
    <row r="1469" spans="1:14" x14ac:dyDescent="0.3">
      <c r="A1469" s="2">
        <v>44197</v>
      </c>
      <c r="B1469" t="s">
        <v>68</v>
      </c>
      <c r="C1469">
        <v>2021</v>
      </c>
      <c r="D1469">
        <v>1</v>
      </c>
      <c r="E1469" t="s">
        <v>58</v>
      </c>
      <c r="F1469" t="s">
        <v>39</v>
      </c>
      <c r="G1469">
        <v>14</v>
      </c>
      <c r="H1469" t="s">
        <v>20</v>
      </c>
      <c r="I1469">
        <v>13.83</v>
      </c>
      <c r="J1469">
        <v>22.51</v>
      </c>
      <c r="K1469">
        <v>2.8</v>
      </c>
      <c r="L1469">
        <v>0.53</v>
      </c>
      <c r="M1469">
        <v>39.14</v>
      </c>
      <c r="N1469">
        <v>39.67</v>
      </c>
    </row>
    <row r="1470" spans="1:14" x14ac:dyDescent="0.3">
      <c r="A1470" s="2">
        <v>44197</v>
      </c>
      <c r="B1470" t="s">
        <v>68</v>
      </c>
      <c r="C1470">
        <v>2021</v>
      </c>
      <c r="D1470">
        <v>1</v>
      </c>
      <c r="E1470" t="s">
        <v>58</v>
      </c>
      <c r="F1470" t="s">
        <v>40</v>
      </c>
      <c r="G1470">
        <v>17</v>
      </c>
      <c r="H1470" t="s">
        <v>20</v>
      </c>
      <c r="I1470">
        <v>24.91</v>
      </c>
      <c r="J1470">
        <v>36.61</v>
      </c>
      <c r="K1470">
        <v>75.38</v>
      </c>
      <c r="L1470">
        <v>0.12</v>
      </c>
      <c r="M1470">
        <v>136.9</v>
      </c>
      <c r="N1470">
        <v>137.02000000000001</v>
      </c>
    </row>
    <row r="1471" spans="1:14" x14ac:dyDescent="0.3">
      <c r="A1471" s="2">
        <v>44197</v>
      </c>
      <c r="B1471" t="s">
        <v>68</v>
      </c>
      <c r="C1471">
        <v>2021</v>
      </c>
      <c r="D1471">
        <v>1</v>
      </c>
      <c r="E1471" t="s">
        <v>58</v>
      </c>
      <c r="F1471" t="s">
        <v>41</v>
      </c>
      <c r="G1471">
        <v>15</v>
      </c>
      <c r="H1471" t="s">
        <v>20</v>
      </c>
      <c r="I1471">
        <v>9.69</v>
      </c>
      <c r="J1471">
        <v>14.62</v>
      </c>
      <c r="K1471">
        <v>13.27</v>
      </c>
      <c r="L1471">
        <v>0.03</v>
      </c>
      <c r="M1471">
        <v>37.58</v>
      </c>
      <c r="N1471">
        <v>37.61</v>
      </c>
    </row>
    <row r="1472" spans="1:14" x14ac:dyDescent="0.3">
      <c r="A1472" s="2">
        <v>44197</v>
      </c>
      <c r="B1472" t="s">
        <v>68</v>
      </c>
      <c r="C1472">
        <v>2021</v>
      </c>
      <c r="D1472">
        <v>1</v>
      </c>
      <c r="E1472" t="s">
        <v>58</v>
      </c>
      <c r="F1472" t="s">
        <v>42</v>
      </c>
      <c r="G1472">
        <v>13</v>
      </c>
      <c r="H1472" t="s">
        <v>20</v>
      </c>
      <c r="I1472">
        <v>17.16</v>
      </c>
      <c r="J1472">
        <v>22.17</v>
      </c>
      <c r="K1472">
        <v>5.74</v>
      </c>
      <c r="L1472">
        <v>0.28000000000000003</v>
      </c>
      <c r="M1472">
        <v>45.07</v>
      </c>
      <c r="N1472">
        <v>45.35</v>
      </c>
    </row>
    <row r="1473" spans="1:14" x14ac:dyDescent="0.3">
      <c r="A1473" s="2">
        <v>44197</v>
      </c>
      <c r="B1473" t="s">
        <v>68</v>
      </c>
      <c r="C1473">
        <v>2021</v>
      </c>
      <c r="D1473">
        <v>1</v>
      </c>
      <c r="E1473" t="s">
        <v>58</v>
      </c>
      <c r="F1473" t="s">
        <v>43</v>
      </c>
      <c r="G1473">
        <v>21</v>
      </c>
      <c r="H1473" t="s">
        <v>20</v>
      </c>
      <c r="I1473">
        <v>609.92999999999995</v>
      </c>
      <c r="J1473">
        <v>777.71</v>
      </c>
      <c r="K1473">
        <v>1158.77</v>
      </c>
      <c r="L1473">
        <v>591.04</v>
      </c>
      <c r="M1473">
        <v>2546.41</v>
      </c>
      <c r="N1473">
        <v>3137.45</v>
      </c>
    </row>
    <row r="1474" spans="1:14" x14ac:dyDescent="0.3">
      <c r="A1474" s="2">
        <v>44197</v>
      </c>
      <c r="B1474" t="s">
        <v>68</v>
      </c>
      <c r="C1474">
        <v>2021</v>
      </c>
      <c r="D1474">
        <v>1</v>
      </c>
      <c r="E1474" t="s">
        <v>58</v>
      </c>
      <c r="F1474" t="s">
        <v>44</v>
      </c>
      <c r="G1474">
        <v>34</v>
      </c>
      <c r="H1474" t="s">
        <v>18</v>
      </c>
      <c r="I1474">
        <v>19.920000000000002</v>
      </c>
      <c r="J1474">
        <v>34.28</v>
      </c>
      <c r="K1474">
        <v>100.46</v>
      </c>
      <c r="L1474">
        <v>1.78</v>
      </c>
      <c r="M1474">
        <v>154.66</v>
      </c>
      <c r="N1474">
        <v>156.44</v>
      </c>
    </row>
    <row r="1475" spans="1:14" x14ac:dyDescent="0.3">
      <c r="A1475" s="2">
        <v>44197</v>
      </c>
      <c r="B1475" t="s">
        <v>68</v>
      </c>
      <c r="C1475">
        <v>2021</v>
      </c>
      <c r="D1475">
        <v>1</v>
      </c>
      <c r="E1475" t="s">
        <v>58</v>
      </c>
      <c r="F1475" t="s">
        <v>45</v>
      </c>
      <c r="G1475">
        <v>3</v>
      </c>
      <c r="H1475" t="s">
        <v>20</v>
      </c>
      <c r="I1475">
        <v>324.76</v>
      </c>
      <c r="J1475">
        <v>566.74</v>
      </c>
      <c r="K1475">
        <v>444.35</v>
      </c>
      <c r="L1475">
        <v>16.11</v>
      </c>
      <c r="M1475">
        <v>1335.85</v>
      </c>
      <c r="N1475">
        <v>1351.96</v>
      </c>
    </row>
    <row r="1476" spans="1:14" x14ac:dyDescent="0.3">
      <c r="A1476" s="2">
        <v>44197</v>
      </c>
      <c r="B1476" t="s">
        <v>68</v>
      </c>
      <c r="C1476">
        <v>2021</v>
      </c>
      <c r="D1476">
        <v>1</v>
      </c>
      <c r="E1476" t="s">
        <v>58</v>
      </c>
      <c r="F1476" t="s">
        <v>46</v>
      </c>
      <c r="G1476">
        <v>8</v>
      </c>
      <c r="H1476" t="s">
        <v>20</v>
      </c>
      <c r="I1476">
        <v>835.13</v>
      </c>
      <c r="J1476">
        <v>1129.3599999999999</v>
      </c>
      <c r="K1476">
        <v>1160.17</v>
      </c>
      <c r="L1476">
        <v>152.94</v>
      </c>
      <c r="M1476">
        <v>3124.66</v>
      </c>
      <c r="N1476">
        <v>3277.6</v>
      </c>
    </row>
    <row r="1477" spans="1:14" x14ac:dyDescent="0.3">
      <c r="A1477" s="2">
        <v>44197</v>
      </c>
      <c r="B1477" t="s">
        <v>68</v>
      </c>
      <c r="C1477">
        <v>2021</v>
      </c>
      <c r="D1477">
        <v>1</v>
      </c>
      <c r="E1477" t="s">
        <v>58</v>
      </c>
      <c r="F1477" t="s">
        <v>47</v>
      </c>
      <c r="G1477">
        <v>11</v>
      </c>
      <c r="H1477" t="s">
        <v>20</v>
      </c>
      <c r="I1477">
        <v>12.24</v>
      </c>
      <c r="J1477">
        <v>15.71</v>
      </c>
      <c r="K1477">
        <v>215.75</v>
      </c>
      <c r="L1477">
        <v>0.17</v>
      </c>
      <c r="M1477">
        <v>243.7</v>
      </c>
      <c r="N1477">
        <v>243.87</v>
      </c>
    </row>
    <row r="1478" spans="1:14" x14ac:dyDescent="0.3">
      <c r="A1478" s="2">
        <v>44197</v>
      </c>
      <c r="B1478" t="s">
        <v>68</v>
      </c>
      <c r="C1478">
        <v>2021</v>
      </c>
      <c r="D1478">
        <v>1</v>
      </c>
      <c r="E1478" t="s">
        <v>58</v>
      </c>
      <c r="F1478" t="s">
        <v>48</v>
      </c>
      <c r="G1478">
        <v>33</v>
      </c>
      <c r="H1478" t="s">
        <v>20</v>
      </c>
      <c r="I1478">
        <v>1865.72</v>
      </c>
      <c r="J1478">
        <v>2589.41</v>
      </c>
      <c r="K1478">
        <v>2370.9899999999998</v>
      </c>
      <c r="L1478">
        <v>567.1</v>
      </c>
      <c r="M1478">
        <v>6826.12</v>
      </c>
      <c r="N1478">
        <v>7393.22</v>
      </c>
    </row>
    <row r="1479" spans="1:14" x14ac:dyDescent="0.3">
      <c r="A1479" s="2">
        <v>44197</v>
      </c>
      <c r="B1479" t="s">
        <v>68</v>
      </c>
      <c r="C1479">
        <v>2021</v>
      </c>
      <c r="D1479">
        <v>1</v>
      </c>
      <c r="E1479" t="s">
        <v>58</v>
      </c>
      <c r="F1479" t="s">
        <v>49</v>
      </c>
      <c r="G1479">
        <v>36</v>
      </c>
      <c r="H1479" t="s">
        <v>20</v>
      </c>
      <c r="I1479">
        <v>958.19</v>
      </c>
      <c r="J1479">
        <v>1307.47</v>
      </c>
      <c r="K1479">
        <v>1109.53</v>
      </c>
      <c r="L1479">
        <v>508.3</v>
      </c>
      <c r="M1479">
        <v>3375.19</v>
      </c>
      <c r="N1479">
        <v>3883.49</v>
      </c>
    </row>
    <row r="1480" spans="1:14" x14ac:dyDescent="0.3">
      <c r="A1480" s="2">
        <v>44197</v>
      </c>
      <c r="B1480" t="s">
        <v>68</v>
      </c>
      <c r="C1480">
        <v>2021</v>
      </c>
      <c r="D1480">
        <v>1</v>
      </c>
      <c r="E1480" t="s">
        <v>58</v>
      </c>
      <c r="F1480" t="s">
        <v>50</v>
      </c>
      <c r="G1480">
        <v>16</v>
      </c>
      <c r="H1480" t="s">
        <v>20</v>
      </c>
      <c r="I1480">
        <v>25.15</v>
      </c>
      <c r="J1480">
        <v>35.35</v>
      </c>
      <c r="K1480">
        <v>9.5299999999999994</v>
      </c>
      <c r="L1480">
        <v>0.44</v>
      </c>
      <c r="M1480">
        <v>70.03</v>
      </c>
      <c r="N1480">
        <v>70.47</v>
      </c>
    </row>
    <row r="1481" spans="1:14" x14ac:dyDescent="0.3">
      <c r="A1481" s="2">
        <v>44197</v>
      </c>
      <c r="B1481" t="s">
        <v>68</v>
      </c>
      <c r="C1481">
        <v>2021</v>
      </c>
      <c r="D1481">
        <v>1</v>
      </c>
      <c r="E1481" t="s">
        <v>58</v>
      </c>
      <c r="F1481" t="s">
        <v>51</v>
      </c>
      <c r="G1481">
        <v>9</v>
      </c>
      <c r="H1481" t="s">
        <v>20</v>
      </c>
      <c r="I1481">
        <v>1358.1</v>
      </c>
      <c r="J1481">
        <v>2037.09</v>
      </c>
      <c r="K1481">
        <v>1526.81</v>
      </c>
      <c r="L1481">
        <v>963.7</v>
      </c>
      <c r="M1481">
        <v>4922</v>
      </c>
      <c r="N1481">
        <v>5885.7</v>
      </c>
    </row>
    <row r="1482" spans="1:14" x14ac:dyDescent="0.3">
      <c r="A1482" s="2">
        <v>44197</v>
      </c>
      <c r="B1482" t="s">
        <v>68</v>
      </c>
      <c r="C1482">
        <v>2021</v>
      </c>
      <c r="D1482">
        <v>1</v>
      </c>
      <c r="E1482" t="s">
        <v>58</v>
      </c>
      <c r="F1482" t="s">
        <v>52</v>
      </c>
      <c r="G1482">
        <v>5</v>
      </c>
      <c r="H1482" t="s">
        <v>20</v>
      </c>
      <c r="I1482">
        <v>218.53</v>
      </c>
      <c r="J1482">
        <v>327.66000000000003</v>
      </c>
      <c r="K1482">
        <v>669.94</v>
      </c>
      <c r="L1482">
        <v>9.92</v>
      </c>
      <c r="M1482">
        <v>1216.1300000000001</v>
      </c>
      <c r="N1482">
        <v>1226.05</v>
      </c>
    </row>
    <row r="1483" spans="1:14" x14ac:dyDescent="0.3">
      <c r="A1483" s="2">
        <v>44197</v>
      </c>
      <c r="B1483" t="s">
        <v>68</v>
      </c>
      <c r="C1483">
        <v>2021</v>
      </c>
      <c r="D1483">
        <v>1</v>
      </c>
      <c r="E1483" t="s">
        <v>58</v>
      </c>
      <c r="F1483" t="s">
        <v>53</v>
      </c>
      <c r="G1483">
        <v>19</v>
      </c>
      <c r="H1483" t="s">
        <v>20</v>
      </c>
      <c r="I1483">
        <v>1278.23</v>
      </c>
      <c r="J1483">
        <v>1604.54</v>
      </c>
      <c r="K1483">
        <v>1003.56</v>
      </c>
      <c r="L1483">
        <v>312.52999999999997</v>
      </c>
      <c r="M1483">
        <v>3886.33</v>
      </c>
      <c r="N1483">
        <v>4198.8599999999997</v>
      </c>
    </row>
    <row r="1484" spans="1:14" x14ac:dyDescent="0.3">
      <c r="A1484" s="2">
        <v>44228</v>
      </c>
      <c r="B1484" t="s">
        <v>68</v>
      </c>
      <c r="C1484">
        <v>2021</v>
      </c>
      <c r="D1484">
        <v>2</v>
      </c>
      <c r="E1484" t="s">
        <v>59</v>
      </c>
      <c r="F1484" t="s">
        <v>17</v>
      </c>
      <c r="G1484">
        <v>35</v>
      </c>
      <c r="H1484" t="s">
        <v>18</v>
      </c>
      <c r="I1484">
        <v>7.44</v>
      </c>
      <c r="J1484">
        <v>12.77</v>
      </c>
      <c r="K1484">
        <v>2.97</v>
      </c>
      <c r="L1484">
        <v>0.08</v>
      </c>
      <c r="M1484">
        <v>23.18</v>
      </c>
      <c r="N1484">
        <v>23.26</v>
      </c>
    </row>
    <row r="1485" spans="1:14" x14ac:dyDescent="0.3">
      <c r="A1485" s="2">
        <v>44228</v>
      </c>
      <c r="B1485" t="s">
        <v>68</v>
      </c>
      <c r="C1485">
        <v>2021</v>
      </c>
      <c r="D1485">
        <v>2</v>
      </c>
      <c r="E1485" t="s">
        <v>59</v>
      </c>
      <c r="F1485" t="s">
        <v>19</v>
      </c>
      <c r="G1485">
        <v>28</v>
      </c>
      <c r="H1485" t="s">
        <v>20</v>
      </c>
      <c r="I1485">
        <v>592.54999999999995</v>
      </c>
      <c r="J1485">
        <v>814.07</v>
      </c>
      <c r="K1485">
        <v>1016.49</v>
      </c>
      <c r="L1485">
        <v>229.47</v>
      </c>
      <c r="M1485">
        <v>2423.11</v>
      </c>
      <c r="N1485">
        <v>2652.58</v>
      </c>
    </row>
    <row r="1486" spans="1:14" x14ac:dyDescent="0.3">
      <c r="A1486" s="2">
        <v>44228</v>
      </c>
      <c r="B1486" t="s">
        <v>68</v>
      </c>
      <c r="C1486">
        <v>2021</v>
      </c>
      <c r="D1486">
        <v>2</v>
      </c>
      <c r="E1486" t="s">
        <v>59</v>
      </c>
      <c r="F1486" t="s">
        <v>21</v>
      </c>
      <c r="G1486">
        <v>12</v>
      </c>
      <c r="H1486" t="s">
        <v>20</v>
      </c>
      <c r="I1486">
        <v>23.18</v>
      </c>
      <c r="J1486">
        <v>30.55</v>
      </c>
      <c r="K1486">
        <v>7.6</v>
      </c>
      <c r="L1486">
        <v>0.04</v>
      </c>
      <c r="M1486">
        <v>61.33</v>
      </c>
      <c r="N1486">
        <v>61.37</v>
      </c>
    </row>
    <row r="1487" spans="1:14" x14ac:dyDescent="0.3">
      <c r="A1487" s="2">
        <v>44228</v>
      </c>
      <c r="B1487" t="s">
        <v>68</v>
      </c>
      <c r="C1487">
        <v>2021</v>
      </c>
      <c r="D1487">
        <v>2</v>
      </c>
      <c r="E1487" t="s">
        <v>59</v>
      </c>
      <c r="F1487" t="s">
        <v>22</v>
      </c>
      <c r="G1487">
        <v>18</v>
      </c>
      <c r="H1487" t="s">
        <v>20</v>
      </c>
      <c r="I1487">
        <v>288.39999999999998</v>
      </c>
      <c r="J1487">
        <v>374.3</v>
      </c>
      <c r="K1487">
        <v>244.37</v>
      </c>
      <c r="L1487">
        <v>38.770000000000003</v>
      </c>
      <c r="M1487">
        <v>907.07</v>
      </c>
      <c r="N1487">
        <v>945.84</v>
      </c>
    </row>
    <row r="1488" spans="1:14" x14ac:dyDescent="0.3">
      <c r="A1488" s="2">
        <v>44228</v>
      </c>
      <c r="B1488" t="s">
        <v>68</v>
      </c>
      <c r="C1488">
        <v>2021</v>
      </c>
      <c r="D1488">
        <v>2</v>
      </c>
      <c r="E1488" t="s">
        <v>59</v>
      </c>
      <c r="F1488" t="s">
        <v>23</v>
      </c>
      <c r="G1488">
        <v>10</v>
      </c>
      <c r="H1488" t="s">
        <v>20</v>
      </c>
      <c r="I1488">
        <v>302.68</v>
      </c>
      <c r="J1488">
        <v>468.16</v>
      </c>
      <c r="K1488">
        <v>168.6</v>
      </c>
      <c r="L1488">
        <v>188.55</v>
      </c>
      <c r="M1488">
        <v>939.44</v>
      </c>
      <c r="N1488">
        <v>1127.99</v>
      </c>
    </row>
    <row r="1489" spans="1:14" x14ac:dyDescent="0.3">
      <c r="A1489" s="2">
        <v>44228</v>
      </c>
      <c r="B1489" t="s">
        <v>68</v>
      </c>
      <c r="C1489">
        <v>2021</v>
      </c>
      <c r="D1489">
        <v>2</v>
      </c>
      <c r="E1489" t="s">
        <v>59</v>
      </c>
      <c r="F1489" t="s">
        <v>24</v>
      </c>
      <c r="G1489">
        <v>4</v>
      </c>
      <c r="H1489" t="s">
        <v>18</v>
      </c>
      <c r="I1489">
        <v>28.96</v>
      </c>
      <c r="J1489">
        <v>37.94</v>
      </c>
      <c r="K1489">
        <v>81.17</v>
      </c>
      <c r="L1489">
        <v>0.43</v>
      </c>
      <c r="M1489">
        <v>148.07</v>
      </c>
      <c r="N1489">
        <v>148.5</v>
      </c>
    </row>
    <row r="1490" spans="1:14" x14ac:dyDescent="0.3">
      <c r="A1490" s="2">
        <v>44228</v>
      </c>
      <c r="B1490" t="s">
        <v>68</v>
      </c>
      <c r="C1490">
        <v>2021</v>
      </c>
      <c r="D1490">
        <v>2</v>
      </c>
      <c r="E1490" t="s">
        <v>59</v>
      </c>
      <c r="F1490" t="s">
        <v>25</v>
      </c>
      <c r="G1490">
        <v>22</v>
      </c>
      <c r="H1490" t="s">
        <v>20</v>
      </c>
      <c r="I1490">
        <v>456.04</v>
      </c>
      <c r="J1490">
        <v>524.01</v>
      </c>
      <c r="K1490">
        <v>868.97</v>
      </c>
      <c r="L1490">
        <v>604.07000000000005</v>
      </c>
      <c r="M1490">
        <v>1849.02</v>
      </c>
      <c r="N1490">
        <v>2453.09</v>
      </c>
    </row>
    <row r="1491" spans="1:14" x14ac:dyDescent="0.3">
      <c r="A1491" s="2">
        <v>44228</v>
      </c>
      <c r="B1491" t="s">
        <v>68</v>
      </c>
      <c r="C1491">
        <v>2021</v>
      </c>
      <c r="D1491">
        <v>2</v>
      </c>
      <c r="E1491" t="s">
        <v>59</v>
      </c>
      <c r="F1491" t="s">
        <v>26</v>
      </c>
      <c r="G1491">
        <v>38</v>
      </c>
      <c r="H1491" t="s">
        <v>18</v>
      </c>
      <c r="I1491">
        <v>32.82</v>
      </c>
      <c r="J1491">
        <v>42.21</v>
      </c>
      <c r="K1491">
        <v>162.44999999999999</v>
      </c>
      <c r="L1491">
        <v>0.22</v>
      </c>
      <c r="M1491">
        <v>237.48</v>
      </c>
      <c r="N1491">
        <v>237.7</v>
      </c>
    </row>
    <row r="1492" spans="1:14" x14ac:dyDescent="0.3">
      <c r="A1492" s="2">
        <v>44228</v>
      </c>
      <c r="B1492" t="s">
        <v>68</v>
      </c>
      <c r="C1492">
        <v>2021</v>
      </c>
      <c r="D1492">
        <v>2</v>
      </c>
      <c r="E1492" t="s">
        <v>59</v>
      </c>
      <c r="F1492" t="s">
        <v>27</v>
      </c>
      <c r="G1492">
        <v>7</v>
      </c>
      <c r="H1492" t="s">
        <v>18</v>
      </c>
      <c r="I1492">
        <v>720.27</v>
      </c>
      <c r="J1492">
        <v>892.96</v>
      </c>
      <c r="K1492">
        <v>2026.94</v>
      </c>
      <c r="L1492">
        <v>87.29</v>
      </c>
      <c r="M1492">
        <v>3640.17</v>
      </c>
      <c r="N1492">
        <v>3727.46</v>
      </c>
    </row>
    <row r="1493" spans="1:14" x14ac:dyDescent="0.3">
      <c r="A1493" s="2">
        <v>44228</v>
      </c>
      <c r="B1493" t="s">
        <v>68</v>
      </c>
      <c r="C1493">
        <v>2021</v>
      </c>
      <c r="D1493">
        <v>2</v>
      </c>
      <c r="E1493" t="s">
        <v>59</v>
      </c>
      <c r="F1493" t="s">
        <v>28</v>
      </c>
      <c r="G1493">
        <v>30</v>
      </c>
      <c r="H1493" t="s">
        <v>20</v>
      </c>
      <c r="I1493">
        <v>97.41</v>
      </c>
      <c r="J1493">
        <v>128.38</v>
      </c>
      <c r="K1493">
        <v>116.41</v>
      </c>
      <c r="L1493">
        <v>1.59</v>
      </c>
      <c r="M1493">
        <v>342.2</v>
      </c>
      <c r="N1493">
        <v>343.79</v>
      </c>
    </row>
    <row r="1494" spans="1:14" x14ac:dyDescent="0.3">
      <c r="A1494" s="2">
        <v>44228</v>
      </c>
      <c r="B1494" t="s">
        <v>68</v>
      </c>
      <c r="C1494">
        <v>2021</v>
      </c>
      <c r="D1494">
        <v>2</v>
      </c>
      <c r="E1494" t="s">
        <v>59</v>
      </c>
      <c r="F1494" t="s">
        <v>29</v>
      </c>
      <c r="G1494">
        <v>24</v>
      </c>
      <c r="H1494" t="s">
        <v>20</v>
      </c>
      <c r="I1494">
        <v>2217.59</v>
      </c>
      <c r="J1494">
        <v>2727.93</v>
      </c>
      <c r="K1494">
        <v>2645.02</v>
      </c>
      <c r="L1494">
        <v>630.69000000000005</v>
      </c>
      <c r="M1494">
        <v>7590.54</v>
      </c>
      <c r="N1494">
        <v>8221.23</v>
      </c>
    </row>
    <row r="1495" spans="1:14" x14ac:dyDescent="0.3">
      <c r="A1495" s="2">
        <v>44228</v>
      </c>
      <c r="B1495" t="s">
        <v>68</v>
      </c>
      <c r="C1495">
        <v>2021</v>
      </c>
      <c r="D1495">
        <v>2</v>
      </c>
      <c r="E1495" t="s">
        <v>59</v>
      </c>
      <c r="F1495" t="s">
        <v>30</v>
      </c>
      <c r="G1495">
        <v>6</v>
      </c>
      <c r="H1495" t="s">
        <v>20</v>
      </c>
      <c r="I1495">
        <v>859.97</v>
      </c>
      <c r="J1495">
        <v>1198.1500000000001</v>
      </c>
      <c r="K1495">
        <v>3118.85</v>
      </c>
      <c r="L1495">
        <v>412.84</v>
      </c>
      <c r="M1495">
        <v>5176.97</v>
      </c>
      <c r="N1495">
        <v>5589.81</v>
      </c>
    </row>
    <row r="1496" spans="1:14" x14ac:dyDescent="0.3">
      <c r="A1496" s="2">
        <v>44228</v>
      </c>
      <c r="B1496" t="s">
        <v>68</v>
      </c>
      <c r="C1496">
        <v>2021</v>
      </c>
      <c r="D1496">
        <v>2</v>
      </c>
      <c r="E1496" t="s">
        <v>59</v>
      </c>
      <c r="F1496" t="s">
        <v>31</v>
      </c>
      <c r="G1496">
        <v>2</v>
      </c>
      <c r="H1496" t="s">
        <v>20</v>
      </c>
      <c r="I1496">
        <v>108.92</v>
      </c>
      <c r="J1496">
        <v>146.62</v>
      </c>
      <c r="K1496">
        <v>406.83</v>
      </c>
      <c r="L1496">
        <v>0.75</v>
      </c>
      <c r="M1496">
        <v>662.37</v>
      </c>
      <c r="N1496">
        <v>663.12</v>
      </c>
    </row>
    <row r="1497" spans="1:14" x14ac:dyDescent="0.3">
      <c r="A1497" s="2">
        <v>44228</v>
      </c>
      <c r="B1497" t="s">
        <v>68</v>
      </c>
      <c r="C1497">
        <v>2021</v>
      </c>
      <c r="D1497">
        <v>2</v>
      </c>
      <c r="E1497" t="s">
        <v>59</v>
      </c>
      <c r="F1497" t="s">
        <v>32</v>
      </c>
      <c r="G1497">
        <v>1</v>
      </c>
      <c r="H1497" t="s">
        <v>18</v>
      </c>
      <c r="I1497">
        <v>97.22</v>
      </c>
      <c r="J1497">
        <v>141.12</v>
      </c>
      <c r="K1497">
        <v>89.88</v>
      </c>
      <c r="L1497">
        <v>1.67</v>
      </c>
      <c r="M1497">
        <v>328.22</v>
      </c>
      <c r="N1497">
        <v>329.89</v>
      </c>
    </row>
    <row r="1498" spans="1:14" x14ac:dyDescent="0.3">
      <c r="A1498" s="2">
        <v>44228</v>
      </c>
      <c r="B1498" t="s">
        <v>68</v>
      </c>
      <c r="C1498">
        <v>2021</v>
      </c>
      <c r="D1498">
        <v>2</v>
      </c>
      <c r="E1498" t="s">
        <v>59</v>
      </c>
      <c r="F1498" t="s">
        <v>33</v>
      </c>
      <c r="G1498">
        <v>20</v>
      </c>
      <c r="H1498" t="s">
        <v>20</v>
      </c>
      <c r="I1498">
        <v>427.79</v>
      </c>
      <c r="J1498">
        <v>552.95000000000005</v>
      </c>
      <c r="K1498">
        <v>941.19</v>
      </c>
      <c r="L1498">
        <v>399.09</v>
      </c>
      <c r="M1498">
        <v>1921.93</v>
      </c>
      <c r="N1498">
        <v>2321.02</v>
      </c>
    </row>
    <row r="1499" spans="1:14" x14ac:dyDescent="0.3">
      <c r="A1499" s="2">
        <v>44228</v>
      </c>
      <c r="B1499" t="s">
        <v>68</v>
      </c>
      <c r="C1499">
        <v>2021</v>
      </c>
      <c r="D1499">
        <v>2</v>
      </c>
      <c r="E1499" t="s">
        <v>59</v>
      </c>
      <c r="F1499" t="s">
        <v>34</v>
      </c>
      <c r="G1499">
        <v>29</v>
      </c>
      <c r="H1499" t="s">
        <v>20</v>
      </c>
      <c r="I1499">
        <v>1747.06</v>
      </c>
      <c r="J1499">
        <v>2230.65</v>
      </c>
      <c r="K1499">
        <v>2759.87</v>
      </c>
      <c r="L1499">
        <v>843.86</v>
      </c>
      <c r="M1499">
        <v>6737.58</v>
      </c>
      <c r="N1499">
        <v>7581.44</v>
      </c>
    </row>
    <row r="1500" spans="1:14" x14ac:dyDescent="0.3">
      <c r="A1500" s="2">
        <v>44228</v>
      </c>
      <c r="B1500" t="s">
        <v>68</v>
      </c>
      <c r="C1500">
        <v>2021</v>
      </c>
      <c r="D1500">
        <v>2</v>
      </c>
      <c r="E1500" t="s">
        <v>59</v>
      </c>
      <c r="F1500" t="s">
        <v>35</v>
      </c>
      <c r="G1500">
        <v>32</v>
      </c>
      <c r="H1500" t="s">
        <v>20</v>
      </c>
      <c r="I1500">
        <v>599.27</v>
      </c>
      <c r="J1500">
        <v>856.89</v>
      </c>
      <c r="K1500">
        <v>344.42</v>
      </c>
      <c r="L1500">
        <v>5.52</v>
      </c>
      <c r="M1500">
        <v>1800.58</v>
      </c>
      <c r="N1500">
        <v>1806.1</v>
      </c>
    </row>
    <row r="1501" spans="1:14" x14ac:dyDescent="0.3">
      <c r="A1501" s="2">
        <v>44228</v>
      </c>
      <c r="B1501" t="s">
        <v>68</v>
      </c>
      <c r="C1501">
        <v>2021</v>
      </c>
      <c r="D1501">
        <v>2</v>
      </c>
      <c r="E1501" t="s">
        <v>59</v>
      </c>
      <c r="F1501" t="s">
        <v>67</v>
      </c>
      <c r="G1501">
        <v>37</v>
      </c>
      <c r="H1501" t="s">
        <v>18</v>
      </c>
      <c r="I1501">
        <v>3.48</v>
      </c>
      <c r="J1501">
        <v>4.32</v>
      </c>
      <c r="K1501">
        <v>1.25</v>
      </c>
      <c r="L1501">
        <v>0.02</v>
      </c>
      <c r="M1501">
        <v>9.0500000000000007</v>
      </c>
      <c r="N1501">
        <v>9.07</v>
      </c>
    </row>
    <row r="1502" spans="1:14" x14ac:dyDescent="0.3">
      <c r="A1502" s="2">
        <v>44228</v>
      </c>
      <c r="B1502" t="s">
        <v>68</v>
      </c>
      <c r="C1502">
        <v>2021</v>
      </c>
      <c r="D1502">
        <v>2</v>
      </c>
      <c r="E1502" t="s">
        <v>59</v>
      </c>
      <c r="F1502" t="s">
        <v>36</v>
      </c>
      <c r="G1502">
        <v>31</v>
      </c>
      <c r="H1502" t="s">
        <v>18</v>
      </c>
      <c r="I1502">
        <v>0.21</v>
      </c>
      <c r="J1502">
        <v>0.22</v>
      </c>
      <c r="K1502">
        <v>0.02</v>
      </c>
      <c r="L1502">
        <v>0</v>
      </c>
      <c r="M1502">
        <v>0.45</v>
      </c>
      <c r="N1502">
        <v>0.45</v>
      </c>
    </row>
    <row r="1503" spans="1:14" x14ac:dyDescent="0.3">
      <c r="A1503" s="2">
        <v>44228</v>
      </c>
      <c r="B1503" t="s">
        <v>68</v>
      </c>
      <c r="C1503">
        <v>2021</v>
      </c>
      <c r="D1503">
        <v>2</v>
      </c>
      <c r="E1503" t="s">
        <v>59</v>
      </c>
      <c r="F1503" t="s">
        <v>37</v>
      </c>
      <c r="G1503">
        <v>23</v>
      </c>
      <c r="H1503" t="s">
        <v>20</v>
      </c>
      <c r="I1503">
        <v>657.2</v>
      </c>
      <c r="J1503">
        <v>832.56</v>
      </c>
      <c r="K1503">
        <v>712.09</v>
      </c>
      <c r="L1503">
        <v>589.72</v>
      </c>
      <c r="M1503">
        <v>2201.85</v>
      </c>
      <c r="N1503">
        <v>2791.57</v>
      </c>
    </row>
    <row r="1504" spans="1:14" x14ac:dyDescent="0.3">
      <c r="A1504" s="2">
        <v>44228</v>
      </c>
      <c r="B1504" t="s">
        <v>68</v>
      </c>
      <c r="C1504">
        <v>2021</v>
      </c>
      <c r="D1504">
        <v>2</v>
      </c>
      <c r="E1504" t="s">
        <v>59</v>
      </c>
      <c r="F1504" t="s">
        <v>38</v>
      </c>
      <c r="G1504">
        <v>27</v>
      </c>
      <c r="H1504" t="s">
        <v>20</v>
      </c>
      <c r="I1504">
        <v>4469.8999999999996</v>
      </c>
      <c r="J1504">
        <v>5426.54</v>
      </c>
      <c r="K1504">
        <v>5095.79</v>
      </c>
      <c r="L1504">
        <v>1111.27</v>
      </c>
      <c r="M1504">
        <v>14992.23</v>
      </c>
      <c r="N1504">
        <v>16103.5</v>
      </c>
    </row>
    <row r="1505" spans="1:14" x14ac:dyDescent="0.3">
      <c r="A1505" s="2">
        <v>44228</v>
      </c>
      <c r="B1505" t="s">
        <v>68</v>
      </c>
      <c r="C1505">
        <v>2021</v>
      </c>
      <c r="D1505">
        <v>2</v>
      </c>
      <c r="E1505" t="s">
        <v>59</v>
      </c>
      <c r="F1505" t="s">
        <v>39</v>
      </c>
      <c r="G1505">
        <v>14</v>
      </c>
      <c r="H1505" t="s">
        <v>20</v>
      </c>
      <c r="I1505">
        <v>10.56</v>
      </c>
      <c r="J1505">
        <v>15.03</v>
      </c>
      <c r="K1505">
        <v>6.59</v>
      </c>
      <c r="L1505">
        <v>0.17</v>
      </c>
      <c r="M1505">
        <v>32.18</v>
      </c>
      <c r="N1505">
        <v>32.35</v>
      </c>
    </row>
    <row r="1506" spans="1:14" x14ac:dyDescent="0.3">
      <c r="A1506" s="2">
        <v>44228</v>
      </c>
      <c r="B1506" t="s">
        <v>68</v>
      </c>
      <c r="C1506">
        <v>2021</v>
      </c>
      <c r="D1506">
        <v>2</v>
      </c>
      <c r="E1506" t="s">
        <v>59</v>
      </c>
      <c r="F1506" t="s">
        <v>40</v>
      </c>
      <c r="G1506">
        <v>17</v>
      </c>
      <c r="H1506" t="s">
        <v>20</v>
      </c>
      <c r="I1506">
        <v>25.55</v>
      </c>
      <c r="J1506">
        <v>30.54</v>
      </c>
      <c r="K1506">
        <v>88.22</v>
      </c>
      <c r="L1506">
        <v>2.2000000000000002</v>
      </c>
      <c r="M1506">
        <v>144.31</v>
      </c>
      <c r="N1506">
        <v>146.51</v>
      </c>
    </row>
    <row r="1507" spans="1:14" x14ac:dyDescent="0.3">
      <c r="A1507" s="2">
        <v>44228</v>
      </c>
      <c r="B1507" t="s">
        <v>68</v>
      </c>
      <c r="C1507">
        <v>2021</v>
      </c>
      <c r="D1507">
        <v>2</v>
      </c>
      <c r="E1507" t="s">
        <v>59</v>
      </c>
      <c r="F1507" t="s">
        <v>41</v>
      </c>
      <c r="G1507">
        <v>15</v>
      </c>
      <c r="H1507" t="s">
        <v>20</v>
      </c>
      <c r="I1507">
        <v>6.05</v>
      </c>
      <c r="J1507">
        <v>9.8000000000000007</v>
      </c>
      <c r="K1507">
        <v>5.18</v>
      </c>
      <c r="L1507">
        <v>0.03</v>
      </c>
      <c r="M1507">
        <v>21.03</v>
      </c>
      <c r="N1507">
        <v>21.06</v>
      </c>
    </row>
    <row r="1508" spans="1:14" x14ac:dyDescent="0.3">
      <c r="A1508" s="2">
        <v>44228</v>
      </c>
      <c r="B1508" t="s">
        <v>68</v>
      </c>
      <c r="C1508">
        <v>2021</v>
      </c>
      <c r="D1508">
        <v>2</v>
      </c>
      <c r="E1508" t="s">
        <v>59</v>
      </c>
      <c r="F1508" t="s">
        <v>42</v>
      </c>
      <c r="G1508">
        <v>13</v>
      </c>
      <c r="H1508" t="s">
        <v>20</v>
      </c>
      <c r="I1508">
        <v>12.01</v>
      </c>
      <c r="J1508">
        <v>16.54</v>
      </c>
      <c r="K1508">
        <v>5.91</v>
      </c>
      <c r="L1508">
        <v>0.37</v>
      </c>
      <c r="M1508">
        <v>34.46</v>
      </c>
      <c r="N1508">
        <v>34.83</v>
      </c>
    </row>
    <row r="1509" spans="1:14" x14ac:dyDescent="0.3">
      <c r="A1509" s="2">
        <v>44228</v>
      </c>
      <c r="B1509" t="s">
        <v>68</v>
      </c>
      <c r="C1509">
        <v>2021</v>
      </c>
      <c r="D1509">
        <v>2</v>
      </c>
      <c r="E1509" t="s">
        <v>59</v>
      </c>
      <c r="F1509" t="s">
        <v>43</v>
      </c>
      <c r="G1509">
        <v>21</v>
      </c>
      <c r="H1509" t="s">
        <v>20</v>
      </c>
      <c r="I1509">
        <v>624.16</v>
      </c>
      <c r="J1509">
        <v>781.06</v>
      </c>
      <c r="K1509">
        <v>1345.79</v>
      </c>
      <c r="L1509">
        <v>589.54999999999995</v>
      </c>
      <c r="M1509">
        <v>2751.01</v>
      </c>
      <c r="N1509">
        <v>3340.56</v>
      </c>
    </row>
    <row r="1510" spans="1:14" x14ac:dyDescent="0.3">
      <c r="A1510" s="2">
        <v>44228</v>
      </c>
      <c r="B1510" t="s">
        <v>68</v>
      </c>
      <c r="C1510">
        <v>2021</v>
      </c>
      <c r="D1510">
        <v>2</v>
      </c>
      <c r="E1510" t="s">
        <v>59</v>
      </c>
      <c r="F1510" t="s">
        <v>44</v>
      </c>
      <c r="G1510">
        <v>34</v>
      </c>
      <c r="H1510" t="s">
        <v>18</v>
      </c>
      <c r="I1510">
        <v>19.22</v>
      </c>
      <c r="J1510">
        <v>29.09</v>
      </c>
      <c r="K1510">
        <v>109.61</v>
      </c>
      <c r="L1510">
        <v>0.14000000000000001</v>
      </c>
      <c r="M1510">
        <v>157.91999999999999</v>
      </c>
      <c r="N1510">
        <v>158.06</v>
      </c>
    </row>
    <row r="1511" spans="1:14" x14ac:dyDescent="0.3">
      <c r="A1511" s="2">
        <v>44228</v>
      </c>
      <c r="B1511" t="s">
        <v>68</v>
      </c>
      <c r="C1511">
        <v>2021</v>
      </c>
      <c r="D1511">
        <v>2</v>
      </c>
      <c r="E1511" t="s">
        <v>59</v>
      </c>
      <c r="F1511" t="s">
        <v>45</v>
      </c>
      <c r="G1511">
        <v>3</v>
      </c>
      <c r="H1511" t="s">
        <v>20</v>
      </c>
      <c r="I1511">
        <v>330.06</v>
      </c>
      <c r="J1511">
        <v>510.88</v>
      </c>
      <c r="K1511">
        <v>447.67</v>
      </c>
      <c r="L1511">
        <v>10.77</v>
      </c>
      <c r="M1511">
        <v>1288.6099999999999</v>
      </c>
      <c r="N1511">
        <v>1299.3800000000001</v>
      </c>
    </row>
    <row r="1512" spans="1:14" x14ac:dyDescent="0.3">
      <c r="A1512" s="2">
        <v>44228</v>
      </c>
      <c r="B1512" t="s">
        <v>68</v>
      </c>
      <c r="C1512">
        <v>2021</v>
      </c>
      <c r="D1512">
        <v>2</v>
      </c>
      <c r="E1512" t="s">
        <v>59</v>
      </c>
      <c r="F1512" t="s">
        <v>46</v>
      </c>
      <c r="G1512">
        <v>8</v>
      </c>
      <c r="H1512" t="s">
        <v>20</v>
      </c>
      <c r="I1512">
        <v>814</v>
      </c>
      <c r="J1512">
        <v>1068.46</v>
      </c>
      <c r="K1512">
        <v>1154.8499999999999</v>
      </c>
      <c r="L1512">
        <v>186.39</v>
      </c>
      <c r="M1512">
        <v>3037.31</v>
      </c>
      <c r="N1512">
        <v>3223.7</v>
      </c>
    </row>
    <row r="1513" spans="1:14" x14ac:dyDescent="0.3">
      <c r="A1513" s="2">
        <v>44228</v>
      </c>
      <c r="B1513" t="s">
        <v>68</v>
      </c>
      <c r="C1513">
        <v>2021</v>
      </c>
      <c r="D1513">
        <v>2</v>
      </c>
      <c r="E1513" t="s">
        <v>59</v>
      </c>
      <c r="F1513" t="s">
        <v>47</v>
      </c>
      <c r="G1513">
        <v>11</v>
      </c>
      <c r="H1513" t="s">
        <v>20</v>
      </c>
      <c r="I1513">
        <v>12.97</v>
      </c>
      <c r="J1513">
        <v>18.48</v>
      </c>
      <c r="K1513">
        <v>190.84</v>
      </c>
      <c r="L1513">
        <v>0.05</v>
      </c>
      <c r="M1513">
        <v>222.29</v>
      </c>
      <c r="N1513">
        <v>222.34</v>
      </c>
    </row>
    <row r="1514" spans="1:14" x14ac:dyDescent="0.3">
      <c r="A1514" s="2">
        <v>44228</v>
      </c>
      <c r="B1514" t="s">
        <v>68</v>
      </c>
      <c r="C1514">
        <v>2021</v>
      </c>
      <c r="D1514">
        <v>2</v>
      </c>
      <c r="E1514" t="s">
        <v>59</v>
      </c>
      <c r="F1514" t="s">
        <v>48</v>
      </c>
      <c r="G1514">
        <v>33</v>
      </c>
      <c r="H1514" t="s">
        <v>20</v>
      </c>
      <c r="I1514">
        <v>1770.87</v>
      </c>
      <c r="J1514">
        <v>2459.52</v>
      </c>
      <c r="K1514">
        <v>2109.4899999999998</v>
      </c>
      <c r="L1514">
        <v>668.33</v>
      </c>
      <c r="M1514">
        <v>6339.88</v>
      </c>
      <c r="N1514">
        <v>7008.21</v>
      </c>
    </row>
    <row r="1515" spans="1:14" x14ac:dyDescent="0.3">
      <c r="A1515" s="2">
        <v>44228</v>
      </c>
      <c r="B1515" t="s">
        <v>68</v>
      </c>
      <c r="C1515">
        <v>2021</v>
      </c>
      <c r="D1515">
        <v>2</v>
      </c>
      <c r="E1515" t="s">
        <v>59</v>
      </c>
      <c r="F1515" t="s">
        <v>49</v>
      </c>
      <c r="G1515">
        <v>36</v>
      </c>
      <c r="H1515" t="s">
        <v>20</v>
      </c>
      <c r="I1515">
        <v>900.57</v>
      </c>
      <c r="J1515">
        <v>1173.4100000000001</v>
      </c>
      <c r="K1515">
        <v>986.92</v>
      </c>
      <c r="L1515">
        <v>575.54</v>
      </c>
      <c r="M1515">
        <v>3060.9</v>
      </c>
      <c r="N1515">
        <v>3636.44</v>
      </c>
    </row>
    <row r="1516" spans="1:14" x14ac:dyDescent="0.3">
      <c r="A1516" s="2">
        <v>44228</v>
      </c>
      <c r="B1516" t="s">
        <v>68</v>
      </c>
      <c r="C1516">
        <v>2021</v>
      </c>
      <c r="D1516">
        <v>2</v>
      </c>
      <c r="E1516" t="s">
        <v>59</v>
      </c>
      <c r="F1516" t="s">
        <v>50</v>
      </c>
      <c r="G1516">
        <v>16</v>
      </c>
      <c r="H1516" t="s">
        <v>20</v>
      </c>
      <c r="I1516">
        <v>22.75</v>
      </c>
      <c r="J1516">
        <v>30.76</v>
      </c>
      <c r="K1516">
        <v>9.1199999999999992</v>
      </c>
      <c r="L1516">
        <v>0.62</v>
      </c>
      <c r="M1516">
        <v>62.63</v>
      </c>
      <c r="N1516">
        <v>63.25</v>
      </c>
    </row>
    <row r="1517" spans="1:14" x14ac:dyDescent="0.3">
      <c r="A1517" s="2">
        <v>44228</v>
      </c>
      <c r="B1517" t="s">
        <v>68</v>
      </c>
      <c r="C1517">
        <v>2021</v>
      </c>
      <c r="D1517">
        <v>2</v>
      </c>
      <c r="E1517" t="s">
        <v>59</v>
      </c>
      <c r="F1517" t="s">
        <v>51</v>
      </c>
      <c r="G1517">
        <v>9</v>
      </c>
      <c r="H1517" t="s">
        <v>20</v>
      </c>
      <c r="I1517">
        <v>1281.2</v>
      </c>
      <c r="J1517">
        <v>1790.55</v>
      </c>
      <c r="K1517">
        <v>1626.48</v>
      </c>
      <c r="L1517">
        <v>1298.4000000000001</v>
      </c>
      <c r="M1517">
        <v>4698.2299999999996</v>
      </c>
      <c r="N1517">
        <v>5996.63</v>
      </c>
    </row>
    <row r="1518" spans="1:14" x14ac:dyDescent="0.3">
      <c r="A1518" s="2">
        <v>44228</v>
      </c>
      <c r="B1518" t="s">
        <v>68</v>
      </c>
      <c r="C1518">
        <v>2021</v>
      </c>
      <c r="D1518">
        <v>2</v>
      </c>
      <c r="E1518" t="s">
        <v>59</v>
      </c>
      <c r="F1518" t="s">
        <v>52</v>
      </c>
      <c r="G1518">
        <v>5</v>
      </c>
      <c r="H1518" t="s">
        <v>20</v>
      </c>
      <c r="I1518">
        <v>212.69</v>
      </c>
      <c r="J1518">
        <v>308.44</v>
      </c>
      <c r="K1518">
        <v>647.44000000000005</v>
      </c>
      <c r="L1518">
        <v>12.56</v>
      </c>
      <c r="M1518">
        <v>1168.57</v>
      </c>
      <c r="N1518">
        <v>1181.1300000000001</v>
      </c>
    </row>
    <row r="1519" spans="1:14" x14ac:dyDescent="0.3">
      <c r="A1519" s="2">
        <v>44228</v>
      </c>
      <c r="B1519" t="s">
        <v>68</v>
      </c>
      <c r="C1519">
        <v>2021</v>
      </c>
      <c r="D1519">
        <v>2</v>
      </c>
      <c r="E1519" t="s">
        <v>59</v>
      </c>
      <c r="F1519" t="s">
        <v>53</v>
      </c>
      <c r="G1519">
        <v>19</v>
      </c>
      <c r="H1519" t="s">
        <v>20</v>
      </c>
      <c r="I1519">
        <v>1291.8900000000001</v>
      </c>
      <c r="J1519">
        <v>1563</v>
      </c>
      <c r="K1519">
        <v>1105.93</v>
      </c>
      <c r="L1519">
        <v>374.17</v>
      </c>
      <c r="M1519">
        <v>3960.82</v>
      </c>
      <c r="N1519">
        <v>4334.99</v>
      </c>
    </row>
    <row r="1520" spans="1:14" x14ac:dyDescent="0.3">
      <c r="A1520" s="2">
        <v>44256</v>
      </c>
      <c r="B1520" t="s">
        <v>68</v>
      </c>
      <c r="C1520">
        <v>2021</v>
      </c>
      <c r="D1520">
        <v>3</v>
      </c>
      <c r="E1520" t="s">
        <v>60</v>
      </c>
      <c r="F1520" t="s">
        <v>17</v>
      </c>
      <c r="G1520">
        <v>35</v>
      </c>
      <c r="H1520" t="s">
        <v>18</v>
      </c>
      <c r="I1520">
        <v>9.7200000000000006</v>
      </c>
      <c r="J1520">
        <v>12.93</v>
      </c>
      <c r="K1520">
        <v>2.9</v>
      </c>
      <c r="L1520">
        <v>0.11</v>
      </c>
      <c r="M1520">
        <v>25.55</v>
      </c>
      <c r="N1520">
        <v>25.66</v>
      </c>
    </row>
    <row r="1521" spans="1:14" x14ac:dyDescent="0.3">
      <c r="A1521" s="2">
        <v>44256</v>
      </c>
      <c r="B1521" t="s">
        <v>68</v>
      </c>
      <c r="C1521">
        <v>2021</v>
      </c>
      <c r="D1521">
        <v>3</v>
      </c>
      <c r="E1521" t="s">
        <v>60</v>
      </c>
      <c r="F1521" t="s">
        <v>19</v>
      </c>
      <c r="G1521">
        <v>28</v>
      </c>
      <c r="H1521" t="s">
        <v>20</v>
      </c>
      <c r="I1521">
        <v>590.25</v>
      </c>
      <c r="J1521">
        <v>803.23</v>
      </c>
      <c r="K1521">
        <v>1075.06</v>
      </c>
      <c r="L1521">
        <v>216.54</v>
      </c>
      <c r="M1521">
        <v>2468.54</v>
      </c>
      <c r="N1521">
        <v>2685.08</v>
      </c>
    </row>
    <row r="1522" spans="1:14" x14ac:dyDescent="0.3">
      <c r="A1522" s="2">
        <v>44256</v>
      </c>
      <c r="B1522" t="s">
        <v>68</v>
      </c>
      <c r="C1522">
        <v>2021</v>
      </c>
      <c r="D1522">
        <v>3</v>
      </c>
      <c r="E1522" t="s">
        <v>60</v>
      </c>
      <c r="F1522" t="s">
        <v>21</v>
      </c>
      <c r="G1522">
        <v>12</v>
      </c>
      <c r="H1522" t="s">
        <v>20</v>
      </c>
      <c r="I1522">
        <v>38.590000000000003</v>
      </c>
      <c r="J1522">
        <v>44.79</v>
      </c>
      <c r="K1522">
        <v>8.6300000000000008</v>
      </c>
      <c r="L1522">
        <v>0.02</v>
      </c>
      <c r="M1522">
        <v>92.01</v>
      </c>
      <c r="N1522">
        <v>92.03</v>
      </c>
    </row>
    <row r="1523" spans="1:14" x14ac:dyDescent="0.3">
      <c r="A1523" s="2">
        <v>44256</v>
      </c>
      <c r="B1523" t="s">
        <v>68</v>
      </c>
      <c r="C1523">
        <v>2021</v>
      </c>
      <c r="D1523">
        <v>3</v>
      </c>
      <c r="E1523" t="s">
        <v>60</v>
      </c>
      <c r="F1523" t="s">
        <v>22</v>
      </c>
      <c r="G1523">
        <v>18</v>
      </c>
      <c r="H1523" t="s">
        <v>20</v>
      </c>
      <c r="I1523">
        <v>319.07</v>
      </c>
      <c r="J1523">
        <v>399.89</v>
      </c>
      <c r="K1523">
        <v>257.79000000000002</v>
      </c>
      <c r="L1523">
        <v>27.89</v>
      </c>
      <c r="M1523">
        <v>976.75</v>
      </c>
      <c r="N1523">
        <v>1004.64</v>
      </c>
    </row>
    <row r="1524" spans="1:14" x14ac:dyDescent="0.3">
      <c r="A1524" s="2">
        <v>44256</v>
      </c>
      <c r="B1524" t="s">
        <v>68</v>
      </c>
      <c r="C1524">
        <v>2021</v>
      </c>
      <c r="D1524">
        <v>3</v>
      </c>
      <c r="E1524" t="s">
        <v>60</v>
      </c>
      <c r="F1524" t="s">
        <v>23</v>
      </c>
      <c r="G1524">
        <v>10</v>
      </c>
      <c r="H1524" t="s">
        <v>20</v>
      </c>
      <c r="I1524">
        <v>347.2</v>
      </c>
      <c r="J1524">
        <v>581.77</v>
      </c>
      <c r="K1524">
        <v>150.9</v>
      </c>
      <c r="L1524">
        <v>115.88</v>
      </c>
      <c r="M1524">
        <v>1079.8699999999999</v>
      </c>
      <c r="N1524">
        <v>1195.75</v>
      </c>
    </row>
    <row r="1525" spans="1:14" x14ac:dyDescent="0.3">
      <c r="A1525" s="2">
        <v>44256</v>
      </c>
      <c r="B1525" t="s">
        <v>68</v>
      </c>
      <c r="C1525">
        <v>2021</v>
      </c>
      <c r="D1525">
        <v>3</v>
      </c>
      <c r="E1525" t="s">
        <v>60</v>
      </c>
      <c r="F1525" t="s">
        <v>24</v>
      </c>
      <c r="G1525">
        <v>4</v>
      </c>
      <c r="H1525" t="s">
        <v>18</v>
      </c>
      <c r="I1525">
        <v>31.81</v>
      </c>
      <c r="J1525">
        <v>41.05</v>
      </c>
      <c r="K1525">
        <v>91.94</v>
      </c>
      <c r="L1525">
        <v>0.47</v>
      </c>
      <c r="M1525">
        <v>164.8</v>
      </c>
      <c r="N1525">
        <v>165.27</v>
      </c>
    </row>
    <row r="1526" spans="1:14" x14ac:dyDescent="0.3">
      <c r="A1526" s="2">
        <v>44256</v>
      </c>
      <c r="B1526" t="s">
        <v>68</v>
      </c>
      <c r="C1526">
        <v>2021</v>
      </c>
      <c r="D1526">
        <v>3</v>
      </c>
      <c r="E1526" t="s">
        <v>60</v>
      </c>
      <c r="F1526" t="s">
        <v>25</v>
      </c>
      <c r="G1526">
        <v>22</v>
      </c>
      <c r="H1526" t="s">
        <v>20</v>
      </c>
      <c r="I1526">
        <v>542.20000000000005</v>
      </c>
      <c r="J1526">
        <v>622.47</v>
      </c>
      <c r="K1526">
        <v>890.17</v>
      </c>
      <c r="L1526">
        <v>489.29</v>
      </c>
      <c r="M1526">
        <v>2054.84</v>
      </c>
      <c r="N1526">
        <v>2544.13</v>
      </c>
    </row>
    <row r="1527" spans="1:14" x14ac:dyDescent="0.3">
      <c r="A1527" s="2">
        <v>44256</v>
      </c>
      <c r="B1527" t="s">
        <v>68</v>
      </c>
      <c r="C1527">
        <v>2021</v>
      </c>
      <c r="D1527">
        <v>3</v>
      </c>
      <c r="E1527" t="s">
        <v>60</v>
      </c>
      <c r="F1527" t="s">
        <v>26</v>
      </c>
      <c r="G1527">
        <v>38</v>
      </c>
      <c r="H1527" t="s">
        <v>18</v>
      </c>
      <c r="I1527">
        <v>38.549999999999997</v>
      </c>
      <c r="J1527">
        <v>50.88</v>
      </c>
      <c r="K1527">
        <v>202.28</v>
      </c>
      <c r="L1527">
        <v>7.0000000000000007E-2</v>
      </c>
      <c r="M1527">
        <v>291.70999999999998</v>
      </c>
      <c r="N1527">
        <v>291.77999999999997</v>
      </c>
    </row>
    <row r="1528" spans="1:14" x14ac:dyDescent="0.3">
      <c r="A1528" s="2">
        <v>44256</v>
      </c>
      <c r="B1528" t="s">
        <v>68</v>
      </c>
      <c r="C1528">
        <v>2021</v>
      </c>
      <c r="D1528">
        <v>3</v>
      </c>
      <c r="E1528" t="s">
        <v>60</v>
      </c>
      <c r="F1528" t="s">
        <v>27</v>
      </c>
      <c r="G1528">
        <v>7</v>
      </c>
      <c r="H1528" t="s">
        <v>18</v>
      </c>
      <c r="I1528">
        <v>783.41</v>
      </c>
      <c r="J1528">
        <v>951.94</v>
      </c>
      <c r="K1528">
        <v>2090.31</v>
      </c>
      <c r="L1528">
        <v>100.31</v>
      </c>
      <c r="M1528">
        <v>3825.66</v>
      </c>
      <c r="N1528">
        <v>3925.97</v>
      </c>
    </row>
    <row r="1529" spans="1:14" x14ac:dyDescent="0.3">
      <c r="A1529" s="2">
        <v>44256</v>
      </c>
      <c r="B1529" t="s">
        <v>68</v>
      </c>
      <c r="C1529">
        <v>2021</v>
      </c>
      <c r="D1529">
        <v>3</v>
      </c>
      <c r="E1529" t="s">
        <v>60</v>
      </c>
      <c r="F1529" t="s">
        <v>28</v>
      </c>
      <c r="G1529">
        <v>30</v>
      </c>
      <c r="H1529" t="s">
        <v>20</v>
      </c>
      <c r="I1529">
        <v>98.18</v>
      </c>
      <c r="J1529">
        <v>136.06</v>
      </c>
      <c r="K1529">
        <v>108.26</v>
      </c>
      <c r="L1529">
        <v>1.78</v>
      </c>
      <c r="M1529">
        <v>342.5</v>
      </c>
      <c r="N1529">
        <v>344.28</v>
      </c>
    </row>
    <row r="1530" spans="1:14" x14ac:dyDescent="0.3">
      <c r="A1530" s="2">
        <v>44256</v>
      </c>
      <c r="B1530" t="s">
        <v>68</v>
      </c>
      <c r="C1530">
        <v>2021</v>
      </c>
      <c r="D1530">
        <v>3</v>
      </c>
      <c r="E1530" t="s">
        <v>60</v>
      </c>
      <c r="F1530" t="s">
        <v>29</v>
      </c>
      <c r="G1530">
        <v>24</v>
      </c>
      <c r="H1530" t="s">
        <v>20</v>
      </c>
      <c r="I1530">
        <v>2310.4299999999998</v>
      </c>
      <c r="J1530">
        <v>2815.06</v>
      </c>
      <c r="K1530">
        <v>2629.04</v>
      </c>
      <c r="L1530">
        <v>442.51</v>
      </c>
      <c r="M1530">
        <v>7754.53</v>
      </c>
      <c r="N1530">
        <v>8197.0400000000009</v>
      </c>
    </row>
    <row r="1531" spans="1:14" x14ac:dyDescent="0.3">
      <c r="A1531" s="2">
        <v>44256</v>
      </c>
      <c r="B1531" t="s">
        <v>68</v>
      </c>
      <c r="C1531">
        <v>2021</v>
      </c>
      <c r="D1531">
        <v>3</v>
      </c>
      <c r="E1531" t="s">
        <v>60</v>
      </c>
      <c r="F1531" t="s">
        <v>30</v>
      </c>
      <c r="G1531">
        <v>6</v>
      </c>
      <c r="H1531" t="s">
        <v>20</v>
      </c>
      <c r="I1531">
        <v>930.02</v>
      </c>
      <c r="J1531">
        <v>1260.76</v>
      </c>
      <c r="K1531">
        <v>3104.72</v>
      </c>
      <c r="L1531">
        <v>414.11</v>
      </c>
      <c r="M1531">
        <v>5295.5</v>
      </c>
      <c r="N1531">
        <v>5709.61</v>
      </c>
    </row>
    <row r="1532" spans="1:14" x14ac:dyDescent="0.3">
      <c r="A1532" s="2">
        <v>44256</v>
      </c>
      <c r="B1532" t="s">
        <v>68</v>
      </c>
      <c r="C1532">
        <v>2021</v>
      </c>
      <c r="D1532">
        <v>3</v>
      </c>
      <c r="E1532" t="s">
        <v>60</v>
      </c>
      <c r="F1532" t="s">
        <v>31</v>
      </c>
      <c r="G1532">
        <v>2</v>
      </c>
      <c r="H1532" t="s">
        <v>20</v>
      </c>
      <c r="I1532">
        <v>117.59</v>
      </c>
      <c r="J1532">
        <v>157.05000000000001</v>
      </c>
      <c r="K1532">
        <v>411.72</v>
      </c>
      <c r="L1532">
        <v>0.52</v>
      </c>
      <c r="M1532">
        <v>686.36</v>
      </c>
      <c r="N1532">
        <v>686.88</v>
      </c>
    </row>
    <row r="1533" spans="1:14" x14ac:dyDescent="0.3">
      <c r="A1533" s="2">
        <v>44256</v>
      </c>
      <c r="B1533" t="s">
        <v>68</v>
      </c>
      <c r="C1533">
        <v>2021</v>
      </c>
      <c r="D1533">
        <v>3</v>
      </c>
      <c r="E1533" t="s">
        <v>60</v>
      </c>
      <c r="F1533" t="s">
        <v>32</v>
      </c>
      <c r="G1533">
        <v>1</v>
      </c>
      <c r="H1533" t="s">
        <v>18</v>
      </c>
      <c r="I1533">
        <v>99.41</v>
      </c>
      <c r="J1533">
        <v>163.18</v>
      </c>
      <c r="K1533">
        <v>85.98</v>
      </c>
      <c r="L1533">
        <v>3.05</v>
      </c>
      <c r="M1533">
        <v>348.57</v>
      </c>
      <c r="N1533">
        <v>351.62</v>
      </c>
    </row>
    <row r="1534" spans="1:14" x14ac:dyDescent="0.3">
      <c r="A1534" s="2">
        <v>44256</v>
      </c>
      <c r="B1534" t="s">
        <v>68</v>
      </c>
      <c r="C1534">
        <v>2021</v>
      </c>
      <c r="D1534">
        <v>3</v>
      </c>
      <c r="E1534" t="s">
        <v>60</v>
      </c>
      <c r="F1534" t="s">
        <v>33</v>
      </c>
      <c r="G1534">
        <v>20</v>
      </c>
      <c r="H1534" t="s">
        <v>20</v>
      </c>
      <c r="I1534">
        <v>498.21</v>
      </c>
      <c r="J1534">
        <v>640.27</v>
      </c>
      <c r="K1534">
        <v>846.43</v>
      </c>
      <c r="L1534">
        <v>431.22</v>
      </c>
      <c r="M1534">
        <v>1984.91</v>
      </c>
      <c r="N1534">
        <v>2416.13</v>
      </c>
    </row>
    <row r="1535" spans="1:14" x14ac:dyDescent="0.3">
      <c r="A1535" s="2">
        <v>44256</v>
      </c>
      <c r="B1535" t="s">
        <v>68</v>
      </c>
      <c r="C1535">
        <v>2021</v>
      </c>
      <c r="D1535">
        <v>3</v>
      </c>
      <c r="E1535" t="s">
        <v>60</v>
      </c>
      <c r="F1535" t="s">
        <v>34</v>
      </c>
      <c r="G1535">
        <v>29</v>
      </c>
      <c r="H1535" t="s">
        <v>20</v>
      </c>
      <c r="I1535">
        <v>1878.91</v>
      </c>
      <c r="J1535">
        <v>2377.71</v>
      </c>
      <c r="K1535">
        <v>2834.15</v>
      </c>
      <c r="L1535">
        <v>824.2</v>
      </c>
      <c r="M1535">
        <v>7090.77</v>
      </c>
      <c r="N1535">
        <v>7914.97</v>
      </c>
    </row>
    <row r="1536" spans="1:14" x14ac:dyDescent="0.3">
      <c r="A1536" s="2">
        <v>44256</v>
      </c>
      <c r="B1536" t="s">
        <v>68</v>
      </c>
      <c r="C1536">
        <v>2021</v>
      </c>
      <c r="D1536">
        <v>3</v>
      </c>
      <c r="E1536" t="s">
        <v>60</v>
      </c>
      <c r="F1536" t="s">
        <v>35</v>
      </c>
      <c r="G1536">
        <v>32</v>
      </c>
      <c r="H1536" t="s">
        <v>20</v>
      </c>
      <c r="I1536">
        <v>637.29</v>
      </c>
      <c r="J1536">
        <v>863.89</v>
      </c>
      <c r="K1536">
        <v>322.10000000000002</v>
      </c>
      <c r="L1536">
        <v>4.66</v>
      </c>
      <c r="M1536">
        <v>1823.28</v>
      </c>
      <c r="N1536">
        <v>1827.94</v>
      </c>
    </row>
    <row r="1537" spans="1:14" x14ac:dyDescent="0.3">
      <c r="A1537" s="2">
        <v>44256</v>
      </c>
      <c r="B1537" t="s">
        <v>68</v>
      </c>
      <c r="C1537">
        <v>2021</v>
      </c>
      <c r="D1537">
        <v>3</v>
      </c>
      <c r="E1537" t="s">
        <v>60</v>
      </c>
      <c r="F1537" t="s">
        <v>67</v>
      </c>
      <c r="G1537">
        <v>37</v>
      </c>
      <c r="H1537" t="s">
        <v>18</v>
      </c>
      <c r="I1537">
        <v>5.67</v>
      </c>
      <c r="J1537">
        <v>6.37</v>
      </c>
      <c r="K1537">
        <v>1.59</v>
      </c>
      <c r="L1537">
        <v>0.04</v>
      </c>
      <c r="M1537">
        <v>13.63</v>
      </c>
      <c r="N1537">
        <v>13.67</v>
      </c>
    </row>
    <row r="1538" spans="1:14" x14ac:dyDescent="0.3">
      <c r="A1538" s="2">
        <v>44256</v>
      </c>
      <c r="B1538" t="s">
        <v>68</v>
      </c>
      <c r="C1538">
        <v>2021</v>
      </c>
      <c r="D1538">
        <v>3</v>
      </c>
      <c r="E1538" t="s">
        <v>60</v>
      </c>
      <c r="F1538" t="s">
        <v>36</v>
      </c>
      <c r="G1538">
        <v>31</v>
      </c>
      <c r="H1538" t="s">
        <v>18</v>
      </c>
      <c r="I1538">
        <v>0.64</v>
      </c>
      <c r="J1538">
        <v>0.82</v>
      </c>
      <c r="K1538">
        <v>0.08</v>
      </c>
      <c r="L1538">
        <v>0</v>
      </c>
      <c r="M1538">
        <v>1.54</v>
      </c>
      <c r="N1538">
        <v>1.54</v>
      </c>
    </row>
    <row r="1539" spans="1:14" x14ac:dyDescent="0.3">
      <c r="A1539" s="2">
        <v>44256</v>
      </c>
      <c r="B1539" t="s">
        <v>68</v>
      </c>
      <c r="C1539">
        <v>2021</v>
      </c>
      <c r="D1539">
        <v>3</v>
      </c>
      <c r="E1539" t="s">
        <v>60</v>
      </c>
      <c r="F1539" t="s">
        <v>37</v>
      </c>
      <c r="G1539">
        <v>23</v>
      </c>
      <c r="H1539" t="s">
        <v>20</v>
      </c>
      <c r="I1539">
        <v>669.54</v>
      </c>
      <c r="J1539">
        <v>847.35</v>
      </c>
      <c r="K1539">
        <v>755.99</v>
      </c>
      <c r="L1539">
        <v>455.61</v>
      </c>
      <c r="M1539">
        <v>2272.88</v>
      </c>
      <c r="N1539">
        <v>2728.49</v>
      </c>
    </row>
    <row r="1540" spans="1:14" x14ac:dyDescent="0.3">
      <c r="A1540" s="2">
        <v>44256</v>
      </c>
      <c r="B1540" t="s">
        <v>68</v>
      </c>
      <c r="C1540">
        <v>2021</v>
      </c>
      <c r="D1540">
        <v>3</v>
      </c>
      <c r="E1540" t="s">
        <v>60</v>
      </c>
      <c r="F1540" t="s">
        <v>38</v>
      </c>
      <c r="G1540">
        <v>27</v>
      </c>
      <c r="H1540" t="s">
        <v>20</v>
      </c>
      <c r="I1540">
        <v>4833.74</v>
      </c>
      <c r="J1540">
        <v>5669.22</v>
      </c>
      <c r="K1540">
        <v>5444.22</v>
      </c>
      <c r="L1540">
        <v>1091.31</v>
      </c>
      <c r="M1540">
        <v>15947.18</v>
      </c>
      <c r="N1540">
        <v>17038.490000000002</v>
      </c>
    </row>
    <row r="1541" spans="1:14" x14ac:dyDescent="0.3">
      <c r="A1541" s="2">
        <v>44256</v>
      </c>
      <c r="B1541" t="s">
        <v>68</v>
      </c>
      <c r="C1541">
        <v>2021</v>
      </c>
      <c r="D1541">
        <v>3</v>
      </c>
      <c r="E1541" t="s">
        <v>60</v>
      </c>
      <c r="F1541" t="s">
        <v>39</v>
      </c>
      <c r="G1541">
        <v>14</v>
      </c>
      <c r="H1541" t="s">
        <v>20</v>
      </c>
      <c r="I1541">
        <v>20.69</v>
      </c>
      <c r="J1541">
        <v>24.92</v>
      </c>
      <c r="K1541">
        <v>4.59</v>
      </c>
      <c r="L1541">
        <v>0.16</v>
      </c>
      <c r="M1541">
        <v>50.2</v>
      </c>
      <c r="N1541">
        <v>50.36</v>
      </c>
    </row>
    <row r="1542" spans="1:14" x14ac:dyDescent="0.3">
      <c r="A1542" s="2">
        <v>44256</v>
      </c>
      <c r="B1542" t="s">
        <v>68</v>
      </c>
      <c r="C1542">
        <v>2021</v>
      </c>
      <c r="D1542">
        <v>3</v>
      </c>
      <c r="E1542" t="s">
        <v>60</v>
      </c>
      <c r="F1542" t="s">
        <v>40</v>
      </c>
      <c r="G1542">
        <v>17</v>
      </c>
      <c r="H1542" t="s">
        <v>20</v>
      </c>
      <c r="I1542">
        <v>23.27</v>
      </c>
      <c r="J1542">
        <v>34.130000000000003</v>
      </c>
      <c r="K1542">
        <v>94.28</v>
      </c>
      <c r="L1542">
        <v>0.28000000000000003</v>
      </c>
      <c r="M1542">
        <v>151.68</v>
      </c>
      <c r="N1542">
        <v>151.96</v>
      </c>
    </row>
    <row r="1543" spans="1:14" x14ac:dyDescent="0.3">
      <c r="A1543" s="2">
        <v>44256</v>
      </c>
      <c r="B1543" t="s">
        <v>68</v>
      </c>
      <c r="C1543">
        <v>2021</v>
      </c>
      <c r="D1543">
        <v>3</v>
      </c>
      <c r="E1543" t="s">
        <v>60</v>
      </c>
      <c r="F1543" t="s">
        <v>41</v>
      </c>
      <c r="G1543">
        <v>15</v>
      </c>
      <c r="H1543" t="s">
        <v>20</v>
      </c>
      <c r="I1543">
        <v>10.84</v>
      </c>
      <c r="J1543">
        <v>14.7</v>
      </c>
      <c r="K1543">
        <v>9.2799999999999994</v>
      </c>
      <c r="L1543">
        <v>0.1</v>
      </c>
      <c r="M1543">
        <v>34.82</v>
      </c>
      <c r="N1543">
        <v>34.92</v>
      </c>
    </row>
    <row r="1544" spans="1:14" x14ac:dyDescent="0.3">
      <c r="A1544" s="2">
        <v>44256</v>
      </c>
      <c r="B1544" t="s">
        <v>68</v>
      </c>
      <c r="C1544">
        <v>2021</v>
      </c>
      <c r="D1544">
        <v>3</v>
      </c>
      <c r="E1544" t="s">
        <v>60</v>
      </c>
      <c r="F1544" t="s">
        <v>42</v>
      </c>
      <c r="G1544">
        <v>13</v>
      </c>
      <c r="H1544" t="s">
        <v>20</v>
      </c>
      <c r="I1544">
        <v>17.23</v>
      </c>
      <c r="J1544">
        <v>21.64</v>
      </c>
      <c r="K1544">
        <v>6.04</v>
      </c>
      <c r="L1544">
        <v>0.56999999999999995</v>
      </c>
      <c r="M1544">
        <v>44.91</v>
      </c>
      <c r="N1544">
        <v>45.48</v>
      </c>
    </row>
    <row r="1545" spans="1:14" x14ac:dyDescent="0.3">
      <c r="A1545" s="2">
        <v>44256</v>
      </c>
      <c r="B1545" t="s">
        <v>68</v>
      </c>
      <c r="C1545">
        <v>2021</v>
      </c>
      <c r="D1545">
        <v>3</v>
      </c>
      <c r="E1545" t="s">
        <v>60</v>
      </c>
      <c r="F1545" t="s">
        <v>43</v>
      </c>
      <c r="G1545">
        <v>21</v>
      </c>
      <c r="H1545" t="s">
        <v>20</v>
      </c>
      <c r="I1545">
        <v>762.99</v>
      </c>
      <c r="J1545">
        <v>954.62</v>
      </c>
      <c r="K1545">
        <v>1036.5899999999999</v>
      </c>
      <c r="L1545">
        <v>531.09</v>
      </c>
      <c r="M1545">
        <v>2754.2</v>
      </c>
      <c r="N1545">
        <v>3285.29</v>
      </c>
    </row>
    <row r="1546" spans="1:14" x14ac:dyDescent="0.3">
      <c r="A1546" s="2">
        <v>44256</v>
      </c>
      <c r="B1546" t="s">
        <v>68</v>
      </c>
      <c r="C1546">
        <v>2021</v>
      </c>
      <c r="D1546">
        <v>3</v>
      </c>
      <c r="E1546" t="s">
        <v>60</v>
      </c>
      <c r="F1546" t="s">
        <v>44</v>
      </c>
      <c r="G1546">
        <v>34</v>
      </c>
      <c r="H1546" t="s">
        <v>18</v>
      </c>
      <c r="I1546">
        <v>21.33</v>
      </c>
      <c r="J1546">
        <v>31.68</v>
      </c>
      <c r="K1546">
        <v>107.9</v>
      </c>
      <c r="L1546">
        <v>0.13</v>
      </c>
      <c r="M1546">
        <v>160.91</v>
      </c>
      <c r="N1546">
        <v>161.04</v>
      </c>
    </row>
    <row r="1547" spans="1:14" x14ac:dyDescent="0.3">
      <c r="A1547" s="2">
        <v>44256</v>
      </c>
      <c r="B1547" t="s">
        <v>68</v>
      </c>
      <c r="C1547">
        <v>2021</v>
      </c>
      <c r="D1547">
        <v>3</v>
      </c>
      <c r="E1547" t="s">
        <v>60</v>
      </c>
      <c r="F1547" t="s">
        <v>45</v>
      </c>
      <c r="G1547">
        <v>3</v>
      </c>
      <c r="H1547" t="s">
        <v>20</v>
      </c>
      <c r="I1547">
        <v>349.54</v>
      </c>
      <c r="J1547">
        <v>544.35</v>
      </c>
      <c r="K1547">
        <v>450.88</v>
      </c>
      <c r="L1547">
        <v>17.079999999999998</v>
      </c>
      <c r="M1547">
        <v>1344.77</v>
      </c>
      <c r="N1547">
        <v>1361.85</v>
      </c>
    </row>
    <row r="1548" spans="1:14" x14ac:dyDescent="0.3">
      <c r="A1548" s="2">
        <v>44256</v>
      </c>
      <c r="B1548" t="s">
        <v>68</v>
      </c>
      <c r="C1548">
        <v>2021</v>
      </c>
      <c r="D1548">
        <v>3</v>
      </c>
      <c r="E1548" t="s">
        <v>60</v>
      </c>
      <c r="F1548" t="s">
        <v>46</v>
      </c>
      <c r="G1548">
        <v>8</v>
      </c>
      <c r="H1548" t="s">
        <v>20</v>
      </c>
      <c r="I1548">
        <v>852.35</v>
      </c>
      <c r="J1548">
        <v>1132.52</v>
      </c>
      <c r="K1548">
        <v>1236.9100000000001</v>
      </c>
      <c r="L1548">
        <v>130</v>
      </c>
      <c r="M1548">
        <v>3221.78</v>
      </c>
      <c r="N1548">
        <v>3351.78</v>
      </c>
    </row>
    <row r="1549" spans="1:14" x14ac:dyDescent="0.3">
      <c r="A1549" s="2">
        <v>44256</v>
      </c>
      <c r="B1549" t="s">
        <v>68</v>
      </c>
      <c r="C1549">
        <v>2021</v>
      </c>
      <c r="D1549">
        <v>3</v>
      </c>
      <c r="E1549" t="s">
        <v>60</v>
      </c>
      <c r="F1549" t="s">
        <v>47</v>
      </c>
      <c r="G1549">
        <v>11</v>
      </c>
      <c r="H1549" t="s">
        <v>20</v>
      </c>
      <c r="I1549">
        <v>13.66</v>
      </c>
      <c r="J1549">
        <v>19.95</v>
      </c>
      <c r="K1549">
        <v>179.82</v>
      </c>
      <c r="L1549">
        <v>0.23</v>
      </c>
      <c r="M1549">
        <v>213.43</v>
      </c>
      <c r="N1549">
        <v>213.66</v>
      </c>
    </row>
    <row r="1550" spans="1:14" x14ac:dyDescent="0.3">
      <c r="A1550" s="2">
        <v>44256</v>
      </c>
      <c r="B1550" t="s">
        <v>68</v>
      </c>
      <c r="C1550">
        <v>2021</v>
      </c>
      <c r="D1550">
        <v>3</v>
      </c>
      <c r="E1550" t="s">
        <v>60</v>
      </c>
      <c r="F1550" t="s">
        <v>48</v>
      </c>
      <c r="G1550">
        <v>33</v>
      </c>
      <c r="H1550" t="s">
        <v>20</v>
      </c>
      <c r="I1550">
        <v>1914.53</v>
      </c>
      <c r="J1550">
        <v>2568.17</v>
      </c>
      <c r="K1550">
        <v>2315.88</v>
      </c>
      <c r="L1550">
        <v>780.59</v>
      </c>
      <c r="M1550">
        <v>6798.58</v>
      </c>
      <c r="N1550">
        <v>7579.17</v>
      </c>
    </row>
    <row r="1551" spans="1:14" x14ac:dyDescent="0.3">
      <c r="A1551" s="2">
        <v>44256</v>
      </c>
      <c r="B1551" t="s">
        <v>68</v>
      </c>
      <c r="C1551">
        <v>2021</v>
      </c>
      <c r="D1551">
        <v>3</v>
      </c>
      <c r="E1551" t="s">
        <v>60</v>
      </c>
      <c r="F1551" t="s">
        <v>49</v>
      </c>
      <c r="G1551">
        <v>36</v>
      </c>
      <c r="H1551" t="s">
        <v>20</v>
      </c>
      <c r="I1551">
        <v>1057.6500000000001</v>
      </c>
      <c r="J1551">
        <v>1343.76</v>
      </c>
      <c r="K1551">
        <v>1142.6600000000001</v>
      </c>
      <c r="L1551">
        <v>622.35</v>
      </c>
      <c r="M1551">
        <v>3544.07</v>
      </c>
      <c r="N1551">
        <v>4166.42</v>
      </c>
    </row>
    <row r="1552" spans="1:14" x14ac:dyDescent="0.3">
      <c r="A1552" s="2">
        <v>44256</v>
      </c>
      <c r="B1552" t="s">
        <v>68</v>
      </c>
      <c r="C1552">
        <v>2021</v>
      </c>
      <c r="D1552">
        <v>3</v>
      </c>
      <c r="E1552" t="s">
        <v>60</v>
      </c>
      <c r="F1552" t="s">
        <v>50</v>
      </c>
      <c r="G1552">
        <v>16</v>
      </c>
      <c r="H1552" t="s">
        <v>20</v>
      </c>
      <c r="I1552">
        <v>35.340000000000003</v>
      </c>
      <c r="J1552">
        <v>44.48</v>
      </c>
      <c r="K1552">
        <v>7.9</v>
      </c>
      <c r="L1552">
        <v>0.18</v>
      </c>
      <c r="M1552">
        <v>87.72</v>
      </c>
      <c r="N1552">
        <v>87.9</v>
      </c>
    </row>
    <row r="1553" spans="1:14" x14ac:dyDescent="0.3">
      <c r="A1553" s="2">
        <v>44256</v>
      </c>
      <c r="B1553" t="s">
        <v>68</v>
      </c>
      <c r="C1553">
        <v>2021</v>
      </c>
      <c r="D1553">
        <v>3</v>
      </c>
      <c r="E1553" t="s">
        <v>60</v>
      </c>
      <c r="F1553" t="s">
        <v>51</v>
      </c>
      <c r="G1553">
        <v>9</v>
      </c>
      <c r="H1553" t="s">
        <v>20</v>
      </c>
      <c r="I1553">
        <v>1533.88</v>
      </c>
      <c r="J1553">
        <v>2119.04</v>
      </c>
      <c r="K1553">
        <v>1785.63</v>
      </c>
      <c r="L1553">
        <v>826.45</v>
      </c>
      <c r="M1553">
        <v>5438.55</v>
      </c>
      <c r="N1553">
        <v>6265</v>
      </c>
    </row>
    <row r="1554" spans="1:14" x14ac:dyDescent="0.3">
      <c r="A1554" s="2">
        <v>44256</v>
      </c>
      <c r="B1554" t="s">
        <v>68</v>
      </c>
      <c r="C1554">
        <v>2021</v>
      </c>
      <c r="D1554">
        <v>3</v>
      </c>
      <c r="E1554" t="s">
        <v>60</v>
      </c>
      <c r="F1554" t="s">
        <v>52</v>
      </c>
      <c r="G1554">
        <v>5</v>
      </c>
      <c r="H1554" t="s">
        <v>20</v>
      </c>
      <c r="I1554">
        <v>230.19</v>
      </c>
      <c r="J1554">
        <v>354.39</v>
      </c>
      <c r="K1554">
        <v>711.04</v>
      </c>
      <c r="L1554">
        <v>7.95</v>
      </c>
      <c r="M1554">
        <v>1295.6199999999999</v>
      </c>
      <c r="N1554">
        <v>1303.57</v>
      </c>
    </row>
    <row r="1555" spans="1:14" x14ac:dyDescent="0.3">
      <c r="A1555" s="2">
        <v>44256</v>
      </c>
      <c r="B1555" t="s">
        <v>68</v>
      </c>
      <c r="C1555">
        <v>2021</v>
      </c>
      <c r="D1555">
        <v>3</v>
      </c>
      <c r="E1555" t="s">
        <v>60</v>
      </c>
      <c r="F1555" t="s">
        <v>53</v>
      </c>
      <c r="G1555">
        <v>19</v>
      </c>
      <c r="H1555" t="s">
        <v>20</v>
      </c>
      <c r="I1555">
        <v>1342.61</v>
      </c>
      <c r="J1555">
        <v>1665.1</v>
      </c>
      <c r="K1555">
        <v>1093.8599999999999</v>
      </c>
      <c r="L1555">
        <v>285.22000000000003</v>
      </c>
      <c r="M1555">
        <v>4101.57</v>
      </c>
      <c r="N1555">
        <v>4386.79</v>
      </c>
    </row>
    <row r="1556" spans="1:14" x14ac:dyDescent="0.3">
      <c r="A1556" s="2">
        <v>44287</v>
      </c>
      <c r="B1556" t="s">
        <v>69</v>
      </c>
      <c r="C1556">
        <v>2021</v>
      </c>
      <c r="D1556">
        <v>4</v>
      </c>
      <c r="E1556" t="s">
        <v>62</v>
      </c>
      <c r="F1556" t="s">
        <v>17</v>
      </c>
      <c r="G1556">
        <v>35</v>
      </c>
      <c r="H1556" t="s">
        <v>18</v>
      </c>
      <c r="I1556">
        <v>23.94</v>
      </c>
      <c r="J1556">
        <v>32.090000000000003</v>
      </c>
      <c r="K1556">
        <v>4.5599999999999996</v>
      </c>
      <c r="L1556">
        <v>0.01</v>
      </c>
      <c r="M1556">
        <v>60.59</v>
      </c>
      <c r="N1556">
        <v>60.6</v>
      </c>
    </row>
    <row r="1557" spans="1:14" x14ac:dyDescent="0.3">
      <c r="A1557" s="2">
        <v>44287</v>
      </c>
      <c r="B1557" t="s">
        <v>69</v>
      </c>
      <c r="C1557">
        <v>2021</v>
      </c>
      <c r="D1557">
        <v>4</v>
      </c>
      <c r="E1557" t="s">
        <v>62</v>
      </c>
      <c r="F1557" t="s">
        <v>19</v>
      </c>
      <c r="G1557">
        <v>28</v>
      </c>
      <c r="H1557" t="s">
        <v>20</v>
      </c>
      <c r="I1557">
        <v>804.04</v>
      </c>
      <c r="J1557">
        <v>1079.07</v>
      </c>
      <c r="K1557">
        <v>1192.56</v>
      </c>
      <c r="L1557">
        <v>269.62</v>
      </c>
      <c r="M1557">
        <v>3075.67</v>
      </c>
      <c r="N1557">
        <v>3345.29</v>
      </c>
    </row>
    <row r="1558" spans="1:14" x14ac:dyDescent="0.3">
      <c r="A1558" s="2">
        <v>44287</v>
      </c>
      <c r="B1558" t="s">
        <v>69</v>
      </c>
      <c r="C1558">
        <v>2021</v>
      </c>
      <c r="D1558">
        <v>4</v>
      </c>
      <c r="E1558" t="s">
        <v>62</v>
      </c>
      <c r="F1558" t="s">
        <v>21</v>
      </c>
      <c r="G1558">
        <v>12</v>
      </c>
      <c r="H1558" t="s">
        <v>20</v>
      </c>
      <c r="I1558">
        <v>43.65</v>
      </c>
      <c r="J1558">
        <v>51.05</v>
      </c>
      <c r="K1558">
        <v>8.32</v>
      </c>
      <c r="L1558">
        <v>0.22</v>
      </c>
      <c r="M1558">
        <v>103.02</v>
      </c>
      <c r="N1558">
        <v>103.24</v>
      </c>
    </row>
    <row r="1559" spans="1:14" x14ac:dyDescent="0.3">
      <c r="A1559" s="2">
        <v>44287</v>
      </c>
      <c r="B1559" t="s">
        <v>69</v>
      </c>
      <c r="C1559">
        <v>2021</v>
      </c>
      <c r="D1559">
        <v>4</v>
      </c>
      <c r="E1559" t="s">
        <v>62</v>
      </c>
      <c r="F1559" t="s">
        <v>22</v>
      </c>
      <c r="G1559">
        <v>18</v>
      </c>
      <c r="H1559" t="s">
        <v>20</v>
      </c>
      <c r="I1559">
        <v>376.46</v>
      </c>
      <c r="J1559">
        <v>457.33</v>
      </c>
      <c r="K1559">
        <v>269.04000000000002</v>
      </c>
      <c r="L1559">
        <v>47.76</v>
      </c>
      <c r="M1559">
        <v>1102.83</v>
      </c>
      <c r="N1559">
        <v>1150.5899999999999</v>
      </c>
    </row>
    <row r="1560" spans="1:14" x14ac:dyDescent="0.3">
      <c r="A1560" s="2">
        <v>44287</v>
      </c>
      <c r="B1560" t="s">
        <v>69</v>
      </c>
      <c r="C1560">
        <v>2021</v>
      </c>
      <c r="D1560">
        <v>4</v>
      </c>
      <c r="E1560" t="s">
        <v>62</v>
      </c>
      <c r="F1560" t="s">
        <v>23</v>
      </c>
      <c r="G1560">
        <v>10</v>
      </c>
      <c r="H1560" t="s">
        <v>20</v>
      </c>
      <c r="I1560">
        <v>440.54</v>
      </c>
      <c r="J1560">
        <v>675.73</v>
      </c>
      <c r="K1560">
        <v>227.95</v>
      </c>
      <c r="L1560">
        <v>164</v>
      </c>
      <c r="M1560">
        <v>1344.22</v>
      </c>
      <c r="N1560">
        <v>1508.22</v>
      </c>
    </row>
    <row r="1561" spans="1:14" x14ac:dyDescent="0.3">
      <c r="A1561" s="2">
        <v>44287</v>
      </c>
      <c r="B1561" t="s">
        <v>69</v>
      </c>
      <c r="C1561">
        <v>2021</v>
      </c>
      <c r="D1561">
        <v>4</v>
      </c>
      <c r="E1561" t="s">
        <v>62</v>
      </c>
      <c r="F1561" t="s">
        <v>24</v>
      </c>
      <c r="G1561">
        <v>4</v>
      </c>
      <c r="H1561" t="s">
        <v>18</v>
      </c>
      <c r="I1561">
        <v>35.28</v>
      </c>
      <c r="J1561">
        <v>48.97</v>
      </c>
      <c r="K1561">
        <v>118.23</v>
      </c>
      <c r="L1561">
        <v>0.81</v>
      </c>
      <c r="M1561">
        <v>202.48</v>
      </c>
      <c r="N1561">
        <v>203.29</v>
      </c>
    </row>
    <row r="1562" spans="1:14" x14ac:dyDescent="0.3">
      <c r="A1562" s="2">
        <v>44287</v>
      </c>
      <c r="B1562" t="s">
        <v>69</v>
      </c>
      <c r="C1562">
        <v>2021</v>
      </c>
      <c r="D1562">
        <v>4</v>
      </c>
      <c r="E1562" t="s">
        <v>62</v>
      </c>
      <c r="F1562" t="s">
        <v>25</v>
      </c>
      <c r="G1562">
        <v>22</v>
      </c>
      <c r="H1562" t="s">
        <v>20</v>
      </c>
      <c r="I1562">
        <v>514.13</v>
      </c>
      <c r="J1562">
        <v>586.17999999999995</v>
      </c>
      <c r="K1562">
        <v>869.88</v>
      </c>
      <c r="L1562">
        <v>702.39</v>
      </c>
      <c r="M1562">
        <v>1970.19</v>
      </c>
      <c r="N1562">
        <v>2672.58</v>
      </c>
    </row>
    <row r="1563" spans="1:14" x14ac:dyDescent="0.3">
      <c r="A1563" s="2">
        <v>44287</v>
      </c>
      <c r="B1563" t="s">
        <v>69</v>
      </c>
      <c r="C1563">
        <v>2021</v>
      </c>
      <c r="D1563">
        <v>4</v>
      </c>
      <c r="E1563" t="s">
        <v>62</v>
      </c>
      <c r="F1563" t="s">
        <v>26</v>
      </c>
      <c r="G1563">
        <v>38</v>
      </c>
      <c r="H1563" t="s">
        <v>18</v>
      </c>
      <c r="I1563">
        <v>35.94</v>
      </c>
      <c r="J1563">
        <v>45.8</v>
      </c>
      <c r="K1563">
        <v>211.06</v>
      </c>
      <c r="L1563">
        <v>0.06</v>
      </c>
      <c r="M1563">
        <v>292.8</v>
      </c>
      <c r="N1563">
        <v>292.86</v>
      </c>
    </row>
    <row r="1564" spans="1:14" x14ac:dyDescent="0.3">
      <c r="A1564" s="2">
        <v>44287</v>
      </c>
      <c r="B1564" t="s">
        <v>69</v>
      </c>
      <c r="C1564">
        <v>2021</v>
      </c>
      <c r="D1564">
        <v>4</v>
      </c>
      <c r="E1564" t="s">
        <v>62</v>
      </c>
      <c r="F1564" t="s">
        <v>27</v>
      </c>
      <c r="G1564">
        <v>7</v>
      </c>
      <c r="H1564" t="s">
        <v>18</v>
      </c>
      <c r="I1564">
        <v>1146.0999999999999</v>
      </c>
      <c r="J1564">
        <v>1375.87</v>
      </c>
      <c r="K1564">
        <v>2449.0300000000002</v>
      </c>
      <c r="L1564">
        <v>82.29</v>
      </c>
      <c r="M1564">
        <v>4971</v>
      </c>
      <c r="N1564">
        <v>5053.29</v>
      </c>
    </row>
    <row r="1565" spans="1:14" x14ac:dyDescent="0.3">
      <c r="A1565" s="2">
        <v>44287</v>
      </c>
      <c r="B1565" t="s">
        <v>69</v>
      </c>
      <c r="C1565">
        <v>2021</v>
      </c>
      <c r="D1565">
        <v>4</v>
      </c>
      <c r="E1565" t="s">
        <v>62</v>
      </c>
      <c r="F1565" t="s">
        <v>28</v>
      </c>
      <c r="G1565">
        <v>30</v>
      </c>
      <c r="H1565" t="s">
        <v>20</v>
      </c>
      <c r="I1565">
        <v>107.41</v>
      </c>
      <c r="J1565">
        <v>146.84</v>
      </c>
      <c r="K1565">
        <v>143.85</v>
      </c>
      <c r="L1565">
        <v>2.62</v>
      </c>
      <c r="M1565">
        <v>398.1</v>
      </c>
      <c r="N1565">
        <v>400.72</v>
      </c>
    </row>
    <row r="1566" spans="1:14" x14ac:dyDescent="0.3">
      <c r="A1566" s="2">
        <v>44287</v>
      </c>
      <c r="B1566" t="s">
        <v>69</v>
      </c>
      <c r="C1566">
        <v>2021</v>
      </c>
      <c r="D1566">
        <v>4</v>
      </c>
      <c r="E1566" t="s">
        <v>62</v>
      </c>
      <c r="F1566" t="s">
        <v>29</v>
      </c>
      <c r="G1566">
        <v>24</v>
      </c>
      <c r="H1566" t="s">
        <v>20</v>
      </c>
      <c r="I1566">
        <v>2769.85</v>
      </c>
      <c r="J1566">
        <v>3323.04</v>
      </c>
      <c r="K1566">
        <v>2967.19</v>
      </c>
      <c r="L1566">
        <v>572.28</v>
      </c>
      <c r="M1566">
        <v>9060.08</v>
      </c>
      <c r="N1566">
        <v>9632.36</v>
      </c>
    </row>
    <row r="1567" spans="1:14" x14ac:dyDescent="0.3">
      <c r="A1567" s="2">
        <v>44287</v>
      </c>
      <c r="B1567" t="s">
        <v>69</v>
      </c>
      <c r="C1567">
        <v>2021</v>
      </c>
      <c r="D1567">
        <v>4</v>
      </c>
      <c r="E1567" t="s">
        <v>62</v>
      </c>
      <c r="F1567" t="s">
        <v>30</v>
      </c>
      <c r="G1567">
        <v>6</v>
      </c>
      <c r="H1567" t="s">
        <v>20</v>
      </c>
      <c r="I1567">
        <v>1038.46</v>
      </c>
      <c r="J1567">
        <v>1450.92</v>
      </c>
      <c r="K1567">
        <v>3677.26</v>
      </c>
      <c r="L1567">
        <v>491.67</v>
      </c>
      <c r="M1567">
        <v>6166.64</v>
      </c>
      <c r="N1567">
        <v>6658.31</v>
      </c>
    </row>
    <row r="1568" spans="1:14" x14ac:dyDescent="0.3">
      <c r="A1568" s="2">
        <v>44287</v>
      </c>
      <c r="B1568" t="s">
        <v>69</v>
      </c>
      <c r="C1568">
        <v>2021</v>
      </c>
      <c r="D1568">
        <v>4</v>
      </c>
      <c r="E1568" t="s">
        <v>62</v>
      </c>
      <c r="F1568" t="s">
        <v>31</v>
      </c>
      <c r="G1568">
        <v>2</v>
      </c>
      <c r="H1568" t="s">
        <v>20</v>
      </c>
      <c r="I1568">
        <v>142.41</v>
      </c>
      <c r="J1568">
        <v>196.7</v>
      </c>
      <c r="K1568">
        <v>423.87</v>
      </c>
      <c r="L1568">
        <v>0.87</v>
      </c>
      <c r="M1568">
        <v>762.98</v>
      </c>
      <c r="N1568">
        <v>763.85</v>
      </c>
    </row>
    <row r="1569" spans="1:14" x14ac:dyDescent="0.3">
      <c r="A1569" s="2">
        <v>44287</v>
      </c>
      <c r="B1569" t="s">
        <v>69</v>
      </c>
      <c r="C1569">
        <v>2021</v>
      </c>
      <c r="D1569">
        <v>4</v>
      </c>
      <c r="E1569" t="s">
        <v>62</v>
      </c>
      <c r="F1569" t="s">
        <v>32</v>
      </c>
      <c r="G1569">
        <v>1</v>
      </c>
      <c r="H1569" t="s">
        <v>18</v>
      </c>
      <c r="I1569">
        <v>150.80000000000001</v>
      </c>
      <c r="J1569">
        <v>244.63</v>
      </c>
      <c r="K1569">
        <v>109.02</v>
      </c>
      <c r="L1569">
        <v>4.42</v>
      </c>
      <c r="M1569">
        <v>504.45</v>
      </c>
      <c r="N1569">
        <v>508.87</v>
      </c>
    </row>
    <row r="1570" spans="1:14" x14ac:dyDescent="0.3">
      <c r="A1570" s="2">
        <v>44287</v>
      </c>
      <c r="B1570" t="s">
        <v>69</v>
      </c>
      <c r="C1570">
        <v>2021</v>
      </c>
      <c r="D1570">
        <v>4</v>
      </c>
      <c r="E1570" t="s">
        <v>62</v>
      </c>
      <c r="F1570" t="s">
        <v>33</v>
      </c>
      <c r="G1570">
        <v>20</v>
      </c>
      <c r="H1570" t="s">
        <v>20</v>
      </c>
      <c r="I1570">
        <v>574.44000000000005</v>
      </c>
      <c r="J1570">
        <v>734.3</v>
      </c>
      <c r="K1570">
        <v>1103.5899999999999</v>
      </c>
      <c r="L1570">
        <v>543.92999999999995</v>
      </c>
      <c r="M1570">
        <v>2412.33</v>
      </c>
      <c r="N1570">
        <v>2956.26</v>
      </c>
    </row>
    <row r="1571" spans="1:14" x14ac:dyDescent="0.3">
      <c r="A1571" s="2">
        <v>44287</v>
      </c>
      <c r="B1571" t="s">
        <v>69</v>
      </c>
      <c r="C1571">
        <v>2021</v>
      </c>
      <c r="D1571">
        <v>4</v>
      </c>
      <c r="E1571" t="s">
        <v>62</v>
      </c>
      <c r="F1571" t="s">
        <v>34</v>
      </c>
      <c r="G1571">
        <v>29</v>
      </c>
      <c r="H1571" t="s">
        <v>20</v>
      </c>
      <c r="I1571">
        <v>2438.17</v>
      </c>
      <c r="J1571">
        <v>3064.05</v>
      </c>
      <c r="K1571">
        <v>3570.32</v>
      </c>
      <c r="L1571">
        <v>882.87</v>
      </c>
      <c r="M1571">
        <v>9072.5400000000009</v>
      </c>
      <c r="N1571">
        <v>9955.41</v>
      </c>
    </row>
    <row r="1572" spans="1:14" x14ac:dyDescent="0.3">
      <c r="A1572" s="2">
        <v>44287</v>
      </c>
      <c r="B1572" t="s">
        <v>69</v>
      </c>
      <c r="C1572">
        <v>2021</v>
      </c>
      <c r="D1572">
        <v>4</v>
      </c>
      <c r="E1572" t="s">
        <v>62</v>
      </c>
      <c r="F1572" t="s">
        <v>35</v>
      </c>
      <c r="G1572">
        <v>32</v>
      </c>
      <c r="H1572" t="s">
        <v>20</v>
      </c>
      <c r="I1572">
        <v>796.31</v>
      </c>
      <c r="J1572">
        <v>1075.8800000000001</v>
      </c>
      <c r="K1572">
        <v>582.29999999999995</v>
      </c>
      <c r="L1572">
        <v>11.83</v>
      </c>
      <c r="M1572">
        <v>2454.4899999999998</v>
      </c>
      <c r="N1572">
        <v>2466.3200000000002</v>
      </c>
    </row>
    <row r="1573" spans="1:14" x14ac:dyDescent="0.3">
      <c r="A1573" s="2">
        <v>44287</v>
      </c>
      <c r="B1573" t="s">
        <v>69</v>
      </c>
      <c r="C1573">
        <v>2021</v>
      </c>
      <c r="D1573">
        <v>4</v>
      </c>
      <c r="E1573" t="s">
        <v>62</v>
      </c>
      <c r="F1573" t="s">
        <v>67</v>
      </c>
      <c r="G1573">
        <v>37</v>
      </c>
      <c r="H1573" t="s">
        <v>18</v>
      </c>
      <c r="I1573">
        <v>12.02</v>
      </c>
      <c r="J1573">
        <v>15.33</v>
      </c>
      <c r="K1573">
        <v>3.44</v>
      </c>
      <c r="L1573">
        <v>0.02</v>
      </c>
      <c r="M1573">
        <v>30.79</v>
      </c>
      <c r="N1573">
        <v>30.81</v>
      </c>
    </row>
    <row r="1574" spans="1:14" x14ac:dyDescent="0.3">
      <c r="A1574" s="2">
        <v>44287</v>
      </c>
      <c r="B1574" t="s">
        <v>69</v>
      </c>
      <c r="C1574">
        <v>2021</v>
      </c>
      <c r="D1574">
        <v>4</v>
      </c>
      <c r="E1574" t="s">
        <v>62</v>
      </c>
      <c r="F1574" t="s">
        <v>36</v>
      </c>
      <c r="G1574">
        <v>31</v>
      </c>
      <c r="H1574" t="s">
        <v>18</v>
      </c>
      <c r="I1574">
        <v>1.62</v>
      </c>
      <c r="J1574">
        <v>1.76</v>
      </c>
      <c r="K1574">
        <v>0.34</v>
      </c>
      <c r="L1574">
        <v>0</v>
      </c>
      <c r="M1574">
        <v>3.72</v>
      </c>
      <c r="N1574">
        <v>3.72</v>
      </c>
    </row>
    <row r="1575" spans="1:14" x14ac:dyDescent="0.3">
      <c r="A1575" s="2">
        <v>44287</v>
      </c>
      <c r="B1575" t="s">
        <v>69</v>
      </c>
      <c r="C1575">
        <v>2021</v>
      </c>
      <c r="D1575">
        <v>4</v>
      </c>
      <c r="E1575" t="s">
        <v>62</v>
      </c>
      <c r="F1575" t="s">
        <v>37</v>
      </c>
      <c r="G1575">
        <v>23</v>
      </c>
      <c r="H1575" t="s">
        <v>20</v>
      </c>
      <c r="I1575">
        <v>745.02</v>
      </c>
      <c r="J1575">
        <v>970.14</v>
      </c>
      <c r="K1575">
        <v>796.31</v>
      </c>
      <c r="L1575">
        <v>538.55999999999995</v>
      </c>
      <c r="M1575">
        <v>2511.4699999999998</v>
      </c>
      <c r="N1575">
        <v>3050.03</v>
      </c>
    </row>
    <row r="1576" spans="1:14" x14ac:dyDescent="0.3">
      <c r="A1576" s="2">
        <v>44287</v>
      </c>
      <c r="B1576" t="s">
        <v>69</v>
      </c>
      <c r="C1576">
        <v>2021</v>
      </c>
      <c r="D1576">
        <v>4</v>
      </c>
      <c r="E1576" t="s">
        <v>62</v>
      </c>
      <c r="F1576" t="s">
        <v>38</v>
      </c>
      <c r="G1576">
        <v>27</v>
      </c>
      <c r="H1576" t="s">
        <v>20</v>
      </c>
      <c r="I1576">
        <v>5900.29</v>
      </c>
      <c r="J1576">
        <v>7029.04</v>
      </c>
      <c r="K1576">
        <v>8012.67</v>
      </c>
      <c r="L1576">
        <v>1070.6199999999999</v>
      </c>
      <c r="M1576">
        <v>20942</v>
      </c>
      <c r="N1576">
        <v>22012.62</v>
      </c>
    </row>
    <row r="1577" spans="1:14" x14ac:dyDescent="0.3">
      <c r="A1577" s="2">
        <v>44287</v>
      </c>
      <c r="B1577" t="s">
        <v>69</v>
      </c>
      <c r="C1577">
        <v>2021</v>
      </c>
      <c r="D1577">
        <v>4</v>
      </c>
      <c r="E1577" t="s">
        <v>62</v>
      </c>
      <c r="F1577" t="s">
        <v>39</v>
      </c>
      <c r="G1577">
        <v>14</v>
      </c>
      <c r="H1577" t="s">
        <v>20</v>
      </c>
      <c r="I1577">
        <v>43.43</v>
      </c>
      <c r="J1577">
        <v>55.39</v>
      </c>
      <c r="K1577">
        <v>3.61</v>
      </c>
      <c r="L1577">
        <v>0.25</v>
      </c>
      <c r="M1577">
        <v>102.43</v>
      </c>
      <c r="N1577">
        <v>102.68</v>
      </c>
    </row>
    <row r="1578" spans="1:14" x14ac:dyDescent="0.3">
      <c r="A1578" s="2">
        <v>44287</v>
      </c>
      <c r="B1578" t="s">
        <v>69</v>
      </c>
      <c r="C1578">
        <v>2021</v>
      </c>
      <c r="D1578">
        <v>4</v>
      </c>
      <c r="E1578" t="s">
        <v>62</v>
      </c>
      <c r="F1578" t="s">
        <v>40</v>
      </c>
      <c r="G1578">
        <v>17</v>
      </c>
      <c r="H1578" t="s">
        <v>20</v>
      </c>
      <c r="I1578">
        <v>39.67</v>
      </c>
      <c r="J1578">
        <v>46.35</v>
      </c>
      <c r="K1578">
        <v>119.67</v>
      </c>
      <c r="L1578">
        <v>0.43</v>
      </c>
      <c r="M1578">
        <v>205.69</v>
      </c>
      <c r="N1578">
        <v>206.12</v>
      </c>
    </row>
    <row r="1579" spans="1:14" x14ac:dyDescent="0.3">
      <c r="A1579" s="2">
        <v>44287</v>
      </c>
      <c r="B1579" t="s">
        <v>69</v>
      </c>
      <c r="C1579">
        <v>2021</v>
      </c>
      <c r="D1579">
        <v>4</v>
      </c>
      <c r="E1579" t="s">
        <v>62</v>
      </c>
      <c r="F1579" t="s">
        <v>41</v>
      </c>
      <c r="G1579">
        <v>15</v>
      </c>
      <c r="H1579" t="s">
        <v>20</v>
      </c>
      <c r="I1579">
        <v>22.14</v>
      </c>
      <c r="J1579">
        <v>30.1</v>
      </c>
      <c r="K1579">
        <v>5.09</v>
      </c>
      <c r="L1579">
        <v>0.01</v>
      </c>
      <c r="M1579">
        <v>57.33</v>
      </c>
      <c r="N1579">
        <v>57.34</v>
      </c>
    </row>
    <row r="1580" spans="1:14" x14ac:dyDescent="0.3">
      <c r="A1580" s="2">
        <v>44287</v>
      </c>
      <c r="B1580" t="s">
        <v>69</v>
      </c>
      <c r="C1580">
        <v>2021</v>
      </c>
      <c r="D1580">
        <v>4</v>
      </c>
      <c r="E1580" t="s">
        <v>62</v>
      </c>
      <c r="F1580" t="s">
        <v>42</v>
      </c>
      <c r="G1580">
        <v>13</v>
      </c>
      <c r="H1580" t="s">
        <v>20</v>
      </c>
      <c r="I1580">
        <v>19.13</v>
      </c>
      <c r="J1580">
        <v>24.38</v>
      </c>
      <c r="K1580">
        <v>7.62</v>
      </c>
      <c r="L1580">
        <v>0.47</v>
      </c>
      <c r="M1580">
        <v>51.13</v>
      </c>
      <c r="N1580">
        <v>51.6</v>
      </c>
    </row>
    <row r="1581" spans="1:14" x14ac:dyDescent="0.3">
      <c r="A1581" s="2">
        <v>44287</v>
      </c>
      <c r="B1581" t="s">
        <v>69</v>
      </c>
      <c r="C1581">
        <v>2021</v>
      </c>
      <c r="D1581">
        <v>4</v>
      </c>
      <c r="E1581" t="s">
        <v>62</v>
      </c>
      <c r="F1581" t="s">
        <v>43</v>
      </c>
      <c r="G1581">
        <v>21</v>
      </c>
      <c r="H1581" t="s">
        <v>20</v>
      </c>
      <c r="I1581">
        <v>952.43</v>
      </c>
      <c r="J1581">
        <v>1126.67</v>
      </c>
      <c r="K1581">
        <v>1157.05</v>
      </c>
      <c r="L1581">
        <v>613.33000000000004</v>
      </c>
      <c r="M1581">
        <v>3236.15</v>
      </c>
      <c r="N1581">
        <v>3849.48</v>
      </c>
    </row>
    <row r="1582" spans="1:14" x14ac:dyDescent="0.3">
      <c r="A1582" s="2">
        <v>44287</v>
      </c>
      <c r="B1582" t="s">
        <v>69</v>
      </c>
      <c r="C1582">
        <v>2021</v>
      </c>
      <c r="D1582">
        <v>4</v>
      </c>
      <c r="E1582" t="s">
        <v>62</v>
      </c>
      <c r="F1582" t="s">
        <v>44</v>
      </c>
      <c r="G1582">
        <v>34</v>
      </c>
      <c r="H1582" t="s">
        <v>18</v>
      </c>
      <c r="I1582">
        <v>22.03</v>
      </c>
      <c r="J1582">
        <v>34.979999999999997</v>
      </c>
      <c r="K1582">
        <v>112.2</v>
      </c>
      <c r="L1582">
        <v>0.28000000000000003</v>
      </c>
      <c r="M1582">
        <v>169.21</v>
      </c>
      <c r="N1582">
        <v>169.49</v>
      </c>
    </row>
    <row r="1583" spans="1:14" x14ac:dyDescent="0.3">
      <c r="A1583" s="2">
        <v>44287</v>
      </c>
      <c r="B1583" t="s">
        <v>69</v>
      </c>
      <c r="C1583">
        <v>2021</v>
      </c>
      <c r="D1583">
        <v>4</v>
      </c>
      <c r="E1583" t="s">
        <v>62</v>
      </c>
      <c r="F1583" t="s">
        <v>45</v>
      </c>
      <c r="G1583">
        <v>3</v>
      </c>
      <c r="H1583" t="s">
        <v>20</v>
      </c>
      <c r="I1583">
        <v>466.4</v>
      </c>
      <c r="J1583">
        <v>728.68</v>
      </c>
      <c r="K1583">
        <v>708.49</v>
      </c>
      <c r="L1583">
        <v>20.53</v>
      </c>
      <c r="M1583">
        <v>1903.57</v>
      </c>
      <c r="N1583">
        <v>1924.1</v>
      </c>
    </row>
    <row r="1584" spans="1:14" x14ac:dyDescent="0.3">
      <c r="A1584" s="2">
        <v>44287</v>
      </c>
      <c r="B1584" t="s">
        <v>69</v>
      </c>
      <c r="C1584">
        <v>2021</v>
      </c>
      <c r="D1584">
        <v>4</v>
      </c>
      <c r="E1584" t="s">
        <v>62</v>
      </c>
      <c r="F1584" t="s">
        <v>46</v>
      </c>
      <c r="G1584">
        <v>8</v>
      </c>
      <c r="H1584" t="s">
        <v>20</v>
      </c>
      <c r="I1584">
        <v>1044.75</v>
      </c>
      <c r="J1584">
        <v>1368.78</v>
      </c>
      <c r="K1584">
        <v>1276.01</v>
      </c>
      <c r="L1584">
        <v>130.79</v>
      </c>
      <c r="M1584">
        <v>3689.54</v>
      </c>
      <c r="N1584">
        <v>3820.33</v>
      </c>
    </row>
    <row r="1585" spans="1:14" x14ac:dyDescent="0.3">
      <c r="A1585" s="2">
        <v>44287</v>
      </c>
      <c r="B1585" t="s">
        <v>69</v>
      </c>
      <c r="C1585">
        <v>2021</v>
      </c>
      <c r="D1585">
        <v>4</v>
      </c>
      <c r="E1585" t="s">
        <v>62</v>
      </c>
      <c r="F1585" t="s">
        <v>47</v>
      </c>
      <c r="G1585">
        <v>11</v>
      </c>
      <c r="H1585" t="s">
        <v>20</v>
      </c>
      <c r="I1585">
        <v>25.02</v>
      </c>
      <c r="J1585">
        <v>34.94</v>
      </c>
      <c r="K1585">
        <v>197.75</v>
      </c>
      <c r="L1585">
        <v>0.15</v>
      </c>
      <c r="M1585">
        <v>257.70999999999998</v>
      </c>
      <c r="N1585">
        <v>257.86</v>
      </c>
    </row>
    <row r="1586" spans="1:14" x14ac:dyDescent="0.3">
      <c r="A1586" s="2">
        <v>44287</v>
      </c>
      <c r="B1586" t="s">
        <v>69</v>
      </c>
      <c r="C1586">
        <v>2021</v>
      </c>
      <c r="D1586">
        <v>4</v>
      </c>
      <c r="E1586" t="s">
        <v>62</v>
      </c>
      <c r="F1586" t="s">
        <v>48</v>
      </c>
      <c r="G1586">
        <v>33</v>
      </c>
      <c r="H1586" t="s">
        <v>20</v>
      </c>
      <c r="I1586">
        <v>2294.0300000000002</v>
      </c>
      <c r="J1586">
        <v>3121.79</v>
      </c>
      <c r="K1586">
        <v>3022.38</v>
      </c>
      <c r="L1586">
        <v>411.17</v>
      </c>
      <c r="M1586">
        <v>8438.2000000000007</v>
      </c>
      <c r="N1586">
        <v>8849.3700000000008</v>
      </c>
    </row>
    <row r="1587" spans="1:14" x14ac:dyDescent="0.3">
      <c r="A1587" s="2">
        <v>44287</v>
      </c>
      <c r="B1587" t="s">
        <v>69</v>
      </c>
      <c r="C1587">
        <v>2021</v>
      </c>
      <c r="D1587">
        <v>4</v>
      </c>
      <c r="E1587" t="s">
        <v>62</v>
      </c>
      <c r="F1587" t="s">
        <v>49</v>
      </c>
      <c r="G1587">
        <v>36</v>
      </c>
      <c r="H1587" t="s">
        <v>20</v>
      </c>
      <c r="I1587">
        <v>1121.6600000000001</v>
      </c>
      <c r="J1587">
        <v>1460.28</v>
      </c>
      <c r="K1587">
        <v>1251.08</v>
      </c>
      <c r="L1587">
        <v>429.13</v>
      </c>
      <c r="M1587">
        <v>3833.02</v>
      </c>
      <c r="N1587">
        <v>4262.1499999999996</v>
      </c>
    </row>
    <row r="1588" spans="1:14" x14ac:dyDescent="0.3">
      <c r="A1588" s="2">
        <v>44287</v>
      </c>
      <c r="B1588" t="s">
        <v>69</v>
      </c>
      <c r="C1588">
        <v>2021</v>
      </c>
      <c r="D1588">
        <v>4</v>
      </c>
      <c r="E1588" t="s">
        <v>62</v>
      </c>
      <c r="F1588" t="s">
        <v>50</v>
      </c>
      <c r="G1588">
        <v>16</v>
      </c>
      <c r="H1588" t="s">
        <v>20</v>
      </c>
      <c r="I1588">
        <v>43.53</v>
      </c>
      <c r="J1588">
        <v>56.93</v>
      </c>
      <c r="K1588">
        <v>9.4499999999999993</v>
      </c>
      <c r="L1588">
        <v>0.16</v>
      </c>
      <c r="M1588">
        <v>109.91</v>
      </c>
      <c r="N1588">
        <v>110.07</v>
      </c>
    </row>
    <row r="1589" spans="1:14" x14ac:dyDescent="0.3">
      <c r="A1589" s="2">
        <v>44287</v>
      </c>
      <c r="B1589" t="s">
        <v>69</v>
      </c>
      <c r="C1589">
        <v>2021</v>
      </c>
      <c r="D1589">
        <v>4</v>
      </c>
      <c r="E1589" t="s">
        <v>62</v>
      </c>
      <c r="F1589" t="s">
        <v>51</v>
      </c>
      <c r="G1589">
        <v>9</v>
      </c>
      <c r="H1589" t="s">
        <v>20</v>
      </c>
      <c r="I1589">
        <v>1746.12</v>
      </c>
      <c r="J1589">
        <v>2493.75</v>
      </c>
      <c r="K1589">
        <v>2031.18</v>
      </c>
      <c r="L1589">
        <v>1083.95</v>
      </c>
      <c r="M1589">
        <v>6271.05</v>
      </c>
      <c r="N1589">
        <v>7355</v>
      </c>
    </row>
    <row r="1590" spans="1:14" x14ac:dyDescent="0.3">
      <c r="A1590" s="2">
        <v>44287</v>
      </c>
      <c r="B1590" t="s">
        <v>69</v>
      </c>
      <c r="C1590">
        <v>2021</v>
      </c>
      <c r="D1590">
        <v>4</v>
      </c>
      <c r="E1590" t="s">
        <v>62</v>
      </c>
      <c r="F1590" t="s">
        <v>52</v>
      </c>
      <c r="G1590">
        <v>5</v>
      </c>
      <c r="H1590" t="s">
        <v>20</v>
      </c>
      <c r="I1590">
        <v>256.16000000000003</v>
      </c>
      <c r="J1590">
        <v>389.9</v>
      </c>
      <c r="K1590">
        <v>761.4</v>
      </c>
      <c r="L1590">
        <v>14.47</v>
      </c>
      <c r="M1590">
        <v>1407.46</v>
      </c>
      <c r="N1590">
        <v>1421.93</v>
      </c>
    </row>
    <row r="1591" spans="1:14" x14ac:dyDescent="0.3">
      <c r="A1591" s="2">
        <v>44287</v>
      </c>
      <c r="B1591" t="s">
        <v>69</v>
      </c>
      <c r="C1591">
        <v>2021</v>
      </c>
      <c r="D1591">
        <v>4</v>
      </c>
      <c r="E1591" t="s">
        <v>62</v>
      </c>
      <c r="F1591" t="s">
        <v>53</v>
      </c>
      <c r="G1591">
        <v>19</v>
      </c>
      <c r="H1591" t="s">
        <v>20</v>
      </c>
      <c r="I1591">
        <v>1624.73</v>
      </c>
      <c r="J1591">
        <v>2019.54</v>
      </c>
      <c r="K1591">
        <v>1219.83</v>
      </c>
      <c r="L1591">
        <v>371.75</v>
      </c>
      <c r="M1591">
        <v>4864.1000000000004</v>
      </c>
      <c r="N1591">
        <v>5235.8500000000004</v>
      </c>
    </row>
    <row r="1592" spans="1:14" x14ac:dyDescent="0.3">
      <c r="A1592" s="2">
        <v>44317</v>
      </c>
      <c r="B1592" t="s">
        <v>69</v>
      </c>
      <c r="C1592">
        <v>2021</v>
      </c>
      <c r="D1592">
        <v>5</v>
      </c>
      <c r="E1592" t="s">
        <v>63</v>
      </c>
      <c r="F1592" t="s">
        <v>17</v>
      </c>
      <c r="G1592">
        <v>35</v>
      </c>
      <c r="H1592" t="s">
        <v>18</v>
      </c>
      <c r="I1592">
        <v>19.420000000000002</v>
      </c>
      <c r="J1592">
        <v>25.84</v>
      </c>
      <c r="K1592">
        <v>3.04</v>
      </c>
      <c r="L1592">
        <v>0</v>
      </c>
      <c r="M1592">
        <v>48.3</v>
      </c>
      <c r="N1592">
        <v>48.3</v>
      </c>
    </row>
    <row r="1593" spans="1:14" x14ac:dyDescent="0.3">
      <c r="A1593" s="2">
        <v>44317</v>
      </c>
      <c r="B1593" t="s">
        <v>69</v>
      </c>
      <c r="C1593">
        <v>2021</v>
      </c>
      <c r="D1593">
        <v>5</v>
      </c>
      <c r="E1593" t="s">
        <v>63</v>
      </c>
      <c r="F1593" t="s">
        <v>19</v>
      </c>
      <c r="G1593">
        <v>28</v>
      </c>
      <c r="H1593" t="s">
        <v>20</v>
      </c>
      <c r="I1593">
        <v>431.5</v>
      </c>
      <c r="J1593">
        <v>611.37</v>
      </c>
      <c r="K1593">
        <v>856.47</v>
      </c>
      <c r="L1593">
        <v>174.56</v>
      </c>
      <c r="M1593">
        <v>1899.34</v>
      </c>
      <c r="N1593">
        <v>2073.9</v>
      </c>
    </row>
    <row r="1594" spans="1:14" x14ac:dyDescent="0.3">
      <c r="A1594" s="2">
        <v>44317</v>
      </c>
      <c r="B1594" t="s">
        <v>69</v>
      </c>
      <c r="C1594">
        <v>2021</v>
      </c>
      <c r="D1594">
        <v>5</v>
      </c>
      <c r="E1594" t="s">
        <v>63</v>
      </c>
      <c r="F1594" t="s">
        <v>21</v>
      </c>
      <c r="G1594">
        <v>12</v>
      </c>
      <c r="H1594" t="s">
        <v>20</v>
      </c>
      <c r="I1594">
        <v>13.7</v>
      </c>
      <c r="J1594">
        <v>17.649999999999999</v>
      </c>
      <c r="K1594">
        <v>5.13</v>
      </c>
      <c r="L1594">
        <v>0.01</v>
      </c>
      <c r="M1594">
        <v>36.479999999999997</v>
      </c>
      <c r="N1594">
        <v>36.49</v>
      </c>
    </row>
    <row r="1595" spans="1:14" x14ac:dyDescent="0.3">
      <c r="A1595" s="2">
        <v>44317</v>
      </c>
      <c r="B1595" t="s">
        <v>69</v>
      </c>
      <c r="C1595">
        <v>2021</v>
      </c>
      <c r="D1595">
        <v>5</v>
      </c>
      <c r="E1595" t="s">
        <v>63</v>
      </c>
      <c r="F1595" t="s">
        <v>22</v>
      </c>
      <c r="G1595">
        <v>18</v>
      </c>
      <c r="H1595" t="s">
        <v>20</v>
      </c>
      <c r="I1595">
        <v>218.68</v>
      </c>
      <c r="J1595">
        <v>294.68</v>
      </c>
      <c r="K1595">
        <v>234.72</v>
      </c>
      <c r="L1595">
        <v>21.53</v>
      </c>
      <c r="M1595">
        <v>748.08</v>
      </c>
      <c r="N1595">
        <v>769.61</v>
      </c>
    </row>
    <row r="1596" spans="1:14" x14ac:dyDescent="0.3">
      <c r="A1596" s="2">
        <v>44317</v>
      </c>
      <c r="B1596" t="s">
        <v>69</v>
      </c>
      <c r="C1596">
        <v>2021</v>
      </c>
      <c r="D1596">
        <v>5</v>
      </c>
      <c r="E1596" t="s">
        <v>63</v>
      </c>
      <c r="F1596" t="s">
        <v>23</v>
      </c>
      <c r="G1596">
        <v>10</v>
      </c>
      <c r="H1596" t="s">
        <v>20</v>
      </c>
      <c r="I1596">
        <v>198.92</v>
      </c>
      <c r="J1596">
        <v>366.65</v>
      </c>
      <c r="K1596">
        <v>110.92</v>
      </c>
      <c r="L1596">
        <v>172.55</v>
      </c>
      <c r="M1596">
        <v>676.49</v>
      </c>
      <c r="N1596">
        <v>849.04</v>
      </c>
    </row>
    <row r="1597" spans="1:14" x14ac:dyDescent="0.3">
      <c r="A1597" s="2">
        <v>44317</v>
      </c>
      <c r="B1597" t="s">
        <v>69</v>
      </c>
      <c r="C1597">
        <v>2021</v>
      </c>
      <c r="D1597">
        <v>5</v>
      </c>
      <c r="E1597" t="s">
        <v>63</v>
      </c>
      <c r="F1597" t="s">
        <v>24</v>
      </c>
      <c r="G1597">
        <v>4</v>
      </c>
      <c r="H1597" t="s">
        <v>18</v>
      </c>
      <c r="I1597">
        <v>21.68</v>
      </c>
      <c r="J1597">
        <v>25.5</v>
      </c>
      <c r="K1597">
        <v>81.569999999999993</v>
      </c>
      <c r="L1597">
        <v>1.21</v>
      </c>
      <c r="M1597">
        <v>128.75</v>
      </c>
      <c r="N1597">
        <v>129.96</v>
      </c>
    </row>
    <row r="1598" spans="1:14" x14ac:dyDescent="0.3">
      <c r="A1598" s="2">
        <v>44317</v>
      </c>
      <c r="B1598" t="s">
        <v>69</v>
      </c>
      <c r="C1598">
        <v>2021</v>
      </c>
      <c r="D1598">
        <v>5</v>
      </c>
      <c r="E1598" t="s">
        <v>63</v>
      </c>
      <c r="F1598" t="s">
        <v>25</v>
      </c>
      <c r="G1598">
        <v>22</v>
      </c>
      <c r="H1598" t="s">
        <v>20</v>
      </c>
      <c r="I1598">
        <v>337.88</v>
      </c>
      <c r="J1598">
        <v>389.15</v>
      </c>
      <c r="K1598">
        <v>774.06</v>
      </c>
      <c r="L1598">
        <v>524.88</v>
      </c>
      <c r="M1598">
        <v>1501.09</v>
      </c>
      <c r="N1598">
        <v>2025.97</v>
      </c>
    </row>
    <row r="1599" spans="1:14" x14ac:dyDescent="0.3">
      <c r="A1599" s="2">
        <v>44317</v>
      </c>
      <c r="B1599" t="s">
        <v>69</v>
      </c>
      <c r="C1599">
        <v>2021</v>
      </c>
      <c r="D1599">
        <v>5</v>
      </c>
      <c r="E1599" t="s">
        <v>63</v>
      </c>
      <c r="F1599" t="s">
        <v>26</v>
      </c>
      <c r="G1599">
        <v>38</v>
      </c>
      <c r="H1599" t="s">
        <v>18</v>
      </c>
      <c r="I1599">
        <v>28.1</v>
      </c>
      <c r="J1599">
        <v>34.799999999999997</v>
      </c>
      <c r="K1599">
        <v>165.61</v>
      </c>
      <c r="L1599">
        <v>0.09</v>
      </c>
      <c r="M1599">
        <v>228.51</v>
      </c>
      <c r="N1599">
        <v>228.6</v>
      </c>
    </row>
    <row r="1600" spans="1:14" x14ac:dyDescent="0.3">
      <c r="A1600" s="2">
        <v>44317</v>
      </c>
      <c r="B1600" t="s">
        <v>69</v>
      </c>
      <c r="C1600">
        <v>2021</v>
      </c>
      <c r="D1600">
        <v>5</v>
      </c>
      <c r="E1600" t="s">
        <v>63</v>
      </c>
      <c r="F1600" t="s">
        <v>27</v>
      </c>
      <c r="G1600">
        <v>7</v>
      </c>
      <c r="H1600" t="s">
        <v>18</v>
      </c>
      <c r="I1600">
        <v>538.04</v>
      </c>
      <c r="J1600">
        <v>624.07000000000005</v>
      </c>
      <c r="K1600">
        <v>1533.24</v>
      </c>
      <c r="L1600">
        <v>75.48</v>
      </c>
      <c r="M1600">
        <v>2695.35</v>
      </c>
      <c r="N1600">
        <v>2770.83</v>
      </c>
    </row>
    <row r="1601" spans="1:14" x14ac:dyDescent="0.3">
      <c r="A1601" s="2">
        <v>44317</v>
      </c>
      <c r="B1601" t="s">
        <v>69</v>
      </c>
      <c r="C1601">
        <v>2021</v>
      </c>
      <c r="D1601">
        <v>5</v>
      </c>
      <c r="E1601" t="s">
        <v>63</v>
      </c>
      <c r="F1601" t="s">
        <v>28</v>
      </c>
      <c r="G1601">
        <v>30</v>
      </c>
      <c r="H1601" t="s">
        <v>20</v>
      </c>
      <c r="I1601">
        <v>52.01</v>
      </c>
      <c r="J1601">
        <v>74.459999999999994</v>
      </c>
      <c r="K1601">
        <v>101.52</v>
      </c>
      <c r="L1601">
        <v>0.97</v>
      </c>
      <c r="M1601">
        <v>227.99</v>
      </c>
      <c r="N1601">
        <v>228.96</v>
      </c>
    </row>
    <row r="1602" spans="1:14" x14ac:dyDescent="0.3">
      <c r="A1602" s="2">
        <v>44317</v>
      </c>
      <c r="B1602" t="s">
        <v>69</v>
      </c>
      <c r="C1602">
        <v>2021</v>
      </c>
      <c r="D1602">
        <v>5</v>
      </c>
      <c r="E1602" t="s">
        <v>63</v>
      </c>
      <c r="F1602" t="s">
        <v>29</v>
      </c>
      <c r="G1602">
        <v>24</v>
      </c>
      <c r="H1602" t="s">
        <v>20</v>
      </c>
      <c r="I1602">
        <v>1655.66</v>
      </c>
      <c r="J1602">
        <v>2042.77</v>
      </c>
      <c r="K1602">
        <v>2074.08</v>
      </c>
      <c r="L1602">
        <v>609.29</v>
      </c>
      <c r="M1602">
        <v>5772.51</v>
      </c>
      <c r="N1602">
        <v>6381.8</v>
      </c>
    </row>
    <row r="1603" spans="1:14" x14ac:dyDescent="0.3">
      <c r="A1603" s="2">
        <v>44317</v>
      </c>
      <c r="B1603" t="s">
        <v>69</v>
      </c>
      <c r="C1603">
        <v>2021</v>
      </c>
      <c r="D1603">
        <v>5</v>
      </c>
      <c r="E1603" t="s">
        <v>63</v>
      </c>
      <c r="F1603" t="s">
        <v>30</v>
      </c>
      <c r="G1603">
        <v>6</v>
      </c>
      <c r="H1603" t="s">
        <v>20</v>
      </c>
      <c r="I1603">
        <v>722.18</v>
      </c>
      <c r="J1603">
        <v>921.83</v>
      </c>
      <c r="K1603">
        <v>2591.7399999999998</v>
      </c>
      <c r="L1603">
        <v>427.23</v>
      </c>
      <c r="M1603">
        <v>4235.75</v>
      </c>
      <c r="N1603">
        <v>4662.9799999999996</v>
      </c>
    </row>
    <row r="1604" spans="1:14" x14ac:dyDescent="0.3">
      <c r="A1604" s="2">
        <v>44317</v>
      </c>
      <c r="B1604" t="s">
        <v>69</v>
      </c>
      <c r="C1604">
        <v>2021</v>
      </c>
      <c r="D1604">
        <v>5</v>
      </c>
      <c r="E1604" t="s">
        <v>63</v>
      </c>
      <c r="F1604" t="s">
        <v>31</v>
      </c>
      <c r="G1604">
        <v>2</v>
      </c>
      <c r="H1604" t="s">
        <v>20</v>
      </c>
      <c r="I1604">
        <v>75.16</v>
      </c>
      <c r="J1604">
        <v>109.61</v>
      </c>
      <c r="K1604">
        <v>354.68</v>
      </c>
      <c r="L1604">
        <v>0.63</v>
      </c>
      <c r="M1604">
        <v>539.45000000000005</v>
      </c>
      <c r="N1604">
        <v>540.08000000000004</v>
      </c>
    </row>
    <row r="1605" spans="1:14" x14ac:dyDescent="0.3">
      <c r="A1605" s="2">
        <v>44317</v>
      </c>
      <c r="B1605" t="s">
        <v>69</v>
      </c>
      <c r="C1605">
        <v>2021</v>
      </c>
      <c r="D1605">
        <v>5</v>
      </c>
      <c r="E1605" t="s">
        <v>63</v>
      </c>
      <c r="F1605" t="s">
        <v>32</v>
      </c>
      <c r="G1605">
        <v>1</v>
      </c>
      <c r="H1605" t="s">
        <v>18</v>
      </c>
      <c r="I1605">
        <v>60.74</v>
      </c>
      <c r="J1605">
        <v>93.22</v>
      </c>
      <c r="K1605">
        <v>74.39</v>
      </c>
      <c r="L1605">
        <v>3.68</v>
      </c>
      <c r="M1605">
        <v>228.35</v>
      </c>
      <c r="N1605">
        <v>232.03</v>
      </c>
    </row>
    <row r="1606" spans="1:14" x14ac:dyDescent="0.3">
      <c r="A1606" s="2">
        <v>44317</v>
      </c>
      <c r="B1606" t="s">
        <v>69</v>
      </c>
      <c r="C1606">
        <v>2021</v>
      </c>
      <c r="D1606">
        <v>5</v>
      </c>
      <c r="E1606" t="s">
        <v>63</v>
      </c>
      <c r="F1606" t="s">
        <v>33</v>
      </c>
      <c r="G1606">
        <v>20</v>
      </c>
      <c r="H1606" t="s">
        <v>20</v>
      </c>
      <c r="I1606">
        <v>300.81</v>
      </c>
      <c r="J1606">
        <v>382.32</v>
      </c>
      <c r="K1606">
        <v>841.35</v>
      </c>
      <c r="L1606">
        <v>488.51</v>
      </c>
      <c r="M1606">
        <v>1524.48</v>
      </c>
      <c r="N1606">
        <v>2012.99</v>
      </c>
    </row>
    <row r="1607" spans="1:14" x14ac:dyDescent="0.3">
      <c r="A1607" s="2">
        <v>44317</v>
      </c>
      <c r="B1607" t="s">
        <v>69</v>
      </c>
      <c r="C1607">
        <v>2021</v>
      </c>
      <c r="D1607">
        <v>5</v>
      </c>
      <c r="E1607" t="s">
        <v>63</v>
      </c>
      <c r="F1607" t="s">
        <v>34</v>
      </c>
      <c r="G1607">
        <v>29</v>
      </c>
      <c r="H1607" t="s">
        <v>20</v>
      </c>
      <c r="I1607">
        <v>1229.73</v>
      </c>
      <c r="J1607">
        <v>1538.5</v>
      </c>
      <c r="K1607">
        <v>2156.7600000000002</v>
      </c>
      <c r="L1607">
        <v>828.88</v>
      </c>
      <c r="M1607">
        <v>4924.99</v>
      </c>
      <c r="N1607">
        <v>5753.87</v>
      </c>
    </row>
    <row r="1608" spans="1:14" x14ac:dyDescent="0.3">
      <c r="A1608" s="2">
        <v>44317</v>
      </c>
      <c r="B1608" t="s">
        <v>69</v>
      </c>
      <c r="C1608">
        <v>2021</v>
      </c>
      <c r="D1608">
        <v>5</v>
      </c>
      <c r="E1608" t="s">
        <v>63</v>
      </c>
      <c r="F1608" t="s">
        <v>35</v>
      </c>
      <c r="G1608">
        <v>32</v>
      </c>
      <c r="H1608" t="s">
        <v>20</v>
      </c>
      <c r="I1608">
        <v>319.92</v>
      </c>
      <c r="J1608">
        <v>477.18</v>
      </c>
      <c r="K1608">
        <v>346.99</v>
      </c>
      <c r="L1608">
        <v>2.4300000000000002</v>
      </c>
      <c r="M1608">
        <v>1144.0899999999999</v>
      </c>
      <c r="N1608">
        <v>1146.52</v>
      </c>
    </row>
    <row r="1609" spans="1:14" x14ac:dyDescent="0.3">
      <c r="A1609" s="2">
        <v>44317</v>
      </c>
      <c r="B1609" t="s">
        <v>69</v>
      </c>
      <c r="C1609">
        <v>2021</v>
      </c>
      <c r="D1609">
        <v>5</v>
      </c>
      <c r="E1609" t="s">
        <v>63</v>
      </c>
      <c r="F1609" t="s">
        <v>67</v>
      </c>
      <c r="G1609">
        <v>37</v>
      </c>
      <c r="H1609" t="s">
        <v>18</v>
      </c>
      <c r="I1609">
        <v>1.81</v>
      </c>
      <c r="J1609">
        <v>3.05</v>
      </c>
      <c r="K1609">
        <v>0.45</v>
      </c>
      <c r="L1609">
        <v>0</v>
      </c>
      <c r="M1609">
        <v>5.31</v>
      </c>
      <c r="N1609">
        <v>5.31</v>
      </c>
    </row>
    <row r="1610" spans="1:14" x14ac:dyDescent="0.3">
      <c r="A1610" s="2">
        <v>44317</v>
      </c>
      <c r="B1610" t="s">
        <v>69</v>
      </c>
      <c r="C1610">
        <v>2021</v>
      </c>
      <c r="D1610">
        <v>5</v>
      </c>
      <c r="E1610" t="s">
        <v>63</v>
      </c>
      <c r="F1610" t="s">
        <v>36</v>
      </c>
      <c r="G1610">
        <v>31</v>
      </c>
      <c r="H1610" t="s">
        <v>18</v>
      </c>
      <c r="I1610">
        <v>0.09</v>
      </c>
      <c r="J1610">
        <v>0.15</v>
      </c>
      <c r="K1610">
        <v>0.03</v>
      </c>
      <c r="L1610">
        <v>0</v>
      </c>
      <c r="M1610">
        <v>0.27</v>
      </c>
      <c r="N1610">
        <v>0.27</v>
      </c>
    </row>
    <row r="1611" spans="1:14" x14ac:dyDescent="0.3">
      <c r="A1611" s="2">
        <v>44317</v>
      </c>
      <c r="B1611" t="s">
        <v>69</v>
      </c>
      <c r="C1611">
        <v>2021</v>
      </c>
      <c r="D1611">
        <v>5</v>
      </c>
      <c r="E1611" t="s">
        <v>63</v>
      </c>
      <c r="F1611" t="s">
        <v>37</v>
      </c>
      <c r="G1611">
        <v>23</v>
      </c>
      <c r="H1611" t="s">
        <v>20</v>
      </c>
      <c r="I1611">
        <v>382.9</v>
      </c>
      <c r="J1611">
        <v>491.04</v>
      </c>
      <c r="K1611">
        <v>578.98</v>
      </c>
      <c r="L1611">
        <v>475.48</v>
      </c>
      <c r="M1611">
        <v>1452.92</v>
      </c>
      <c r="N1611">
        <v>1928.4</v>
      </c>
    </row>
    <row r="1612" spans="1:14" x14ac:dyDescent="0.3">
      <c r="A1612" s="2">
        <v>44317</v>
      </c>
      <c r="B1612" t="s">
        <v>69</v>
      </c>
      <c r="C1612">
        <v>2021</v>
      </c>
      <c r="D1612">
        <v>5</v>
      </c>
      <c r="E1612" t="s">
        <v>63</v>
      </c>
      <c r="F1612" t="s">
        <v>38</v>
      </c>
      <c r="G1612">
        <v>27</v>
      </c>
      <c r="H1612" t="s">
        <v>20</v>
      </c>
      <c r="I1612">
        <v>3760.78</v>
      </c>
      <c r="J1612">
        <v>4433.1899999999996</v>
      </c>
      <c r="K1612">
        <v>4360.53</v>
      </c>
      <c r="L1612">
        <v>1010.93</v>
      </c>
      <c r="M1612">
        <v>12554.5</v>
      </c>
      <c r="N1612">
        <v>13565.43</v>
      </c>
    </row>
    <row r="1613" spans="1:14" x14ac:dyDescent="0.3">
      <c r="A1613" s="2">
        <v>44317</v>
      </c>
      <c r="B1613" t="s">
        <v>69</v>
      </c>
      <c r="C1613">
        <v>2021</v>
      </c>
      <c r="D1613">
        <v>5</v>
      </c>
      <c r="E1613" t="s">
        <v>63</v>
      </c>
      <c r="F1613" t="s">
        <v>39</v>
      </c>
      <c r="G1613">
        <v>14</v>
      </c>
      <c r="H1613" t="s">
        <v>20</v>
      </c>
      <c r="I1613">
        <v>7.71</v>
      </c>
      <c r="J1613">
        <v>10.53</v>
      </c>
      <c r="K1613">
        <v>3.37</v>
      </c>
      <c r="L1613">
        <v>0</v>
      </c>
      <c r="M1613">
        <v>21.61</v>
      </c>
      <c r="N1613">
        <v>21.61</v>
      </c>
    </row>
    <row r="1614" spans="1:14" x14ac:dyDescent="0.3">
      <c r="A1614" s="2">
        <v>44317</v>
      </c>
      <c r="B1614" t="s">
        <v>69</v>
      </c>
      <c r="C1614">
        <v>2021</v>
      </c>
      <c r="D1614">
        <v>5</v>
      </c>
      <c r="E1614" t="s">
        <v>63</v>
      </c>
      <c r="F1614" t="s">
        <v>40</v>
      </c>
      <c r="G1614">
        <v>17</v>
      </c>
      <c r="H1614" t="s">
        <v>20</v>
      </c>
      <c r="I1614">
        <v>14.23</v>
      </c>
      <c r="J1614">
        <v>16.75</v>
      </c>
      <c r="K1614">
        <v>93.14</v>
      </c>
      <c r="L1614">
        <v>0.21</v>
      </c>
      <c r="M1614">
        <v>124.12</v>
      </c>
      <c r="N1614">
        <v>124.33</v>
      </c>
    </row>
    <row r="1615" spans="1:14" x14ac:dyDescent="0.3">
      <c r="A1615" s="2">
        <v>44317</v>
      </c>
      <c r="B1615" t="s">
        <v>69</v>
      </c>
      <c r="C1615">
        <v>2021</v>
      </c>
      <c r="D1615">
        <v>5</v>
      </c>
      <c r="E1615" t="s">
        <v>63</v>
      </c>
      <c r="F1615" t="s">
        <v>41</v>
      </c>
      <c r="G1615">
        <v>15</v>
      </c>
      <c r="H1615" t="s">
        <v>20</v>
      </c>
      <c r="I1615">
        <v>4.9400000000000004</v>
      </c>
      <c r="J1615">
        <v>6.89</v>
      </c>
      <c r="K1615">
        <v>2.89</v>
      </c>
      <c r="L1615">
        <v>0.01</v>
      </c>
      <c r="M1615">
        <v>14.72</v>
      </c>
      <c r="N1615">
        <v>14.73</v>
      </c>
    </row>
    <row r="1616" spans="1:14" x14ac:dyDescent="0.3">
      <c r="A1616" s="2">
        <v>44317</v>
      </c>
      <c r="B1616" t="s">
        <v>69</v>
      </c>
      <c r="C1616">
        <v>2021</v>
      </c>
      <c r="D1616">
        <v>5</v>
      </c>
      <c r="E1616" t="s">
        <v>63</v>
      </c>
      <c r="F1616" t="s">
        <v>42</v>
      </c>
      <c r="G1616">
        <v>13</v>
      </c>
      <c r="H1616" t="s">
        <v>20</v>
      </c>
      <c r="I1616">
        <v>11.27</v>
      </c>
      <c r="J1616">
        <v>14.63</v>
      </c>
      <c r="K1616">
        <v>3.46</v>
      </c>
      <c r="L1616">
        <v>0.05</v>
      </c>
      <c r="M1616">
        <v>29.36</v>
      </c>
      <c r="N1616">
        <v>29.41</v>
      </c>
    </row>
    <row r="1617" spans="1:14" x14ac:dyDescent="0.3">
      <c r="A1617" s="2">
        <v>44317</v>
      </c>
      <c r="B1617" t="s">
        <v>69</v>
      </c>
      <c r="C1617">
        <v>2021</v>
      </c>
      <c r="D1617">
        <v>5</v>
      </c>
      <c r="E1617" t="s">
        <v>63</v>
      </c>
      <c r="F1617" t="s">
        <v>43</v>
      </c>
      <c r="G1617">
        <v>21</v>
      </c>
      <c r="H1617" t="s">
        <v>20</v>
      </c>
      <c r="I1617">
        <v>690.32</v>
      </c>
      <c r="J1617">
        <v>827.43</v>
      </c>
      <c r="K1617">
        <v>1094.7</v>
      </c>
      <c r="L1617">
        <v>584.29999999999995</v>
      </c>
      <c r="M1617">
        <v>2612.4499999999998</v>
      </c>
      <c r="N1617">
        <v>3196.75</v>
      </c>
    </row>
    <row r="1618" spans="1:14" x14ac:dyDescent="0.3">
      <c r="A1618" s="2">
        <v>44317</v>
      </c>
      <c r="B1618" t="s">
        <v>69</v>
      </c>
      <c r="C1618">
        <v>2021</v>
      </c>
      <c r="D1618">
        <v>5</v>
      </c>
      <c r="E1618" t="s">
        <v>63</v>
      </c>
      <c r="F1618" t="s">
        <v>44</v>
      </c>
      <c r="G1618">
        <v>34</v>
      </c>
      <c r="H1618" t="s">
        <v>18</v>
      </c>
      <c r="I1618">
        <v>11.67</v>
      </c>
      <c r="J1618">
        <v>17.3</v>
      </c>
      <c r="K1618">
        <v>93.75</v>
      </c>
      <c r="L1618">
        <v>0.4</v>
      </c>
      <c r="M1618">
        <v>122.72</v>
      </c>
      <c r="N1618">
        <v>123.12</v>
      </c>
    </row>
    <row r="1619" spans="1:14" x14ac:dyDescent="0.3">
      <c r="A1619" s="2">
        <v>44317</v>
      </c>
      <c r="B1619" t="s">
        <v>69</v>
      </c>
      <c r="C1619">
        <v>2021</v>
      </c>
      <c r="D1619">
        <v>5</v>
      </c>
      <c r="E1619" t="s">
        <v>63</v>
      </c>
      <c r="F1619" t="s">
        <v>45</v>
      </c>
      <c r="G1619">
        <v>3</v>
      </c>
      <c r="H1619" t="s">
        <v>20</v>
      </c>
      <c r="I1619">
        <v>288.27</v>
      </c>
      <c r="J1619">
        <v>462.95</v>
      </c>
      <c r="K1619">
        <v>493.13</v>
      </c>
      <c r="L1619">
        <v>21.43</v>
      </c>
      <c r="M1619">
        <v>1244.3499999999999</v>
      </c>
      <c r="N1619">
        <v>1265.78</v>
      </c>
    </row>
    <row r="1620" spans="1:14" x14ac:dyDescent="0.3">
      <c r="A1620" s="2">
        <v>44317</v>
      </c>
      <c r="B1620" t="s">
        <v>69</v>
      </c>
      <c r="C1620">
        <v>2021</v>
      </c>
      <c r="D1620">
        <v>5</v>
      </c>
      <c r="E1620" t="s">
        <v>63</v>
      </c>
      <c r="F1620" t="s">
        <v>46</v>
      </c>
      <c r="G1620">
        <v>8</v>
      </c>
      <c r="H1620" t="s">
        <v>20</v>
      </c>
      <c r="I1620">
        <v>579.26</v>
      </c>
      <c r="J1620">
        <v>782.08</v>
      </c>
      <c r="K1620">
        <v>913.53</v>
      </c>
      <c r="L1620">
        <v>189.01</v>
      </c>
      <c r="M1620">
        <v>2274.87</v>
      </c>
      <c r="N1620">
        <v>2463.88</v>
      </c>
    </row>
    <row r="1621" spans="1:14" x14ac:dyDescent="0.3">
      <c r="A1621" s="2">
        <v>44317</v>
      </c>
      <c r="B1621" t="s">
        <v>69</v>
      </c>
      <c r="C1621">
        <v>2021</v>
      </c>
      <c r="D1621">
        <v>5</v>
      </c>
      <c r="E1621" t="s">
        <v>63</v>
      </c>
      <c r="F1621" t="s">
        <v>47</v>
      </c>
      <c r="G1621">
        <v>11</v>
      </c>
      <c r="H1621" t="s">
        <v>20</v>
      </c>
      <c r="I1621">
        <v>10.3</v>
      </c>
      <c r="J1621">
        <v>11.87</v>
      </c>
      <c r="K1621">
        <v>227.6</v>
      </c>
      <c r="L1621">
        <v>0.03</v>
      </c>
      <c r="M1621">
        <v>249.77</v>
      </c>
      <c r="N1621">
        <v>249.8</v>
      </c>
    </row>
    <row r="1622" spans="1:14" x14ac:dyDescent="0.3">
      <c r="A1622" s="2">
        <v>44317</v>
      </c>
      <c r="B1622" t="s">
        <v>69</v>
      </c>
      <c r="C1622">
        <v>2021</v>
      </c>
      <c r="D1622">
        <v>5</v>
      </c>
      <c r="E1622" t="s">
        <v>63</v>
      </c>
      <c r="F1622" t="s">
        <v>48</v>
      </c>
      <c r="G1622">
        <v>33</v>
      </c>
      <c r="H1622" t="s">
        <v>20</v>
      </c>
      <c r="I1622">
        <v>1325.49</v>
      </c>
      <c r="J1622">
        <v>1764.11</v>
      </c>
      <c r="K1622">
        <v>1834.61</v>
      </c>
      <c r="L1622">
        <v>667.52</v>
      </c>
      <c r="M1622">
        <v>4924.21</v>
      </c>
      <c r="N1622">
        <v>5591.73</v>
      </c>
    </row>
    <row r="1623" spans="1:14" x14ac:dyDescent="0.3">
      <c r="A1623" s="2">
        <v>44317</v>
      </c>
      <c r="B1623" t="s">
        <v>69</v>
      </c>
      <c r="C1623">
        <v>2021</v>
      </c>
      <c r="D1623">
        <v>5</v>
      </c>
      <c r="E1623" t="s">
        <v>63</v>
      </c>
      <c r="F1623" t="s">
        <v>49</v>
      </c>
      <c r="G1623">
        <v>36</v>
      </c>
      <c r="H1623" t="s">
        <v>20</v>
      </c>
      <c r="I1623">
        <v>622.63</v>
      </c>
      <c r="J1623">
        <v>856.3</v>
      </c>
      <c r="K1623">
        <v>904.67</v>
      </c>
      <c r="L1623">
        <v>600.76</v>
      </c>
      <c r="M1623">
        <v>2383.6</v>
      </c>
      <c r="N1623">
        <v>2984.36</v>
      </c>
    </row>
    <row r="1624" spans="1:14" x14ac:dyDescent="0.3">
      <c r="A1624" s="2">
        <v>44317</v>
      </c>
      <c r="B1624" t="s">
        <v>69</v>
      </c>
      <c r="C1624">
        <v>2021</v>
      </c>
      <c r="D1624">
        <v>5</v>
      </c>
      <c r="E1624" t="s">
        <v>63</v>
      </c>
      <c r="F1624" t="s">
        <v>50</v>
      </c>
      <c r="G1624">
        <v>16</v>
      </c>
      <c r="H1624" t="s">
        <v>20</v>
      </c>
      <c r="I1624">
        <v>13.9</v>
      </c>
      <c r="J1624">
        <v>19.22</v>
      </c>
      <c r="K1624">
        <v>5.98</v>
      </c>
      <c r="L1624">
        <v>0.05</v>
      </c>
      <c r="M1624">
        <v>39.1</v>
      </c>
      <c r="N1624">
        <v>39.15</v>
      </c>
    </row>
    <row r="1625" spans="1:14" x14ac:dyDescent="0.3">
      <c r="A1625" s="2">
        <v>44317</v>
      </c>
      <c r="B1625" t="s">
        <v>69</v>
      </c>
      <c r="C1625">
        <v>2021</v>
      </c>
      <c r="D1625">
        <v>5</v>
      </c>
      <c r="E1625" t="s">
        <v>63</v>
      </c>
      <c r="F1625" t="s">
        <v>51</v>
      </c>
      <c r="G1625">
        <v>9</v>
      </c>
      <c r="H1625" t="s">
        <v>20</v>
      </c>
      <c r="I1625">
        <v>1002.21</v>
      </c>
      <c r="J1625">
        <v>1436.93</v>
      </c>
      <c r="K1625">
        <v>1223.24</v>
      </c>
      <c r="L1625">
        <v>1047.18</v>
      </c>
      <c r="M1625">
        <v>3662.38</v>
      </c>
      <c r="N1625">
        <v>4709.5600000000004</v>
      </c>
    </row>
    <row r="1626" spans="1:14" x14ac:dyDescent="0.3">
      <c r="A1626" s="2">
        <v>44317</v>
      </c>
      <c r="B1626" t="s">
        <v>69</v>
      </c>
      <c r="C1626">
        <v>2021</v>
      </c>
      <c r="D1626">
        <v>5</v>
      </c>
      <c r="E1626" t="s">
        <v>63</v>
      </c>
      <c r="F1626" t="s">
        <v>52</v>
      </c>
      <c r="G1626">
        <v>5</v>
      </c>
      <c r="H1626" t="s">
        <v>20</v>
      </c>
      <c r="I1626">
        <v>156.33000000000001</v>
      </c>
      <c r="J1626">
        <v>224.74</v>
      </c>
      <c r="K1626">
        <v>503.27</v>
      </c>
      <c r="L1626">
        <v>9.07</v>
      </c>
      <c r="M1626">
        <v>884.34</v>
      </c>
      <c r="N1626">
        <v>893.41</v>
      </c>
    </row>
    <row r="1627" spans="1:14" x14ac:dyDescent="0.3">
      <c r="A1627" s="2">
        <v>44317</v>
      </c>
      <c r="B1627" t="s">
        <v>69</v>
      </c>
      <c r="C1627">
        <v>2021</v>
      </c>
      <c r="D1627">
        <v>5</v>
      </c>
      <c r="E1627" t="s">
        <v>63</v>
      </c>
      <c r="F1627" t="s">
        <v>53</v>
      </c>
      <c r="G1627">
        <v>19</v>
      </c>
      <c r="H1627" t="s">
        <v>20</v>
      </c>
      <c r="I1627">
        <v>1007.05</v>
      </c>
      <c r="J1627">
        <v>1322.1</v>
      </c>
      <c r="K1627">
        <v>842.2</v>
      </c>
      <c r="L1627">
        <v>418.86</v>
      </c>
      <c r="M1627">
        <v>3171.35</v>
      </c>
      <c r="N1627">
        <v>3590.21</v>
      </c>
    </row>
    <row r="1628" spans="1:14" x14ac:dyDescent="0.3">
      <c r="A1628" s="2">
        <v>44348</v>
      </c>
      <c r="B1628" t="s">
        <v>69</v>
      </c>
      <c r="C1628">
        <v>2021</v>
      </c>
      <c r="D1628">
        <v>6</v>
      </c>
      <c r="E1628" t="s">
        <v>64</v>
      </c>
      <c r="F1628" t="s">
        <v>17</v>
      </c>
      <c r="G1628">
        <v>35</v>
      </c>
      <c r="H1628" t="s">
        <v>18</v>
      </c>
      <c r="I1628">
        <v>4.25</v>
      </c>
      <c r="J1628">
        <v>5.62</v>
      </c>
      <c r="K1628">
        <v>1.66</v>
      </c>
      <c r="L1628">
        <v>0.01</v>
      </c>
      <c r="M1628">
        <v>11.53</v>
      </c>
      <c r="N1628">
        <v>11.54</v>
      </c>
    </row>
    <row r="1629" spans="1:14" x14ac:dyDescent="0.3">
      <c r="A1629" s="2">
        <v>44348</v>
      </c>
      <c r="B1629" t="s">
        <v>69</v>
      </c>
      <c r="C1629">
        <v>2021</v>
      </c>
      <c r="D1629">
        <v>6</v>
      </c>
      <c r="E1629" t="s">
        <v>64</v>
      </c>
      <c r="F1629" t="s">
        <v>19</v>
      </c>
      <c r="G1629">
        <v>28</v>
      </c>
      <c r="H1629" t="s">
        <v>20</v>
      </c>
      <c r="I1629">
        <v>512.11</v>
      </c>
      <c r="J1629">
        <v>653.82000000000005</v>
      </c>
      <c r="K1629">
        <v>784.26</v>
      </c>
      <c r="L1629">
        <v>100.57</v>
      </c>
      <c r="M1629">
        <v>1950.19</v>
      </c>
      <c r="N1629">
        <v>2050.7600000000002</v>
      </c>
    </row>
    <row r="1630" spans="1:14" x14ac:dyDescent="0.3">
      <c r="A1630" s="2">
        <v>44348</v>
      </c>
      <c r="B1630" t="s">
        <v>69</v>
      </c>
      <c r="C1630">
        <v>2021</v>
      </c>
      <c r="D1630">
        <v>6</v>
      </c>
      <c r="E1630" t="s">
        <v>64</v>
      </c>
      <c r="F1630" t="s">
        <v>21</v>
      </c>
      <c r="G1630">
        <v>12</v>
      </c>
      <c r="H1630" t="s">
        <v>20</v>
      </c>
      <c r="I1630">
        <v>13.18</v>
      </c>
      <c r="J1630">
        <v>15.91</v>
      </c>
      <c r="K1630">
        <v>3.87</v>
      </c>
      <c r="L1630">
        <v>0.13</v>
      </c>
      <c r="M1630">
        <v>32.96</v>
      </c>
      <c r="N1630">
        <v>33.090000000000003</v>
      </c>
    </row>
    <row r="1631" spans="1:14" x14ac:dyDescent="0.3">
      <c r="A1631" s="2">
        <v>44348</v>
      </c>
      <c r="B1631" t="s">
        <v>69</v>
      </c>
      <c r="C1631">
        <v>2021</v>
      </c>
      <c r="D1631">
        <v>6</v>
      </c>
      <c r="E1631" t="s">
        <v>64</v>
      </c>
      <c r="F1631" t="s">
        <v>22</v>
      </c>
      <c r="G1631">
        <v>18</v>
      </c>
      <c r="H1631" t="s">
        <v>20</v>
      </c>
      <c r="I1631">
        <v>187.91</v>
      </c>
      <c r="J1631">
        <v>235.16</v>
      </c>
      <c r="K1631">
        <v>208.82</v>
      </c>
      <c r="L1631">
        <v>29.93</v>
      </c>
      <c r="M1631">
        <v>631.89</v>
      </c>
      <c r="N1631">
        <v>661.82</v>
      </c>
    </row>
    <row r="1632" spans="1:14" x14ac:dyDescent="0.3">
      <c r="A1632" s="2">
        <v>44348</v>
      </c>
      <c r="B1632" t="s">
        <v>69</v>
      </c>
      <c r="C1632">
        <v>2021</v>
      </c>
      <c r="D1632">
        <v>6</v>
      </c>
      <c r="E1632" t="s">
        <v>64</v>
      </c>
      <c r="F1632" t="s">
        <v>23</v>
      </c>
      <c r="G1632">
        <v>10</v>
      </c>
      <c r="H1632" t="s">
        <v>20</v>
      </c>
      <c r="I1632">
        <v>242.46</v>
      </c>
      <c r="J1632">
        <v>368.62</v>
      </c>
      <c r="K1632">
        <v>119.86</v>
      </c>
      <c r="L1632">
        <v>158.01</v>
      </c>
      <c r="M1632">
        <v>730.94</v>
      </c>
      <c r="N1632">
        <v>888.95</v>
      </c>
    </row>
    <row r="1633" spans="1:14" x14ac:dyDescent="0.3">
      <c r="A1633" s="2">
        <v>44348</v>
      </c>
      <c r="B1633" t="s">
        <v>69</v>
      </c>
      <c r="C1633">
        <v>2021</v>
      </c>
      <c r="D1633">
        <v>6</v>
      </c>
      <c r="E1633" t="s">
        <v>64</v>
      </c>
      <c r="F1633" t="s">
        <v>24</v>
      </c>
      <c r="G1633">
        <v>4</v>
      </c>
      <c r="H1633" t="s">
        <v>18</v>
      </c>
      <c r="I1633">
        <v>21.01</v>
      </c>
      <c r="J1633">
        <v>28.42</v>
      </c>
      <c r="K1633">
        <v>69.64</v>
      </c>
      <c r="L1633">
        <v>1.38</v>
      </c>
      <c r="M1633">
        <v>119.07</v>
      </c>
      <c r="N1633">
        <v>120.45</v>
      </c>
    </row>
    <row r="1634" spans="1:14" x14ac:dyDescent="0.3">
      <c r="A1634" s="2">
        <v>44348</v>
      </c>
      <c r="B1634" t="s">
        <v>69</v>
      </c>
      <c r="C1634">
        <v>2021</v>
      </c>
      <c r="D1634">
        <v>6</v>
      </c>
      <c r="E1634" t="s">
        <v>64</v>
      </c>
      <c r="F1634" t="s">
        <v>25</v>
      </c>
      <c r="G1634">
        <v>22</v>
      </c>
      <c r="H1634" t="s">
        <v>20</v>
      </c>
      <c r="I1634">
        <v>439.57</v>
      </c>
      <c r="J1634">
        <v>488.1</v>
      </c>
      <c r="K1634">
        <v>744.44</v>
      </c>
      <c r="L1634">
        <v>557.51</v>
      </c>
      <c r="M1634">
        <v>1672.11</v>
      </c>
      <c r="N1634">
        <v>2229.62</v>
      </c>
    </row>
    <row r="1635" spans="1:14" x14ac:dyDescent="0.3">
      <c r="A1635" s="2">
        <v>44348</v>
      </c>
      <c r="B1635" t="s">
        <v>69</v>
      </c>
      <c r="C1635">
        <v>2021</v>
      </c>
      <c r="D1635">
        <v>6</v>
      </c>
      <c r="E1635" t="s">
        <v>64</v>
      </c>
      <c r="F1635" t="s">
        <v>26</v>
      </c>
      <c r="G1635">
        <v>38</v>
      </c>
      <c r="H1635" t="s">
        <v>18</v>
      </c>
      <c r="I1635">
        <v>38.82</v>
      </c>
      <c r="J1635">
        <v>46.86</v>
      </c>
      <c r="K1635">
        <v>157.35</v>
      </c>
      <c r="L1635">
        <v>0.08</v>
      </c>
      <c r="M1635">
        <v>243.03</v>
      </c>
      <c r="N1635">
        <v>243.11</v>
      </c>
    </row>
    <row r="1636" spans="1:14" x14ac:dyDescent="0.3">
      <c r="A1636" s="2">
        <v>44348</v>
      </c>
      <c r="B1636" t="s">
        <v>69</v>
      </c>
      <c r="C1636">
        <v>2021</v>
      </c>
      <c r="D1636">
        <v>6</v>
      </c>
      <c r="E1636" t="s">
        <v>64</v>
      </c>
      <c r="F1636" t="s">
        <v>27</v>
      </c>
      <c r="G1636">
        <v>7</v>
      </c>
      <c r="H1636" t="s">
        <v>18</v>
      </c>
      <c r="I1636">
        <v>497.13</v>
      </c>
      <c r="J1636">
        <v>601.89</v>
      </c>
      <c r="K1636">
        <v>1494.28</v>
      </c>
      <c r="L1636">
        <v>62.32</v>
      </c>
      <c r="M1636">
        <v>2593.3000000000002</v>
      </c>
      <c r="N1636">
        <v>2655.62</v>
      </c>
    </row>
    <row r="1637" spans="1:14" x14ac:dyDescent="0.3">
      <c r="A1637" s="2">
        <v>44348</v>
      </c>
      <c r="B1637" t="s">
        <v>69</v>
      </c>
      <c r="C1637">
        <v>2021</v>
      </c>
      <c r="D1637">
        <v>6</v>
      </c>
      <c r="E1637" t="s">
        <v>64</v>
      </c>
      <c r="F1637" t="s">
        <v>28</v>
      </c>
      <c r="G1637">
        <v>30</v>
      </c>
      <c r="H1637" t="s">
        <v>20</v>
      </c>
      <c r="I1637">
        <v>65.5</v>
      </c>
      <c r="J1637">
        <v>84.45</v>
      </c>
      <c r="K1637">
        <v>105.09</v>
      </c>
      <c r="L1637">
        <v>1.29</v>
      </c>
      <c r="M1637">
        <v>255.04</v>
      </c>
      <c r="N1637">
        <v>256.33</v>
      </c>
    </row>
    <row r="1638" spans="1:14" x14ac:dyDescent="0.3">
      <c r="A1638" s="2">
        <v>44348</v>
      </c>
      <c r="B1638" t="s">
        <v>69</v>
      </c>
      <c r="C1638">
        <v>2021</v>
      </c>
      <c r="D1638">
        <v>6</v>
      </c>
      <c r="E1638" t="s">
        <v>64</v>
      </c>
      <c r="F1638" t="s">
        <v>29</v>
      </c>
      <c r="G1638">
        <v>24</v>
      </c>
      <c r="H1638" t="s">
        <v>20</v>
      </c>
      <c r="I1638">
        <v>1739.55</v>
      </c>
      <c r="J1638">
        <v>2081.7199999999998</v>
      </c>
      <c r="K1638">
        <v>1952.49</v>
      </c>
      <c r="L1638">
        <v>353.97</v>
      </c>
      <c r="M1638">
        <v>5773.76</v>
      </c>
      <c r="N1638">
        <v>6127.73</v>
      </c>
    </row>
    <row r="1639" spans="1:14" x14ac:dyDescent="0.3">
      <c r="A1639" s="2">
        <v>44348</v>
      </c>
      <c r="B1639" t="s">
        <v>69</v>
      </c>
      <c r="C1639">
        <v>2021</v>
      </c>
      <c r="D1639">
        <v>6</v>
      </c>
      <c r="E1639" t="s">
        <v>64</v>
      </c>
      <c r="F1639" t="s">
        <v>30</v>
      </c>
      <c r="G1639">
        <v>6</v>
      </c>
      <c r="H1639" t="s">
        <v>20</v>
      </c>
      <c r="I1639">
        <v>678.7</v>
      </c>
      <c r="J1639">
        <v>870.28</v>
      </c>
      <c r="K1639">
        <v>2096.92</v>
      </c>
      <c r="L1639">
        <v>155.09</v>
      </c>
      <c r="M1639">
        <v>3645.9</v>
      </c>
      <c r="N1639">
        <v>3800.99</v>
      </c>
    </row>
    <row r="1640" spans="1:14" x14ac:dyDescent="0.3">
      <c r="A1640" s="2">
        <v>44348</v>
      </c>
      <c r="B1640" t="s">
        <v>69</v>
      </c>
      <c r="C1640">
        <v>2021</v>
      </c>
      <c r="D1640">
        <v>6</v>
      </c>
      <c r="E1640" t="s">
        <v>64</v>
      </c>
      <c r="F1640" t="s">
        <v>31</v>
      </c>
      <c r="G1640">
        <v>2</v>
      </c>
      <c r="H1640" t="s">
        <v>20</v>
      </c>
      <c r="I1640">
        <v>87.31</v>
      </c>
      <c r="J1640">
        <v>119.87</v>
      </c>
      <c r="K1640">
        <v>311.13</v>
      </c>
      <c r="L1640">
        <v>0.78</v>
      </c>
      <c r="M1640">
        <v>518.30999999999995</v>
      </c>
      <c r="N1640">
        <v>519.09</v>
      </c>
    </row>
    <row r="1641" spans="1:14" x14ac:dyDescent="0.3">
      <c r="A1641" s="2">
        <v>44348</v>
      </c>
      <c r="B1641" t="s">
        <v>69</v>
      </c>
      <c r="C1641">
        <v>2021</v>
      </c>
      <c r="D1641">
        <v>6</v>
      </c>
      <c r="E1641" t="s">
        <v>64</v>
      </c>
      <c r="F1641" t="s">
        <v>32</v>
      </c>
      <c r="G1641">
        <v>1</v>
      </c>
      <c r="H1641" t="s">
        <v>18</v>
      </c>
      <c r="I1641">
        <v>75.58</v>
      </c>
      <c r="J1641">
        <v>123.78</v>
      </c>
      <c r="K1641">
        <v>95.25</v>
      </c>
      <c r="L1641">
        <v>5.13</v>
      </c>
      <c r="M1641">
        <v>294.61</v>
      </c>
      <c r="N1641">
        <v>299.74</v>
      </c>
    </row>
    <row r="1642" spans="1:14" x14ac:dyDescent="0.3">
      <c r="A1642" s="2">
        <v>44348</v>
      </c>
      <c r="B1642" t="s">
        <v>69</v>
      </c>
      <c r="C1642">
        <v>2021</v>
      </c>
      <c r="D1642">
        <v>6</v>
      </c>
      <c r="E1642" t="s">
        <v>64</v>
      </c>
      <c r="F1642" t="s">
        <v>33</v>
      </c>
      <c r="G1642">
        <v>20</v>
      </c>
      <c r="H1642" t="s">
        <v>20</v>
      </c>
      <c r="I1642">
        <v>316.16000000000003</v>
      </c>
      <c r="J1642">
        <v>391.82</v>
      </c>
      <c r="K1642">
        <v>843.62</v>
      </c>
      <c r="L1642">
        <v>479.94</v>
      </c>
      <c r="M1642">
        <v>1551.6</v>
      </c>
      <c r="N1642">
        <v>2031.54</v>
      </c>
    </row>
    <row r="1643" spans="1:14" x14ac:dyDescent="0.3">
      <c r="A1643" s="2">
        <v>44348</v>
      </c>
      <c r="B1643" t="s">
        <v>69</v>
      </c>
      <c r="C1643">
        <v>2021</v>
      </c>
      <c r="D1643">
        <v>6</v>
      </c>
      <c r="E1643" t="s">
        <v>64</v>
      </c>
      <c r="F1643" t="s">
        <v>34</v>
      </c>
      <c r="G1643">
        <v>29</v>
      </c>
      <c r="H1643" t="s">
        <v>20</v>
      </c>
      <c r="I1643">
        <v>1237.19</v>
      </c>
      <c r="J1643">
        <v>1501.72</v>
      </c>
      <c r="K1643">
        <v>2119.16</v>
      </c>
      <c r="L1643">
        <v>245.02</v>
      </c>
      <c r="M1643">
        <v>4858.07</v>
      </c>
      <c r="N1643">
        <v>5103.09</v>
      </c>
    </row>
    <row r="1644" spans="1:14" x14ac:dyDescent="0.3">
      <c r="A1644" s="2">
        <v>44348</v>
      </c>
      <c r="B1644" t="s">
        <v>69</v>
      </c>
      <c r="C1644">
        <v>2021</v>
      </c>
      <c r="D1644">
        <v>6</v>
      </c>
      <c r="E1644" t="s">
        <v>64</v>
      </c>
      <c r="F1644" t="s">
        <v>35</v>
      </c>
      <c r="G1644">
        <v>32</v>
      </c>
      <c r="H1644" t="s">
        <v>20</v>
      </c>
      <c r="I1644">
        <v>313.19</v>
      </c>
      <c r="J1644">
        <v>438.46</v>
      </c>
      <c r="K1644">
        <v>244.61</v>
      </c>
      <c r="L1644">
        <v>2.12</v>
      </c>
      <c r="M1644">
        <v>996.26</v>
      </c>
      <c r="N1644">
        <v>998.38</v>
      </c>
    </row>
    <row r="1645" spans="1:14" x14ac:dyDescent="0.3">
      <c r="A1645" s="2">
        <v>44348</v>
      </c>
      <c r="B1645" t="s">
        <v>69</v>
      </c>
      <c r="C1645">
        <v>2021</v>
      </c>
      <c r="D1645">
        <v>6</v>
      </c>
      <c r="E1645" t="s">
        <v>64</v>
      </c>
      <c r="F1645" t="s">
        <v>67</v>
      </c>
      <c r="G1645">
        <v>37</v>
      </c>
      <c r="H1645" t="s">
        <v>18</v>
      </c>
      <c r="I1645">
        <v>2.13</v>
      </c>
      <c r="J1645">
        <v>2.94</v>
      </c>
      <c r="K1645">
        <v>0.99</v>
      </c>
      <c r="L1645">
        <v>0</v>
      </c>
      <c r="M1645">
        <v>6.06</v>
      </c>
      <c r="N1645">
        <v>6.06</v>
      </c>
    </row>
    <row r="1646" spans="1:14" x14ac:dyDescent="0.3">
      <c r="A1646" s="2">
        <v>44348</v>
      </c>
      <c r="B1646" t="s">
        <v>69</v>
      </c>
      <c r="C1646">
        <v>2021</v>
      </c>
      <c r="D1646">
        <v>6</v>
      </c>
      <c r="E1646" t="s">
        <v>64</v>
      </c>
      <c r="F1646" t="s">
        <v>36</v>
      </c>
      <c r="G1646">
        <v>31</v>
      </c>
      <c r="H1646" t="s">
        <v>18</v>
      </c>
      <c r="I1646">
        <v>0.18</v>
      </c>
      <c r="J1646">
        <v>0.18</v>
      </c>
      <c r="K1646">
        <v>0.11</v>
      </c>
      <c r="L1646">
        <v>0</v>
      </c>
      <c r="M1646">
        <v>0.47</v>
      </c>
      <c r="N1646">
        <v>0.47</v>
      </c>
    </row>
    <row r="1647" spans="1:14" x14ac:dyDescent="0.3">
      <c r="A1647" s="2">
        <v>44348</v>
      </c>
      <c r="B1647" t="s">
        <v>69</v>
      </c>
      <c r="C1647">
        <v>2021</v>
      </c>
      <c r="D1647">
        <v>6</v>
      </c>
      <c r="E1647" t="s">
        <v>64</v>
      </c>
      <c r="F1647" t="s">
        <v>37</v>
      </c>
      <c r="G1647">
        <v>23</v>
      </c>
      <c r="H1647" t="s">
        <v>20</v>
      </c>
      <c r="I1647">
        <v>437.98</v>
      </c>
      <c r="J1647">
        <v>556.08000000000004</v>
      </c>
      <c r="K1647">
        <v>545.76</v>
      </c>
      <c r="L1647">
        <v>558.62</v>
      </c>
      <c r="M1647">
        <v>1539.82</v>
      </c>
      <c r="N1647">
        <v>2098.44</v>
      </c>
    </row>
    <row r="1648" spans="1:14" x14ac:dyDescent="0.3">
      <c r="A1648" s="2">
        <v>44348</v>
      </c>
      <c r="B1648" t="s">
        <v>69</v>
      </c>
      <c r="C1648">
        <v>2021</v>
      </c>
      <c r="D1648">
        <v>6</v>
      </c>
      <c r="E1648" t="s">
        <v>64</v>
      </c>
      <c r="F1648" t="s">
        <v>38</v>
      </c>
      <c r="G1648">
        <v>27</v>
      </c>
      <c r="H1648" t="s">
        <v>20</v>
      </c>
      <c r="I1648">
        <v>3814.76</v>
      </c>
      <c r="J1648">
        <v>4411.37</v>
      </c>
      <c r="K1648">
        <v>4553.3</v>
      </c>
      <c r="L1648">
        <v>942.43</v>
      </c>
      <c r="M1648">
        <v>12779.43</v>
      </c>
      <c r="N1648">
        <v>13721.86</v>
      </c>
    </row>
    <row r="1649" spans="1:14" x14ac:dyDescent="0.3">
      <c r="A1649" s="2">
        <v>44348</v>
      </c>
      <c r="B1649" t="s">
        <v>69</v>
      </c>
      <c r="C1649">
        <v>2021</v>
      </c>
      <c r="D1649">
        <v>6</v>
      </c>
      <c r="E1649" t="s">
        <v>64</v>
      </c>
      <c r="F1649" t="s">
        <v>39</v>
      </c>
      <c r="G1649">
        <v>14</v>
      </c>
      <c r="H1649" t="s">
        <v>20</v>
      </c>
      <c r="I1649">
        <v>8.64</v>
      </c>
      <c r="J1649">
        <v>11.06</v>
      </c>
      <c r="K1649">
        <v>2.11</v>
      </c>
      <c r="L1649">
        <v>0.04</v>
      </c>
      <c r="M1649">
        <v>21.81</v>
      </c>
      <c r="N1649">
        <v>21.85</v>
      </c>
    </row>
    <row r="1650" spans="1:14" x14ac:dyDescent="0.3">
      <c r="A1650" s="2">
        <v>44348</v>
      </c>
      <c r="B1650" t="s">
        <v>69</v>
      </c>
      <c r="C1650">
        <v>2021</v>
      </c>
      <c r="D1650">
        <v>6</v>
      </c>
      <c r="E1650" t="s">
        <v>64</v>
      </c>
      <c r="F1650" t="s">
        <v>40</v>
      </c>
      <c r="G1650">
        <v>17</v>
      </c>
      <c r="H1650" t="s">
        <v>20</v>
      </c>
      <c r="I1650">
        <v>13.98</v>
      </c>
      <c r="J1650">
        <v>17.260000000000002</v>
      </c>
      <c r="K1650">
        <v>73.459999999999994</v>
      </c>
      <c r="L1650">
        <v>0.15</v>
      </c>
      <c r="M1650">
        <v>104.7</v>
      </c>
      <c r="N1650">
        <v>104.85</v>
      </c>
    </row>
    <row r="1651" spans="1:14" x14ac:dyDescent="0.3">
      <c r="A1651" s="2">
        <v>44348</v>
      </c>
      <c r="B1651" t="s">
        <v>69</v>
      </c>
      <c r="C1651">
        <v>2021</v>
      </c>
      <c r="D1651">
        <v>6</v>
      </c>
      <c r="E1651" t="s">
        <v>64</v>
      </c>
      <c r="F1651" t="s">
        <v>41</v>
      </c>
      <c r="G1651">
        <v>15</v>
      </c>
      <c r="H1651" t="s">
        <v>20</v>
      </c>
      <c r="I1651">
        <v>5.79</v>
      </c>
      <c r="J1651">
        <v>7.92</v>
      </c>
      <c r="K1651">
        <v>3.64</v>
      </c>
      <c r="L1651">
        <v>0.02</v>
      </c>
      <c r="M1651">
        <v>17.350000000000001</v>
      </c>
      <c r="N1651">
        <v>17.37</v>
      </c>
    </row>
    <row r="1652" spans="1:14" x14ac:dyDescent="0.3">
      <c r="A1652" s="2">
        <v>44348</v>
      </c>
      <c r="B1652" t="s">
        <v>69</v>
      </c>
      <c r="C1652">
        <v>2021</v>
      </c>
      <c r="D1652">
        <v>6</v>
      </c>
      <c r="E1652" t="s">
        <v>64</v>
      </c>
      <c r="F1652" t="s">
        <v>42</v>
      </c>
      <c r="G1652">
        <v>13</v>
      </c>
      <c r="H1652" t="s">
        <v>20</v>
      </c>
      <c r="I1652">
        <v>11.3</v>
      </c>
      <c r="J1652">
        <v>15.55</v>
      </c>
      <c r="K1652">
        <v>2.89</v>
      </c>
      <c r="L1652">
        <v>0.39</v>
      </c>
      <c r="M1652">
        <v>29.74</v>
      </c>
      <c r="N1652">
        <v>30.13</v>
      </c>
    </row>
    <row r="1653" spans="1:14" x14ac:dyDescent="0.3">
      <c r="A1653" s="2">
        <v>44348</v>
      </c>
      <c r="B1653" t="s">
        <v>69</v>
      </c>
      <c r="C1653">
        <v>2021</v>
      </c>
      <c r="D1653">
        <v>6</v>
      </c>
      <c r="E1653" t="s">
        <v>64</v>
      </c>
      <c r="F1653" t="s">
        <v>43</v>
      </c>
      <c r="G1653">
        <v>21</v>
      </c>
      <c r="H1653" t="s">
        <v>20</v>
      </c>
      <c r="I1653">
        <v>743.16</v>
      </c>
      <c r="J1653">
        <v>858.83</v>
      </c>
      <c r="K1653">
        <v>842.65</v>
      </c>
      <c r="L1653">
        <v>555.27</v>
      </c>
      <c r="M1653">
        <v>2444.64</v>
      </c>
      <c r="N1653">
        <v>2999.91</v>
      </c>
    </row>
    <row r="1654" spans="1:14" x14ac:dyDescent="0.3">
      <c r="A1654" s="2">
        <v>44348</v>
      </c>
      <c r="B1654" t="s">
        <v>69</v>
      </c>
      <c r="C1654">
        <v>2021</v>
      </c>
      <c r="D1654">
        <v>6</v>
      </c>
      <c r="E1654" t="s">
        <v>64</v>
      </c>
      <c r="F1654" t="s">
        <v>44</v>
      </c>
      <c r="G1654">
        <v>34</v>
      </c>
      <c r="H1654" t="s">
        <v>18</v>
      </c>
      <c r="I1654">
        <v>12.84</v>
      </c>
      <c r="J1654">
        <v>20.48</v>
      </c>
      <c r="K1654">
        <v>70.55</v>
      </c>
      <c r="L1654">
        <v>0.22</v>
      </c>
      <c r="M1654">
        <v>103.87</v>
      </c>
      <c r="N1654">
        <v>104.09</v>
      </c>
    </row>
    <row r="1655" spans="1:14" x14ac:dyDescent="0.3">
      <c r="A1655" s="2">
        <v>44348</v>
      </c>
      <c r="B1655" t="s">
        <v>69</v>
      </c>
      <c r="C1655">
        <v>2021</v>
      </c>
      <c r="D1655">
        <v>6</v>
      </c>
      <c r="E1655" t="s">
        <v>64</v>
      </c>
      <c r="F1655" t="s">
        <v>45</v>
      </c>
      <c r="G1655">
        <v>3</v>
      </c>
      <c r="H1655" t="s">
        <v>20</v>
      </c>
      <c r="I1655">
        <v>274.91000000000003</v>
      </c>
      <c r="J1655">
        <v>410.85</v>
      </c>
      <c r="K1655">
        <v>407.81</v>
      </c>
      <c r="L1655">
        <v>17.559999999999999</v>
      </c>
      <c r="M1655">
        <v>1093.57</v>
      </c>
      <c r="N1655">
        <v>1111.1300000000001</v>
      </c>
    </row>
    <row r="1656" spans="1:14" x14ac:dyDescent="0.3">
      <c r="A1656" s="2">
        <v>44348</v>
      </c>
      <c r="B1656" t="s">
        <v>69</v>
      </c>
      <c r="C1656">
        <v>2021</v>
      </c>
      <c r="D1656">
        <v>6</v>
      </c>
      <c r="E1656" t="s">
        <v>64</v>
      </c>
      <c r="F1656" t="s">
        <v>46</v>
      </c>
      <c r="G1656">
        <v>8</v>
      </c>
      <c r="H1656" t="s">
        <v>20</v>
      </c>
      <c r="I1656">
        <v>621.09</v>
      </c>
      <c r="J1656">
        <v>781.45</v>
      </c>
      <c r="K1656">
        <v>683.54</v>
      </c>
      <c r="L1656">
        <v>89.88</v>
      </c>
      <c r="M1656">
        <v>2086.08</v>
      </c>
      <c r="N1656">
        <v>2175.96</v>
      </c>
    </row>
    <row r="1657" spans="1:14" x14ac:dyDescent="0.3">
      <c r="A1657" s="2">
        <v>44348</v>
      </c>
      <c r="B1657" t="s">
        <v>69</v>
      </c>
      <c r="C1657">
        <v>2021</v>
      </c>
      <c r="D1657">
        <v>6</v>
      </c>
      <c r="E1657" t="s">
        <v>64</v>
      </c>
      <c r="F1657" t="s">
        <v>47</v>
      </c>
      <c r="G1657">
        <v>11</v>
      </c>
      <c r="H1657" t="s">
        <v>20</v>
      </c>
      <c r="I1657">
        <v>11.04</v>
      </c>
      <c r="J1657">
        <v>17.75</v>
      </c>
      <c r="K1657">
        <v>182.92</v>
      </c>
      <c r="L1657">
        <v>0.01</v>
      </c>
      <c r="M1657">
        <v>211.71</v>
      </c>
      <c r="N1657">
        <v>211.72</v>
      </c>
    </row>
    <row r="1658" spans="1:14" x14ac:dyDescent="0.3">
      <c r="A1658" s="2">
        <v>44348</v>
      </c>
      <c r="B1658" t="s">
        <v>69</v>
      </c>
      <c r="C1658">
        <v>2021</v>
      </c>
      <c r="D1658">
        <v>6</v>
      </c>
      <c r="E1658" t="s">
        <v>64</v>
      </c>
      <c r="F1658" t="s">
        <v>48</v>
      </c>
      <c r="G1658">
        <v>33</v>
      </c>
      <c r="H1658" t="s">
        <v>20</v>
      </c>
      <c r="I1658">
        <v>1152.6400000000001</v>
      </c>
      <c r="J1658">
        <v>1499.14</v>
      </c>
      <c r="K1658">
        <v>1395.94</v>
      </c>
      <c r="L1658">
        <v>331.89</v>
      </c>
      <c r="M1658">
        <v>4047.72</v>
      </c>
      <c r="N1658">
        <v>4379.6099999999997</v>
      </c>
    </row>
    <row r="1659" spans="1:14" x14ac:dyDescent="0.3">
      <c r="A1659" s="2">
        <v>44348</v>
      </c>
      <c r="B1659" t="s">
        <v>69</v>
      </c>
      <c r="C1659">
        <v>2021</v>
      </c>
      <c r="D1659">
        <v>6</v>
      </c>
      <c r="E1659" t="s">
        <v>64</v>
      </c>
      <c r="F1659" t="s">
        <v>49</v>
      </c>
      <c r="G1659">
        <v>36</v>
      </c>
      <c r="H1659" t="s">
        <v>20</v>
      </c>
      <c r="I1659">
        <v>662.31</v>
      </c>
      <c r="J1659">
        <v>872.76</v>
      </c>
      <c r="K1659">
        <v>850.31</v>
      </c>
      <c r="L1659">
        <v>459.8</v>
      </c>
      <c r="M1659">
        <v>2385.38</v>
      </c>
      <c r="N1659">
        <v>2845.18</v>
      </c>
    </row>
    <row r="1660" spans="1:14" x14ac:dyDescent="0.3">
      <c r="A1660" s="2">
        <v>44348</v>
      </c>
      <c r="B1660" t="s">
        <v>69</v>
      </c>
      <c r="C1660">
        <v>2021</v>
      </c>
      <c r="D1660">
        <v>6</v>
      </c>
      <c r="E1660" t="s">
        <v>64</v>
      </c>
      <c r="F1660" t="s">
        <v>50</v>
      </c>
      <c r="G1660">
        <v>16</v>
      </c>
      <c r="H1660" t="s">
        <v>20</v>
      </c>
      <c r="I1660">
        <v>16.190000000000001</v>
      </c>
      <c r="J1660">
        <v>21.85</v>
      </c>
      <c r="K1660">
        <v>4.58</v>
      </c>
      <c r="L1660">
        <v>0.09</v>
      </c>
      <c r="M1660">
        <v>42.62</v>
      </c>
      <c r="N1660">
        <v>42.71</v>
      </c>
    </row>
    <row r="1661" spans="1:14" x14ac:dyDescent="0.3">
      <c r="A1661" s="2">
        <v>44348</v>
      </c>
      <c r="B1661" t="s">
        <v>69</v>
      </c>
      <c r="C1661">
        <v>2021</v>
      </c>
      <c r="D1661">
        <v>6</v>
      </c>
      <c r="E1661" t="s">
        <v>64</v>
      </c>
      <c r="F1661" t="s">
        <v>51</v>
      </c>
      <c r="G1661">
        <v>9</v>
      </c>
      <c r="H1661" t="s">
        <v>20</v>
      </c>
      <c r="I1661">
        <v>1091.48</v>
      </c>
      <c r="J1661">
        <v>1540.3</v>
      </c>
      <c r="K1661">
        <v>1175.67</v>
      </c>
      <c r="L1661">
        <v>780.91</v>
      </c>
      <c r="M1661">
        <v>3807.45</v>
      </c>
      <c r="N1661">
        <v>4588.3599999999997</v>
      </c>
    </row>
    <row r="1662" spans="1:14" x14ac:dyDescent="0.3">
      <c r="A1662" s="2">
        <v>44348</v>
      </c>
      <c r="B1662" t="s">
        <v>69</v>
      </c>
      <c r="C1662">
        <v>2021</v>
      </c>
      <c r="D1662">
        <v>6</v>
      </c>
      <c r="E1662" t="s">
        <v>64</v>
      </c>
      <c r="F1662" t="s">
        <v>52</v>
      </c>
      <c r="G1662">
        <v>5</v>
      </c>
      <c r="H1662" t="s">
        <v>20</v>
      </c>
      <c r="I1662">
        <v>154.88999999999999</v>
      </c>
      <c r="J1662">
        <v>209.14</v>
      </c>
      <c r="K1662">
        <v>332.49</v>
      </c>
      <c r="L1662">
        <v>5.77</v>
      </c>
      <c r="M1662">
        <v>696.52</v>
      </c>
      <c r="N1662">
        <v>702.29</v>
      </c>
    </row>
    <row r="1663" spans="1:14" x14ac:dyDescent="0.3">
      <c r="A1663" s="2">
        <v>44348</v>
      </c>
      <c r="B1663" t="s">
        <v>69</v>
      </c>
      <c r="C1663">
        <v>2021</v>
      </c>
      <c r="D1663">
        <v>6</v>
      </c>
      <c r="E1663" t="s">
        <v>64</v>
      </c>
      <c r="F1663" t="s">
        <v>53</v>
      </c>
      <c r="G1663">
        <v>19</v>
      </c>
      <c r="H1663" t="s">
        <v>20</v>
      </c>
      <c r="I1663">
        <v>820.11</v>
      </c>
      <c r="J1663">
        <v>1020.95</v>
      </c>
      <c r="K1663">
        <v>659.21</v>
      </c>
      <c r="L1663">
        <v>243.68</v>
      </c>
      <c r="M1663">
        <v>2500.27</v>
      </c>
      <c r="N1663">
        <v>2743.95</v>
      </c>
    </row>
    <row r="1664" spans="1:14" x14ac:dyDescent="0.3">
      <c r="A1664" s="2">
        <v>44378</v>
      </c>
      <c r="B1664" t="s">
        <v>69</v>
      </c>
      <c r="C1664">
        <v>2021</v>
      </c>
      <c r="D1664">
        <v>7</v>
      </c>
      <c r="E1664" t="s">
        <v>65</v>
      </c>
      <c r="F1664" t="s">
        <v>17</v>
      </c>
      <c r="G1664">
        <v>35</v>
      </c>
      <c r="H1664" t="s">
        <v>18</v>
      </c>
      <c r="I1664">
        <v>5.93</v>
      </c>
      <c r="J1664">
        <v>10.09</v>
      </c>
      <c r="K1664">
        <v>2.4900000000000002</v>
      </c>
      <c r="L1664">
        <v>0.06</v>
      </c>
      <c r="M1664">
        <v>18.510000000000002</v>
      </c>
      <c r="N1664">
        <v>18.57</v>
      </c>
    </row>
    <row r="1665" spans="1:14" x14ac:dyDescent="0.3">
      <c r="A1665" s="2">
        <v>44378</v>
      </c>
      <c r="B1665" t="s">
        <v>69</v>
      </c>
      <c r="C1665">
        <v>2021</v>
      </c>
      <c r="D1665">
        <v>7</v>
      </c>
      <c r="E1665" t="s">
        <v>65</v>
      </c>
      <c r="F1665" t="s">
        <v>19</v>
      </c>
      <c r="G1665">
        <v>28</v>
      </c>
      <c r="H1665" t="s">
        <v>20</v>
      </c>
      <c r="I1665">
        <v>669.41</v>
      </c>
      <c r="J1665">
        <v>927.77</v>
      </c>
      <c r="K1665">
        <v>956.19</v>
      </c>
      <c r="L1665">
        <v>176.97</v>
      </c>
      <c r="M1665">
        <v>2553.37</v>
      </c>
      <c r="N1665">
        <v>2730.34</v>
      </c>
    </row>
    <row r="1666" spans="1:14" x14ac:dyDescent="0.3">
      <c r="A1666" s="2">
        <v>44378</v>
      </c>
      <c r="B1666" t="s">
        <v>69</v>
      </c>
      <c r="C1666">
        <v>2021</v>
      </c>
      <c r="D1666">
        <v>7</v>
      </c>
      <c r="E1666" t="s">
        <v>65</v>
      </c>
      <c r="F1666" t="s">
        <v>21</v>
      </c>
      <c r="G1666">
        <v>12</v>
      </c>
      <c r="H1666" t="s">
        <v>20</v>
      </c>
      <c r="I1666">
        <v>21.25</v>
      </c>
      <c r="J1666">
        <v>26.15</v>
      </c>
      <c r="K1666">
        <v>8.06</v>
      </c>
      <c r="L1666">
        <v>0.03</v>
      </c>
      <c r="M1666">
        <v>55.46</v>
      </c>
      <c r="N1666">
        <v>55.49</v>
      </c>
    </row>
    <row r="1667" spans="1:14" x14ac:dyDescent="0.3">
      <c r="A1667" s="2">
        <v>44378</v>
      </c>
      <c r="B1667" t="s">
        <v>69</v>
      </c>
      <c r="C1667">
        <v>2021</v>
      </c>
      <c r="D1667">
        <v>7</v>
      </c>
      <c r="E1667" t="s">
        <v>65</v>
      </c>
      <c r="F1667" t="s">
        <v>22</v>
      </c>
      <c r="G1667">
        <v>18</v>
      </c>
      <c r="H1667" t="s">
        <v>20</v>
      </c>
      <c r="I1667">
        <v>281.39999999999998</v>
      </c>
      <c r="J1667">
        <v>355.61</v>
      </c>
      <c r="K1667">
        <v>225.69</v>
      </c>
      <c r="L1667">
        <v>19.260000000000002</v>
      </c>
      <c r="M1667">
        <v>862.7</v>
      </c>
      <c r="N1667">
        <v>881.96</v>
      </c>
    </row>
    <row r="1668" spans="1:14" x14ac:dyDescent="0.3">
      <c r="A1668" s="2">
        <v>44378</v>
      </c>
      <c r="B1668" t="s">
        <v>69</v>
      </c>
      <c r="C1668">
        <v>2021</v>
      </c>
      <c r="D1668">
        <v>7</v>
      </c>
      <c r="E1668" t="s">
        <v>65</v>
      </c>
      <c r="F1668" t="s">
        <v>23</v>
      </c>
      <c r="G1668">
        <v>10</v>
      </c>
      <c r="H1668" t="s">
        <v>20</v>
      </c>
      <c r="I1668">
        <v>357.19</v>
      </c>
      <c r="J1668">
        <v>603.26</v>
      </c>
      <c r="K1668">
        <v>149.34</v>
      </c>
      <c r="L1668">
        <v>171.21</v>
      </c>
      <c r="M1668">
        <v>1109.79</v>
      </c>
      <c r="N1668">
        <v>1281</v>
      </c>
    </row>
    <row r="1669" spans="1:14" x14ac:dyDescent="0.3">
      <c r="A1669" s="2">
        <v>44378</v>
      </c>
      <c r="B1669" t="s">
        <v>69</v>
      </c>
      <c r="C1669">
        <v>2021</v>
      </c>
      <c r="D1669">
        <v>7</v>
      </c>
      <c r="E1669" t="s">
        <v>65</v>
      </c>
      <c r="F1669" t="s">
        <v>24</v>
      </c>
      <c r="G1669">
        <v>4</v>
      </c>
      <c r="H1669" t="s">
        <v>18</v>
      </c>
      <c r="I1669">
        <v>30.58</v>
      </c>
      <c r="J1669">
        <v>42.03</v>
      </c>
      <c r="K1669">
        <v>95.92</v>
      </c>
      <c r="L1669">
        <v>0.38</v>
      </c>
      <c r="M1669">
        <v>168.53</v>
      </c>
      <c r="N1669">
        <v>168.91</v>
      </c>
    </row>
    <row r="1670" spans="1:14" x14ac:dyDescent="0.3">
      <c r="A1670" s="2">
        <v>44378</v>
      </c>
      <c r="B1670" t="s">
        <v>69</v>
      </c>
      <c r="C1670">
        <v>2021</v>
      </c>
      <c r="D1670">
        <v>7</v>
      </c>
      <c r="E1670" t="s">
        <v>65</v>
      </c>
      <c r="F1670" t="s">
        <v>25</v>
      </c>
      <c r="G1670">
        <v>22</v>
      </c>
      <c r="H1670" t="s">
        <v>20</v>
      </c>
      <c r="I1670">
        <v>536.46</v>
      </c>
      <c r="J1670">
        <v>618.74</v>
      </c>
      <c r="K1670">
        <v>772.13</v>
      </c>
      <c r="L1670">
        <v>505.12</v>
      </c>
      <c r="M1670">
        <v>1927.33</v>
      </c>
      <c r="N1670">
        <v>2432.4499999999998</v>
      </c>
    </row>
    <row r="1671" spans="1:14" x14ac:dyDescent="0.3">
      <c r="A1671" s="2">
        <v>44378</v>
      </c>
      <c r="B1671" t="s">
        <v>69</v>
      </c>
      <c r="C1671">
        <v>2021</v>
      </c>
      <c r="D1671">
        <v>7</v>
      </c>
      <c r="E1671" t="s">
        <v>65</v>
      </c>
      <c r="F1671" t="s">
        <v>26</v>
      </c>
      <c r="G1671">
        <v>38</v>
      </c>
      <c r="H1671" t="s">
        <v>18</v>
      </c>
      <c r="I1671">
        <v>33.22</v>
      </c>
      <c r="J1671">
        <v>42.52</v>
      </c>
      <c r="K1671">
        <v>151.57</v>
      </c>
      <c r="L1671">
        <v>0.04</v>
      </c>
      <c r="M1671">
        <v>227.31</v>
      </c>
      <c r="N1671">
        <v>227.35</v>
      </c>
    </row>
    <row r="1672" spans="1:14" x14ac:dyDescent="0.3">
      <c r="A1672" s="2">
        <v>44378</v>
      </c>
      <c r="B1672" t="s">
        <v>69</v>
      </c>
      <c r="C1672">
        <v>2021</v>
      </c>
      <c r="D1672">
        <v>7</v>
      </c>
      <c r="E1672" t="s">
        <v>65</v>
      </c>
      <c r="F1672" t="s">
        <v>27</v>
      </c>
      <c r="G1672">
        <v>7</v>
      </c>
      <c r="H1672" t="s">
        <v>18</v>
      </c>
      <c r="I1672">
        <v>773.76</v>
      </c>
      <c r="J1672">
        <v>947.34</v>
      </c>
      <c r="K1672">
        <v>2040.37</v>
      </c>
      <c r="L1672">
        <v>53.59</v>
      </c>
      <c r="M1672">
        <v>3761.47</v>
      </c>
      <c r="N1672">
        <v>3815.06</v>
      </c>
    </row>
    <row r="1673" spans="1:14" x14ac:dyDescent="0.3">
      <c r="A1673" s="2">
        <v>44378</v>
      </c>
      <c r="B1673" t="s">
        <v>69</v>
      </c>
      <c r="C1673">
        <v>2021</v>
      </c>
      <c r="D1673">
        <v>7</v>
      </c>
      <c r="E1673" t="s">
        <v>65</v>
      </c>
      <c r="F1673" t="s">
        <v>28</v>
      </c>
      <c r="G1673">
        <v>30</v>
      </c>
      <c r="H1673" t="s">
        <v>20</v>
      </c>
      <c r="I1673">
        <v>76.569999999999993</v>
      </c>
      <c r="J1673">
        <v>104.99</v>
      </c>
      <c r="K1673">
        <v>120.7</v>
      </c>
      <c r="L1673">
        <v>1.0900000000000001</v>
      </c>
      <c r="M1673">
        <v>302.26</v>
      </c>
      <c r="N1673">
        <v>303.35000000000002</v>
      </c>
    </row>
    <row r="1674" spans="1:14" x14ac:dyDescent="0.3">
      <c r="A1674" s="2">
        <v>44378</v>
      </c>
      <c r="B1674" t="s">
        <v>69</v>
      </c>
      <c r="C1674">
        <v>2021</v>
      </c>
      <c r="D1674">
        <v>7</v>
      </c>
      <c r="E1674" t="s">
        <v>65</v>
      </c>
      <c r="F1674" t="s">
        <v>29</v>
      </c>
      <c r="G1674">
        <v>24</v>
      </c>
      <c r="H1674" t="s">
        <v>20</v>
      </c>
      <c r="I1674">
        <v>2183.06</v>
      </c>
      <c r="J1674">
        <v>2703.74</v>
      </c>
      <c r="K1674">
        <v>2310.17</v>
      </c>
      <c r="L1674">
        <v>431.68</v>
      </c>
      <c r="M1674">
        <v>7196.97</v>
      </c>
      <c r="N1674">
        <v>7628.65</v>
      </c>
    </row>
    <row r="1675" spans="1:14" x14ac:dyDescent="0.3">
      <c r="A1675" s="2">
        <v>44378</v>
      </c>
      <c r="B1675" t="s">
        <v>69</v>
      </c>
      <c r="C1675">
        <v>2021</v>
      </c>
      <c r="D1675">
        <v>7</v>
      </c>
      <c r="E1675" t="s">
        <v>65</v>
      </c>
      <c r="F1675" t="s">
        <v>30</v>
      </c>
      <c r="G1675">
        <v>6</v>
      </c>
      <c r="H1675" t="s">
        <v>20</v>
      </c>
      <c r="I1675">
        <v>944.68</v>
      </c>
      <c r="J1675">
        <v>1259.8</v>
      </c>
      <c r="K1675">
        <v>2700.66</v>
      </c>
      <c r="L1675">
        <v>424.5</v>
      </c>
      <c r="M1675">
        <v>4905.1400000000003</v>
      </c>
      <c r="N1675">
        <v>5329.64</v>
      </c>
    </row>
    <row r="1676" spans="1:14" x14ac:dyDescent="0.3">
      <c r="A1676" s="2">
        <v>44378</v>
      </c>
      <c r="B1676" t="s">
        <v>69</v>
      </c>
      <c r="C1676">
        <v>2021</v>
      </c>
      <c r="D1676">
        <v>7</v>
      </c>
      <c r="E1676" t="s">
        <v>65</v>
      </c>
      <c r="F1676" t="s">
        <v>31</v>
      </c>
      <c r="G1676">
        <v>2</v>
      </c>
      <c r="H1676" t="s">
        <v>20</v>
      </c>
      <c r="I1676">
        <v>120.78</v>
      </c>
      <c r="J1676">
        <v>184.6</v>
      </c>
      <c r="K1676">
        <v>360.38</v>
      </c>
      <c r="L1676">
        <v>0.89</v>
      </c>
      <c r="M1676">
        <v>665.76</v>
      </c>
      <c r="N1676">
        <v>666.65</v>
      </c>
    </row>
    <row r="1677" spans="1:14" x14ac:dyDescent="0.3">
      <c r="A1677" s="2">
        <v>44378</v>
      </c>
      <c r="B1677" t="s">
        <v>69</v>
      </c>
      <c r="C1677">
        <v>2021</v>
      </c>
      <c r="D1677">
        <v>7</v>
      </c>
      <c r="E1677" t="s">
        <v>65</v>
      </c>
      <c r="F1677" t="s">
        <v>32</v>
      </c>
      <c r="G1677">
        <v>1</v>
      </c>
      <c r="H1677" t="s">
        <v>18</v>
      </c>
      <c r="I1677">
        <v>112.07</v>
      </c>
      <c r="J1677">
        <v>182.95</v>
      </c>
      <c r="K1677">
        <v>129.4</v>
      </c>
      <c r="L1677">
        <v>7.36</v>
      </c>
      <c r="M1677">
        <v>424.42</v>
      </c>
      <c r="N1677">
        <v>431.78</v>
      </c>
    </row>
    <row r="1678" spans="1:14" x14ac:dyDescent="0.3">
      <c r="A1678" s="2">
        <v>44378</v>
      </c>
      <c r="B1678" t="s">
        <v>69</v>
      </c>
      <c r="C1678">
        <v>2021</v>
      </c>
      <c r="D1678">
        <v>7</v>
      </c>
      <c r="E1678" t="s">
        <v>65</v>
      </c>
      <c r="F1678" t="s">
        <v>33</v>
      </c>
      <c r="G1678">
        <v>20</v>
      </c>
      <c r="H1678" t="s">
        <v>20</v>
      </c>
      <c r="I1678">
        <v>365.12</v>
      </c>
      <c r="J1678">
        <v>482.49</v>
      </c>
      <c r="K1678">
        <v>792.87</v>
      </c>
      <c r="L1678">
        <v>415.92</v>
      </c>
      <c r="M1678">
        <v>1640.48</v>
      </c>
      <c r="N1678">
        <v>2056.4</v>
      </c>
    </row>
    <row r="1679" spans="1:14" x14ac:dyDescent="0.3">
      <c r="A1679" s="2">
        <v>44378</v>
      </c>
      <c r="B1679" t="s">
        <v>69</v>
      </c>
      <c r="C1679">
        <v>2021</v>
      </c>
      <c r="D1679">
        <v>7</v>
      </c>
      <c r="E1679" t="s">
        <v>65</v>
      </c>
      <c r="F1679" t="s">
        <v>34</v>
      </c>
      <c r="G1679">
        <v>29</v>
      </c>
      <c r="H1679" t="s">
        <v>20</v>
      </c>
      <c r="I1679">
        <v>1797.44</v>
      </c>
      <c r="J1679">
        <v>2263.5300000000002</v>
      </c>
      <c r="K1679">
        <v>2393.7399999999998</v>
      </c>
      <c r="L1679">
        <v>281.8</v>
      </c>
      <c r="M1679">
        <v>6454.71</v>
      </c>
      <c r="N1679">
        <v>6736.51</v>
      </c>
    </row>
    <row r="1680" spans="1:14" x14ac:dyDescent="0.3">
      <c r="A1680" s="2">
        <v>44378</v>
      </c>
      <c r="B1680" t="s">
        <v>69</v>
      </c>
      <c r="C1680">
        <v>2021</v>
      </c>
      <c r="D1680">
        <v>7</v>
      </c>
      <c r="E1680" t="s">
        <v>65</v>
      </c>
      <c r="F1680" t="s">
        <v>35</v>
      </c>
      <c r="G1680">
        <v>32</v>
      </c>
      <c r="H1680" t="s">
        <v>20</v>
      </c>
      <c r="I1680">
        <v>522.62</v>
      </c>
      <c r="J1680">
        <v>750.57</v>
      </c>
      <c r="K1680">
        <v>399.1</v>
      </c>
      <c r="L1680">
        <v>2.86</v>
      </c>
      <c r="M1680">
        <v>1672.29</v>
      </c>
      <c r="N1680">
        <v>1675.15</v>
      </c>
    </row>
    <row r="1681" spans="1:14" x14ac:dyDescent="0.3">
      <c r="A1681" s="2">
        <v>44378</v>
      </c>
      <c r="B1681" t="s">
        <v>69</v>
      </c>
      <c r="C1681">
        <v>2021</v>
      </c>
      <c r="D1681">
        <v>7</v>
      </c>
      <c r="E1681" t="s">
        <v>65</v>
      </c>
      <c r="F1681" t="s">
        <v>67</v>
      </c>
      <c r="G1681">
        <v>37</v>
      </c>
      <c r="H1681" t="s">
        <v>18</v>
      </c>
      <c r="I1681">
        <v>4.4400000000000004</v>
      </c>
      <c r="J1681">
        <v>6.08</v>
      </c>
      <c r="K1681">
        <v>2.4300000000000002</v>
      </c>
      <c r="L1681">
        <v>0</v>
      </c>
      <c r="M1681">
        <v>12.95</v>
      </c>
      <c r="N1681">
        <v>12.95</v>
      </c>
    </row>
    <row r="1682" spans="1:14" x14ac:dyDescent="0.3">
      <c r="A1682" s="2">
        <v>44378</v>
      </c>
      <c r="B1682" t="s">
        <v>69</v>
      </c>
      <c r="C1682">
        <v>2021</v>
      </c>
      <c r="D1682">
        <v>7</v>
      </c>
      <c r="E1682" t="s">
        <v>65</v>
      </c>
      <c r="F1682" t="s">
        <v>36</v>
      </c>
      <c r="G1682">
        <v>31</v>
      </c>
      <c r="H1682" t="s">
        <v>18</v>
      </c>
      <c r="I1682">
        <v>0.45</v>
      </c>
      <c r="J1682">
        <v>0.48</v>
      </c>
      <c r="K1682">
        <v>0.03</v>
      </c>
      <c r="L1682">
        <v>0</v>
      </c>
      <c r="M1682">
        <v>0.96</v>
      </c>
      <c r="N1682">
        <v>0.96</v>
      </c>
    </row>
    <row r="1683" spans="1:14" x14ac:dyDescent="0.3">
      <c r="A1683" s="2">
        <v>44378</v>
      </c>
      <c r="B1683" t="s">
        <v>69</v>
      </c>
      <c r="C1683">
        <v>2021</v>
      </c>
      <c r="D1683">
        <v>7</v>
      </c>
      <c r="E1683" t="s">
        <v>65</v>
      </c>
      <c r="F1683" t="s">
        <v>37</v>
      </c>
      <c r="G1683">
        <v>23</v>
      </c>
      <c r="H1683" t="s">
        <v>20</v>
      </c>
      <c r="I1683">
        <v>644.39</v>
      </c>
      <c r="J1683">
        <v>855.94</v>
      </c>
      <c r="K1683">
        <v>672.68</v>
      </c>
      <c r="L1683">
        <v>484.03</v>
      </c>
      <c r="M1683">
        <v>2173.0100000000002</v>
      </c>
      <c r="N1683">
        <v>2657.04</v>
      </c>
    </row>
    <row r="1684" spans="1:14" x14ac:dyDescent="0.3">
      <c r="A1684" s="2">
        <v>44378</v>
      </c>
      <c r="B1684" t="s">
        <v>69</v>
      </c>
      <c r="C1684">
        <v>2021</v>
      </c>
      <c r="D1684">
        <v>7</v>
      </c>
      <c r="E1684" t="s">
        <v>65</v>
      </c>
      <c r="F1684" t="s">
        <v>38</v>
      </c>
      <c r="G1684">
        <v>27</v>
      </c>
      <c r="H1684" t="s">
        <v>20</v>
      </c>
      <c r="I1684">
        <v>5133.1099999999997</v>
      </c>
      <c r="J1684">
        <v>6092.96</v>
      </c>
      <c r="K1684">
        <v>6605.47</v>
      </c>
      <c r="L1684">
        <v>1067.73</v>
      </c>
      <c r="M1684">
        <v>17831.54</v>
      </c>
      <c r="N1684">
        <v>18899.27</v>
      </c>
    </row>
    <row r="1685" spans="1:14" x14ac:dyDescent="0.3">
      <c r="A1685" s="2">
        <v>44378</v>
      </c>
      <c r="B1685" t="s">
        <v>69</v>
      </c>
      <c r="C1685">
        <v>2021</v>
      </c>
      <c r="D1685">
        <v>7</v>
      </c>
      <c r="E1685" t="s">
        <v>65</v>
      </c>
      <c r="F1685" t="s">
        <v>39</v>
      </c>
      <c r="G1685">
        <v>14</v>
      </c>
      <c r="H1685" t="s">
        <v>20</v>
      </c>
      <c r="I1685">
        <v>14.09</v>
      </c>
      <c r="J1685">
        <v>19.84</v>
      </c>
      <c r="K1685">
        <v>3.19</v>
      </c>
      <c r="L1685">
        <v>0.27</v>
      </c>
      <c r="M1685">
        <v>37.119999999999997</v>
      </c>
      <c r="N1685">
        <v>37.39</v>
      </c>
    </row>
    <row r="1686" spans="1:14" x14ac:dyDescent="0.3">
      <c r="A1686" s="2">
        <v>44378</v>
      </c>
      <c r="B1686" t="s">
        <v>69</v>
      </c>
      <c r="C1686">
        <v>2021</v>
      </c>
      <c r="D1686">
        <v>7</v>
      </c>
      <c r="E1686" t="s">
        <v>65</v>
      </c>
      <c r="F1686" t="s">
        <v>40</v>
      </c>
      <c r="G1686">
        <v>17</v>
      </c>
      <c r="H1686" t="s">
        <v>20</v>
      </c>
      <c r="I1686">
        <v>21.9</v>
      </c>
      <c r="J1686">
        <v>28.98</v>
      </c>
      <c r="K1686">
        <v>70.099999999999994</v>
      </c>
      <c r="L1686">
        <v>0.12</v>
      </c>
      <c r="M1686">
        <v>120.98</v>
      </c>
      <c r="N1686">
        <v>121.1</v>
      </c>
    </row>
    <row r="1687" spans="1:14" x14ac:dyDescent="0.3">
      <c r="A1687" s="2">
        <v>44378</v>
      </c>
      <c r="B1687" t="s">
        <v>69</v>
      </c>
      <c r="C1687">
        <v>2021</v>
      </c>
      <c r="D1687">
        <v>7</v>
      </c>
      <c r="E1687" t="s">
        <v>65</v>
      </c>
      <c r="F1687" t="s">
        <v>41</v>
      </c>
      <c r="G1687">
        <v>15</v>
      </c>
      <c r="H1687" t="s">
        <v>20</v>
      </c>
      <c r="I1687">
        <v>6.94</v>
      </c>
      <c r="J1687">
        <v>11.38</v>
      </c>
      <c r="K1687">
        <v>2.64</v>
      </c>
      <c r="L1687">
        <v>0.03</v>
      </c>
      <c r="M1687">
        <v>20.96</v>
      </c>
      <c r="N1687">
        <v>20.99</v>
      </c>
    </row>
    <row r="1688" spans="1:14" x14ac:dyDescent="0.3">
      <c r="A1688" s="2">
        <v>44378</v>
      </c>
      <c r="B1688" t="s">
        <v>69</v>
      </c>
      <c r="C1688">
        <v>2021</v>
      </c>
      <c r="D1688">
        <v>7</v>
      </c>
      <c r="E1688" t="s">
        <v>65</v>
      </c>
      <c r="F1688" t="s">
        <v>42</v>
      </c>
      <c r="G1688">
        <v>13</v>
      </c>
      <c r="H1688" t="s">
        <v>20</v>
      </c>
      <c r="I1688">
        <v>8.89</v>
      </c>
      <c r="J1688">
        <v>12.5</v>
      </c>
      <c r="K1688">
        <v>6.2</v>
      </c>
      <c r="L1688">
        <v>0.59</v>
      </c>
      <c r="M1688">
        <v>27.59</v>
      </c>
      <c r="N1688">
        <v>28.18</v>
      </c>
    </row>
    <row r="1689" spans="1:14" x14ac:dyDescent="0.3">
      <c r="A1689" s="2">
        <v>44378</v>
      </c>
      <c r="B1689" t="s">
        <v>69</v>
      </c>
      <c r="C1689">
        <v>2021</v>
      </c>
      <c r="D1689">
        <v>7</v>
      </c>
      <c r="E1689" t="s">
        <v>65</v>
      </c>
      <c r="F1689" t="s">
        <v>43</v>
      </c>
      <c r="G1689">
        <v>21</v>
      </c>
      <c r="H1689" t="s">
        <v>20</v>
      </c>
      <c r="I1689">
        <v>927.52</v>
      </c>
      <c r="J1689">
        <v>1067.3499999999999</v>
      </c>
      <c r="K1689">
        <v>1028.1600000000001</v>
      </c>
      <c r="L1689">
        <v>592.20000000000005</v>
      </c>
      <c r="M1689">
        <v>3023.03</v>
      </c>
      <c r="N1689">
        <v>3615.23</v>
      </c>
    </row>
    <row r="1690" spans="1:14" x14ac:dyDescent="0.3">
      <c r="A1690" s="2">
        <v>44378</v>
      </c>
      <c r="B1690" t="s">
        <v>69</v>
      </c>
      <c r="C1690">
        <v>2021</v>
      </c>
      <c r="D1690">
        <v>7</v>
      </c>
      <c r="E1690" t="s">
        <v>65</v>
      </c>
      <c r="F1690" t="s">
        <v>44</v>
      </c>
      <c r="G1690">
        <v>34</v>
      </c>
      <c r="H1690" t="s">
        <v>18</v>
      </c>
      <c r="I1690">
        <v>18.97</v>
      </c>
      <c r="J1690">
        <v>32.89</v>
      </c>
      <c r="K1690">
        <v>76.67</v>
      </c>
      <c r="L1690">
        <v>0.08</v>
      </c>
      <c r="M1690">
        <v>128.53</v>
      </c>
      <c r="N1690">
        <v>128.61000000000001</v>
      </c>
    </row>
    <row r="1691" spans="1:14" x14ac:dyDescent="0.3">
      <c r="A1691" s="2">
        <v>44378</v>
      </c>
      <c r="B1691" t="s">
        <v>69</v>
      </c>
      <c r="C1691">
        <v>2021</v>
      </c>
      <c r="D1691">
        <v>7</v>
      </c>
      <c r="E1691" t="s">
        <v>65</v>
      </c>
      <c r="F1691" t="s">
        <v>45</v>
      </c>
      <c r="G1691">
        <v>3</v>
      </c>
      <c r="H1691" t="s">
        <v>20</v>
      </c>
      <c r="I1691">
        <v>398.27</v>
      </c>
      <c r="J1691">
        <v>597.67999999999995</v>
      </c>
      <c r="K1691">
        <v>516.73</v>
      </c>
      <c r="L1691">
        <v>20.350000000000001</v>
      </c>
      <c r="M1691">
        <v>1512.68</v>
      </c>
      <c r="N1691">
        <v>1533.03</v>
      </c>
    </row>
    <row r="1692" spans="1:14" x14ac:dyDescent="0.3">
      <c r="A1692" s="2">
        <v>44378</v>
      </c>
      <c r="B1692" t="s">
        <v>69</v>
      </c>
      <c r="C1692">
        <v>2021</v>
      </c>
      <c r="D1692">
        <v>7</v>
      </c>
      <c r="E1692" t="s">
        <v>65</v>
      </c>
      <c r="F1692" t="s">
        <v>46</v>
      </c>
      <c r="G1692">
        <v>8</v>
      </c>
      <c r="H1692" t="s">
        <v>20</v>
      </c>
      <c r="I1692">
        <v>858.43</v>
      </c>
      <c r="J1692">
        <v>1144.6300000000001</v>
      </c>
      <c r="K1692">
        <v>1006.67</v>
      </c>
      <c r="L1692">
        <v>119.06</v>
      </c>
      <c r="M1692">
        <v>3009.73</v>
      </c>
      <c r="N1692">
        <v>3128.79</v>
      </c>
    </row>
    <row r="1693" spans="1:14" x14ac:dyDescent="0.3">
      <c r="A1693" s="2">
        <v>44378</v>
      </c>
      <c r="B1693" t="s">
        <v>69</v>
      </c>
      <c r="C1693">
        <v>2021</v>
      </c>
      <c r="D1693">
        <v>7</v>
      </c>
      <c r="E1693" t="s">
        <v>65</v>
      </c>
      <c r="F1693" t="s">
        <v>47</v>
      </c>
      <c r="G1693">
        <v>11</v>
      </c>
      <c r="H1693" t="s">
        <v>20</v>
      </c>
      <c r="I1693">
        <v>15.64</v>
      </c>
      <c r="J1693">
        <v>23.67</v>
      </c>
      <c r="K1693">
        <v>158</v>
      </c>
      <c r="L1693">
        <v>0.02</v>
      </c>
      <c r="M1693">
        <v>197.31</v>
      </c>
      <c r="N1693">
        <v>197.33</v>
      </c>
    </row>
    <row r="1694" spans="1:14" x14ac:dyDescent="0.3">
      <c r="A1694" s="2">
        <v>44378</v>
      </c>
      <c r="B1694" t="s">
        <v>69</v>
      </c>
      <c r="C1694">
        <v>2021</v>
      </c>
      <c r="D1694">
        <v>7</v>
      </c>
      <c r="E1694" t="s">
        <v>65</v>
      </c>
      <c r="F1694" t="s">
        <v>48</v>
      </c>
      <c r="G1694">
        <v>33</v>
      </c>
      <c r="H1694" t="s">
        <v>20</v>
      </c>
      <c r="I1694">
        <v>1722.26</v>
      </c>
      <c r="J1694">
        <v>2257.0100000000002</v>
      </c>
      <c r="K1694">
        <v>1764.38</v>
      </c>
      <c r="L1694">
        <v>558.47</v>
      </c>
      <c r="M1694">
        <v>5743.65</v>
      </c>
      <c r="N1694">
        <v>6302.12</v>
      </c>
    </row>
    <row r="1695" spans="1:14" x14ac:dyDescent="0.3">
      <c r="A1695" s="2">
        <v>44378</v>
      </c>
      <c r="B1695" t="s">
        <v>69</v>
      </c>
      <c r="C1695">
        <v>2021</v>
      </c>
      <c r="D1695">
        <v>7</v>
      </c>
      <c r="E1695" t="s">
        <v>65</v>
      </c>
      <c r="F1695" t="s">
        <v>49</v>
      </c>
      <c r="G1695">
        <v>36</v>
      </c>
      <c r="H1695" t="s">
        <v>20</v>
      </c>
      <c r="I1695">
        <v>855.69</v>
      </c>
      <c r="J1695">
        <v>1151.57</v>
      </c>
      <c r="K1695">
        <v>1101.58</v>
      </c>
      <c r="L1695">
        <v>500.72</v>
      </c>
      <c r="M1695">
        <v>3108.84</v>
      </c>
      <c r="N1695">
        <v>3609.56</v>
      </c>
    </row>
    <row r="1696" spans="1:14" x14ac:dyDescent="0.3">
      <c r="A1696" s="2">
        <v>44378</v>
      </c>
      <c r="B1696" t="s">
        <v>69</v>
      </c>
      <c r="C1696">
        <v>2021</v>
      </c>
      <c r="D1696">
        <v>7</v>
      </c>
      <c r="E1696" t="s">
        <v>65</v>
      </c>
      <c r="F1696" t="s">
        <v>50</v>
      </c>
      <c r="G1696">
        <v>16</v>
      </c>
      <c r="H1696" t="s">
        <v>20</v>
      </c>
      <c r="I1696">
        <v>24.54</v>
      </c>
      <c r="J1696">
        <v>32.68</v>
      </c>
      <c r="K1696">
        <v>7.58</v>
      </c>
      <c r="L1696">
        <v>0.43</v>
      </c>
      <c r="M1696">
        <v>64.8</v>
      </c>
      <c r="N1696">
        <v>65.23</v>
      </c>
    </row>
    <row r="1697" spans="1:14" x14ac:dyDescent="0.3">
      <c r="A1697" s="2">
        <v>44378</v>
      </c>
      <c r="B1697" t="s">
        <v>69</v>
      </c>
      <c r="C1697">
        <v>2021</v>
      </c>
      <c r="D1697">
        <v>7</v>
      </c>
      <c r="E1697" t="s">
        <v>65</v>
      </c>
      <c r="F1697" t="s">
        <v>51</v>
      </c>
      <c r="G1697">
        <v>9</v>
      </c>
      <c r="H1697" t="s">
        <v>20</v>
      </c>
      <c r="I1697">
        <v>1414.22</v>
      </c>
      <c r="J1697">
        <v>2030.79</v>
      </c>
      <c r="K1697">
        <v>1565.3</v>
      </c>
      <c r="L1697">
        <v>1000.33</v>
      </c>
      <c r="M1697">
        <v>5010.3100000000004</v>
      </c>
      <c r="N1697">
        <v>6010.64</v>
      </c>
    </row>
    <row r="1698" spans="1:14" x14ac:dyDescent="0.3">
      <c r="A1698" s="2">
        <v>44378</v>
      </c>
      <c r="B1698" t="s">
        <v>69</v>
      </c>
      <c r="C1698">
        <v>2021</v>
      </c>
      <c r="D1698">
        <v>7</v>
      </c>
      <c r="E1698" t="s">
        <v>65</v>
      </c>
      <c r="F1698" t="s">
        <v>52</v>
      </c>
      <c r="G1698">
        <v>5</v>
      </c>
      <c r="H1698" t="s">
        <v>20</v>
      </c>
      <c r="I1698">
        <v>226.84</v>
      </c>
      <c r="J1698">
        <v>313.22000000000003</v>
      </c>
      <c r="K1698">
        <v>558.27</v>
      </c>
      <c r="L1698">
        <v>7.3</v>
      </c>
      <c r="M1698">
        <v>1098.33</v>
      </c>
      <c r="N1698">
        <v>1105.6300000000001</v>
      </c>
    </row>
    <row r="1699" spans="1:14" x14ac:dyDescent="0.3">
      <c r="A1699" s="2">
        <v>44378</v>
      </c>
      <c r="B1699" t="s">
        <v>69</v>
      </c>
      <c r="C1699">
        <v>2021</v>
      </c>
      <c r="D1699">
        <v>7</v>
      </c>
      <c r="E1699" t="s">
        <v>65</v>
      </c>
      <c r="F1699" t="s">
        <v>53</v>
      </c>
      <c r="G1699">
        <v>19</v>
      </c>
      <c r="H1699" t="s">
        <v>20</v>
      </c>
      <c r="I1699">
        <v>1061.18</v>
      </c>
      <c r="J1699">
        <v>1346.36</v>
      </c>
      <c r="K1699">
        <v>924.37</v>
      </c>
      <c r="L1699">
        <v>130.77000000000001</v>
      </c>
      <c r="M1699">
        <v>3331.91</v>
      </c>
      <c r="N1699">
        <v>3462.68</v>
      </c>
    </row>
    <row r="1700" spans="1:14" x14ac:dyDescent="0.3">
      <c r="A1700" s="2">
        <v>44409</v>
      </c>
      <c r="B1700" t="s">
        <v>69</v>
      </c>
      <c r="C1700">
        <v>2021</v>
      </c>
      <c r="D1700">
        <v>8</v>
      </c>
      <c r="E1700" t="s">
        <v>16</v>
      </c>
      <c r="F1700" t="s">
        <v>17</v>
      </c>
      <c r="G1700">
        <v>35</v>
      </c>
      <c r="H1700" t="s">
        <v>18</v>
      </c>
      <c r="I1700">
        <v>7.7</v>
      </c>
      <c r="J1700">
        <v>10.52</v>
      </c>
      <c r="K1700">
        <v>1.57</v>
      </c>
      <c r="L1700">
        <v>0.04</v>
      </c>
      <c r="M1700">
        <v>19.79</v>
      </c>
      <c r="N1700">
        <v>19.829999999999998</v>
      </c>
    </row>
    <row r="1701" spans="1:14" x14ac:dyDescent="0.3">
      <c r="A1701" s="2">
        <v>44409</v>
      </c>
      <c r="B1701" t="s">
        <v>69</v>
      </c>
      <c r="C1701">
        <v>2021</v>
      </c>
      <c r="D1701">
        <v>8</v>
      </c>
      <c r="E1701" t="s">
        <v>16</v>
      </c>
      <c r="F1701" t="s">
        <v>19</v>
      </c>
      <c r="G1701">
        <v>28</v>
      </c>
      <c r="H1701" t="s">
        <v>20</v>
      </c>
      <c r="I1701">
        <v>626.61</v>
      </c>
      <c r="J1701">
        <v>867.83</v>
      </c>
      <c r="K1701">
        <v>956.48</v>
      </c>
      <c r="L1701">
        <v>140.57</v>
      </c>
      <c r="M1701">
        <v>2450.92</v>
      </c>
      <c r="N1701">
        <v>2591.4899999999998</v>
      </c>
    </row>
    <row r="1702" spans="1:14" x14ac:dyDescent="0.3">
      <c r="A1702" s="2">
        <v>44409</v>
      </c>
      <c r="B1702" t="s">
        <v>69</v>
      </c>
      <c r="C1702">
        <v>2021</v>
      </c>
      <c r="D1702">
        <v>8</v>
      </c>
      <c r="E1702" t="s">
        <v>16</v>
      </c>
      <c r="F1702" t="s">
        <v>21</v>
      </c>
      <c r="G1702">
        <v>12</v>
      </c>
      <c r="H1702" t="s">
        <v>20</v>
      </c>
      <c r="I1702">
        <v>19.600000000000001</v>
      </c>
      <c r="J1702">
        <v>23.72</v>
      </c>
      <c r="K1702">
        <v>9.81</v>
      </c>
      <c r="L1702">
        <v>0.22</v>
      </c>
      <c r="M1702">
        <v>53.13</v>
      </c>
      <c r="N1702">
        <v>53.35</v>
      </c>
    </row>
    <row r="1703" spans="1:14" x14ac:dyDescent="0.3">
      <c r="A1703" s="2">
        <v>44409</v>
      </c>
      <c r="B1703" t="s">
        <v>69</v>
      </c>
      <c r="C1703">
        <v>2021</v>
      </c>
      <c r="D1703">
        <v>8</v>
      </c>
      <c r="E1703" t="s">
        <v>16</v>
      </c>
      <c r="F1703" t="s">
        <v>22</v>
      </c>
      <c r="G1703">
        <v>18</v>
      </c>
      <c r="H1703" t="s">
        <v>20</v>
      </c>
      <c r="I1703">
        <v>273.32</v>
      </c>
      <c r="J1703">
        <v>338.02</v>
      </c>
      <c r="K1703">
        <v>315.81</v>
      </c>
      <c r="L1703">
        <v>31.63</v>
      </c>
      <c r="M1703">
        <v>927.15</v>
      </c>
      <c r="N1703">
        <v>958.78</v>
      </c>
    </row>
    <row r="1704" spans="1:14" x14ac:dyDescent="0.3">
      <c r="A1704" s="2">
        <v>44409</v>
      </c>
      <c r="B1704" t="s">
        <v>69</v>
      </c>
      <c r="C1704">
        <v>2021</v>
      </c>
      <c r="D1704">
        <v>8</v>
      </c>
      <c r="E1704" t="s">
        <v>16</v>
      </c>
      <c r="F1704" t="s">
        <v>23</v>
      </c>
      <c r="G1704">
        <v>10</v>
      </c>
      <c r="H1704" t="s">
        <v>20</v>
      </c>
      <c r="I1704">
        <v>287.83</v>
      </c>
      <c r="J1704">
        <v>478.67</v>
      </c>
      <c r="K1704">
        <v>144.72999999999999</v>
      </c>
      <c r="L1704">
        <v>125.72</v>
      </c>
      <c r="M1704">
        <v>911.23</v>
      </c>
      <c r="N1704">
        <v>1036.95</v>
      </c>
    </row>
    <row r="1705" spans="1:14" x14ac:dyDescent="0.3">
      <c r="A1705" s="2">
        <v>44409</v>
      </c>
      <c r="B1705" t="s">
        <v>69</v>
      </c>
      <c r="C1705">
        <v>2021</v>
      </c>
      <c r="D1705">
        <v>8</v>
      </c>
      <c r="E1705" t="s">
        <v>16</v>
      </c>
      <c r="F1705" t="s">
        <v>24</v>
      </c>
      <c r="G1705">
        <v>4</v>
      </c>
      <c r="H1705" t="s">
        <v>18</v>
      </c>
      <c r="I1705">
        <v>27.83</v>
      </c>
      <c r="J1705">
        <v>38.4</v>
      </c>
      <c r="K1705">
        <v>77.52</v>
      </c>
      <c r="L1705">
        <v>0.41</v>
      </c>
      <c r="M1705">
        <v>143.75</v>
      </c>
      <c r="N1705">
        <v>144.16</v>
      </c>
    </row>
    <row r="1706" spans="1:14" x14ac:dyDescent="0.3">
      <c r="A1706" s="2">
        <v>44409</v>
      </c>
      <c r="B1706" t="s">
        <v>69</v>
      </c>
      <c r="C1706">
        <v>2021</v>
      </c>
      <c r="D1706">
        <v>8</v>
      </c>
      <c r="E1706" t="s">
        <v>16</v>
      </c>
      <c r="F1706" t="s">
        <v>25</v>
      </c>
      <c r="G1706">
        <v>22</v>
      </c>
      <c r="H1706" t="s">
        <v>20</v>
      </c>
      <c r="I1706">
        <v>455.56</v>
      </c>
      <c r="J1706">
        <v>536.63</v>
      </c>
      <c r="K1706">
        <v>812.9</v>
      </c>
      <c r="L1706">
        <v>585.41</v>
      </c>
      <c r="M1706">
        <v>1805.09</v>
      </c>
      <c r="N1706">
        <v>2390.5</v>
      </c>
    </row>
    <row r="1707" spans="1:14" x14ac:dyDescent="0.3">
      <c r="A1707" s="2">
        <v>44409</v>
      </c>
      <c r="B1707" t="s">
        <v>69</v>
      </c>
      <c r="C1707">
        <v>2021</v>
      </c>
      <c r="D1707">
        <v>8</v>
      </c>
      <c r="E1707" t="s">
        <v>16</v>
      </c>
      <c r="F1707" t="s">
        <v>26</v>
      </c>
      <c r="G1707">
        <v>38</v>
      </c>
      <c r="H1707" t="s">
        <v>18</v>
      </c>
      <c r="I1707">
        <v>29.39</v>
      </c>
      <c r="J1707">
        <v>40.36</v>
      </c>
      <c r="K1707">
        <v>184.69</v>
      </c>
      <c r="L1707">
        <v>0.1</v>
      </c>
      <c r="M1707">
        <v>254.44</v>
      </c>
      <c r="N1707">
        <v>254.54</v>
      </c>
    </row>
    <row r="1708" spans="1:14" x14ac:dyDescent="0.3">
      <c r="A1708" s="2">
        <v>44409</v>
      </c>
      <c r="B1708" t="s">
        <v>69</v>
      </c>
      <c r="C1708">
        <v>2021</v>
      </c>
      <c r="D1708">
        <v>8</v>
      </c>
      <c r="E1708" t="s">
        <v>16</v>
      </c>
      <c r="F1708" t="s">
        <v>27</v>
      </c>
      <c r="G1708">
        <v>7</v>
      </c>
      <c r="H1708" t="s">
        <v>18</v>
      </c>
      <c r="I1708">
        <v>721.39</v>
      </c>
      <c r="J1708">
        <v>876.01</v>
      </c>
      <c r="K1708">
        <v>1926.19</v>
      </c>
      <c r="L1708">
        <v>81.89</v>
      </c>
      <c r="M1708">
        <v>3523.59</v>
      </c>
      <c r="N1708">
        <v>3605.48</v>
      </c>
    </row>
    <row r="1709" spans="1:14" x14ac:dyDescent="0.3">
      <c r="A1709" s="2">
        <v>44409</v>
      </c>
      <c r="B1709" t="s">
        <v>69</v>
      </c>
      <c r="C1709">
        <v>2021</v>
      </c>
      <c r="D1709">
        <v>8</v>
      </c>
      <c r="E1709" t="s">
        <v>16</v>
      </c>
      <c r="F1709" t="s">
        <v>28</v>
      </c>
      <c r="G1709">
        <v>30</v>
      </c>
      <c r="H1709" t="s">
        <v>20</v>
      </c>
      <c r="I1709">
        <v>63.28</v>
      </c>
      <c r="J1709">
        <v>92.37</v>
      </c>
      <c r="K1709">
        <v>128.26</v>
      </c>
      <c r="L1709">
        <v>1.1100000000000001</v>
      </c>
      <c r="M1709">
        <v>283.91000000000003</v>
      </c>
      <c r="N1709">
        <v>285.02</v>
      </c>
    </row>
    <row r="1710" spans="1:14" x14ac:dyDescent="0.3">
      <c r="A1710" s="2">
        <v>44409</v>
      </c>
      <c r="B1710" t="s">
        <v>69</v>
      </c>
      <c r="C1710">
        <v>2021</v>
      </c>
      <c r="D1710">
        <v>8</v>
      </c>
      <c r="E1710" t="s">
        <v>16</v>
      </c>
      <c r="F1710" t="s">
        <v>29</v>
      </c>
      <c r="G1710">
        <v>24</v>
      </c>
      <c r="H1710" t="s">
        <v>20</v>
      </c>
      <c r="I1710">
        <v>2000.89</v>
      </c>
      <c r="J1710">
        <v>2499.9499999999998</v>
      </c>
      <c r="K1710">
        <v>2507.44</v>
      </c>
      <c r="L1710">
        <v>547.96</v>
      </c>
      <c r="M1710">
        <v>7008.28</v>
      </c>
      <c r="N1710">
        <v>7556.24</v>
      </c>
    </row>
    <row r="1711" spans="1:14" x14ac:dyDescent="0.3">
      <c r="A1711" s="2">
        <v>44409</v>
      </c>
      <c r="B1711" t="s">
        <v>69</v>
      </c>
      <c r="C1711">
        <v>2021</v>
      </c>
      <c r="D1711">
        <v>8</v>
      </c>
      <c r="E1711" t="s">
        <v>16</v>
      </c>
      <c r="F1711" t="s">
        <v>30</v>
      </c>
      <c r="G1711">
        <v>6</v>
      </c>
      <c r="H1711" t="s">
        <v>20</v>
      </c>
      <c r="I1711">
        <v>941.23</v>
      </c>
      <c r="J1711">
        <v>1287.06</v>
      </c>
      <c r="K1711">
        <v>2902.08</v>
      </c>
      <c r="L1711">
        <v>487.29</v>
      </c>
      <c r="M1711">
        <v>5130.37</v>
      </c>
      <c r="N1711">
        <v>5617.66</v>
      </c>
    </row>
    <row r="1712" spans="1:14" x14ac:dyDescent="0.3">
      <c r="A1712" s="2">
        <v>44409</v>
      </c>
      <c r="B1712" t="s">
        <v>69</v>
      </c>
      <c r="C1712">
        <v>2021</v>
      </c>
      <c r="D1712">
        <v>8</v>
      </c>
      <c r="E1712" t="s">
        <v>16</v>
      </c>
      <c r="F1712" t="s">
        <v>31</v>
      </c>
      <c r="G1712">
        <v>2</v>
      </c>
      <c r="H1712" t="s">
        <v>20</v>
      </c>
      <c r="I1712">
        <v>115.23</v>
      </c>
      <c r="J1712">
        <v>173.99</v>
      </c>
      <c r="K1712">
        <v>414.16</v>
      </c>
      <c r="L1712">
        <v>0.79</v>
      </c>
      <c r="M1712">
        <v>703.38</v>
      </c>
      <c r="N1712">
        <v>704.17</v>
      </c>
    </row>
    <row r="1713" spans="1:14" x14ac:dyDescent="0.3">
      <c r="A1713" s="2">
        <v>44409</v>
      </c>
      <c r="B1713" t="s">
        <v>69</v>
      </c>
      <c r="C1713">
        <v>2021</v>
      </c>
      <c r="D1713">
        <v>8</v>
      </c>
      <c r="E1713" t="s">
        <v>16</v>
      </c>
      <c r="F1713" t="s">
        <v>32</v>
      </c>
      <c r="G1713">
        <v>1</v>
      </c>
      <c r="H1713" t="s">
        <v>18</v>
      </c>
      <c r="I1713">
        <v>102.62</v>
      </c>
      <c r="J1713">
        <v>154.29</v>
      </c>
      <c r="K1713">
        <v>126.34</v>
      </c>
      <c r="L1713">
        <v>8.57</v>
      </c>
      <c r="M1713">
        <v>383.25</v>
      </c>
      <c r="N1713">
        <v>391.82</v>
      </c>
    </row>
    <row r="1714" spans="1:14" x14ac:dyDescent="0.3">
      <c r="A1714" s="2">
        <v>44409</v>
      </c>
      <c r="B1714" t="s">
        <v>69</v>
      </c>
      <c r="C1714">
        <v>2021</v>
      </c>
      <c r="D1714">
        <v>8</v>
      </c>
      <c r="E1714" t="s">
        <v>16</v>
      </c>
      <c r="F1714" t="s">
        <v>33</v>
      </c>
      <c r="G1714">
        <v>20</v>
      </c>
      <c r="H1714" t="s">
        <v>20</v>
      </c>
      <c r="I1714">
        <v>377.7</v>
      </c>
      <c r="J1714">
        <v>492.92</v>
      </c>
      <c r="K1714">
        <v>911.71</v>
      </c>
      <c r="L1714">
        <v>384.14</v>
      </c>
      <c r="M1714">
        <v>1782.33</v>
      </c>
      <c r="N1714">
        <v>2166.4699999999998</v>
      </c>
    </row>
    <row r="1715" spans="1:14" x14ac:dyDescent="0.3">
      <c r="A1715" s="2">
        <v>44409</v>
      </c>
      <c r="B1715" t="s">
        <v>69</v>
      </c>
      <c r="C1715">
        <v>2021</v>
      </c>
      <c r="D1715">
        <v>8</v>
      </c>
      <c r="E1715" t="s">
        <v>16</v>
      </c>
      <c r="F1715" t="s">
        <v>34</v>
      </c>
      <c r="G1715">
        <v>29</v>
      </c>
      <c r="H1715" t="s">
        <v>20</v>
      </c>
      <c r="I1715">
        <v>1789.71</v>
      </c>
      <c r="J1715">
        <v>2284.4699999999998</v>
      </c>
      <c r="K1715">
        <v>2551.2600000000002</v>
      </c>
      <c r="L1715">
        <v>804.02</v>
      </c>
      <c r="M1715">
        <v>6625.44</v>
      </c>
      <c r="N1715">
        <v>7429.46</v>
      </c>
    </row>
    <row r="1716" spans="1:14" x14ac:dyDescent="0.3">
      <c r="A1716" s="2">
        <v>44409</v>
      </c>
      <c r="B1716" t="s">
        <v>69</v>
      </c>
      <c r="C1716">
        <v>2021</v>
      </c>
      <c r="D1716">
        <v>8</v>
      </c>
      <c r="E1716" t="s">
        <v>16</v>
      </c>
      <c r="F1716" t="s">
        <v>35</v>
      </c>
      <c r="G1716">
        <v>32</v>
      </c>
      <c r="H1716" t="s">
        <v>20</v>
      </c>
      <c r="I1716">
        <v>494.29</v>
      </c>
      <c r="J1716">
        <v>710.69</v>
      </c>
      <c r="K1716">
        <v>404.19</v>
      </c>
      <c r="L1716">
        <v>2.76</v>
      </c>
      <c r="M1716">
        <v>1609.17</v>
      </c>
      <c r="N1716">
        <v>1611.93</v>
      </c>
    </row>
    <row r="1717" spans="1:14" x14ac:dyDescent="0.3">
      <c r="A1717" s="2">
        <v>44409</v>
      </c>
      <c r="B1717" t="s">
        <v>69</v>
      </c>
      <c r="C1717">
        <v>2021</v>
      </c>
      <c r="D1717">
        <v>8</v>
      </c>
      <c r="E1717" t="s">
        <v>16</v>
      </c>
      <c r="F1717" t="s">
        <v>67</v>
      </c>
      <c r="G1717">
        <v>37</v>
      </c>
      <c r="H1717" t="s">
        <v>18</v>
      </c>
      <c r="I1717">
        <v>4.7300000000000004</v>
      </c>
      <c r="J1717">
        <v>6.05</v>
      </c>
      <c r="K1717">
        <v>3.57</v>
      </c>
      <c r="L1717">
        <v>0</v>
      </c>
      <c r="M1717">
        <v>14.35</v>
      </c>
      <c r="N1717">
        <v>14.35</v>
      </c>
    </row>
    <row r="1718" spans="1:14" x14ac:dyDescent="0.3">
      <c r="A1718" s="2">
        <v>44409</v>
      </c>
      <c r="B1718" t="s">
        <v>69</v>
      </c>
      <c r="C1718">
        <v>2021</v>
      </c>
      <c r="D1718">
        <v>8</v>
      </c>
      <c r="E1718" t="s">
        <v>16</v>
      </c>
      <c r="F1718" t="s">
        <v>36</v>
      </c>
      <c r="G1718">
        <v>31</v>
      </c>
      <c r="H1718" t="s">
        <v>18</v>
      </c>
      <c r="I1718">
        <v>0.6</v>
      </c>
      <c r="J1718">
        <v>0.65</v>
      </c>
      <c r="K1718">
        <v>0.06</v>
      </c>
      <c r="L1718">
        <v>0</v>
      </c>
      <c r="M1718">
        <v>1.31</v>
      </c>
      <c r="N1718">
        <v>1.31</v>
      </c>
    </row>
    <row r="1719" spans="1:14" x14ac:dyDescent="0.3">
      <c r="A1719" s="2">
        <v>44409</v>
      </c>
      <c r="B1719" t="s">
        <v>69</v>
      </c>
      <c r="C1719">
        <v>2021</v>
      </c>
      <c r="D1719">
        <v>8</v>
      </c>
      <c r="E1719" t="s">
        <v>16</v>
      </c>
      <c r="F1719" t="s">
        <v>37</v>
      </c>
      <c r="G1719">
        <v>23</v>
      </c>
      <c r="H1719" t="s">
        <v>20</v>
      </c>
      <c r="I1719">
        <v>578.87</v>
      </c>
      <c r="J1719">
        <v>767.31</v>
      </c>
      <c r="K1719">
        <v>630.01</v>
      </c>
      <c r="L1719">
        <v>461.87</v>
      </c>
      <c r="M1719">
        <v>1976.19</v>
      </c>
      <c r="N1719">
        <v>2438.06</v>
      </c>
    </row>
    <row r="1720" spans="1:14" x14ac:dyDescent="0.3">
      <c r="A1720" s="2">
        <v>44409</v>
      </c>
      <c r="B1720" t="s">
        <v>69</v>
      </c>
      <c r="C1720">
        <v>2021</v>
      </c>
      <c r="D1720">
        <v>8</v>
      </c>
      <c r="E1720" t="s">
        <v>16</v>
      </c>
      <c r="F1720" t="s">
        <v>38</v>
      </c>
      <c r="G1720">
        <v>27</v>
      </c>
      <c r="H1720" t="s">
        <v>20</v>
      </c>
      <c r="I1720">
        <v>4114.79</v>
      </c>
      <c r="J1720">
        <v>5068.3100000000004</v>
      </c>
      <c r="K1720">
        <v>4974.45</v>
      </c>
      <c r="L1720">
        <v>1017.09</v>
      </c>
      <c r="M1720">
        <v>14157.55</v>
      </c>
      <c r="N1720">
        <v>15174.64</v>
      </c>
    </row>
    <row r="1721" spans="1:14" x14ac:dyDescent="0.3">
      <c r="A1721" s="2">
        <v>44409</v>
      </c>
      <c r="B1721" t="s">
        <v>69</v>
      </c>
      <c r="C1721">
        <v>2021</v>
      </c>
      <c r="D1721">
        <v>8</v>
      </c>
      <c r="E1721" t="s">
        <v>16</v>
      </c>
      <c r="F1721" t="s">
        <v>39</v>
      </c>
      <c r="G1721">
        <v>14</v>
      </c>
      <c r="H1721" t="s">
        <v>20</v>
      </c>
      <c r="I1721">
        <v>15.84</v>
      </c>
      <c r="J1721">
        <v>23.2</v>
      </c>
      <c r="K1721">
        <v>5.43</v>
      </c>
      <c r="L1721">
        <v>0.04</v>
      </c>
      <c r="M1721">
        <v>44.47</v>
      </c>
      <c r="N1721">
        <v>44.51</v>
      </c>
    </row>
    <row r="1722" spans="1:14" x14ac:dyDescent="0.3">
      <c r="A1722" s="2">
        <v>44409</v>
      </c>
      <c r="B1722" t="s">
        <v>69</v>
      </c>
      <c r="C1722">
        <v>2021</v>
      </c>
      <c r="D1722">
        <v>8</v>
      </c>
      <c r="E1722" t="s">
        <v>16</v>
      </c>
      <c r="F1722" t="s">
        <v>40</v>
      </c>
      <c r="G1722">
        <v>17</v>
      </c>
      <c r="H1722" t="s">
        <v>20</v>
      </c>
      <c r="I1722">
        <v>22.64</v>
      </c>
      <c r="J1722">
        <v>27.6</v>
      </c>
      <c r="K1722">
        <v>66.95</v>
      </c>
      <c r="L1722">
        <v>2.17</v>
      </c>
      <c r="M1722">
        <v>117.19</v>
      </c>
      <c r="N1722">
        <v>119.36</v>
      </c>
    </row>
    <row r="1723" spans="1:14" x14ac:dyDescent="0.3">
      <c r="A1723" s="2">
        <v>44409</v>
      </c>
      <c r="B1723" t="s">
        <v>69</v>
      </c>
      <c r="C1723">
        <v>2021</v>
      </c>
      <c r="D1723">
        <v>8</v>
      </c>
      <c r="E1723" t="s">
        <v>16</v>
      </c>
      <c r="F1723" t="s">
        <v>41</v>
      </c>
      <c r="G1723">
        <v>15</v>
      </c>
      <c r="H1723" t="s">
        <v>20</v>
      </c>
      <c r="I1723">
        <v>5.89</v>
      </c>
      <c r="J1723">
        <v>8.0500000000000007</v>
      </c>
      <c r="K1723">
        <v>1.97</v>
      </c>
      <c r="L1723">
        <v>0.03</v>
      </c>
      <c r="M1723">
        <v>15.91</v>
      </c>
      <c r="N1723">
        <v>15.94</v>
      </c>
    </row>
    <row r="1724" spans="1:14" x14ac:dyDescent="0.3">
      <c r="A1724" s="2">
        <v>44409</v>
      </c>
      <c r="B1724" t="s">
        <v>69</v>
      </c>
      <c r="C1724">
        <v>2021</v>
      </c>
      <c r="D1724">
        <v>8</v>
      </c>
      <c r="E1724" t="s">
        <v>16</v>
      </c>
      <c r="F1724" t="s">
        <v>42</v>
      </c>
      <c r="G1724">
        <v>13</v>
      </c>
      <c r="H1724" t="s">
        <v>20</v>
      </c>
      <c r="I1724">
        <v>11.31</v>
      </c>
      <c r="J1724">
        <v>14.71</v>
      </c>
      <c r="K1724">
        <v>5.39</v>
      </c>
      <c r="L1724">
        <v>0.43</v>
      </c>
      <c r="M1724">
        <v>31.41</v>
      </c>
      <c r="N1724">
        <v>31.84</v>
      </c>
    </row>
    <row r="1725" spans="1:14" x14ac:dyDescent="0.3">
      <c r="A1725" s="2">
        <v>44409</v>
      </c>
      <c r="B1725" t="s">
        <v>69</v>
      </c>
      <c r="C1725">
        <v>2021</v>
      </c>
      <c r="D1725">
        <v>8</v>
      </c>
      <c r="E1725" t="s">
        <v>16</v>
      </c>
      <c r="F1725" t="s">
        <v>43</v>
      </c>
      <c r="G1725">
        <v>21</v>
      </c>
      <c r="H1725" t="s">
        <v>20</v>
      </c>
      <c r="I1725">
        <v>792.93</v>
      </c>
      <c r="J1725">
        <v>956.47</v>
      </c>
      <c r="K1725">
        <v>948.21</v>
      </c>
      <c r="L1725">
        <v>618.94000000000005</v>
      </c>
      <c r="M1725">
        <v>2697.61</v>
      </c>
      <c r="N1725">
        <v>3316.55</v>
      </c>
    </row>
    <row r="1726" spans="1:14" x14ac:dyDescent="0.3">
      <c r="A1726" s="2">
        <v>44409</v>
      </c>
      <c r="B1726" t="s">
        <v>69</v>
      </c>
      <c r="C1726">
        <v>2021</v>
      </c>
      <c r="D1726">
        <v>8</v>
      </c>
      <c r="E1726" t="s">
        <v>16</v>
      </c>
      <c r="F1726" t="s">
        <v>44</v>
      </c>
      <c r="G1726">
        <v>34</v>
      </c>
      <c r="H1726" t="s">
        <v>18</v>
      </c>
      <c r="I1726">
        <v>17.489999999999998</v>
      </c>
      <c r="J1726">
        <v>30.93</v>
      </c>
      <c r="K1726">
        <v>107.5</v>
      </c>
      <c r="L1726">
        <v>0.45</v>
      </c>
      <c r="M1726">
        <v>155.91999999999999</v>
      </c>
      <c r="N1726">
        <v>156.37</v>
      </c>
    </row>
    <row r="1727" spans="1:14" x14ac:dyDescent="0.3">
      <c r="A1727" s="2">
        <v>44409</v>
      </c>
      <c r="B1727" t="s">
        <v>69</v>
      </c>
      <c r="C1727">
        <v>2021</v>
      </c>
      <c r="D1727">
        <v>8</v>
      </c>
      <c r="E1727" t="s">
        <v>16</v>
      </c>
      <c r="F1727" t="s">
        <v>45</v>
      </c>
      <c r="G1727">
        <v>3</v>
      </c>
      <c r="H1727" t="s">
        <v>20</v>
      </c>
      <c r="I1727">
        <v>363.17</v>
      </c>
      <c r="J1727">
        <v>529.76</v>
      </c>
      <c r="K1727">
        <v>502.94</v>
      </c>
      <c r="L1727">
        <v>18.27</v>
      </c>
      <c r="M1727">
        <v>1395.87</v>
      </c>
      <c r="N1727">
        <v>1414.14</v>
      </c>
    </row>
    <row r="1728" spans="1:14" x14ac:dyDescent="0.3">
      <c r="A1728" s="2">
        <v>44409</v>
      </c>
      <c r="B1728" t="s">
        <v>69</v>
      </c>
      <c r="C1728">
        <v>2021</v>
      </c>
      <c r="D1728">
        <v>8</v>
      </c>
      <c r="E1728" t="s">
        <v>16</v>
      </c>
      <c r="F1728" t="s">
        <v>46</v>
      </c>
      <c r="G1728">
        <v>8</v>
      </c>
      <c r="H1728" t="s">
        <v>20</v>
      </c>
      <c r="I1728">
        <v>797.71</v>
      </c>
      <c r="J1728">
        <v>1029.31</v>
      </c>
      <c r="K1728">
        <v>1057.05</v>
      </c>
      <c r="L1728">
        <v>164.45</v>
      </c>
      <c r="M1728">
        <v>2884.07</v>
      </c>
      <c r="N1728">
        <v>3048.52</v>
      </c>
    </row>
    <row r="1729" spans="1:14" x14ac:dyDescent="0.3">
      <c r="A1729" s="2">
        <v>44409</v>
      </c>
      <c r="B1729" t="s">
        <v>69</v>
      </c>
      <c r="C1729">
        <v>2021</v>
      </c>
      <c r="D1729">
        <v>8</v>
      </c>
      <c r="E1729" t="s">
        <v>16</v>
      </c>
      <c r="F1729" t="s">
        <v>47</v>
      </c>
      <c r="G1729">
        <v>11</v>
      </c>
      <c r="H1729" t="s">
        <v>20</v>
      </c>
      <c r="I1729">
        <v>12.57</v>
      </c>
      <c r="J1729">
        <v>16.23</v>
      </c>
      <c r="K1729">
        <v>190.26</v>
      </c>
      <c r="L1729">
        <v>0.03</v>
      </c>
      <c r="M1729">
        <v>219.06</v>
      </c>
      <c r="N1729">
        <v>219.09</v>
      </c>
    </row>
    <row r="1730" spans="1:14" x14ac:dyDescent="0.3">
      <c r="A1730" s="2">
        <v>44409</v>
      </c>
      <c r="B1730" t="s">
        <v>69</v>
      </c>
      <c r="C1730">
        <v>2021</v>
      </c>
      <c r="D1730">
        <v>8</v>
      </c>
      <c r="E1730" t="s">
        <v>16</v>
      </c>
      <c r="F1730" t="s">
        <v>48</v>
      </c>
      <c r="G1730">
        <v>33</v>
      </c>
      <c r="H1730" t="s">
        <v>20</v>
      </c>
      <c r="I1730">
        <v>1857.14</v>
      </c>
      <c r="J1730">
        <v>2460.3000000000002</v>
      </c>
      <c r="K1730">
        <v>2048.17</v>
      </c>
      <c r="L1730">
        <v>694.32</v>
      </c>
      <c r="M1730">
        <v>6365.61</v>
      </c>
      <c r="N1730">
        <v>7059.93</v>
      </c>
    </row>
    <row r="1731" spans="1:14" x14ac:dyDescent="0.3">
      <c r="A1731" s="2">
        <v>44409</v>
      </c>
      <c r="B1731" t="s">
        <v>69</v>
      </c>
      <c r="C1731">
        <v>2021</v>
      </c>
      <c r="D1731">
        <v>8</v>
      </c>
      <c r="E1731" t="s">
        <v>16</v>
      </c>
      <c r="F1731" t="s">
        <v>49</v>
      </c>
      <c r="G1731">
        <v>36</v>
      </c>
      <c r="H1731" t="s">
        <v>20</v>
      </c>
      <c r="I1731">
        <v>855.52</v>
      </c>
      <c r="J1731">
        <v>1123.0899999999999</v>
      </c>
      <c r="K1731">
        <v>1041.72</v>
      </c>
      <c r="L1731">
        <v>505.2</v>
      </c>
      <c r="M1731">
        <v>3020.33</v>
      </c>
      <c r="N1731">
        <v>3525.53</v>
      </c>
    </row>
    <row r="1732" spans="1:14" x14ac:dyDescent="0.3">
      <c r="A1732" s="2">
        <v>44409</v>
      </c>
      <c r="B1732" t="s">
        <v>69</v>
      </c>
      <c r="C1732">
        <v>2021</v>
      </c>
      <c r="D1732">
        <v>8</v>
      </c>
      <c r="E1732" t="s">
        <v>16</v>
      </c>
      <c r="F1732" t="s">
        <v>50</v>
      </c>
      <c r="G1732">
        <v>16</v>
      </c>
      <c r="H1732" t="s">
        <v>20</v>
      </c>
      <c r="I1732">
        <v>21.14</v>
      </c>
      <c r="J1732">
        <v>27.65</v>
      </c>
      <c r="K1732">
        <v>6.96</v>
      </c>
      <c r="L1732">
        <v>0.16</v>
      </c>
      <c r="M1732">
        <v>55.75</v>
      </c>
      <c r="N1732">
        <v>55.91</v>
      </c>
    </row>
    <row r="1733" spans="1:14" x14ac:dyDescent="0.3">
      <c r="A1733" s="2">
        <v>44409</v>
      </c>
      <c r="B1733" t="s">
        <v>69</v>
      </c>
      <c r="C1733">
        <v>2021</v>
      </c>
      <c r="D1733">
        <v>8</v>
      </c>
      <c r="E1733" t="s">
        <v>16</v>
      </c>
      <c r="F1733" t="s">
        <v>51</v>
      </c>
      <c r="G1733">
        <v>9</v>
      </c>
      <c r="H1733" t="s">
        <v>20</v>
      </c>
      <c r="I1733">
        <v>1377.19</v>
      </c>
      <c r="J1733">
        <v>1903.54</v>
      </c>
      <c r="K1733">
        <v>1621.48</v>
      </c>
      <c r="L1733">
        <v>1043.9100000000001</v>
      </c>
      <c r="M1733">
        <v>4902.21</v>
      </c>
      <c r="N1733">
        <v>5946.12</v>
      </c>
    </row>
    <row r="1734" spans="1:14" x14ac:dyDescent="0.3">
      <c r="A1734" s="2">
        <v>44409</v>
      </c>
      <c r="B1734" t="s">
        <v>69</v>
      </c>
      <c r="C1734">
        <v>2021</v>
      </c>
      <c r="D1734">
        <v>8</v>
      </c>
      <c r="E1734" t="s">
        <v>16</v>
      </c>
      <c r="F1734" t="s">
        <v>52</v>
      </c>
      <c r="G1734">
        <v>5</v>
      </c>
      <c r="H1734" t="s">
        <v>20</v>
      </c>
      <c r="I1734">
        <v>213.29</v>
      </c>
      <c r="J1734">
        <v>303.17</v>
      </c>
      <c r="K1734">
        <v>566.17999999999995</v>
      </c>
      <c r="L1734">
        <v>6.84</v>
      </c>
      <c r="M1734">
        <v>1082.6400000000001</v>
      </c>
      <c r="N1734">
        <v>1089.48</v>
      </c>
    </row>
    <row r="1735" spans="1:14" x14ac:dyDescent="0.3">
      <c r="A1735" s="2">
        <v>44409</v>
      </c>
      <c r="B1735" t="s">
        <v>69</v>
      </c>
      <c r="C1735">
        <v>2021</v>
      </c>
      <c r="D1735">
        <v>8</v>
      </c>
      <c r="E1735" t="s">
        <v>16</v>
      </c>
      <c r="F1735" t="s">
        <v>53</v>
      </c>
      <c r="G1735">
        <v>19</v>
      </c>
      <c r="H1735" t="s">
        <v>20</v>
      </c>
      <c r="I1735">
        <v>1118.6099999999999</v>
      </c>
      <c r="J1735">
        <v>1396.35</v>
      </c>
      <c r="K1735">
        <v>900.12</v>
      </c>
      <c r="L1735">
        <v>263.38</v>
      </c>
      <c r="M1735">
        <v>3415.08</v>
      </c>
      <c r="N1735">
        <v>3678.46</v>
      </c>
    </row>
    <row r="1736" spans="1:14" x14ac:dyDescent="0.3">
      <c r="A1736" s="2">
        <v>44440</v>
      </c>
      <c r="B1736" t="s">
        <v>69</v>
      </c>
      <c r="C1736">
        <v>2021</v>
      </c>
      <c r="D1736">
        <v>9</v>
      </c>
      <c r="E1736" t="s">
        <v>54</v>
      </c>
      <c r="F1736" t="s">
        <v>17</v>
      </c>
      <c r="G1736">
        <v>35</v>
      </c>
      <c r="H1736" t="s">
        <v>18</v>
      </c>
      <c r="I1736">
        <v>6.56</v>
      </c>
      <c r="J1736">
        <v>10.91</v>
      </c>
      <c r="K1736">
        <v>2.11</v>
      </c>
      <c r="L1736">
        <v>0.02</v>
      </c>
      <c r="M1736">
        <v>19.579999999999998</v>
      </c>
      <c r="N1736">
        <v>19.600000000000001</v>
      </c>
    </row>
    <row r="1737" spans="1:14" x14ac:dyDescent="0.3">
      <c r="A1737" s="2">
        <v>44440</v>
      </c>
      <c r="B1737" t="s">
        <v>69</v>
      </c>
      <c r="C1737">
        <v>2021</v>
      </c>
      <c r="D1737">
        <v>9</v>
      </c>
      <c r="E1737" t="s">
        <v>54</v>
      </c>
      <c r="F1737" t="s">
        <v>19</v>
      </c>
      <c r="G1737">
        <v>28</v>
      </c>
      <c r="H1737" t="s">
        <v>20</v>
      </c>
      <c r="I1737">
        <v>619.09</v>
      </c>
      <c r="J1737">
        <v>849.06</v>
      </c>
      <c r="K1737">
        <v>943.15</v>
      </c>
      <c r="L1737">
        <v>183.22</v>
      </c>
      <c r="M1737">
        <v>2411.3000000000002</v>
      </c>
      <c r="N1737">
        <v>2594.52</v>
      </c>
    </row>
    <row r="1738" spans="1:14" x14ac:dyDescent="0.3">
      <c r="A1738" s="2">
        <v>44440</v>
      </c>
      <c r="B1738" t="s">
        <v>69</v>
      </c>
      <c r="C1738">
        <v>2021</v>
      </c>
      <c r="D1738">
        <v>9</v>
      </c>
      <c r="E1738" t="s">
        <v>54</v>
      </c>
      <c r="F1738" t="s">
        <v>21</v>
      </c>
      <c r="G1738">
        <v>12</v>
      </c>
      <c r="H1738" t="s">
        <v>20</v>
      </c>
      <c r="I1738">
        <v>18.71</v>
      </c>
      <c r="J1738">
        <v>25.35</v>
      </c>
      <c r="K1738">
        <v>11.15</v>
      </c>
      <c r="L1738">
        <v>0.06</v>
      </c>
      <c r="M1738">
        <v>55.21</v>
      </c>
      <c r="N1738">
        <v>55.27</v>
      </c>
    </row>
    <row r="1739" spans="1:14" x14ac:dyDescent="0.3">
      <c r="A1739" s="2">
        <v>44440</v>
      </c>
      <c r="B1739" t="s">
        <v>69</v>
      </c>
      <c r="C1739">
        <v>2021</v>
      </c>
      <c r="D1739">
        <v>9</v>
      </c>
      <c r="E1739" t="s">
        <v>54</v>
      </c>
      <c r="F1739" t="s">
        <v>22</v>
      </c>
      <c r="G1739">
        <v>18</v>
      </c>
      <c r="H1739" t="s">
        <v>20</v>
      </c>
      <c r="I1739">
        <v>267.60000000000002</v>
      </c>
      <c r="J1739">
        <v>346.91</v>
      </c>
      <c r="K1739">
        <v>321.57</v>
      </c>
      <c r="L1739">
        <v>31.84</v>
      </c>
      <c r="M1739">
        <v>936.08</v>
      </c>
      <c r="N1739">
        <v>967.92</v>
      </c>
    </row>
    <row r="1740" spans="1:14" x14ac:dyDescent="0.3">
      <c r="A1740" s="2">
        <v>44440</v>
      </c>
      <c r="B1740" t="s">
        <v>69</v>
      </c>
      <c r="C1740">
        <v>2021</v>
      </c>
      <c r="D1740">
        <v>9</v>
      </c>
      <c r="E1740" t="s">
        <v>54</v>
      </c>
      <c r="F1740" t="s">
        <v>23</v>
      </c>
      <c r="G1740">
        <v>10</v>
      </c>
      <c r="H1740" t="s">
        <v>20</v>
      </c>
      <c r="I1740">
        <v>222.85</v>
      </c>
      <c r="J1740">
        <v>365.45</v>
      </c>
      <c r="K1740">
        <v>126.89</v>
      </c>
      <c r="L1740">
        <v>160.36000000000001</v>
      </c>
      <c r="M1740">
        <v>715.19</v>
      </c>
      <c r="N1740">
        <v>875.55</v>
      </c>
    </row>
    <row r="1741" spans="1:14" x14ac:dyDescent="0.3">
      <c r="A1741" s="2">
        <v>44440</v>
      </c>
      <c r="B1741" t="s">
        <v>69</v>
      </c>
      <c r="C1741">
        <v>2021</v>
      </c>
      <c r="D1741">
        <v>9</v>
      </c>
      <c r="E1741" t="s">
        <v>54</v>
      </c>
      <c r="F1741" t="s">
        <v>24</v>
      </c>
      <c r="G1741">
        <v>4</v>
      </c>
      <c r="H1741" t="s">
        <v>18</v>
      </c>
      <c r="I1741">
        <v>28.35</v>
      </c>
      <c r="J1741">
        <v>39.18</v>
      </c>
      <c r="K1741">
        <v>84.08</v>
      </c>
      <c r="L1741">
        <v>0.72</v>
      </c>
      <c r="M1741">
        <v>151.61000000000001</v>
      </c>
      <c r="N1741">
        <v>152.33000000000001</v>
      </c>
    </row>
    <row r="1742" spans="1:14" x14ac:dyDescent="0.3">
      <c r="A1742" s="2">
        <v>44440</v>
      </c>
      <c r="B1742" t="s">
        <v>69</v>
      </c>
      <c r="C1742">
        <v>2021</v>
      </c>
      <c r="D1742">
        <v>9</v>
      </c>
      <c r="E1742" t="s">
        <v>54</v>
      </c>
      <c r="F1742" t="s">
        <v>25</v>
      </c>
      <c r="G1742">
        <v>22</v>
      </c>
      <c r="H1742" t="s">
        <v>20</v>
      </c>
      <c r="I1742">
        <v>464.56</v>
      </c>
      <c r="J1742">
        <v>550.16</v>
      </c>
      <c r="K1742">
        <v>756.63</v>
      </c>
      <c r="L1742">
        <v>461.58</v>
      </c>
      <c r="M1742">
        <v>1771.35</v>
      </c>
      <c r="N1742">
        <v>2232.9299999999998</v>
      </c>
    </row>
    <row r="1743" spans="1:14" x14ac:dyDescent="0.3">
      <c r="A1743" s="2">
        <v>44440</v>
      </c>
      <c r="B1743" t="s">
        <v>69</v>
      </c>
      <c r="C1743">
        <v>2021</v>
      </c>
      <c r="D1743">
        <v>9</v>
      </c>
      <c r="E1743" t="s">
        <v>54</v>
      </c>
      <c r="F1743" t="s">
        <v>26</v>
      </c>
      <c r="G1743">
        <v>38</v>
      </c>
      <c r="H1743" t="s">
        <v>18</v>
      </c>
      <c r="I1743">
        <v>35.69</v>
      </c>
      <c r="J1743">
        <v>46.31</v>
      </c>
      <c r="K1743">
        <v>221.76</v>
      </c>
      <c r="L1743">
        <v>0.15</v>
      </c>
      <c r="M1743">
        <v>303.76</v>
      </c>
      <c r="N1743">
        <v>303.91000000000003</v>
      </c>
    </row>
    <row r="1744" spans="1:14" x14ac:dyDescent="0.3">
      <c r="A1744" s="2">
        <v>44440</v>
      </c>
      <c r="B1744" t="s">
        <v>69</v>
      </c>
      <c r="C1744">
        <v>2021</v>
      </c>
      <c r="D1744">
        <v>9</v>
      </c>
      <c r="E1744" t="s">
        <v>54</v>
      </c>
      <c r="F1744" t="s">
        <v>27</v>
      </c>
      <c r="G1744">
        <v>7</v>
      </c>
      <c r="H1744" t="s">
        <v>18</v>
      </c>
      <c r="I1744">
        <v>695.21</v>
      </c>
      <c r="J1744">
        <v>849.5</v>
      </c>
      <c r="K1744">
        <v>1972.24</v>
      </c>
      <c r="L1744">
        <v>87.77</v>
      </c>
      <c r="M1744">
        <v>3516.95</v>
      </c>
      <c r="N1744">
        <v>3604.72</v>
      </c>
    </row>
    <row r="1745" spans="1:14" x14ac:dyDescent="0.3">
      <c r="A1745" s="2">
        <v>44440</v>
      </c>
      <c r="B1745" t="s">
        <v>69</v>
      </c>
      <c r="C1745">
        <v>2021</v>
      </c>
      <c r="D1745">
        <v>9</v>
      </c>
      <c r="E1745" t="s">
        <v>54</v>
      </c>
      <c r="F1745" t="s">
        <v>28</v>
      </c>
      <c r="G1745">
        <v>30</v>
      </c>
      <c r="H1745" t="s">
        <v>20</v>
      </c>
      <c r="I1745">
        <v>71.349999999999994</v>
      </c>
      <c r="J1745">
        <v>100.25</v>
      </c>
      <c r="K1745">
        <v>145.63999999999999</v>
      </c>
      <c r="L1745">
        <v>1.36</v>
      </c>
      <c r="M1745">
        <v>317.24</v>
      </c>
      <c r="N1745">
        <v>318.60000000000002</v>
      </c>
    </row>
    <row r="1746" spans="1:14" x14ac:dyDescent="0.3">
      <c r="A1746" s="2">
        <v>44440</v>
      </c>
      <c r="B1746" t="s">
        <v>69</v>
      </c>
      <c r="C1746">
        <v>2021</v>
      </c>
      <c r="D1746">
        <v>9</v>
      </c>
      <c r="E1746" t="s">
        <v>54</v>
      </c>
      <c r="F1746" t="s">
        <v>29</v>
      </c>
      <c r="G1746">
        <v>24</v>
      </c>
      <c r="H1746" t="s">
        <v>20</v>
      </c>
      <c r="I1746">
        <v>2044.98</v>
      </c>
      <c r="J1746">
        <v>2491.3000000000002</v>
      </c>
      <c r="K1746">
        <v>2732.34</v>
      </c>
      <c r="L1746">
        <v>511.33</v>
      </c>
      <c r="M1746">
        <v>7268.62</v>
      </c>
      <c r="N1746">
        <v>7779.95</v>
      </c>
    </row>
    <row r="1747" spans="1:14" x14ac:dyDescent="0.3">
      <c r="A1747" s="2">
        <v>44440</v>
      </c>
      <c r="B1747" t="s">
        <v>69</v>
      </c>
      <c r="C1747">
        <v>2021</v>
      </c>
      <c r="D1747">
        <v>9</v>
      </c>
      <c r="E1747" t="s">
        <v>54</v>
      </c>
      <c r="F1747" t="s">
        <v>30</v>
      </c>
      <c r="G1747">
        <v>6</v>
      </c>
      <c r="H1747" t="s">
        <v>20</v>
      </c>
      <c r="I1747">
        <v>896.25</v>
      </c>
      <c r="J1747">
        <v>1197.52</v>
      </c>
      <c r="K1747">
        <v>3078.68</v>
      </c>
      <c r="L1747">
        <v>404.64</v>
      </c>
      <c r="M1747">
        <v>5172.45</v>
      </c>
      <c r="N1747">
        <v>5577.09</v>
      </c>
    </row>
    <row r="1748" spans="1:14" x14ac:dyDescent="0.3">
      <c r="A1748" s="2">
        <v>44440</v>
      </c>
      <c r="B1748" t="s">
        <v>69</v>
      </c>
      <c r="C1748">
        <v>2021</v>
      </c>
      <c r="D1748">
        <v>9</v>
      </c>
      <c r="E1748" t="s">
        <v>54</v>
      </c>
      <c r="F1748" t="s">
        <v>31</v>
      </c>
      <c r="G1748">
        <v>2</v>
      </c>
      <c r="H1748" t="s">
        <v>20</v>
      </c>
      <c r="I1748">
        <v>108.43</v>
      </c>
      <c r="J1748">
        <v>157.13</v>
      </c>
      <c r="K1748">
        <v>413.32</v>
      </c>
      <c r="L1748">
        <v>1.04</v>
      </c>
      <c r="M1748">
        <v>678.88</v>
      </c>
      <c r="N1748">
        <v>679.92</v>
      </c>
    </row>
    <row r="1749" spans="1:14" x14ac:dyDescent="0.3">
      <c r="A1749" s="2">
        <v>44440</v>
      </c>
      <c r="B1749" t="s">
        <v>69</v>
      </c>
      <c r="C1749">
        <v>2021</v>
      </c>
      <c r="D1749">
        <v>9</v>
      </c>
      <c r="E1749" t="s">
        <v>54</v>
      </c>
      <c r="F1749" t="s">
        <v>32</v>
      </c>
      <c r="G1749">
        <v>1</v>
      </c>
      <c r="H1749" t="s">
        <v>18</v>
      </c>
      <c r="I1749">
        <v>106.98</v>
      </c>
      <c r="J1749">
        <v>162.33000000000001</v>
      </c>
      <c r="K1749">
        <v>101.08</v>
      </c>
      <c r="L1749">
        <v>6.79</v>
      </c>
      <c r="M1749">
        <v>370.39</v>
      </c>
      <c r="N1749">
        <v>377.18</v>
      </c>
    </row>
    <row r="1750" spans="1:14" x14ac:dyDescent="0.3">
      <c r="A1750" s="2">
        <v>44440</v>
      </c>
      <c r="B1750" t="s">
        <v>69</v>
      </c>
      <c r="C1750">
        <v>2021</v>
      </c>
      <c r="D1750">
        <v>9</v>
      </c>
      <c r="E1750" t="s">
        <v>54</v>
      </c>
      <c r="F1750" t="s">
        <v>33</v>
      </c>
      <c r="G1750">
        <v>20</v>
      </c>
      <c r="H1750" t="s">
        <v>20</v>
      </c>
      <c r="I1750">
        <v>349.19</v>
      </c>
      <c r="J1750">
        <v>434.86</v>
      </c>
      <c r="K1750">
        <v>1009.52</v>
      </c>
      <c r="L1750">
        <v>404.67</v>
      </c>
      <c r="M1750">
        <v>1793.57</v>
      </c>
      <c r="N1750">
        <v>2198.2399999999998</v>
      </c>
    </row>
    <row r="1751" spans="1:14" x14ac:dyDescent="0.3">
      <c r="A1751" s="2">
        <v>44440</v>
      </c>
      <c r="B1751" t="s">
        <v>69</v>
      </c>
      <c r="C1751">
        <v>2021</v>
      </c>
      <c r="D1751">
        <v>9</v>
      </c>
      <c r="E1751" t="s">
        <v>54</v>
      </c>
      <c r="F1751" t="s">
        <v>34</v>
      </c>
      <c r="G1751">
        <v>29</v>
      </c>
      <c r="H1751" t="s">
        <v>20</v>
      </c>
      <c r="I1751">
        <v>1798.44</v>
      </c>
      <c r="J1751">
        <v>2312.33</v>
      </c>
      <c r="K1751">
        <v>2712.04</v>
      </c>
      <c r="L1751">
        <v>959.89</v>
      </c>
      <c r="M1751">
        <v>6822.81</v>
      </c>
      <c r="N1751">
        <v>7782.7</v>
      </c>
    </row>
    <row r="1752" spans="1:14" x14ac:dyDescent="0.3">
      <c r="A1752" s="2">
        <v>44440</v>
      </c>
      <c r="B1752" t="s">
        <v>69</v>
      </c>
      <c r="C1752">
        <v>2021</v>
      </c>
      <c r="D1752">
        <v>9</v>
      </c>
      <c r="E1752" t="s">
        <v>54</v>
      </c>
      <c r="F1752" t="s">
        <v>35</v>
      </c>
      <c r="G1752">
        <v>32</v>
      </c>
      <c r="H1752" t="s">
        <v>20</v>
      </c>
      <c r="I1752">
        <v>574.55999999999995</v>
      </c>
      <c r="J1752">
        <v>846.11</v>
      </c>
      <c r="K1752">
        <v>339.65</v>
      </c>
      <c r="L1752">
        <v>3.65</v>
      </c>
      <c r="M1752">
        <v>1760.32</v>
      </c>
      <c r="N1752">
        <v>1763.97</v>
      </c>
    </row>
    <row r="1753" spans="1:14" x14ac:dyDescent="0.3">
      <c r="A1753" s="2">
        <v>44440</v>
      </c>
      <c r="B1753" t="s">
        <v>69</v>
      </c>
      <c r="C1753">
        <v>2021</v>
      </c>
      <c r="D1753">
        <v>9</v>
      </c>
      <c r="E1753" t="s">
        <v>54</v>
      </c>
      <c r="F1753" t="s">
        <v>67</v>
      </c>
      <c r="G1753">
        <v>37</v>
      </c>
      <c r="H1753" t="s">
        <v>18</v>
      </c>
      <c r="I1753">
        <v>5.2</v>
      </c>
      <c r="J1753">
        <v>6.81</v>
      </c>
      <c r="K1753">
        <v>3.21</v>
      </c>
      <c r="L1753">
        <v>0.01</v>
      </c>
      <c r="M1753">
        <v>15.22</v>
      </c>
      <c r="N1753">
        <v>15.23</v>
      </c>
    </row>
    <row r="1754" spans="1:14" x14ac:dyDescent="0.3">
      <c r="A1754" s="2">
        <v>44440</v>
      </c>
      <c r="B1754" t="s">
        <v>69</v>
      </c>
      <c r="C1754">
        <v>2021</v>
      </c>
      <c r="D1754">
        <v>9</v>
      </c>
      <c r="E1754" t="s">
        <v>54</v>
      </c>
      <c r="F1754" t="s">
        <v>36</v>
      </c>
      <c r="G1754">
        <v>31</v>
      </c>
      <c r="H1754" t="s">
        <v>18</v>
      </c>
      <c r="I1754">
        <v>0.16</v>
      </c>
      <c r="J1754">
        <v>0.16</v>
      </c>
      <c r="K1754">
        <v>0.02</v>
      </c>
      <c r="L1754">
        <v>0</v>
      </c>
      <c r="M1754">
        <v>0.34</v>
      </c>
      <c r="N1754">
        <v>0.34</v>
      </c>
    </row>
    <row r="1755" spans="1:14" x14ac:dyDescent="0.3">
      <c r="A1755" s="2">
        <v>44440</v>
      </c>
      <c r="B1755" t="s">
        <v>69</v>
      </c>
      <c r="C1755">
        <v>2021</v>
      </c>
      <c r="D1755">
        <v>9</v>
      </c>
      <c r="E1755" t="s">
        <v>54</v>
      </c>
      <c r="F1755" t="s">
        <v>37</v>
      </c>
      <c r="G1755">
        <v>23</v>
      </c>
      <c r="H1755" t="s">
        <v>20</v>
      </c>
      <c r="I1755">
        <v>508.41</v>
      </c>
      <c r="J1755">
        <v>682.6</v>
      </c>
      <c r="K1755">
        <v>678.57</v>
      </c>
      <c r="L1755">
        <v>459.53</v>
      </c>
      <c r="M1755">
        <v>1869.58</v>
      </c>
      <c r="N1755">
        <v>2329.11</v>
      </c>
    </row>
    <row r="1756" spans="1:14" x14ac:dyDescent="0.3">
      <c r="A1756" s="2">
        <v>44440</v>
      </c>
      <c r="B1756" t="s">
        <v>69</v>
      </c>
      <c r="C1756">
        <v>2021</v>
      </c>
      <c r="D1756">
        <v>9</v>
      </c>
      <c r="E1756" t="s">
        <v>54</v>
      </c>
      <c r="F1756" t="s">
        <v>38</v>
      </c>
      <c r="G1756">
        <v>27</v>
      </c>
      <c r="H1756" t="s">
        <v>20</v>
      </c>
      <c r="I1756">
        <v>4382.97</v>
      </c>
      <c r="J1756">
        <v>5397.04</v>
      </c>
      <c r="K1756">
        <v>5690.15</v>
      </c>
      <c r="L1756">
        <v>1114.04</v>
      </c>
      <c r="M1756">
        <v>15470.16</v>
      </c>
      <c r="N1756">
        <v>16584.2</v>
      </c>
    </row>
    <row r="1757" spans="1:14" x14ac:dyDescent="0.3">
      <c r="A1757" s="2">
        <v>44440</v>
      </c>
      <c r="B1757" t="s">
        <v>69</v>
      </c>
      <c r="C1757">
        <v>2021</v>
      </c>
      <c r="D1757">
        <v>9</v>
      </c>
      <c r="E1757" t="s">
        <v>54</v>
      </c>
      <c r="F1757" t="s">
        <v>39</v>
      </c>
      <c r="G1757">
        <v>14</v>
      </c>
      <c r="H1757" t="s">
        <v>20</v>
      </c>
      <c r="I1757">
        <v>11.86</v>
      </c>
      <c r="J1757">
        <v>17.52</v>
      </c>
      <c r="K1757">
        <v>3.32</v>
      </c>
      <c r="L1757">
        <v>0.12</v>
      </c>
      <c r="M1757">
        <v>32.700000000000003</v>
      </c>
      <c r="N1757">
        <v>32.82</v>
      </c>
    </row>
    <row r="1758" spans="1:14" x14ac:dyDescent="0.3">
      <c r="A1758" s="2">
        <v>44440</v>
      </c>
      <c r="B1758" t="s">
        <v>69</v>
      </c>
      <c r="C1758">
        <v>2021</v>
      </c>
      <c r="D1758">
        <v>9</v>
      </c>
      <c r="E1758" t="s">
        <v>54</v>
      </c>
      <c r="F1758" t="s">
        <v>40</v>
      </c>
      <c r="G1758">
        <v>17</v>
      </c>
      <c r="H1758" t="s">
        <v>20</v>
      </c>
      <c r="I1758">
        <v>22.62</v>
      </c>
      <c r="J1758">
        <v>29.24</v>
      </c>
      <c r="K1758">
        <v>67.53</v>
      </c>
      <c r="L1758">
        <v>0.14000000000000001</v>
      </c>
      <c r="M1758">
        <v>119.39</v>
      </c>
      <c r="N1758">
        <v>119.53</v>
      </c>
    </row>
    <row r="1759" spans="1:14" x14ac:dyDescent="0.3">
      <c r="A1759" s="2">
        <v>44440</v>
      </c>
      <c r="B1759" t="s">
        <v>69</v>
      </c>
      <c r="C1759">
        <v>2021</v>
      </c>
      <c r="D1759">
        <v>9</v>
      </c>
      <c r="E1759" t="s">
        <v>54</v>
      </c>
      <c r="F1759" t="s">
        <v>41</v>
      </c>
      <c r="G1759">
        <v>15</v>
      </c>
      <c r="H1759" t="s">
        <v>20</v>
      </c>
      <c r="I1759">
        <v>7.5</v>
      </c>
      <c r="J1759">
        <v>10.91</v>
      </c>
      <c r="K1759">
        <v>1.1100000000000001</v>
      </c>
      <c r="L1759">
        <v>0.05</v>
      </c>
      <c r="M1759">
        <v>19.52</v>
      </c>
      <c r="N1759">
        <v>19.57</v>
      </c>
    </row>
    <row r="1760" spans="1:14" x14ac:dyDescent="0.3">
      <c r="A1760" s="2">
        <v>44440</v>
      </c>
      <c r="B1760" t="s">
        <v>69</v>
      </c>
      <c r="C1760">
        <v>2021</v>
      </c>
      <c r="D1760">
        <v>9</v>
      </c>
      <c r="E1760" t="s">
        <v>54</v>
      </c>
      <c r="F1760" t="s">
        <v>42</v>
      </c>
      <c r="G1760">
        <v>13</v>
      </c>
      <c r="H1760" t="s">
        <v>20</v>
      </c>
      <c r="I1760">
        <v>9.98</v>
      </c>
      <c r="J1760">
        <v>13.37</v>
      </c>
      <c r="K1760">
        <v>6.65</v>
      </c>
      <c r="L1760">
        <v>0.48</v>
      </c>
      <c r="M1760">
        <v>30</v>
      </c>
      <c r="N1760">
        <v>30.48</v>
      </c>
    </row>
    <row r="1761" spans="1:14" x14ac:dyDescent="0.3">
      <c r="A1761" s="2">
        <v>44440</v>
      </c>
      <c r="B1761" t="s">
        <v>69</v>
      </c>
      <c r="C1761">
        <v>2021</v>
      </c>
      <c r="D1761">
        <v>9</v>
      </c>
      <c r="E1761" t="s">
        <v>54</v>
      </c>
      <c r="F1761" t="s">
        <v>43</v>
      </c>
      <c r="G1761">
        <v>21</v>
      </c>
      <c r="H1761" t="s">
        <v>20</v>
      </c>
      <c r="I1761">
        <v>772.93</v>
      </c>
      <c r="J1761">
        <v>929.68</v>
      </c>
      <c r="K1761">
        <v>996.48</v>
      </c>
      <c r="L1761">
        <v>626.85</v>
      </c>
      <c r="M1761">
        <v>2699.09</v>
      </c>
      <c r="N1761">
        <v>3325.94</v>
      </c>
    </row>
    <row r="1762" spans="1:14" x14ac:dyDescent="0.3">
      <c r="A1762" s="2">
        <v>44440</v>
      </c>
      <c r="B1762" t="s">
        <v>69</v>
      </c>
      <c r="C1762">
        <v>2021</v>
      </c>
      <c r="D1762">
        <v>9</v>
      </c>
      <c r="E1762" t="s">
        <v>54</v>
      </c>
      <c r="F1762" t="s">
        <v>44</v>
      </c>
      <c r="G1762">
        <v>34</v>
      </c>
      <c r="H1762" t="s">
        <v>18</v>
      </c>
      <c r="I1762">
        <v>18.68</v>
      </c>
      <c r="J1762">
        <v>31.37</v>
      </c>
      <c r="K1762">
        <v>109.62</v>
      </c>
      <c r="L1762">
        <v>0.45</v>
      </c>
      <c r="M1762">
        <v>159.66999999999999</v>
      </c>
      <c r="N1762">
        <v>160.12</v>
      </c>
    </row>
    <row r="1763" spans="1:14" x14ac:dyDescent="0.3">
      <c r="A1763" s="2">
        <v>44440</v>
      </c>
      <c r="B1763" t="s">
        <v>69</v>
      </c>
      <c r="C1763">
        <v>2021</v>
      </c>
      <c r="D1763">
        <v>9</v>
      </c>
      <c r="E1763" t="s">
        <v>54</v>
      </c>
      <c r="F1763" t="s">
        <v>45</v>
      </c>
      <c r="G1763">
        <v>3</v>
      </c>
      <c r="H1763" t="s">
        <v>20</v>
      </c>
      <c r="I1763">
        <v>338.76</v>
      </c>
      <c r="J1763">
        <v>518.5</v>
      </c>
      <c r="K1763">
        <v>526.24</v>
      </c>
      <c r="L1763">
        <v>18.66</v>
      </c>
      <c r="M1763">
        <v>1383.5</v>
      </c>
      <c r="N1763">
        <v>1402.16</v>
      </c>
    </row>
    <row r="1764" spans="1:14" x14ac:dyDescent="0.3">
      <c r="A1764" s="2">
        <v>44440</v>
      </c>
      <c r="B1764" t="s">
        <v>69</v>
      </c>
      <c r="C1764">
        <v>2021</v>
      </c>
      <c r="D1764">
        <v>9</v>
      </c>
      <c r="E1764" t="s">
        <v>54</v>
      </c>
      <c r="F1764" t="s">
        <v>46</v>
      </c>
      <c r="G1764">
        <v>8</v>
      </c>
      <c r="H1764" t="s">
        <v>20</v>
      </c>
      <c r="I1764">
        <v>739.56</v>
      </c>
      <c r="J1764">
        <v>987.22</v>
      </c>
      <c r="K1764">
        <v>1070.8900000000001</v>
      </c>
      <c r="L1764">
        <v>161.09</v>
      </c>
      <c r="M1764">
        <v>2797.67</v>
      </c>
      <c r="N1764">
        <v>2958.76</v>
      </c>
    </row>
    <row r="1765" spans="1:14" x14ac:dyDescent="0.3">
      <c r="A1765" s="2">
        <v>44440</v>
      </c>
      <c r="B1765" t="s">
        <v>69</v>
      </c>
      <c r="C1765">
        <v>2021</v>
      </c>
      <c r="D1765">
        <v>9</v>
      </c>
      <c r="E1765" t="s">
        <v>54</v>
      </c>
      <c r="F1765" t="s">
        <v>47</v>
      </c>
      <c r="G1765">
        <v>11</v>
      </c>
      <c r="H1765" t="s">
        <v>20</v>
      </c>
      <c r="I1765">
        <v>14.99</v>
      </c>
      <c r="J1765">
        <v>20.07</v>
      </c>
      <c r="K1765">
        <v>224.97</v>
      </c>
      <c r="L1765">
        <v>0.01</v>
      </c>
      <c r="M1765">
        <v>260.02999999999997</v>
      </c>
      <c r="N1765">
        <v>260.04000000000002</v>
      </c>
    </row>
    <row r="1766" spans="1:14" x14ac:dyDescent="0.3">
      <c r="A1766" s="2">
        <v>44440</v>
      </c>
      <c r="B1766" t="s">
        <v>69</v>
      </c>
      <c r="C1766">
        <v>2021</v>
      </c>
      <c r="D1766">
        <v>9</v>
      </c>
      <c r="E1766" t="s">
        <v>54</v>
      </c>
      <c r="F1766" t="s">
        <v>48</v>
      </c>
      <c r="G1766">
        <v>33</v>
      </c>
      <c r="H1766" t="s">
        <v>20</v>
      </c>
      <c r="I1766">
        <v>1903.14</v>
      </c>
      <c r="J1766">
        <v>2604.4699999999998</v>
      </c>
      <c r="K1766">
        <v>2568.17</v>
      </c>
      <c r="L1766">
        <v>765.85</v>
      </c>
      <c r="M1766">
        <v>7075.78</v>
      </c>
      <c r="N1766">
        <v>7841.63</v>
      </c>
    </row>
    <row r="1767" spans="1:14" x14ac:dyDescent="0.3">
      <c r="A1767" s="2">
        <v>44440</v>
      </c>
      <c r="B1767" t="s">
        <v>69</v>
      </c>
      <c r="C1767">
        <v>2021</v>
      </c>
      <c r="D1767">
        <v>9</v>
      </c>
      <c r="E1767" t="s">
        <v>54</v>
      </c>
      <c r="F1767" t="s">
        <v>49</v>
      </c>
      <c r="G1767">
        <v>36</v>
      </c>
      <c r="H1767" t="s">
        <v>20</v>
      </c>
      <c r="I1767">
        <v>876.99</v>
      </c>
      <c r="J1767">
        <v>1170.3399999999999</v>
      </c>
      <c r="K1767">
        <v>967.76</v>
      </c>
      <c r="L1767">
        <v>478.48</v>
      </c>
      <c r="M1767">
        <v>3015.09</v>
      </c>
      <c r="N1767">
        <v>3493.57</v>
      </c>
    </row>
    <row r="1768" spans="1:14" x14ac:dyDescent="0.3">
      <c r="A1768" s="2">
        <v>44440</v>
      </c>
      <c r="B1768" t="s">
        <v>69</v>
      </c>
      <c r="C1768">
        <v>2021</v>
      </c>
      <c r="D1768">
        <v>9</v>
      </c>
      <c r="E1768" t="s">
        <v>54</v>
      </c>
      <c r="F1768" t="s">
        <v>50</v>
      </c>
      <c r="G1768">
        <v>16</v>
      </c>
      <c r="H1768" t="s">
        <v>20</v>
      </c>
      <c r="I1768">
        <v>18.440000000000001</v>
      </c>
      <c r="J1768">
        <v>25.89</v>
      </c>
      <c r="K1768">
        <v>5.64</v>
      </c>
      <c r="L1768">
        <v>0.16</v>
      </c>
      <c r="M1768">
        <v>49.97</v>
      </c>
      <c r="N1768">
        <v>50.13</v>
      </c>
    </row>
    <row r="1769" spans="1:14" x14ac:dyDescent="0.3">
      <c r="A1769" s="2">
        <v>44440</v>
      </c>
      <c r="B1769" t="s">
        <v>69</v>
      </c>
      <c r="C1769">
        <v>2021</v>
      </c>
      <c r="D1769">
        <v>9</v>
      </c>
      <c r="E1769" t="s">
        <v>54</v>
      </c>
      <c r="F1769" t="s">
        <v>51</v>
      </c>
      <c r="G1769">
        <v>9</v>
      </c>
      <c r="H1769" t="s">
        <v>20</v>
      </c>
      <c r="I1769">
        <v>1290.71</v>
      </c>
      <c r="J1769">
        <v>1826.51</v>
      </c>
      <c r="K1769">
        <v>1524.47</v>
      </c>
      <c r="L1769">
        <v>1050.0899999999999</v>
      </c>
      <c r="M1769">
        <v>4641.6899999999996</v>
      </c>
      <c r="N1769">
        <v>5691.78</v>
      </c>
    </row>
    <row r="1770" spans="1:14" x14ac:dyDescent="0.3">
      <c r="A1770" s="2">
        <v>44440</v>
      </c>
      <c r="B1770" t="s">
        <v>69</v>
      </c>
      <c r="C1770">
        <v>2021</v>
      </c>
      <c r="D1770">
        <v>9</v>
      </c>
      <c r="E1770" t="s">
        <v>54</v>
      </c>
      <c r="F1770" t="s">
        <v>52</v>
      </c>
      <c r="G1770">
        <v>5</v>
      </c>
      <c r="H1770" t="s">
        <v>20</v>
      </c>
      <c r="I1770">
        <v>211.78</v>
      </c>
      <c r="J1770">
        <v>288.42</v>
      </c>
      <c r="K1770">
        <v>626.13</v>
      </c>
      <c r="L1770">
        <v>4.33</v>
      </c>
      <c r="M1770">
        <v>1126.33</v>
      </c>
      <c r="N1770">
        <v>1130.6600000000001</v>
      </c>
    </row>
    <row r="1771" spans="1:14" x14ac:dyDescent="0.3">
      <c r="A1771" s="2">
        <v>44440</v>
      </c>
      <c r="B1771" t="s">
        <v>69</v>
      </c>
      <c r="C1771">
        <v>2021</v>
      </c>
      <c r="D1771">
        <v>9</v>
      </c>
      <c r="E1771" t="s">
        <v>54</v>
      </c>
      <c r="F1771" t="s">
        <v>53</v>
      </c>
      <c r="G1771">
        <v>19</v>
      </c>
      <c r="H1771" t="s">
        <v>20</v>
      </c>
      <c r="I1771">
        <v>1126.1300000000001</v>
      </c>
      <c r="J1771">
        <v>1412.85</v>
      </c>
      <c r="K1771">
        <v>1007.64</v>
      </c>
      <c r="L1771">
        <v>231.67</v>
      </c>
      <c r="M1771">
        <v>3546.62</v>
      </c>
      <c r="N1771">
        <v>3778.29</v>
      </c>
    </row>
    <row r="1772" spans="1:14" x14ac:dyDescent="0.3">
      <c r="A1772" s="2">
        <v>44470</v>
      </c>
      <c r="B1772" t="s">
        <v>69</v>
      </c>
      <c r="C1772">
        <v>2021</v>
      </c>
      <c r="D1772">
        <v>10</v>
      </c>
      <c r="E1772" t="s">
        <v>55</v>
      </c>
      <c r="F1772" t="s">
        <v>17</v>
      </c>
      <c r="G1772">
        <v>35</v>
      </c>
      <c r="H1772" t="s">
        <v>18</v>
      </c>
      <c r="I1772">
        <v>6.87</v>
      </c>
      <c r="J1772">
        <v>11.69</v>
      </c>
      <c r="K1772">
        <v>7.31</v>
      </c>
      <c r="L1772">
        <v>0</v>
      </c>
      <c r="M1772">
        <v>25.87</v>
      </c>
      <c r="N1772">
        <v>25.87</v>
      </c>
    </row>
    <row r="1773" spans="1:14" x14ac:dyDescent="0.3">
      <c r="A1773" s="2">
        <v>44470</v>
      </c>
      <c r="B1773" t="s">
        <v>69</v>
      </c>
      <c r="C1773">
        <v>2021</v>
      </c>
      <c r="D1773">
        <v>10</v>
      </c>
      <c r="E1773" t="s">
        <v>55</v>
      </c>
      <c r="F1773" t="s">
        <v>19</v>
      </c>
      <c r="G1773">
        <v>28</v>
      </c>
      <c r="H1773" t="s">
        <v>20</v>
      </c>
      <c r="I1773">
        <v>742.39</v>
      </c>
      <c r="J1773">
        <v>983.57</v>
      </c>
      <c r="K1773">
        <v>957.26</v>
      </c>
      <c r="L1773">
        <v>195.78</v>
      </c>
      <c r="M1773">
        <v>2683.22</v>
      </c>
      <c r="N1773">
        <v>2879</v>
      </c>
    </row>
    <row r="1774" spans="1:14" x14ac:dyDescent="0.3">
      <c r="A1774" s="2">
        <v>44470</v>
      </c>
      <c r="B1774" t="s">
        <v>69</v>
      </c>
      <c r="C1774">
        <v>2021</v>
      </c>
      <c r="D1774">
        <v>10</v>
      </c>
      <c r="E1774" t="s">
        <v>55</v>
      </c>
      <c r="F1774" t="s">
        <v>21</v>
      </c>
      <c r="G1774">
        <v>12</v>
      </c>
      <c r="H1774" t="s">
        <v>20</v>
      </c>
      <c r="I1774">
        <v>16.12</v>
      </c>
      <c r="J1774">
        <v>23.25</v>
      </c>
      <c r="K1774">
        <v>6.95</v>
      </c>
      <c r="L1774">
        <v>0.21</v>
      </c>
      <c r="M1774">
        <v>46.32</v>
      </c>
      <c r="N1774">
        <v>46.53</v>
      </c>
    </row>
    <row r="1775" spans="1:14" x14ac:dyDescent="0.3">
      <c r="A1775" s="2">
        <v>44470</v>
      </c>
      <c r="B1775" t="s">
        <v>69</v>
      </c>
      <c r="C1775">
        <v>2021</v>
      </c>
      <c r="D1775">
        <v>10</v>
      </c>
      <c r="E1775" t="s">
        <v>55</v>
      </c>
      <c r="F1775" t="s">
        <v>22</v>
      </c>
      <c r="G1775">
        <v>18</v>
      </c>
      <c r="H1775" t="s">
        <v>20</v>
      </c>
      <c r="I1775">
        <v>496.23</v>
      </c>
      <c r="J1775">
        <v>590.72</v>
      </c>
      <c r="K1775">
        <v>304.33999999999997</v>
      </c>
      <c r="L1775">
        <v>33.979999999999997</v>
      </c>
      <c r="M1775">
        <v>1391.29</v>
      </c>
      <c r="N1775">
        <v>1425.27</v>
      </c>
    </row>
    <row r="1776" spans="1:14" x14ac:dyDescent="0.3">
      <c r="A1776" s="2">
        <v>44470</v>
      </c>
      <c r="B1776" t="s">
        <v>69</v>
      </c>
      <c r="C1776">
        <v>2021</v>
      </c>
      <c r="D1776">
        <v>10</v>
      </c>
      <c r="E1776" t="s">
        <v>55</v>
      </c>
      <c r="F1776" t="s">
        <v>23</v>
      </c>
      <c r="G1776">
        <v>10</v>
      </c>
      <c r="H1776" t="s">
        <v>20</v>
      </c>
      <c r="I1776">
        <v>444.22</v>
      </c>
      <c r="J1776">
        <v>620.4</v>
      </c>
      <c r="K1776">
        <v>138.59</v>
      </c>
      <c r="L1776">
        <v>147.88999999999999</v>
      </c>
      <c r="M1776">
        <v>1203.21</v>
      </c>
      <c r="N1776">
        <v>1351.1</v>
      </c>
    </row>
    <row r="1777" spans="1:14" x14ac:dyDescent="0.3">
      <c r="A1777" s="2">
        <v>44470</v>
      </c>
      <c r="B1777" t="s">
        <v>69</v>
      </c>
      <c r="C1777">
        <v>2021</v>
      </c>
      <c r="D1777">
        <v>10</v>
      </c>
      <c r="E1777" t="s">
        <v>55</v>
      </c>
      <c r="F1777" t="s">
        <v>24</v>
      </c>
      <c r="G1777">
        <v>4</v>
      </c>
      <c r="H1777" t="s">
        <v>18</v>
      </c>
      <c r="I1777">
        <v>28.46</v>
      </c>
      <c r="J1777">
        <v>38.619999999999997</v>
      </c>
      <c r="K1777">
        <v>89.38</v>
      </c>
      <c r="L1777">
        <v>1.34</v>
      </c>
      <c r="M1777">
        <v>156.46</v>
      </c>
      <c r="N1777">
        <v>157.80000000000001</v>
      </c>
    </row>
    <row r="1778" spans="1:14" x14ac:dyDescent="0.3">
      <c r="A1778" s="2">
        <v>44470</v>
      </c>
      <c r="B1778" t="s">
        <v>69</v>
      </c>
      <c r="C1778">
        <v>2021</v>
      </c>
      <c r="D1778">
        <v>10</v>
      </c>
      <c r="E1778" t="s">
        <v>55</v>
      </c>
      <c r="F1778" t="s">
        <v>25</v>
      </c>
      <c r="G1778">
        <v>22</v>
      </c>
      <c r="H1778" t="s">
        <v>20</v>
      </c>
      <c r="I1778">
        <v>519.04999999999995</v>
      </c>
      <c r="J1778">
        <v>600.91</v>
      </c>
      <c r="K1778">
        <v>808.93</v>
      </c>
      <c r="L1778">
        <v>463.56</v>
      </c>
      <c r="M1778">
        <v>1928.89</v>
      </c>
      <c r="N1778">
        <v>2392.4499999999998</v>
      </c>
    </row>
    <row r="1779" spans="1:14" x14ac:dyDescent="0.3">
      <c r="A1779" s="2">
        <v>44470</v>
      </c>
      <c r="B1779" t="s">
        <v>69</v>
      </c>
      <c r="C1779">
        <v>2021</v>
      </c>
      <c r="D1779">
        <v>10</v>
      </c>
      <c r="E1779" t="s">
        <v>55</v>
      </c>
      <c r="F1779" t="s">
        <v>26</v>
      </c>
      <c r="G1779">
        <v>38</v>
      </c>
      <c r="H1779" t="s">
        <v>18</v>
      </c>
      <c r="I1779">
        <v>33.54</v>
      </c>
      <c r="J1779">
        <v>48.49</v>
      </c>
      <c r="K1779">
        <v>186.57</v>
      </c>
      <c r="L1779">
        <v>7.0000000000000007E-2</v>
      </c>
      <c r="M1779">
        <v>268.60000000000002</v>
      </c>
      <c r="N1779">
        <v>268.67</v>
      </c>
    </row>
    <row r="1780" spans="1:14" x14ac:dyDescent="0.3">
      <c r="A1780" s="2">
        <v>44470</v>
      </c>
      <c r="B1780" t="s">
        <v>69</v>
      </c>
      <c r="C1780">
        <v>2021</v>
      </c>
      <c r="D1780">
        <v>10</v>
      </c>
      <c r="E1780" t="s">
        <v>55</v>
      </c>
      <c r="F1780" t="s">
        <v>27</v>
      </c>
      <c r="G1780">
        <v>7</v>
      </c>
      <c r="H1780" t="s">
        <v>18</v>
      </c>
      <c r="I1780">
        <v>835.68</v>
      </c>
      <c r="J1780">
        <v>1012.64</v>
      </c>
      <c r="K1780">
        <v>2106.29</v>
      </c>
      <c r="L1780">
        <v>90.17</v>
      </c>
      <c r="M1780">
        <v>3954.61</v>
      </c>
      <c r="N1780">
        <v>4044.78</v>
      </c>
    </row>
    <row r="1781" spans="1:14" x14ac:dyDescent="0.3">
      <c r="A1781" s="2">
        <v>44470</v>
      </c>
      <c r="B1781" t="s">
        <v>69</v>
      </c>
      <c r="C1781">
        <v>2021</v>
      </c>
      <c r="D1781">
        <v>10</v>
      </c>
      <c r="E1781" t="s">
        <v>55</v>
      </c>
      <c r="F1781" t="s">
        <v>28</v>
      </c>
      <c r="G1781">
        <v>30</v>
      </c>
      <c r="H1781" t="s">
        <v>20</v>
      </c>
      <c r="I1781">
        <v>80.459999999999994</v>
      </c>
      <c r="J1781">
        <v>109.14</v>
      </c>
      <c r="K1781">
        <v>125.53</v>
      </c>
      <c r="L1781">
        <v>2.31</v>
      </c>
      <c r="M1781">
        <v>315.13</v>
      </c>
      <c r="N1781">
        <v>317.44</v>
      </c>
    </row>
    <row r="1782" spans="1:14" x14ac:dyDescent="0.3">
      <c r="A1782" s="2">
        <v>44470</v>
      </c>
      <c r="B1782" t="s">
        <v>69</v>
      </c>
      <c r="C1782">
        <v>2021</v>
      </c>
      <c r="D1782">
        <v>10</v>
      </c>
      <c r="E1782" t="s">
        <v>55</v>
      </c>
      <c r="F1782" t="s">
        <v>29</v>
      </c>
      <c r="G1782">
        <v>24</v>
      </c>
      <c r="H1782" t="s">
        <v>20</v>
      </c>
      <c r="I1782">
        <v>2265.19</v>
      </c>
      <c r="J1782">
        <v>2773.34</v>
      </c>
      <c r="K1782">
        <v>2951.96</v>
      </c>
      <c r="L1782">
        <v>506.39</v>
      </c>
      <c r="M1782">
        <v>7990.49</v>
      </c>
      <c r="N1782">
        <v>8496.8799999999992</v>
      </c>
    </row>
    <row r="1783" spans="1:14" x14ac:dyDescent="0.3">
      <c r="A1783" s="2">
        <v>44470</v>
      </c>
      <c r="B1783" t="s">
        <v>69</v>
      </c>
      <c r="C1783">
        <v>2021</v>
      </c>
      <c r="D1783">
        <v>10</v>
      </c>
      <c r="E1783" t="s">
        <v>55</v>
      </c>
      <c r="F1783" t="s">
        <v>30</v>
      </c>
      <c r="G1783">
        <v>6</v>
      </c>
      <c r="H1783" t="s">
        <v>20</v>
      </c>
      <c r="I1783">
        <v>954.53</v>
      </c>
      <c r="J1783">
        <v>1229.02</v>
      </c>
      <c r="K1783">
        <v>3102.35</v>
      </c>
      <c r="L1783">
        <v>319.61</v>
      </c>
      <c r="M1783">
        <v>5285.9</v>
      </c>
      <c r="N1783">
        <v>5605.51</v>
      </c>
    </row>
    <row r="1784" spans="1:14" x14ac:dyDescent="0.3">
      <c r="A1784" s="2">
        <v>44470</v>
      </c>
      <c r="B1784" t="s">
        <v>69</v>
      </c>
      <c r="C1784">
        <v>2021</v>
      </c>
      <c r="D1784">
        <v>10</v>
      </c>
      <c r="E1784" t="s">
        <v>55</v>
      </c>
      <c r="F1784" t="s">
        <v>31</v>
      </c>
      <c r="G1784">
        <v>2</v>
      </c>
      <c r="H1784" t="s">
        <v>20</v>
      </c>
      <c r="I1784">
        <v>110.72</v>
      </c>
      <c r="J1784">
        <v>159.76</v>
      </c>
      <c r="K1784">
        <v>417.79</v>
      </c>
      <c r="L1784">
        <v>1.1599999999999999</v>
      </c>
      <c r="M1784">
        <v>688.27</v>
      </c>
      <c r="N1784">
        <v>689.43</v>
      </c>
    </row>
    <row r="1785" spans="1:14" x14ac:dyDescent="0.3">
      <c r="A1785" s="2">
        <v>44470</v>
      </c>
      <c r="B1785" t="s">
        <v>69</v>
      </c>
      <c r="C1785">
        <v>2021</v>
      </c>
      <c r="D1785">
        <v>10</v>
      </c>
      <c r="E1785" t="s">
        <v>55</v>
      </c>
      <c r="F1785" t="s">
        <v>32</v>
      </c>
      <c r="G1785">
        <v>1</v>
      </c>
      <c r="H1785" t="s">
        <v>18</v>
      </c>
      <c r="I1785">
        <v>240.44</v>
      </c>
      <c r="J1785">
        <v>298.35000000000002</v>
      </c>
      <c r="K1785">
        <v>104.66</v>
      </c>
      <c r="L1785">
        <v>4.8899999999999997</v>
      </c>
      <c r="M1785">
        <v>643.45000000000005</v>
      </c>
      <c r="N1785">
        <v>648.34</v>
      </c>
    </row>
    <row r="1786" spans="1:14" x14ac:dyDescent="0.3">
      <c r="A1786" s="2">
        <v>44470</v>
      </c>
      <c r="B1786" t="s">
        <v>69</v>
      </c>
      <c r="C1786">
        <v>2021</v>
      </c>
      <c r="D1786">
        <v>10</v>
      </c>
      <c r="E1786" t="s">
        <v>55</v>
      </c>
      <c r="F1786" t="s">
        <v>33</v>
      </c>
      <c r="G1786">
        <v>20</v>
      </c>
      <c r="H1786" t="s">
        <v>20</v>
      </c>
      <c r="I1786">
        <v>450.28</v>
      </c>
      <c r="J1786">
        <v>511.68</v>
      </c>
      <c r="K1786">
        <v>998.42</v>
      </c>
      <c r="L1786">
        <v>409.18</v>
      </c>
      <c r="M1786">
        <v>1960.38</v>
      </c>
      <c r="N1786">
        <v>2369.56</v>
      </c>
    </row>
    <row r="1787" spans="1:14" x14ac:dyDescent="0.3">
      <c r="A1787" s="2">
        <v>44470</v>
      </c>
      <c r="B1787" t="s">
        <v>69</v>
      </c>
      <c r="C1787">
        <v>2021</v>
      </c>
      <c r="D1787">
        <v>10</v>
      </c>
      <c r="E1787" t="s">
        <v>55</v>
      </c>
      <c r="F1787" t="s">
        <v>34</v>
      </c>
      <c r="G1787">
        <v>29</v>
      </c>
      <c r="H1787" t="s">
        <v>20</v>
      </c>
      <c r="I1787">
        <v>1890.91</v>
      </c>
      <c r="J1787">
        <v>2449.91</v>
      </c>
      <c r="K1787">
        <v>3041.36</v>
      </c>
      <c r="L1787">
        <v>876.67</v>
      </c>
      <c r="M1787">
        <v>7382.18</v>
      </c>
      <c r="N1787">
        <v>8258.85</v>
      </c>
    </row>
    <row r="1788" spans="1:14" x14ac:dyDescent="0.3">
      <c r="A1788" s="2">
        <v>44470</v>
      </c>
      <c r="B1788" t="s">
        <v>69</v>
      </c>
      <c r="C1788">
        <v>2021</v>
      </c>
      <c r="D1788">
        <v>10</v>
      </c>
      <c r="E1788" t="s">
        <v>55</v>
      </c>
      <c r="F1788" t="s">
        <v>35</v>
      </c>
      <c r="G1788">
        <v>32</v>
      </c>
      <c r="H1788" t="s">
        <v>20</v>
      </c>
      <c r="I1788">
        <v>631.30999999999995</v>
      </c>
      <c r="J1788">
        <v>916.14</v>
      </c>
      <c r="K1788">
        <v>375.35</v>
      </c>
      <c r="L1788">
        <v>8.91</v>
      </c>
      <c r="M1788">
        <v>1922.8</v>
      </c>
      <c r="N1788">
        <v>1931.71</v>
      </c>
    </row>
    <row r="1789" spans="1:14" x14ac:dyDescent="0.3">
      <c r="A1789" s="2">
        <v>44470</v>
      </c>
      <c r="B1789" t="s">
        <v>69</v>
      </c>
      <c r="C1789">
        <v>2021</v>
      </c>
      <c r="D1789">
        <v>10</v>
      </c>
      <c r="E1789" t="s">
        <v>55</v>
      </c>
      <c r="F1789" t="s">
        <v>67</v>
      </c>
      <c r="G1789">
        <v>37</v>
      </c>
      <c r="H1789" t="s">
        <v>18</v>
      </c>
      <c r="I1789">
        <v>6.55</v>
      </c>
      <c r="J1789">
        <v>9.15</v>
      </c>
      <c r="K1789">
        <v>3.5</v>
      </c>
      <c r="L1789">
        <v>0</v>
      </c>
      <c r="M1789">
        <v>19.2</v>
      </c>
      <c r="N1789">
        <v>19.2</v>
      </c>
    </row>
    <row r="1790" spans="1:14" x14ac:dyDescent="0.3">
      <c r="A1790" s="2">
        <v>44470</v>
      </c>
      <c r="B1790" t="s">
        <v>69</v>
      </c>
      <c r="C1790">
        <v>2021</v>
      </c>
      <c r="D1790">
        <v>10</v>
      </c>
      <c r="E1790" t="s">
        <v>55</v>
      </c>
      <c r="F1790" t="s">
        <v>36</v>
      </c>
      <c r="G1790">
        <v>31</v>
      </c>
      <c r="H1790" t="s">
        <v>18</v>
      </c>
      <c r="I1790">
        <v>0.98</v>
      </c>
      <c r="J1790">
        <v>1</v>
      </c>
      <c r="K1790">
        <v>0.09</v>
      </c>
      <c r="L1790">
        <v>0</v>
      </c>
      <c r="M1790">
        <v>2.0699999999999998</v>
      </c>
      <c r="N1790">
        <v>2.0699999999999998</v>
      </c>
    </row>
    <row r="1791" spans="1:14" x14ac:dyDescent="0.3">
      <c r="A1791" s="2">
        <v>44470</v>
      </c>
      <c r="B1791" t="s">
        <v>69</v>
      </c>
      <c r="C1791">
        <v>2021</v>
      </c>
      <c r="D1791">
        <v>10</v>
      </c>
      <c r="E1791" t="s">
        <v>55</v>
      </c>
      <c r="F1791" t="s">
        <v>37</v>
      </c>
      <c r="G1791">
        <v>23</v>
      </c>
      <c r="H1791" t="s">
        <v>20</v>
      </c>
      <c r="I1791">
        <v>654.01</v>
      </c>
      <c r="J1791">
        <v>817.46</v>
      </c>
      <c r="K1791">
        <v>714.88</v>
      </c>
      <c r="L1791">
        <v>479.27</v>
      </c>
      <c r="M1791">
        <v>2186.35</v>
      </c>
      <c r="N1791">
        <v>2665.62</v>
      </c>
    </row>
    <row r="1792" spans="1:14" x14ac:dyDescent="0.3">
      <c r="A1792" s="2">
        <v>44470</v>
      </c>
      <c r="B1792" t="s">
        <v>69</v>
      </c>
      <c r="C1792">
        <v>2021</v>
      </c>
      <c r="D1792">
        <v>10</v>
      </c>
      <c r="E1792" t="s">
        <v>55</v>
      </c>
      <c r="F1792" t="s">
        <v>38</v>
      </c>
      <c r="G1792">
        <v>27</v>
      </c>
      <c r="H1792" t="s">
        <v>20</v>
      </c>
      <c r="I1792">
        <v>4981.68</v>
      </c>
      <c r="J1792">
        <v>6058.63</v>
      </c>
      <c r="K1792">
        <v>7298.97</v>
      </c>
      <c r="L1792">
        <v>1015.63</v>
      </c>
      <c r="M1792">
        <v>18339.28</v>
      </c>
      <c r="N1792">
        <v>19354.91</v>
      </c>
    </row>
    <row r="1793" spans="1:14" x14ac:dyDescent="0.3">
      <c r="A1793" s="2">
        <v>44470</v>
      </c>
      <c r="B1793" t="s">
        <v>69</v>
      </c>
      <c r="C1793">
        <v>2021</v>
      </c>
      <c r="D1793">
        <v>10</v>
      </c>
      <c r="E1793" t="s">
        <v>55</v>
      </c>
      <c r="F1793" t="s">
        <v>39</v>
      </c>
      <c r="G1793">
        <v>14</v>
      </c>
      <c r="H1793" t="s">
        <v>20</v>
      </c>
      <c r="I1793">
        <v>27.23</v>
      </c>
      <c r="J1793">
        <v>32.93</v>
      </c>
      <c r="K1793">
        <v>4.0199999999999996</v>
      </c>
      <c r="L1793">
        <v>0.06</v>
      </c>
      <c r="M1793">
        <v>64.180000000000007</v>
      </c>
      <c r="N1793">
        <v>64.239999999999995</v>
      </c>
    </row>
    <row r="1794" spans="1:14" x14ac:dyDescent="0.3">
      <c r="A1794" s="2">
        <v>44470</v>
      </c>
      <c r="B1794" t="s">
        <v>69</v>
      </c>
      <c r="C1794">
        <v>2021</v>
      </c>
      <c r="D1794">
        <v>10</v>
      </c>
      <c r="E1794" t="s">
        <v>55</v>
      </c>
      <c r="F1794" t="s">
        <v>40</v>
      </c>
      <c r="G1794">
        <v>17</v>
      </c>
      <c r="H1794" t="s">
        <v>20</v>
      </c>
      <c r="I1794">
        <v>23.58</v>
      </c>
      <c r="J1794">
        <v>27.08</v>
      </c>
      <c r="K1794">
        <v>89.3</v>
      </c>
      <c r="L1794">
        <v>0.24</v>
      </c>
      <c r="M1794">
        <v>139.96</v>
      </c>
      <c r="N1794">
        <v>140.19999999999999</v>
      </c>
    </row>
    <row r="1795" spans="1:14" x14ac:dyDescent="0.3">
      <c r="A1795" s="2">
        <v>44470</v>
      </c>
      <c r="B1795" t="s">
        <v>69</v>
      </c>
      <c r="C1795">
        <v>2021</v>
      </c>
      <c r="D1795">
        <v>10</v>
      </c>
      <c r="E1795" t="s">
        <v>55</v>
      </c>
      <c r="F1795" t="s">
        <v>41</v>
      </c>
      <c r="G1795">
        <v>15</v>
      </c>
      <c r="H1795" t="s">
        <v>20</v>
      </c>
      <c r="I1795">
        <v>12.52</v>
      </c>
      <c r="J1795">
        <v>15.97</v>
      </c>
      <c r="K1795">
        <v>3.31</v>
      </c>
      <c r="L1795">
        <v>0.04</v>
      </c>
      <c r="M1795">
        <v>31.8</v>
      </c>
      <c r="N1795">
        <v>31.84</v>
      </c>
    </row>
    <row r="1796" spans="1:14" x14ac:dyDescent="0.3">
      <c r="A1796" s="2">
        <v>44470</v>
      </c>
      <c r="B1796" t="s">
        <v>69</v>
      </c>
      <c r="C1796">
        <v>2021</v>
      </c>
      <c r="D1796">
        <v>10</v>
      </c>
      <c r="E1796" t="s">
        <v>55</v>
      </c>
      <c r="F1796" t="s">
        <v>42</v>
      </c>
      <c r="G1796">
        <v>13</v>
      </c>
      <c r="H1796" t="s">
        <v>20</v>
      </c>
      <c r="I1796">
        <v>13.55</v>
      </c>
      <c r="J1796">
        <v>17.09</v>
      </c>
      <c r="K1796">
        <v>6.23</v>
      </c>
      <c r="L1796">
        <v>1.47</v>
      </c>
      <c r="M1796">
        <v>36.869999999999997</v>
      </c>
      <c r="N1796">
        <v>38.340000000000003</v>
      </c>
    </row>
    <row r="1797" spans="1:14" x14ac:dyDescent="0.3">
      <c r="A1797" s="2">
        <v>44470</v>
      </c>
      <c r="B1797" t="s">
        <v>69</v>
      </c>
      <c r="C1797">
        <v>2021</v>
      </c>
      <c r="D1797">
        <v>10</v>
      </c>
      <c r="E1797" t="s">
        <v>55</v>
      </c>
      <c r="F1797" t="s">
        <v>43</v>
      </c>
      <c r="G1797">
        <v>21</v>
      </c>
      <c r="H1797" t="s">
        <v>20</v>
      </c>
      <c r="I1797">
        <v>907.29</v>
      </c>
      <c r="J1797">
        <v>1053.48</v>
      </c>
      <c r="K1797">
        <v>1005.5</v>
      </c>
      <c r="L1797">
        <v>627.07000000000005</v>
      </c>
      <c r="M1797">
        <v>2966.27</v>
      </c>
      <c r="N1797">
        <v>3593.34</v>
      </c>
    </row>
    <row r="1798" spans="1:14" x14ac:dyDescent="0.3">
      <c r="A1798" s="2">
        <v>44470</v>
      </c>
      <c r="B1798" t="s">
        <v>69</v>
      </c>
      <c r="C1798">
        <v>2021</v>
      </c>
      <c r="D1798">
        <v>10</v>
      </c>
      <c r="E1798" t="s">
        <v>55</v>
      </c>
      <c r="F1798" t="s">
        <v>44</v>
      </c>
      <c r="G1798">
        <v>34</v>
      </c>
      <c r="H1798" t="s">
        <v>18</v>
      </c>
      <c r="I1798">
        <v>19.34</v>
      </c>
      <c r="J1798">
        <v>33.950000000000003</v>
      </c>
      <c r="K1798">
        <v>98.06</v>
      </c>
      <c r="L1798">
        <v>0.46</v>
      </c>
      <c r="M1798">
        <v>151.35</v>
      </c>
      <c r="N1798">
        <v>151.81</v>
      </c>
    </row>
    <row r="1799" spans="1:14" x14ac:dyDescent="0.3">
      <c r="A1799" s="2">
        <v>44470</v>
      </c>
      <c r="B1799" t="s">
        <v>69</v>
      </c>
      <c r="C1799">
        <v>2021</v>
      </c>
      <c r="D1799">
        <v>10</v>
      </c>
      <c r="E1799" t="s">
        <v>55</v>
      </c>
      <c r="F1799" t="s">
        <v>45</v>
      </c>
      <c r="G1799">
        <v>3</v>
      </c>
      <c r="H1799" t="s">
        <v>20</v>
      </c>
      <c r="I1799">
        <v>410.27</v>
      </c>
      <c r="J1799">
        <v>606.44000000000005</v>
      </c>
      <c r="K1799">
        <v>560.87</v>
      </c>
      <c r="L1799">
        <v>17.86</v>
      </c>
      <c r="M1799">
        <v>1577.58</v>
      </c>
      <c r="N1799">
        <v>1595.44</v>
      </c>
    </row>
    <row r="1800" spans="1:14" x14ac:dyDescent="0.3">
      <c r="A1800" s="2">
        <v>44470</v>
      </c>
      <c r="B1800" t="s">
        <v>69</v>
      </c>
      <c r="C1800">
        <v>2021</v>
      </c>
      <c r="D1800">
        <v>10</v>
      </c>
      <c r="E1800" t="s">
        <v>55</v>
      </c>
      <c r="F1800" t="s">
        <v>46</v>
      </c>
      <c r="G1800">
        <v>8</v>
      </c>
      <c r="H1800" t="s">
        <v>20</v>
      </c>
      <c r="I1800">
        <v>925.53</v>
      </c>
      <c r="J1800">
        <v>1212.6400000000001</v>
      </c>
      <c r="K1800">
        <v>1128.78</v>
      </c>
      <c r="L1800">
        <v>155.94</v>
      </c>
      <c r="M1800">
        <v>3266.95</v>
      </c>
      <c r="N1800">
        <v>3422.89</v>
      </c>
    </row>
    <row r="1801" spans="1:14" x14ac:dyDescent="0.3">
      <c r="A1801" s="2">
        <v>44470</v>
      </c>
      <c r="B1801" t="s">
        <v>69</v>
      </c>
      <c r="C1801">
        <v>2021</v>
      </c>
      <c r="D1801">
        <v>10</v>
      </c>
      <c r="E1801" t="s">
        <v>55</v>
      </c>
      <c r="F1801" t="s">
        <v>47</v>
      </c>
      <c r="G1801">
        <v>11</v>
      </c>
      <c r="H1801" t="s">
        <v>20</v>
      </c>
      <c r="I1801">
        <v>15.81</v>
      </c>
      <c r="J1801">
        <v>24.3</v>
      </c>
      <c r="K1801">
        <v>217.19</v>
      </c>
      <c r="L1801">
        <v>0.04</v>
      </c>
      <c r="M1801">
        <v>257.3</v>
      </c>
      <c r="N1801">
        <v>257.33999999999997</v>
      </c>
    </row>
    <row r="1802" spans="1:14" x14ac:dyDescent="0.3">
      <c r="A1802" s="2">
        <v>44470</v>
      </c>
      <c r="B1802" t="s">
        <v>69</v>
      </c>
      <c r="C1802">
        <v>2021</v>
      </c>
      <c r="D1802">
        <v>10</v>
      </c>
      <c r="E1802" t="s">
        <v>55</v>
      </c>
      <c r="F1802" t="s">
        <v>48</v>
      </c>
      <c r="G1802">
        <v>33</v>
      </c>
      <c r="H1802" t="s">
        <v>20</v>
      </c>
      <c r="I1802">
        <v>2011.24</v>
      </c>
      <c r="J1802">
        <v>2690.51</v>
      </c>
      <c r="K1802">
        <v>2376.9499999999998</v>
      </c>
      <c r="L1802">
        <v>563.67999999999995</v>
      </c>
      <c r="M1802">
        <v>7078.7</v>
      </c>
      <c r="N1802">
        <v>7642.38</v>
      </c>
    </row>
    <row r="1803" spans="1:14" x14ac:dyDescent="0.3">
      <c r="A1803" s="2">
        <v>44470</v>
      </c>
      <c r="B1803" t="s">
        <v>69</v>
      </c>
      <c r="C1803">
        <v>2021</v>
      </c>
      <c r="D1803">
        <v>10</v>
      </c>
      <c r="E1803" t="s">
        <v>55</v>
      </c>
      <c r="F1803" t="s">
        <v>49</v>
      </c>
      <c r="G1803">
        <v>36</v>
      </c>
      <c r="H1803" t="s">
        <v>20</v>
      </c>
      <c r="I1803">
        <v>928.02</v>
      </c>
      <c r="J1803">
        <v>1277.77</v>
      </c>
      <c r="K1803">
        <v>1141.98</v>
      </c>
      <c r="L1803">
        <v>506.35</v>
      </c>
      <c r="M1803">
        <v>3347.77</v>
      </c>
      <c r="N1803">
        <v>3854.12</v>
      </c>
    </row>
    <row r="1804" spans="1:14" x14ac:dyDescent="0.3">
      <c r="A1804" s="2">
        <v>44470</v>
      </c>
      <c r="B1804" t="s">
        <v>69</v>
      </c>
      <c r="C1804">
        <v>2021</v>
      </c>
      <c r="D1804">
        <v>10</v>
      </c>
      <c r="E1804" t="s">
        <v>55</v>
      </c>
      <c r="F1804" t="s">
        <v>50</v>
      </c>
      <c r="G1804">
        <v>16</v>
      </c>
      <c r="H1804" t="s">
        <v>20</v>
      </c>
      <c r="I1804">
        <v>25.77</v>
      </c>
      <c r="J1804">
        <v>33.54</v>
      </c>
      <c r="K1804">
        <v>7.49</v>
      </c>
      <c r="L1804">
        <v>0.11</v>
      </c>
      <c r="M1804">
        <v>66.8</v>
      </c>
      <c r="N1804">
        <v>66.91</v>
      </c>
    </row>
    <row r="1805" spans="1:14" x14ac:dyDescent="0.3">
      <c r="A1805" s="2">
        <v>44470</v>
      </c>
      <c r="B1805" t="s">
        <v>69</v>
      </c>
      <c r="C1805">
        <v>2021</v>
      </c>
      <c r="D1805">
        <v>10</v>
      </c>
      <c r="E1805" t="s">
        <v>55</v>
      </c>
      <c r="F1805" t="s">
        <v>51</v>
      </c>
      <c r="G1805">
        <v>9</v>
      </c>
      <c r="H1805" t="s">
        <v>20</v>
      </c>
      <c r="I1805">
        <v>1574.74</v>
      </c>
      <c r="J1805">
        <v>2114.9</v>
      </c>
      <c r="K1805">
        <v>2000.73</v>
      </c>
      <c r="L1805">
        <v>1084.31</v>
      </c>
      <c r="M1805">
        <v>5690.37</v>
      </c>
      <c r="N1805">
        <v>6774.68</v>
      </c>
    </row>
    <row r="1806" spans="1:14" x14ac:dyDescent="0.3">
      <c r="A1806" s="2">
        <v>44470</v>
      </c>
      <c r="B1806" t="s">
        <v>69</v>
      </c>
      <c r="C1806">
        <v>2021</v>
      </c>
      <c r="D1806">
        <v>10</v>
      </c>
      <c r="E1806" t="s">
        <v>55</v>
      </c>
      <c r="F1806" t="s">
        <v>52</v>
      </c>
      <c r="G1806">
        <v>5</v>
      </c>
      <c r="H1806" t="s">
        <v>20</v>
      </c>
      <c r="I1806">
        <v>222.92</v>
      </c>
      <c r="J1806">
        <v>355.77</v>
      </c>
      <c r="K1806">
        <v>678.11</v>
      </c>
      <c r="L1806">
        <v>2.5299999999999998</v>
      </c>
      <c r="M1806">
        <v>1256.8</v>
      </c>
      <c r="N1806">
        <v>1259.33</v>
      </c>
    </row>
    <row r="1807" spans="1:14" x14ac:dyDescent="0.3">
      <c r="A1807" s="2">
        <v>44470</v>
      </c>
      <c r="B1807" t="s">
        <v>69</v>
      </c>
      <c r="C1807">
        <v>2021</v>
      </c>
      <c r="D1807">
        <v>10</v>
      </c>
      <c r="E1807" t="s">
        <v>55</v>
      </c>
      <c r="F1807" t="s">
        <v>53</v>
      </c>
      <c r="G1807">
        <v>19</v>
      </c>
      <c r="H1807" t="s">
        <v>20</v>
      </c>
      <c r="I1807">
        <v>1344.22</v>
      </c>
      <c r="J1807">
        <v>1650.42</v>
      </c>
      <c r="K1807">
        <v>997.07</v>
      </c>
      <c r="L1807">
        <v>267.69</v>
      </c>
      <c r="M1807">
        <v>3991.71</v>
      </c>
      <c r="N1807">
        <v>4259.3999999999996</v>
      </c>
    </row>
    <row r="1808" spans="1:14" x14ac:dyDescent="0.3">
      <c r="A1808" s="2">
        <v>44501</v>
      </c>
      <c r="B1808" t="s">
        <v>69</v>
      </c>
      <c r="C1808">
        <v>2021</v>
      </c>
      <c r="D1808">
        <v>11</v>
      </c>
      <c r="E1808" t="s">
        <v>56</v>
      </c>
      <c r="F1808" t="s">
        <v>17</v>
      </c>
      <c r="G1808">
        <v>35</v>
      </c>
      <c r="H1808" t="s">
        <v>18</v>
      </c>
      <c r="I1808">
        <v>7.41</v>
      </c>
      <c r="J1808">
        <v>9.7899999999999991</v>
      </c>
      <c r="K1808">
        <v>6.97</v>
      </c>
      <c r="L1808">
        <v>0.02</v>
      </c>
      <c r="M1808">
        <v>24.17</v>
      </c>
      <c r="N1808">
        <v>24.19</v>
      </c>
    </row>
    <row r="1809" spans="1:14" x14ac:dyDescent="0.3">
      <c r="A1809" s="2">
        <v>44501</v>
      </c>
      <c r="B1809" t="s">
        <v>69</v>
      </c>
      <c r="C1809">
        <v>2021</v>
      </c>
      <c r="D1809">
        <v>11</v>
      </c>
      <c r="E1809" t="s">
        <v>56</v>
      </c>
      <c r="F1809" t="s">
        <v>19</v>
      </c>
      <c r="G1809">
        <v>28</v>
      </c>
      <c r="H1809" t="s">
        <v>20</v>
      </c>
      <c r="I1809">
        <v>639.46</v>
      </c>
      <c r="J1809">
        <v>899.5</v>
      </c>
      <c r="K1809">
        <v>999.74</v>
      </c>
      <c r="L1809">
        <v>210.93</v>
      </c>
      <c r="M1809">
        <v>2538.6999999999998</v>
      </c>
      <c r="N1809">
        <v>2749.63</v>
      </c>
    </row>
    <row r="1810" spans="1:14" x14ac:dyDescent="0.3">
      <c r="A1810" s="2">
        <v>44501</v>
      </c>
      <c r="B1810" t="s">
        <v>69</v>
      </c>
      <c r="C1810">
        <v>2021</v>
      </c>
      <c r="D1810">
        <v>11</v>
      </c>
      <c r="E1810" t="s">
        <v>56</v>
      </c>
      <c r="F1810" t="s">
        <v>21</v>
      </c>
      <c r="G1810">
        <v>12</v>
      </c>
      <c r="H1810" t="s">
        <v>20</v>
      </c>
      <c r="I1810">
        <v>13.12</v>
      </c>
      <c r="J1810">
        <v>17.59</v>
      </c>
      <c r="K1810">
        <v>9.5299999999999994</v>
      </c>
      <c r="L1810">
        <v>0.04</v>
      </c>
      <c r="M1810">
        <v>40.24</v>
      </c>
      <c r="N1810">
        <v>40.28</v>
      </c>
    </row>
    <row r="1811" spans="1:14" x14ac:dyDescent="0.3">
      <c r="A1811" s="2">
        <v>44501</v>
      </c>
      <c r="B1811" t="s">
        <v>69</v>
      </c>
      <c r="C1811">
        <v>2021</v>
      </c>
      <c r="D1811">
        <v>11</v>
      </c>
      <c r="E1811" t="s">
        <v>56</v>
      </c>
      <c r="F1811" t="s">
        <v>22</v>
      </c>
      <c r="G1811">
        <v>18</v>
      </c>
      <c r="H1811" t="s">
        <v>20</v>
      </c>
      <c r="I1811">
        <v>283.64999999999998</v>
      </c>
      <c r="J1811">
        <v>373.69</v>
      </c>
      <c r="K1811">
        <v>300.14999999999998</v>
      </c>
      <c r="L1811">
        <v>34.04</v>
      </c>
      <c r="M1811">
        <v>957.49</v>
      </c>
      <c r="N1811">
        <v>991.53</v>
      </c>
    </row>
    <row r="1812" spans="1:14" x14ac:dyDescent="0.3">
      <c r="A1812" s="2">
        <v>44501</v>
      </c>
      <c r="B1812" t="s">
        <v>69</v>
      </c>
      <c r="C1812">
        <v>2021</v>
      </c>
      <c r="D1812">
        <v>11</v>
      </c>
      <c r="E1812" t="s">
        <v>56</v>
      </c>
      <c r="F1812" t="s">
        <v>23</v>
      </c>
      <c r="G1812">
        <v>10</v>
      </c>
      <c r="H1812" t="s">
        <v>20</v>
      </c>
      <c r="I1812">
        <v>284.02999999999997</v>
      </c>
      <c r="J1812">
        <v>481.25</v>
      </c>
      <c r="K1812">
        <v>113.19</v>
      </c>
      <c r="L1812">
        <v>151.47</v>
      </c>
      <c r="M1812">
        <v>878.47</v>
      </c>
      <c r="N1812">
        <v>1029.94</v>
      </c>
    </row>
    <row r="1813" spans="1:14" x14ac:dyDescent="0.3">
      <c r="A1813" s="2">
        <v>44501</v>
      </c>
      <c r="B1813" t="s">
        <v>69</v>
      </c>
      <c r="C1813">
        <v>2021</v>
      </c>
      <c r="D1813">
        <v>11</v>
      </c>
      <c r="E1813" t="s">
        <v>56</v>
      </c>
      <c r="F1813" t="s">
        <v>24</v>
      </c>
      <c r="G1813">
        <v>4</v>
      </c>
      <c r="H1813" t="s">
        <v>18</v>
      </c>
      <c r="I1813">
        <v>35.869999999999997</v>
      </c>
      <c r="J1813">
        <v>48.94</v>
      </c>
      <c r="K1813">
        <v>92.55</v>
      </c>
      <c r="L1813">
        <v>2.2999999999999998</v>
      </c>
      <c r="M1813">
        <v>177.36</v>
      </c>
      <c r="N1813">
        <v>179.66</v>
      </c>
    </row>
    <row r="1814" spans="1:14" x14ac:dyDescent="0.3">
      <c r="A1814" s="2">
        <v>44501</v>
      </c>
      <c r="B1814" t="s">
        <v>69</v>
      </c>
      <c r="C1814">
        <v>2021</v>
      </c>
      <c r="D1814">
        <v>11</v>
      </c>
      <c r="E1814" t="s">
        <v>56</v>
      </c>
      <c r="F1814" t="s">
        <v>25</v>
      </c>
      <c r="G1814">
        <v>22</v>
      </c>
      <c r="H1814" t="s">
        <v>20</v>
      </c>
      <c r="I1814">
        <v>503.34</v>
      </c>
      <c r="J1814">
        <v>595.44000000000005</v>
      </c>
      <c r="K1814">
        <v>790.14</v>
      </c>
      <c r="L1814">
        <v>565.23</v>
      </c>
      <c r="M1814">
        <v>1888.92</v>
      </c>
      <c r="N1814">
        <v>2454.15</v>
      </c>
    </row>
    <row r="1815" spans="1:14" x14ac:dyDescent="0.3">
      <c r="A1815" s="2">
        <v>44501</v>
      </c>
      <c r="B1815" t="s">
        <v>69</v>
      </c>
      <c r="C1815">
        <v>2021</v>
      </c>
      <c r="D1815">
        <v>11</v>
      </c>
      <c r="E1815" t="s">
        <v>56</v>
      </c>
      <c r="F1815" t="s">
        <v>26</v>
      </c>
      <c r="G1815">
        <v>38</v>
      </c>
      <c r="H1815" t="s">
        <v>18</v>
      </c>
      <c r="I1815">
        <v>33.57</v>
      </c>
      <c r="J1815">
        <v>47.17</v>
      </c>
      <c r="K1815">
        <v>189.22</v>
      </c>
      <c r="L1815">
        <v>0.33</v>
      </c>
      <c r="M1815">
        <v>269.95999999999998</v>
      </c>
      <c r="N1815">
        <v>270.29000000000002</v>
      </c>
    </row>
    <row r="1816" spans="1:14" x14ac:dyDescent="0.3">
      <c r="A1816" s="2">
        <v>44501</v>
      </c>
      <c r="B1816" t="s">
        <v>69</v>
      </c>
      <c r="C1816">
        <v>2021</v>
      </c>
      <c r="D1816">
        <v>11</v>
      </c>
      <c r="E1816" t="s">
        <v>56</v>
      </c>
      <c r="F1816" t="s">
        <v>27</v>
      </c>
      <c r="G1816">
        <v>7</v>
      </c>
      <c r="H1816" t="s">
        <v>18</v>
      </c>
      <c r="I1816">
        <v>877.51</v>
      </c>
      <c r="J1816">
        <v>1087.95</v>
      </c>
      <c r="K1816">
        <v>2323.12</v>
      </c>
      <c r="L1816">
        <v>98.33</v>
      </c>
      <c r="M1816">
        <v>4288.58</v>
      </c>
      <c r="N1816">
        <v>4386.91</v>
      </c>
    </row>
    <row r="1817" spans="1:14" x14ac:dyDescent="0.3">
      <c r="A1817" s="2">
        <v>44501</v>
      </c>
      <c r="B1817" t="s">
        <v>69</v>
      </c>
      <c r="C1817">
        <v>2021</v>
      </c>
      <c r="D1817">
        <v>11</v>
      </c>
      <c r="E1817" t="s">
        <v>56</v>
      </c>
      <c r="F1817" t="s">
        <v>28</v>
      </c>
      <c r="G1817">
        <v>30</v>
      </c>
      <c r="H1817" t="s">
        <v>20</v>
      </c>
      <c r="I1817">
        <v>99.03</v>
      </c>
      <c r="J1817">
        <v>138.31</v>
      </c>
      <c r="K1817">
        <v>278.54000000000002</v>
      </c>
      <c r="L1817">
        <v>2.14</v>
      </c>
      <c r="M1817">
        <v>515.88</v>
      </c>
      <c r="N1817">
        <v>518.02</v>
      </c>
    </row>
    <row r="1818" spans="1:14" x14ac:dyDescent="0.3">
      <c r="A1818" s="2">
        <v>44501</v>
      </c>
      <c r="B1818" t="s">
        <v>69</v>
      </c>
      <c r="C1818">
        <v>2021</v>
      </c>
      <c r="D1818">
        <v>11</v>
      </c>
      <c r="E1818" t="s">
        <v>56</v>
      </c>
      <c r="F1818" t="s">
        <v>29</v>
      </c>
      <c r="G1818">
        <v>24</v>
      </c>
      <c r="H1818" t="s">
        <v>20</v>
      </c>
      <c r="I1818">
        <v>2657.94</v>
      </c>
      <c r="J1818">
        <v>3207.78</v>
      </c>
      <c r="K1818">
        <v>3078.37</v>
      </c>
      <c r="L1818">
        <v>624.89</v>
      </c>
      <c r="M1818">
        <v>8944.09</v>
      </c>
      <c r="N1818">
        <v>9568.98</v>
      </c>
    </row>
    <row r="1819" spans="1:14" x14ac:dyDescent="0.3">
      <c r="A1819" s="2">
        <v>44501</v>
      </c>
      <c r="B1819" t="s">
        <v>69</v>
      </c>
      <c r="C1819">
        <v>2021</v>
      </c>
      <c r="D1819">
        <v>11</v>
      </c>
      <c r="E1819" t="s">
        <v>56</v>
      </c>
      <c r="F1819" t="s">
        <v>30</v>
      </c>
      <c r="G1819">
        <v>6</v>
      </c>
      <c r="H1819" t="s">
        <v>20</v>
      </c>
      <c r="I1819">
        <v>999.8</v>
      </c>
      <c r="J1819">
        <v>1377.16</v>
      </c>
      <c r="K1819">
        <v>3197.72</v>
      </c>
      <c r="L1819">
        <v>440.86</v>
      </c>
      <c r="M1819">
        <v>5574.68</v>
      </c>
      <c r="N1819">
        <v>6015.54</v>
      </c>
    </row>
    <row r="1820" spans="1:14" x14ac:dyDescent="0.3">
      <c r="A1820" s="2">
        <v>44501</v>
      </c>
      <c r="B1820" t="s">
        <v>69</v>
      </c>
      <c r="C1820">
        <v>2021</v>
      </c>
      <c r="D1820">
        <v>11</v>
      </c>
      <c r="E1820" t="s">
        <v>56</v>
      </c>
      <c r="F1820" t="s">
        <v>31</v>
      </c>
      <c r="G1820">
        <v>2</v>
      </c>
      <c r="H1820" t="s">
        <v>20</v>
      </c>
      <c r="I1820">
        <v>123.57</v>
      </c>
      <c r="J1820">
        <v>188.6</v>
      </c>
      <c r="K1820">
        <v>446.86</v>
      </c>
      <c r="L1820">
        <v>2.91</v>
      </c>
      <c r="M1820">
        <v>759.03</v>
      </c>
      <c r="N1820">
        <v>761.94</v>
      </c>
    </row>
    <row r="1821" spans="1:14" x14ac:dyDescent="0.3">
      <c r="A1821" s="2">
        <v>44501</v>
      </c>
      <c r="B1821" t="s">
        <v>69</v>
      </c>
      <c r="C1821">
        <v>2021</v>
      </c>
      <c r="D1821">
        <v>11</v>
      </c>
      <c r="E1821" t="s">
        <v>56</v>
      </c>
      <c r="F1821" t="s">
        <v>32</v>
      </c>
      <c r="G1821">
        <v>1</v>
      </c>
      <c r="H1821" t="s">
        <v>18</v>
      </c>
      <c r="I1821">
        <v>110.59</v>
      </c>
      <c r="J1821">
        <v>161.09</v>
      </c>
      <c r="K1821">
        <v>107.35</v>
      </c>
      <c r="L1821">
        <v>3.79</v>
      </c>
      <c r="M1821">
        <v>379.03</v>
      </c>
      <c r="N1821">
        <v>382.82</v>
      </c>
    </row>
    <row r="1822" spans="1:14" x14ac:dyDescent="0.3">
      <c r="A1822" s="2">
        <v>44501</v>
      </c>
      <c r="B1822" t="s">
        <v>69</v>
      </c>
      <c r="C1822">
        <v>2021</v>
      </c>
      <c r="D1822">
        <v>11</v>
      </c>
      <c r="E1822" t="s">
        <v>56</v>
      </c>
      <c r="F1822" t="s">
        <v>33</v>
      </c>
      <c r="G1822">
        <v>20</v>
      </c>
      <c r="H1822" t="s">
        <v>20</v>
      </c>
      <c r="I1822">
        <v>395.37</v>
      </c>
      <c r="J1822">
        <v>520.59</v>
      </c>
      <c r="K1822">
        <v>996.77</v>
      </c>
      <c r="L1822">
        <v>424.19</v>
      </c>
      <c r="M1822">
        <v>1912.73</v>
      </c>
      <c r="N1822">
        <v>2336.92</v>
      </c>
    </row>
    <row r="1823" spans="1:14" x14ac:dyDescent="0.3">
      <c r="A1823" s="2">
        <v>44501</v>
      </c>
      <c r="B1823" t="s">
        <v>69</v>
      </c>
      <c r="C1823">
        <v>2021</v>
      </c>
      <c r="D1823">
        <v>11</v>
      </c>
      <c r="E1823" t="s">
        <v>56</v>
      </c>
      <c r="F1823" t="s">
        <v>34</v>
      </c>
      <c r="G1823">
        <v>29</v>
      </c>
      <c r="H1823" t="s">
        <v>20</v>
      </c>
      <c r="I1823">
        <v>2044.08</v>
      </c>
      <c r="J1823">
        <v>2632.66</v>
      </c>
      <c r="K1823">
        <v>3400.37</v>
      </c>
      <c r="L1823">
        <v>970.97</v>
      </c>
      <c r="M1823">
        <v>8077.11</v>
      </c>
      <c r="N1823">
        <v>9048.08</v>
      </c>
    </row>
    <row r="1824" spans="1:14" x14ac:dyDescent="0.3">
      <c r="A1824" s="2">
        <v>44501</v>
      </c>
      <c r="B1824" t="s">
        <v>69</v>
      </c>
      <c r="C1824">
        <v>2021</v>
      </c>
      <c r="D1824">
        <v>11</v>
      </c>
      <c r="E1824" t="s">
        <v>56</v>
      </c>
      <c r="F1824" t="s">
        <v>35</v>
      </c>
      <c r="G1824">
        <v>32</v>
      </c>
      <c r="H1824" t="s">
        <v>20</v>
      </c>
      <c r="I1824">
        <v>651.16</v>
      </c>
      <c r="J1824">
        <v>894.51</v>
      </c>
      <c r="K1824">
        <v>573.13</v>
      </c>
      <c r="L1824">
        <v>9.92</v>
      </c>
      <c r="M1824">
        <v>2118.8000000000002</v>
      </c>
      <c r="N1824">
        <v>2128.7199999999998</v>
      </c>
    </row>
    <row r="1825" spans="1:14" x14ac:dyDescent="0.3">
      <c r="A1825" s="2">
        <v>44501</v>
      </c>
      <c r="B1825" t="s">
        <v>69</v>
      </c>
      <c r="C1825">
        <v>2021</v>
      </c>
      <c r="D1825">
        <v>11</v>
      </c>
      <c r="E1825" t="s">
        <v>56</v>
      </c>
      <c r="F1825" t="s">
        <v>67</v>
      </c>
      <c r="G1825">
        <v>37</v>
      </c>
      <c r="H1825" t="s">
        <v>18</v>
      </c>
      <c r="I1825">
        <v>4.63</v>
      </c>
      <c r="J1825">
        <v>5.9</v>
      </c>
      <c r="K1825">
        <v>2.83</v>
      </c>
      <c r="L1825">
        <v>0.05</v>
      </c>
      <c r="M1825">
        <v>13.36</v>
      </c>
      <c r="N1825">
        <v>13.41</v>
      </c>
    </row>
    <row r="1826" spans="1:14" x14ac:dyDescent="0.3">
      <c r="A1826" s="2">
        <v>44501</v>
      </c>
      <c r="B1826" t="s">
        <v>69</v>
      </c>
      <c r="C1826">
        <v>2021</v>
      </c>
      <c r="D1826">
        <v>11</v>
      </c>
      <c r="E1826" t="s">
        <v>56</v>
      </c>
      <c r="F1826" t="s">
        <v>36</v>
      </c>
      <c r="G1826">
        <v>31</v>
      </c>
      <c r="H1826" t="s">
        <v>18</v>
      </c>
      <c r="I1826">
        <v>1.04</v>
      </c>
      <c r="J1826">
        <v>1.08</v>
      </c>
      <c r="K1826">
        <v>0.14000000000000001</v>
      </c>
      <c r="L1826">
        <v>0</v>
      </c>
      <c r="M1826">
        <v>2.2599999999999998</v>
      </c>
      <c r="N1826">
        <v>2.2599999999999998</v>
      </c>
    </row>
    <row r="1827" spans="1:14" x14ac:dyDescent="0.3">
      <c r="A1827" s="2">
        <v>44501</v>
      </c>
      <c r="B1827" t="s">
        <v>69</v>
      </c>
      <c r="C1827">
        <v>2021</v>
      </c>
      <c r="D1827">
        <v>11</v>
      </c>
      <c r="E1827" t="s">
        <v>56</v>
      </c>
      <c r="F1827" t="s">
        <v>37</v>
      </c>
      <c r="G1827">
        <v>23</v>
      </c>
      <c r="H1827" t="s">
        <v>20</v>
      </c>
      <c r="I1827">
        <v>638.55999999999995</v>
      </c>
      <c r="J1827">
        <v>852.95</v>
      </c>
      <c r="K1827">
        <v>753.4</v>
      </c>
      <c r="L1827">
        <v>562.89</v>
      </c>
      <c r="M1827">
        <v>2244.91</v>
      </c>
      <c r="N1827">
        <v>2807.8</v>
      </c>
    </row>
    <row r="1828" spans="1:14" x14ac:dyDescent="0.3">
      <c r="A1828" s="2">
        <v>44501</v>
      </c>
      <c r="B1828" t="s">
        <v>69</v>
      </c>
      <c r="C1828">
        <v>2021</v>
      </c>
      <c r="D1828">
        <v>11</v>
      </c>
      <c r="E1828" t="s">
        <v>56</v>
      </c>
      <c r="F1828" t="s">
        <v>38</v>
      </c>
      <c r="G1828">
        <v>27</v>
      </c>
      <c r="H1828" t="s">
        <v>20</v>
      </c>
      <c r="I1828">
        <v>5089.1400000000003</v>
      </c>
      <c r="J1828">
        <v>6157.54</v>
      </c>
      <c r="K1828">
        <v>6108.24</v>
      </c>
      <c r="L1828">
        <v>1301.3399999999999</v>
      </c>
      <c r="M1828">
        <v>17354.919999999998</v>
      </c>
      <c r="N1828">
        <v>18656.259999999998</v>
      </c>
    </row>
    <row r="1829" spans="1:14" x14ac:dyDescent="0.3">
      <c r="A1829" s="2">
        <v>44501</v>
      </c>
      <c r="B1829" t="s">
        <v>69</v>
      </c>
      <c r="C1829">
        <v>2021</v>
      </c>
      <c r="D1829">
        <v>11</v>
      </c>
      <c r="E1829" t="s">
        <v>56</v>
      </c>
      <c r="F1829" t="s">
        <v>39</v>
      </c>
      <c r="G1829">
        <v>14</v>
      </c>
      <c r="H1829" t="s">
        <v>20</v>
      </c>
      <c r="I1829">
        <v>12.13</v>
      </c>
      <c r="J1829">
        <v>17.940000000000001</v>
      </c>
      <c r="K1829">
        <v>5.33</v>
      </c>
      <c r="L1829">
        <v>0.1</v>
      </c>
      <c r="M1829">
        <v>35.4</v>
      </c>
      <c r="N1829">
        <v>35.5</v>
      </c>
    </row>
    <row r="1830" spans="1:14" x14ac:dyDescent="0.3">
      <c r="A1830" s="2">
        <v>44501</v>
      </c>
      <c r="B1830" t="s">
        <v>69</v>
      </c>
      <c r="C1830">
        <v>2021</v>
      </c>
      <c r="D1830">
        <v>11</v>
      </c>
      <c r="E1830" t="s">
        <v>56</v>
      </c>
      <c r="F1830" t="s">
        <v>40</v>
      </c>
      <c r="G1830">
        <v>17</v>
      </c>
      <c r="H1830" t="s">
        <v>20</v>
      </c>
      <c r="I1830">
        <v>27.05</v>
      </c>
      <c r="J1830">
        <v>35.630000000000003</v>
      </c>
      <c r="K1830">
        <v>89.21</v>
      </c>
      <c r="L1830">
        <v>0.31</v>
      </c>
      <c r="M1830">
        <v>151.88999999999999</v>
      </c>
      <c r="N1830">
        <v>152.19999999999999</v>
      </c>
    </row>
    <row r="1831" spans="1:14" x14ac:dyDescent="0.3">
      <c r="A1831" s="2">
        <v>44501</v>
      </c>
      <c r="B1831" t="s">
        <v>69</v>
      </c>
      <c r="C1831">
        <v>2021</v>
      </c>
      <c r="D1831">
        <v>11</v>
      </c>
      <c r="E1831" t="s">
        <v>56</v>
      </c>
      <c r="F1831" t="s">
        <v>41</v>
      </c>
      <c r="G1831">
        <v>15</v>
      </c>
      <c r="H1831" t="s">
        <v>20</v>
      </c>
      <c r="I1831">
        <v>8.9</v>
      </c>
      <c r="J1831">
        <v>12.03</v>
      </c>
      <c r="K1831">
        <v>2.0499999999999998</v>
      </c>
      <c r="L1831">
        <v>0.02</v>
      </c>
      <c r="M1831">
        <v>22.98</v>
      </c>
      <c r="N1831">
        <v>23</v>
      </c>
    </row>
    <row r="1832" spans="1:14" x14ac:dyDescent="0.3">
      <c r="A1832" s="2">
        <v>44501</v>
      </c>
      <c r="B1832" t="s">
        <v>69</v>
      </c>
      <c r="C1832">
        <v>2021</v>
      </c>
      <c r="D1832">
        <v>11</v>
      </c>
      <c r="E1832" t="s">
        <v>56</v>
      </c>
      <c r="F1832" t="s">
        <v>42</v>
      </c>
      <c r="G1832">
        <v>13</v>
      </c>
      <c r="H1832" t="s">
        <v>20</v>
      </c>
      <c r="I1832">
        <v>10.01</v>
      </c>
      <c r="J1832">
        <v>13.25</v>
      </c>
      <c r="K1832">
        <v>6.4</v>
      </c>
      <c r="L1832">
        <v>0.57999999999999996</v>
      </c>
      <c r="M1832">
        <v>29.66</v>
      </c>
      <c r="N1832">
        <v>30.24</v>
      </c>
    </row>
    <row r="1833" spans="1:14" x14ac:dyDescent="0.3">
      <c r="A1833" s="2">
        <v>44501</v>
      </c>
      <c r="B1833" t="s">
        <v>69</v>
      </c>
      <c r="C1833">
        <v>2021</v>
      </c>
      <c r="D1833">
        <v>11</v>
      </c>
      <c r="E1833" t="s">
        <v>56</v>
      </c>
      <c r="F1833" t="s">
        <v>43</v>
      </c>
      <c r="G1833">
        <v>21</v>
      </c>
      <c r="H1833" t="s">
        <v>20</v>
      </c>
      <c r="I1833">
        <v>1001.08</v>
      </c>
      <c r="J1833">
        <v>1157.69</v>
      </c>
      <c r="K1833">
        <v>1223.24</v>
      </c>
      <c r="L1833">
        <v>753.77</v>
      </c>
      <c r="M1833">
        <v>3382.01</v>
      </c>
      <c r="N1833">
        <v>4135.78</v>
      </c>
    </row>
    <row r="1834" spans="1:14" x14ac:dyDescent="0.3">
      <c r="A1834" s="2">
        <v>44501</v>
      </c>
      <c r="B1834" t="s">
        <v>69</v>
      </c>
      <c r="C1834">
        <v>2021</v>
      </c>
      <c r="D1834">
        <v>11</v>
      </c>
      <c r="E1834" t="s">
        <v>56</v>
      </c>
      <c r="F1834" t="s">
        <v>44</v>
      </c>
      <c r="G1834">
        <v>34</v>
      </c>
      <c r="H1834" t="s">
        <v>18</v>
      </c>
      <c r="I1834">
        <v>18.43</v>
      </c>
      <c r="J1834">
        <v>30.2</v>
      </c>
      <c r="K1834">
        <v>123.11</v>
      </c>
      <c r="L1834">
        <v>0.51</v>
      </c>
      <c r="M1834">
        <v>171.74</v>
      </c>
      <c r="N1834">
        <v>172.25</v>
      </c>
    </row>
    <row r="1835" spans="1:14" x14ac:dyDescent="0.3">
      <c r="A1835" s="2">
        <v>44501</v>
      </c>
      <c r="B1835" t="s">
        <v>69</v>
      </c>
      <c r="C1835">
        <v>2021</v>
      </c>
      <c r="D1835">
        <v>11</v>
      </c>
      <c r="E1835" t="s">
        <v>56</v>
      </c>
      <c r="F1835" t="s">
        <v>45</v>
      </c>
      <c r="G1835">
        <v>3</v>
      </c>
      <c r="H1835" t="s">
        <v>20</v>
      </c>
      <c r="I1835">
        <v>463.04</v>
      </c>
      <c r="J1835">
        <v>704.95</v>
      </c>
      <c r="K1835">
        <v>655.52</v>
      </c>
      <c r="L1835">
        <v>21.71</v>
      </c>
      <c r="M1835">
        <v>1823.51</v>
      </c>
      <c r="N1835">
        <v>1845.22</v>
      </c>
    </row>
    <row r="1836" spans="1:14" x14ac:dyDescent="0.3">
      <c r="A1836" s="2">
        <v>44501</v>
      </c>
      <c r="B1836" t="s">
        <v>69</v>
      </c>
      <c r="C1836">
        <v>2021</v>
      </c>
      <c r="D1836">
        <v>11</v>
      </c>
      <c r="E1836" t="s">
        <v>56</v>
      </c>
      <c r="F1836" t="s">
        <v>46</v>
      </c>
      <c r="G1836">
        <v>8</v>
      </c>
      <c r="H1836" t="s">
        <v>20</v>
      </c>
      <c r="I1836">
        <v>992.4</v>
      </c>
      <c r="J1836">
        <v>1312.62</v>
      </c>
      <c r="K1836">
        <v>1208.9000000000001</v>
      </c>
      <c r="L1836">
        <v>184.51</v>
      </c>
      <c r="M1836">
        <v>3513.92</v>
      </c>
      <c r="N1836">
        <v>3698.43</v>
      </c>
    </row>
    <row r="1837" spans="1:14" x14ac:dyDescent="0.3">
      <c r="A1837" s="2">
        <v>44501</v>
      </c>
      <c r="B1837" t="s">
        <v>69</v>
      </c>
      <c r="C1837">
        <v>2021</v>
      </c>
      <c r="D1837">
        <v>11</v>
      </c>
      <c r="E1837" t="s">
        <v>56</v>
      </c>
      <c r="F1837" t="s">
        <v>47</v>
      </c>
      <c r="G1837">
        <v>11</v>
      </c>
      <c r="H1837" t="s">
        <v>20</v>
      </c>
      <c r="I1837">
        <v>13.36</v>
      </c>
      <c r="J1837">
        <v>18.649999999999999</v>
      </c>
      <c r="K1837">
        <v>175.21</v>
      </c>
      <c r="L1837">
        <v>0.1</v>
      </c>
      <c r="M1837">
        <v>207.22</v>
      </c>
      <c r="N1837">
        <v>207.32</v>
      </c>
    </row>
    <row r="1838" spans="1:14" x14ac:dyDescent="0.3">
      <c r="A1838" s="2">
        <v>44501</v>
      </c>
      <c r="B1838" t="s">
        <v>69</v>
      </c>
      <c r="C1838">
        <v>2021</v>
      </c>
      <c r="D1838">
        <v>11</v>
      </c>
      <c r="E1838" t="s">
        <v>56</v>
      </c>
      <c r="F1838" t="s">
        <v>48</v>
      </c>
      <c r="G1838">
        <v>33</v>
      </c>
      <c r="H1838" t="s">
        <v>20</v>
      </c>
      <c r="I1838">
        <v>1958.49</v>
      </c>
      <c r="J1838">
        <v>2708.36</v>
      </c>
      <c r="K1838">
        <v>2573.63</v>
      </c>
      <c r="L1838">
        <v>554.48</v>
      </c>
      <c r="M1838">
        <v>7240.48</v>
      </c>
      <c r="N1838">
        <v>7794.96</v>
      </c>
    </row>
    <row r="1839" spans="1:14" x14ac:dyDescent="0.3">
      <c r="A1839" s="2">
        <v>44501</v>
      </c>
      <c r="B1839" t="s">
        <v>69</v>
      </c>
      <c r="C1839">
        <v>2021</v>
      </c>
      <c r="D1839">
        <v>11</v>
      </c>
      <c r="E1839" t="s">
        <v>56</v>
      </c>
      <c r="F1839" t="s">
        <v>49</v>
      </c>
      <c r="G1839">
        <v>36</v>
      </c>
      <c r="H1839" t="s">
        <v>20</v>
      </c>
      <c r="I1839">
        <v>952.04</v>
      </c>
      <c r="J1839">
        <v>1310.3699999999999</v>
      </c>
      <c r="K1839">
        <v>1119</v>
      </c>
      <c r="L1839">
        <v>549.73</v>
      </c>
      <c r="M1839">
        <v>3381.41</v>
      </c>
      <c r="N1839">
        <v>3931.14</v>
      </c>
    </row>
    <row r="1840" spans="1:14" x14ac:dyDescent="0.3">
      <c r="A1840" s="2">
        <v>44501</v>
      </c>
      <c r="B1840" t="s">
        <v>69</v>
      </c>
      <c r="C1840">
        <v>2021</v>
      </c>
      <c r="D1840">
        <v>11</v>
      </c>
      <c r="E1840" t="s">
        <v>56</v>
      </c>
      <c r="F1840" t="s">
        <v>50</v>
      </c>
      <c r="G1840">
        <v>16</v>
      </c>
      <c r="H1840" t="s">
        <v>20</v>
      </c>
      <c r="I1840">
        <v>20.62</v>
      </c>
      <c r="J1840">
        <v>28.96</v>
      </c>
      <c r="K1840">
        <v>7.9</v>
      </c>
      <c r="L1840">
        <v>0.2</v>
      </c>
      <c r="M1840">
        <v>57.48</v>
      </c>
      <c r="N1840">
        <v>57.68</v>
      </c>
    </row>
    <row r="1841" spans="1:14" x14ac:dyDescent="0.3">
      <c r="A1841" s="2">
        <v>44501</v>
      </c>
      <c r="B1841" t="s">
        <v>69</v>
      </c>
      <c r="C1841">
        <v>2021</v>
      </c>
      <c r="D1841">
        <v>11</v>
      </c>
      <c r="E1841" t="s">
        <v>56</v>
      </c>
      <c r="F1841" t="s">
        <v>51</v>
      </c>
      <c r="G1841">
        <v>9</v>
      </c>
      <c r="H1841" t="s">
        <v>20</v>
      </c>
      <c r="I1841">
        <v>1507.6</v>
      </c>
      <c r="J1841">
        <v>2157.92</v>
      </c>
      <c r="K1841">
        <v>1803.14</v>
      </c>
      <c r="L1841">
        <v>1167.49</v>
      </c>
      <c r="M1841">
        <v>5468.66</v>
      </c>
      <c r="N1841">
        <v>6636.15</v>
      </c>
    </row>
    <row r="1842" spans="1:14" x14ac:dyDescent="0.3">
      <c r="A1842" s="2">
        <v>44501</v>
      </c>
      <c r="B1842" t="s">
        <v>69</v>
      </c>
      <c r="C1842">
        <v>2021</v>
      </c>
      <c r="D1842">
        <v>11</v>
      </c>
      <c r="E1842" t="s">
        <v>56</v>
      </c>
      <c r="F1842" t="s">
        <v>52</v>
      </c>
      <c r="G1842">
        <v>5</v>
      </c>
      <c r="H1842" t="s">
        <v>20</v>
      </c>
      <c r="I1842">
        <v>233.41</v>
      </c>
      <c r="J1842">
        <v>356.99</v>
      </c>
      <c r="K1842">
        <v>665.76</v>
      </c>
      <c r="L1842">
        <v>7.11</v>
      </c>
      <c r="M1842">
        <v>1256.1600000000001</v>
      </c>
      <c r="N1842">
        <v>1263.27</v>
      </c>
    </row>
    <row r="1843" spans="1:14" x14ac:dyDescent="0.3">
      <c r="A1843" s="2">
        <v>44501</v>
      </c>
      <c r="B1843" t="s">
        <v>69</v>
      </c>
      <c r="C1843">
        <v>2021</v>
      </c>
      <c r="D1843">
        <v>11</v>
      </c>
      <c r="E1843" t="s">
        <v>56</v>
      </c>
      <c r="F1843" t="s">
        <v>53</v>
      </c>
      <c r="G1843">
        <v>19</v>
      </c>
      <c r="H1843" t="s">
        <v>20</v>
      </c>
      <c r="I1843">
        <v>1263.58</v>
      </c>
      <c r="J1843">
        <v>1558.69</v>
      </c>
      <c r="K1843">
        <v>954.87</v>
      </c>
      <c r="L1843">
        <v>305.60000000000002</v>
      </c>
      <c r="M1843">
        <v>3777.14</v>
      </c>
      <c r="N1843">
        <v>4082.74</v>
      </c>
    </row>
    <row r="1844" spans="1:14" x14ac:dyDescent="0.3">
      <c r="A1844" s="2">
        <v>44531</v>
      </c>
      <c r="B1844" t="s">
        <v>69</v>
      </c>
      <c r="C1844">
        <v>2021</v>
      </c>
      <c r="D1844">
        <v>12</v>
      </c>
      <c r="E1844" t="s">
        <v>57</v>
      </c>
      <c r="F1844" t="s">
        <v>17</v>
      </c>
      <c r="G1844">
        <v>35</v>
      </c>
      <c r="H1844" t="s">
        <v>18</v>
      </c>
      <c r="I1844">
        <v>10.220000000000001</v>
      </c>
      <c r="J1844">
        <v>12.93</v>
      </c>
      <c r="K1844">
        <v>2.7</v>
      </c>
      <c r="L1844">
        <v>0.02</v>
      </c>
      <c r="M1844">
        <v>25.85</v>
      </c>
      <c r="N1844">
        <v>25.87</v>
      </c>
    </row>
    <row r="1845" spans="1:14" x14ac:dyDescent="0.3">
      <c r="A1845" s="2">
        <v>44531</v>
      </c>
      <c r="B1845" t="s">
        <v>69</v>
      </c>
      <c r="C1845">
        <v>2021</v>
      </c>
      <c r="D1845">
        <v>12</v>
      </c>
      <c r="E1845" t="s">
        <v>57</v>
      </c>
      <c r="F1845" t="s">
        <v>19</v>
      </c>
      <c r="G1845">
        <v>28</v>
      </c>
      <c r="H1845" t="s">
        <v>20</v>
      </c>
      <c r="I1845">
        <v>602</v>
      </c>
      <c r="J1845">
        <v>805.07</v>
      </c>
      <c r="K1845">
        <v>937.39</v>
      </c>
      <c r="L1845">
        <v>187.94</v>
      </c>
      <c r="M1845">
        <v>2344.46</v>
      </c>
      <c r="N1845">
        <v>2532.4</v>
      </c>
    </row>
    <row r="1846" spans="1:14" x14ac:dyDescent="0.3">
      <c r="A1846" s="2">
        <v>44531</v>
      </c>
      <c r="B1846" t="s">
        <v>69</v>
      </c>
      <c r="C1846">
        <v>2021</v>
      </c>
      <c r="D1846">
        <v>12</v>
      </c>
      <c r="E1846" t="s">
        <v>57</v>
      </c>
      <c r="F1846" t="s">
        <v>21</v>
      </c>
      <c r="G1846">
        <v>12</v>
      </c>
      <c r="H1846" t="s">
        <v>20</v>
      </c>
      <c r="I1846">
        <v>17.72</v>
      </c>
      <c r="J1846">
        <v>25.16</v>
      </c>
      <c r="K1846">
        <v>9.74</v>
      </c>
      <c r="L1846">
        <v>0.11</v>
      </c>
      <c r="M1846">
        <v>52.62</v>
      </c>
      <c r="N1846">
        <v>52.73</v>
      </c>
    </row>
    <row r="1847" spans="1:14" x14ac:dyDescent="0.3">
      <c r="A1847" s="2">
        <v>44531</v>
      </c>
      <c r="B1847" t="s">
        <v>69</v>
      </c>
      <c r="C1847">
        <v>2021</v>
      </c>
      <c r="D1847">
        <v>12</v>
      </c>
      <c r="E1847" t="s">
        <v>57</v>
      </c>
      <c r="F1847" t="s">
        <v>22</v>
      </c>
      <c r="G1847">
        <v>18</v>
      </c>
      <c r="H1847" t="s">
        <v>20</v>
      </c>
      <c r="I1847">
        <v>289.08</v>
      </c>
      <c r="J1847">
        <v>377.66</v>
      </c>
      <c r="K1847">
        <v>315.23</v>
      </c>
      <c r="L1847">
        <v>32.659999999999997</v>
      </c>
      <c r="M1847">
        <v>981.97</v>
      </c>
      <c r="N1847">
        <v>1014.63</v>
      </c>
    </row>
    <row r="1848" spans="1:14" x14ac:dyDescent="0.3">
      <c r="A1848" s="2">
        <v>44531</v>
      </c>
      <c r="B1848" t="s">
        <v>69</v>
      </c>
      <c r="C1848">
        <v>2021</v>
      </c>
      <c r="D1848">
        <v>12</v>
      </c>
      <c r="E1848" t="s">
        <v>57</v>
      </c>
      <c r="F1848" t="s">
        <v>23</v>
      </c>
      <c r="G1848">
        <v>10</v>
      </c>
      <c r="H1848" t="s">
        <v>20</v>
      </c>
      <c r="I1848">
        <v>258.35000000000002</v>
      </c>
      <c r="J1848">
        <v>441.66</v>
      </c>
      <c r="K1848">
        <v>113.76</v>
      </c>
      <c r="L1848">
        <v>149.16999999999999</v>
      </c>
      <c r="M1848">
        <v>813.77</v>
      </c>
      <c r="N1848">
        <v>962.94</v>
      </c>
    </row>
    <row r="1849" spans="1:14" x14ac:dyDescent="0.3">
      <c r="A1849" s="2">
        <v>44531</v>
      </c>
      <c r="B1849" t="s">
        <v>69</v>
      </c>
      <c r="C1849">
        <v>2021</v>
      </c>
      <c r="D1849">
        <v>12</v>
      </c>
      <c r="E1849" t="s">
        <v>57</v>
      </c>
      <c r="F1849" t="s">
        <v>24</v>
      </c>
      <c r="G1849">
        <v>4</v>
      </c>
      <c r="H1849" t="s">
        <v>18</v>
      </c>
      <c r="I1849">
        <v>32.090000000000003</v>
      </c>
      <c r="J1849">
        <v>47.47</v>
      </c>
      <c r="K1849">
        <v>83.8</v>
      </c>
      <c r="L1849">
        <v>0.7</v>
      </c>
      <c r="M1849">
        <v>163.36000000000001</v>
      </c>
      <c r="N1849">
        <v>164.06</v>
      </c>
    </row>
    <row r="1850" spans="1:14" x14ac:dyDescent="0.3">
      <c r="A1850" s="2">
        <v>44531</v>
      </c>
      <c r="B1850" t="s">
        <v>69</v>
      </c>
      <c r="C1850">
        <v>2021</v>
      </c>
      <c r="D1850">
        <v>12</v>
      </c>
      <c r="E1850" t="s">
        <v>57</v>
      </c>
      <c r="F1850" t="s">
        <v>25</v>
      </c>
      <c r="G1850">
        <v>22</v>
      </c>
      <c r="H1850" t="s">
        <v>20</v>
      </c>
      <c r="I1850">
        <v>484.46</v>
      </c>
      <c r="J1850">
        <v>571.30999999999995</v>
      </c>
      <c r="K1850">
        <v>929</v>
      </c>
      <c r="L1850">
        <v>596.85</v>
      </c>
      <c r="M1850">
        <v>1984.77</v>
      </c>
      <c r="N1850">
        <v>2581.62</v>
      </c>
    </row>
    <row r="1851" spans="1:14" x14ac:dyDescent="0.3">
      <c r="A1851" s="2">
        <v>44531</v>
      </c>
      <c r="B1851" t="s">
        <v>69</v>
      </c>
      <c r="C1851">
        <v>2021</v>
      </c>
      <c r="D1851">
        <v>12</v>
      </c>
      <c r="E1851" t="s">
        <v>57</v>
      </c>
      <c r="F1851" t="s">
        <v>26</v>
      </c>
      <c r="G1851">
        <v>38</v>
      </c>
      <c r="H1851" t="s">
        <v>18</v>
      </c>
      <c r="I1851">
        <v>30.71</v>
      </c>
      <c r="J1851">
        <v>40.340000000000003</v>
      </c>
      <c r="K1851">
        <v>161.03</v>
      </c>
      <c r="L1851">
        <v>1.36</v>
      </c>
      <c r="M1851">
        <v>232.08</v>
      </c>
      <c r="N1851">
        <v>233.44</v>
      </c>
    </row>
    <row r="1852" spans="1:14" x14ac:dyDescent="0.3">
      <c r="A1852" s="2">
        <v>44531</v>
      </c>
      <c r="B1852" t="s">
        <v>69</v>
      </c>
      <c r="C1852">
        <v>2021</v>
      </c>
      <c r="D1852">
        <v>12</v>
      </c>
      <c r="E1852" t="s">
        <v>57</v>
      </c>
      <c r="F1852" t="s">
        <v>27</v>
      </c>
      <c r="G1852">
        <v>7</v>
      </c>
      <c r="H1852" t="s">
        <v>18</v>
      </c>
      <c r="I1852">
        <v>741.01</v>
      </c>
      <c r="J1852">
        <v>924.64</v>
      </c>
      <c r="K1852">
        <v>2002.74</v>
      </c>
      <c r="L1852">
        <v>85.4</v>
      </c>
      <c r="M1852">
        <v>3668.39</v>
      </c>
      <c r="N1852">
        <v>3753.79</v>
      </c>
    </row>
    <row r="1853" spans="1:14" x14ac:dyDescent="0.3">
      <c r="A1853" s="2">
        <v>44531</v>
      </c>
      <c r="B1853" t="s">
        <v>69</v>
      </c>
      <c r="C1853">
        <v>2021</v>
      </c>
      <c r="D1853">
        <v>12</v>
      </c>
      <c r="E1853" t="s">
        <v>57</v>
      </c>
      <c r="F1853" t="s">
        <v>28</v>
      </c>
      <c r="G1853">
        <v>30</v>
      </c>
      <c r="H1853" t="s">
        <v>20</v>
      </c>
      <c r="I1853">
        <v>103.64</v>
      </c>
      <c r="J1853">
        <v>143.72999999999999</v>
      </c>
      <c r="K1853">
        <v>342.52</v>
      </c>
      <c r="L1853">
        <v>1.91</v>
      </c>
      <c r="M1853">
        <v>589.89</v>
      </c>
      <c r="N1853">
        <v>591.79999999999995</v>
      </c>
    </row>
    <row r="1854" spans="1:14" x14ac:dyDescent="0.3">
      <c r="A1854" s="2">
        <v>44531</v>
      </c>
      <c r="B1854" t="s">
        <v>69</v>
      </c>
      <c r="C1854">
        <v>2021</v>
      </c>
      <c r="D1854">
        <v>12</v>
      </c>
      <c r="E1854" t="s">
        <v>57</v>
      </c>
      <c r="F1854" t="s">
        <v>29</v>
      </c>
      <c r="G1854">
        <v>24</v>
      </c>
      <c r="H1854" t="s">
        <v>20</v>
      </c>
      <c r="I1854">
        <v>2144.5100000000002</v>
      </c>
      <c r="J1854">
        <v>2551.92</v>
      </c>
      <c r="K1854">
        <v>2165.31</v>
      </c>
      <c r="L1854">
        <v>474.18</v>
      </c>
      <c r="M1854">
        <v>6861.74</v>
      </c>
      <c r="N1854">
        <v>7335.92</v>
      </c>
    </row>
    <row r="1855" spans="1:14" x14ac:dyDescent="0.3">
      <c r="A1855" s="2">
        <v>44531</v>
      </c>
      <c r="B1855" t="s">
        <v>69</v>
      </c>
      <c r="C1855">
        <v>2021</v>
      </c>
      <c r="D1855">
        <v>12</v>
      </c>
      <c r="E1855" t="s">
        <v>57</v>
      </c>
      <c r="F1855" t="s">
        <v>30</v>
      </c>
      <c r="G1855">
        <v>6</v>
      </c>
      <c r="H1855" t="s">
        <v>20</v>
      </c>
      <c r="I1855">
        <v>946.75</v>
      </c>
      <c r="J1855">
        <v>1298.19</v>
      </c>
      <c r="K1855">
        <v>3201.61</v>
      </c>
      <c r="L1855">
        <v>426.65</v>
      </c>
      <c r="M1855">
        <v>5446.55</v>
      </c>
      <c r="N1855">
        <v>5873.2</v>
      </c>
    </row>
    <row r="1856" spans="1:14" x14ac:dyDescent="0.3">
      <c r="A1856" s="2">
        <v>44531</v>
      </c>
      <c r="B1856" t="s">
        <v>69</v>
      </c>
      <c r="C1856">
        <v>2021</v>
      </c>
      <c r="D1856">
        <v>12</v>
      </c>
      <c r="E1856" t="s">
        <v>57</v>
      </c>
      <c r="F1856" t="s">
        <v>31</v>
      </c>
      <c r="G1856">
        <v>2</v>
      </c>
      <c r="H1856" t="s">
        <v>20</v>
      </c>
      <c r="I1856">
        <v>138.91</v>
      </c>
      <c r="J1856">
        <v>192.97</v>
      </c>
      <c r="K1856">
        <v>328.79</v>
      </c>
      <c r="L1856">
        <v>1.51</v>
      </c>
      <c r="M1856">
        <v>660.67</v>
      </c>
      <c r="N1856">
        <v>662.18</v>
      </c>
    </row>
    <row r="1857" spans="1:14" x14ac:dyDescent="0.3">
      <c r="A1857" s="2">
        <v>44531</v>
      </c>
      <c r="B1857" t="s">
        <v>69</v>
      </c>
      <c r="C1857">
        <v>2021</v>
      </c>
      <c r="D1857">
        <v>12</v>
      </c>
      <c r="E1857" t="s">
        <v>57</v>
      </c>
      <c r="F1857" t="s">
        <v>32</v>
      </c>
      <c r="G1857">
        <v>1</v>
      </c>
      <c r="H1857" t="s">
        <v>18</v>
      </c>
      <c r="I1857">
        <v>95.92</v>
      </c>
      <c r="J1857">
        <v>143.84</v>
      </c>
      <c r="K1857">
        <v>78.84</v>
      </c>
      <c r="L1857">
        <v>1.4</v>
      </c>
      <c r="M1857">
        <v>318.60000000000002</v>
      </c>
      <c r="N1857">
        <v>320</v>
      </c>
    </row>
    <row r="1858" spans="1:14" x14ac:dyDescent="0.3">
      <c r="A1858" s="2">
        <v>44531</v>
      </c>
      <c r="B1858" t="s">
        <v>69</v>
      </c>
      <c r="C1858">
        <v>2021</v>
      </c>
      <c r="D1858">
        <v>12</v>
      </c>
      <c r="E1858" t="s">
        <v>57</v>
      </c>
      <c r="F1858" t="s">
        <v>33</v>
      </c>
      <c r="G1858">
        <v>20</v>
      </c>
      <c r="H1858" t="s">
        <v>20</v>
      </c>
      <c r="I1858">
        <v>391.03</v>
      </c>
      <c r="J1858">
        <v>494.71</v>
      </c>
      <c r="K1858">
        <v>877.75</v>
      </c>
      <c r="L1858">
        <v>442.74</v>
      </c>
      <c r="M1858">
        <v>1763.49</v>
      </c>
      <c r="N1858">
        <v>2206.23</v>
      </c>
    </row>
    <row r="1859" spans="1:14" x14ac:dyDescent="0.3">
      <c r="A1859" s="2">
        <v>44531</v>
      </c>
      <c r="B1859" t="s">
        <v>69</v>
      </c>
      <c r="C1859">
        <v>2021</v>
      </c>
      <c r="D1859">
        <v>12</v>
      </c>
      <c r="E1859" t="s">
        <v>57</v>
      </c>
      <c r="F1859" t="s">
        <v>34</v>
      </c>
      <c r="G1859">
        <v>29</v>
      </c>
      <c r="H1859" t="s">
        <v>20</v>
      </c>
      <c r="I1859">
        <v>1895.64</v>
      </c>
      <c r="J1859">
        <v>2409.75</v>
      </c>
      <c r="K1859">
        <v>3029.08</v>
      </c>
      <c r="L1859">
        <v>1000.41</v>
      </c>
      <c r="M1859">
        <v>7334.47</v>
      </c>
      <c r="N1859">
        <v>8334.8799999999992</v>
      </c>
    </row>
    <row r="1860" spans="1:14" x14ac:dyDescent="0.3">
      <c r="A1860" s="2">
        <v>44531</v>
      </c>
      <c r="B1860" t="s">
        <v>69</v>
      </c>
      <c r="C1860">
        <v>2021</v>
      </c>
      <c r="D1860">
        <v>12</v>
      </c>
      <c r="E1860" t="s">
        <v>57</v>
      </c>
      <c r="F1860" t="s">
        <v>35</v>
      </c>
      <c r="G1860">
        <v>32</v>
      </c>
      <c r="H1860" t="s">
        <v>20</v>
      </c>
      <c r="I1860">
        <v>643.12</v>
      </c>
      <c r="J1860">
        <v>870.43</v>
      </c>
      <c r="K1860">
        <v>376.12</v>
      </c>
      <c r="L1860">
        <v>5.7</v>
      </c>
      <c r="M1860">
        <v>1889.67</v>
      </c>
      <c r="N1860">
        <v>1895.37</v>
      </c>
    </row>
    <row r="1861" spans="1:14" x14ac:dyDescent="0.3">
      <c r="A1861" s="2">
        <v>44531</v>
      </c>
      <c r="B1861" t="s">
        <v>69</v>
      </c>
      <c r="C1861">
        <v>2021</v>
      </c>
      <c r="D1861">
        <v>12</v>
      </c>
      <c r="E1861" t="s">
        <v>57</v>
      </c>
      <c r="F1861" t="s">
        <v>67</v>
      </c>
      <c r="G1861">
        <v>37</v>
      </c>
      <c r="H1861" t="s">
        <v>18</v>
      </c>
      <c r="I1861">
        <v>5.81</v>
      </c>
      <c r="J1861">
        <v>7.32</v>
      </c>
      <c r="K1861">
        <v>2.0299999999999998</v>
      </c>
      <c r="L1861">
        <v>7.0000000000000007E-2</v>
      </c>
      <c r="M1861">
        <v>15.16</v>
      </c>
      <c r="N1861">
        <v>15.23</v>
      </c>
    </row>
    <row r="1862" spans="1:14" x14ac:dyDescent="0.3">
      <c r="A1862" s="2">
        <v>44531</v>
      </c>
      <c r="B1862" t="s">
        <v>69</v>
      </c>
      <c r="C1862">
        <v>2021</v>
      </c>
      <c r="D1862">
        <v>12</v>
      </c>
      <c r="E1862" t="s">
        <v>57</v>
      </c>
      <c r="F1862" t="s">
        <v>36</v>
      </c>
      <c r="G1862">
        <v>31</v>
      </c>
      <c r="H1862" t="s">
        <v>18</v>
      </c>
      <c r="I1862">
        <v>0.69</v>
      </c>
      <c r="J1862">
        <v>0.66</v>
      </c>
      <c r="K1862">
        <v>0.08</v>
      </c>
      <c r="L1862">
        <v>0</v>
      </c>
      <c r="M1862">
        <v>1.43</v>
      </c>
      <c r="N1862">
        <v>1.43</v>
      </c>
    </row>
    <row r="1863" spans="1:14" x14ac:dyDescent="0.3">
      <c r="A1863" s="2">
        <v>44531</v>
      </c>
      <c r="B1863" t="s">
        <v>69</v>
      </c>
      <c r="C1863">
        <v>2021</v>
      </c>
      <c r="D1863">
        <v>12</v>
      </c>
      <c r="E1863" t="s">
        <v>57</v>
      </c>
      <c r="F1863" t="s">
        <v>37</v>
      </c>
      <c r="G1863">
        <v>23</v>
      </c>
      <c r="H1863" t="s">
        <v>20</v>
      </c>
      <c r="I1863">
        <v>592.69000000000005</v>
      </c>
      <c r="J1863">
        <v>748.86</v>
      </c>
      <c r="K1863">
        <v>644.47</v>
      </c>
      <c r="L1863">
        <v>546.86</v>
      </c>
      <c r="M1863">
        <v>1986.02</v>
      </c>
      <c r="N1863">
        <v>2532.88</v>
      </c>
    </row>
    <row r="1864" spans="1:14" x14ac:dyDescent="0.3">
      <c r="A1864" s="2">
        <v>44531</v>
      </c>
      <c r="B1864" t="s">
        <v>69</v>
      </c>
      <c r="C1864">
        <v>2021</v>
      </c>
      <c r="D1864">
        <v>12</v>
      </c>
      <c r="E1864" t="s">
        <v>57</v>
      </c>
      <c r="F1864" t="s">
        <v>38</v>
      </c>
      <c r="G1864">
        <v>27</v>
      </c>
      <c r="H1864" t="s">
        <v>20</v>
      </c>
      <c r="I1864">
        <v>5516.25</v>
      </c>
      <c r="J1864">
        <v>6469.5</v>
      </c>
      <c r="K1864">
        <v>6259.66</v>
      </c>
      <c r="L1864">
        <v>1346.13</v>
      </c>
      <c r="M1864">
        <v>18245.41</v>
      </c>
      <c r="N1864">
        <v>19591.54</v>
      </c>
    </row>
    <row r="1865" spans="1:14" x14ac:dyDescent="0.3">
      <c r="A1865" s="2">
        <v>44531</v>
      </c>
      <c r="B1865" t="s">
        <v>69</v>
      </c>
      <c r="C1865">
        <v>2021</v>
      </c>
      <c r="D1865">
        <v>12</v>
      </c>
      <c r="E1865" t="s">
        <v>57</v>
      </c>
      <c r="F1865" t="s">
        <v>39</v>
      </c>
      <c r="G1865">
        <v>14</v>
      </c>
      <c r="H1865" t="s">
        <v>20</v>
      </c>
      <c r="I1865">
        <v>17.84</v>
      </c>
      <c r="J1865">
        <v>25.02</v>
      </c>
      <c r="K1865">
        <v>4.7</v>
      </c>
      <c r="L1865">
        <v>0.3</v>
      </c>
      <c r="M1865">
        <v>47.56</v>
      </c>
      <c r="N1865">
        <v>47.86</v>
      </c>
    </row>
    <row r="1866" spans="1:14" x14ac:dyDescent="0.3">
      <c r="A1866" s="2">
        <v>44531</v>
      </c>
      <c r="B1866" t="s">
        <v>69</v>
      </c>
      <c r="C1866">
        <v>2021</v>
      </c>
      <c r="D1866">
        <v>12</v>
      </c>
      <c r="E1866" t="s">
        <v>57</v>
      </c>
      <c r="F1866" t="s">
        <v>40</v>
      </c>
      <c r="G1866">
        <v>17</v>
      </c>
      <c r="H1866" t="s">
        <v>20</v>
      </c>
      <c r="I1866">
        <v>21.86</v>
      </c>
      <c r="J1866">
        <v>27.12</v>
      </c>
      <c r="K1866">
        <v>99.16</v>
      </c>
      <c r="L1866">
        <v>0.49</v>
      </c>
      <c r="M1866">
        <v>148.13999999999999</v>
      </c>
      <c r="N1866">
        <v>148.63</v>
      </c>
    </row>
    <row r="1867" spans="1:14" x14ac:dyDescent="0.3">
      <c r="A1867" s="2">
        <v>44531</v>
      </c>
      <c r="B1867" t="s">
        <v>69</v>
      </c>
      <c r="C1867">
        <v>2021</v>
      </c>
      <c r="D1867">
        <v>12</v>
      </c>
      <c r="E1867" t="s">
        <v>57</v>
      </c>
      <c r="F1867" t="s">
        <v>41</v>
      </c>
      <c r="G1867">
        <v>15</v>
      </c>
      <c r="H1867" t="s">
        <v>20</v>
      </c>
      <c r="I1867">
        <v>7.42</v>
      </c>
      <c r="J1867">
        <v>10.24</v>
      </c>
      <c r="K1867">
        <v>1.91</v>
      </c>
      <c r="L1867">
        <v>0.03</v>
      </c>
      <c r="M1867">
        <v>19.57</v>
      </c>
      <c r="N1867">
        <v>19.600000000000001</v>
      </c>
    </row>
    <row r="1868" spans="1:14" x14ac:dyDescent="0.3">
      <c r="A1868" s="2">
        <v>44531</v>
      </c>
      <c r="B1868" t="s">
        <v>69</v>
      </c>
      <c r="C1868">
        <v>2021</v>
      </c>
      <c r="D1868">
        <v>12</v>
      </c>
      <c r="E1868" t="s">
        <v>57</v>
      </c>
      <c r="F1868" t="s">
        <v>42</v>
      </c>
      <c r="G1868">
        <v>13</v>
      </c>
      <c r="H1868" t="s">
        <v>20</v>
      </c>
      <c r="I1868">
        <v>11.39</v>
      </c>
      <c r="J1868">
        <v>14.87</v>
      </c>
      <c r="K1868">
        <v>5.57</v>
      </c>
      <c r="L1868">
        <v>1.87</v>
      </c>
      <c r="M1868">
        <v>31.83</v>
      </c>
      <c r="N1868">
        <v>33.700000000000003</v>
      </c>
    </row>
    <row r="1869" spans="1:14" x14ac:dyDescent="0.3">
      <c r="A1869" s="2">
        <v>44531</v>
      </c>
      <c r="B1869" t="s">
        <v>69</v>
      </c>
      <c r="C1869">
        <v>2021</v>
      </c>
      <c r="D1869">
        <v>12</v>
      </c>
      <c r="E1869" t="s">
        <v>57</v>
      </c>
      <c r="F1869" t="s">
        <v>43</v>
      </c>
      <c r="G1869">
        <v>21</v>
      </c>
      <c r="H1869" t="s">
        <v>20</v>
      </c>
      <c r="I1869">
        <v>973.79</v>
      </c>
      <c r="J1869">
        <v>1118.6500000000001</v>
      </c>
      <c r="K1869">
        <v>1267.6300000000001</v>
      </c>
      <c r="L1869">
        <v>720.07</v>
      </c>
      <c r="M1869">
        <v>3360.07</v>
      </c>
      <c r="N1869">
        <v>4080.14</v>
      </c>
    </row>
    <row r="1870" spans="1:14" x14ac:dyDescent="0.3">
      <c r="A1870" s="2">
        <v>44531</v>
      </c>
      <c r="B1870" t="s">
        <v>69</v>
      </c>
      <c r="C1870">
        <v>2021</v>
      </c>
      <c r="D1870">
        <v>12</v>
      </c>
      <c r="E1870" t="s">
        <v>57</v>
      </c>
      <c r="F1870" t="s">
        <v>44</v>
      </c>
      <c r="G1870">
        <v>34</v>
      </c>
      <c r="H1870" t="s">
        <v>18</v>
      </c>
      <c r="I1870">
        <v>18.899999999999999</v>
      </c>
      <c r="J1870">
        <v>30.24</v>
      </c>
      <c r="K1870">
        <v>97.19</v>
      </c>
      <c r="L1870">
        <v>0.64</v>
      </c>
      <c r="M1870">
        <v>146.33000000000001</v>
      </c>
      <c r="N1870">
        <v>146.97</v>
      </c>
    </row>
    <row r="1871" spans="1:14" x14ac:dyDescent="0.3">
      <c r="A1871" s="2">
        <v>44531</v>
      </c>
      <c r="B1871" t="s">
        <v>69</v>
      </c>
      <c r="C1871">
        <v>2021</v>
      </c>
      <c r="D1871">
        <v>12</v>
      </c>
      <c r="E1871" t="s">
        <v>57</v>
      </c>
      <c r="F1871" t="s">
        <v>45</v>
      </c>
      <c r="G1871">
        <v>3</v>
      </c>
      <c r="H1871" t="s">
        <v>20</v>
      </c>
      <c r="I1871">
        <v>381.23</v>
      </c>
      <c r="J1871">
        <v>563.42999999999995</v>
      </c>
      <c r="K1871">
        <v>616.46</v>
      </c>
      <c r="L1871">
        <v>11.4</v>
      </c>
      <c r="M1871">
        <v>1561.12</v>
      </c>
      <c r="N1871">
        <v>1572.52</v>
      </c>
    </row>
    <row r="1872" spans="1:14" x14ac:dyDescent="0.3">
      <c r="A1872" s="2">
        <v>44531</v>
      </c>
      <c r="B1872" t="s">
        <v>69</v>
      </c>
      <c r="C1872">
        <v>2021</v>
      </c>
      <c r="D1872">
        <v>12</v>
      </c>
      <c r="E1872" t="s">
        <v>57</v>
      </c>
      <c r="F1872" t="s">
        <v>46</v>
      </c>
      <c r="G1872">
        <v>8</v>
      </c>
      <c r="H1872" t="s">
        <v>20</v>
      </c>
      <c r="I1872">
        <v>812.64</v>
      </c>
      <c r="J1872">
        <v>1072.8499999999999</v>
      </c>
      <c r="K1872">
        <v>987.82</v>
      </c>
      <c r="L1872">
        <v>184.2</v>
      </c>
      <c r="M1872">
        <v>2873.31</v>
      </c>
      <c r="N1872">
        <v>3057.51</v>
      </c>
    </row>
    <row r="1873" spans="1:14" x14ac:dyDescent="0.3">
      <c r="A1873" s="2">
        <v>44531</v>
      </c>
      <c r="B1873" t="s">
        <v>69</v>
      </c>
      <c r="C1873">
        <v>2021</v>
      </c>
      <c r="D1873">
        <v>12</v>
      </c>
      <c r="E1873" t="s">
        <v>57</v>
      </c>
      <c r="F1873" t="s">
        <v>47</v>
      </c>
      <c r="G1873">
        <v>11</v>
      </c>
      <c r="H1873" t="s">
        <v>20</v>
      </c>
      <c r="I1873">
        <v>23.6</v>
      </c>
      <c r="J1873">
        <v>21.67</v>
      </c>
      <c r="K1873">
        <v>203.63</v>
      </c>
      <c r="L1873">
        <v>0.05</v>
      </c>
      <c r="M1873">
        <v>248.9</v>
      </c>
      <c r="N1873">
        <v>248.95</v>
      </c>
    </row>
    <row r="1874" spans="1:14" x14ac:dyDescent="0.3">
      <c r="A1874" s="2">
        <v>44531</v>
      </c>
      <c r="B1874" t="s">
        <v>69</v>
      </c>
      <c r="C1874">
        <v>2021</v>
      </c>
      <c r="D1874">
        <v>12</v>
      </c>
      <c r="E1874" t="s">
        <v>57</v>
      </c>
      <c r="F1874" t="s">
        <v>48</v>
      </c>
      <c r="G1874">
        <v>33</v>
      </c>
      <c r="H1874" t="s">
        <v>20</v>
      </c>
      <c r="I1874">
        <v>1712.3</v>
      </c>
      <c r="J1874">
        <v>2229.3200000000002</v>
      </c>
      <c r="K1874">
        <v>2083.5100000000002</v>
      </c>
      <c r="L1874">
        <v>610.20000000000005</v>
      </c>
      <c r="M1874">
        <v>6025.13</v>
      </c>
      <c r="N1874">
        <v>6635.33</v>
      </c>
    </row>
    <row r="1875" spans="1:14" x14ac:dyDescent="0.3">
      <c r="A1875" s="2">
        <v>44531</v>
      </c>
      <c r="B1875" t="s">
        <v>69</v>
      </c>
      <c r="C1875">
        <v>2021</v>
      </c>
      <c r="D1875">
        <v>12</v>
      </c>
      <c r="E1875" t="s">
        <v>57</v>
      </c>
      <c r="F1875" t="s">
        <v>49</v>
      </c>
      <c r="G1875">
        <v>36</v>
      </c>
      <c r="H1875" t="s">
        <v>20</v>
      </c>
      <c r="I1875">
        <v>935.93</v>
      </c>
      <c r="J1875">
        <v>1252.4100000000001</v>
      </c>
      <c r="K1875">
        <v>1019.71</v>
      </c>
      <c r="L1875">
        <v>552.16</v>
      </c>
      <c r="M1875">
        <v>3208.05</v>
      </c>
      <c r="N1875">
        <v>3760.21</v>
      </c>
    </row>
    <row r="1876" spans="1:14" x14ac:dyDescent="0.3">
      <c r="A1876" s="2">
        <v>44531</v>
      </c>
      <c r="B1876" t="s">
        <v>69</v>
      </c>
      <c r="C1876">
        <v>2021</v>
      </c>
      <c r="D1876">
        <v>12</v>
      </c>
      <c r="E1876" t="s">
        <v>57</v>
      </c>
      <c r="F1876" t="s">
        <v>50</v>
      </c>
      <c r="G1876">
        <v>16</v>
      </c>
      <c r="H1876" t="s">
        <v>20</v>
      </c>
      <c r="I1876">
        <v>26.45</v>
      </c>
      <c r="J1876">
        <v>32.81</v>
      </c>
      <c r="K1876">
        <v>8.31</v>
      </c>
      <c r="L1876">
        <v>0.09</v>
      </c>
      <c r="M1876">
        <v>67.569999999999993</v>
      </c>
      <c r="N1876">
        <v>67.66</v>
      </c>
    </row>
    <row r="1877" spans="1:14" x14ac:dyDescent="0.3">
      <c r="A1877" s="2">
        <v>44531</v>
      </c>
      <c r="B1877" t="s">
        <v>69</v>
      </c>
      <c r="C1877">
        <v>2021</v>
      </c>
      <c r="D1877">
        <v>12</v>
      </c>
      <c r="E1877" t="s">
        <v>57</v>
      </c>
      <c r="F1877" t="s">
        <v>51</v>
      </c>
      <c r="G1877">
        <v>9</v>
      </c>
      <c r="H1877" t="s">
        <v>20</v>
      </c>
      <c r="I1877">
        <v>1323.86</v>
      </c>
      <c r="J1877">
        <v>1892.58</v>
      </c>
      <c r="K1877">
        <v>1704.26</v>
      </c>
      <c r="L1877">
        <v>1108.03</v>
      </c>
      <c r="M1877">
        <v>4920.7</v>
      </c>
      <c r="N1877">
        <v>6028.73</v>
      </c>
    </row>
    <row r="1878" spans="1:14" x14ac:dyDescent="0.3">
      <c r="A1878" s="2">
        <v>44531</v>
      </c>
      <c r="B1878" t="s">
        <v>69</v>
      </c>
      <c r="C1878">
        <v>2021</v>
      </c>
      <c r="D1878">
        <v>12</v>
      </c>
      <c r="E1878" t="s">
        <v>57</v>
      </c>
      <c r="F1878" t="s">
        <v>52</v>
      </c>
      <c r="G1878">
        <v>5</v>
      </c>
      <c r="H1878" t="s">
        <v>20</v>
      </c>
      <c r="I1878">
        <v>211.9</v>
      </c>
      <c r="J1878">
        <v>317.91000000000003</v>
      </c>
      <c r="K1878">
        <v>539.13</v>
      </c>
      <c r="L1878">
        <v>7.57</v>
      </c>
      <c r="M1878">
        <v>1068.94</v>
      </c>
      <c r="N1878">
        <v>1076.51</v>
      </c>
    </row>
    <row r="1879" spans="1:14" x14ac:dyDescent="0.3">
      <c r="A1879" s="2">
        <v>44531</v>
      </c>
      <c r="B1879" t="s">
        <v>69</v>
      </c>
      <c r="C1879">
        <v>2021</v>
      </c>
      <c r="D1879">
        <v>12</v>
      </c>
      <c r="E1879" t="s">
        <v>57</v>
      </c>
      <c r="F1879" t="s">
        <v>53</v>
      </c>
      <c r="G1879">
        <v>19</v>
      </c>
      <c r="H1879" t="s">
        <v>20</v>
      </c>
      <c r="I1879">
        <v>1149.8699999999999</v>
      </c>
      <c r="J1879">
        <v>1459.64</v>
      </c>
      <c r="K1879">
        <v>820.71</v>
      </c>
      <c r="L1879">
        <v>276.37</v>
      </c>
      <c r="M1879">
        <v>3430.22</v>
      </c>
      <c r="N1879">
        <v>3706.59</v>
      </c>
    </row>
    <row r="1880" spans="1:14" x14ac:dyDescent="0.3">
      <c r="A1880" s="2">
        <v>44562</v>
      </c>
      <c r="B1880" t="s">
        <v>69</v>
      </c>
      <c r="C1880">
        <v>2022</v>
      </c>
      <c r="D1880">
        <v>1</v>
      </c>
      <c r="E1880" t="s">
        <v>58</v>
      </c>
      <c r="F1880" t="s">
        <v>17</v>
      </c>
      <c r="G1880">
        <v>35</v>
      </c>
      <c r="H1880" t="s">
        <v>18</v>
      </c>
      <c r="I1880">
        <v>11.05</v>
      </c>
      <c r="J1880">
        <v>14.64</v>
      </c>
      <c r="K1880">
        <v>2.98</v>
      </c>
      <c r="L1880">
        <v>0.01</v>
      </c>
      <c r="M1880">
        <v>28.67</v>
      </c>
      <c r="N1880">
        <v>28.68</v>
      </c>
    </row>
    <row r="1881" spans="1:14" x14ac:dyDescent="0.3">
      <c r="A1881" s="2">
        <v>44562</v>
      </c>
      <c r="B1881" t="s">
        <v>69</v>
      </c>
      <c r="C1881">
        <v>2022</v>
      </c>
      <c r="D1881">
        <v>1</v>
      </c>
      <c r="E1881" t="s">
        <v>58</v>
      </c>
      <c r="F1881" t="s">
        <v>19</v>
      </c>
      <c r="G1881">
        <v>28</v>
      </c>
      <c r="H1881" t="s">
        <v>20</v>
      </c>
      <c r="I1881">
        <v>713.03</v>
      </c>
      <c r="J1881">
        <v>952.17</v>
      </c>
      <c r="K1881">
        <v>1058.1099999999999</v>
      </c>
      <c r="L1881">
        <v>108.01</v>
      </c>
      <c r="M1881">
        <v>2723.31</v>
      </c>
      <c r="N1881">
        <v>2831.32</v>
      </c>
    </row>
    <row r="1882" spans="1:14" x14ac:dyDescent="0.3">
      <c r="A1882" s="2">
        <v>44562</v>
      </c>
      <c r="B1882" t="s">
        <v>69</v>
      </c>
      <c r="C1882">
        <v>2022</v>
      </c>
      <c r="D1882">
        <v>1</v>
      </c>
      <c r="E1882" t="s">
        <v>58</v>
      </c>
      <c r="F1882" t="s">
        <v>21</v>
      </c>
      <c r="G1882">
        <v>12</v>
      </c>
      <c r="H1882" t="s">
        <v>20</v>
      </c>
      <c r="I1882">
        <v>25.59</v>
      </c>
      <c r="J1882">
        <v>33.369999999999997</v>
      </c>
      <c r="K1882">
        <v>12.5</v>
      </c>
      <c r="L1882">
        <v>0.7</v>
      </c>
      <c r="M1882">
        <v>71.459999999999994</v>
      </c>
      <c r="N1882">
        <v>72.16</v>
      </c>
    </row>
    <row r="1883" spans="1:14" x14ac:dyDescent="0.3">
      <c r="A1883" s="2">
        <v>44562</v>
      </c>
      <c r="B1883" t="s">
        <v>69</v>
      </c>
      <c r="C1883">
        <v>2022</v>
      </c>
      <c r="D1883">
        <v>1</v>
      </c>
      <c r="E1883" t="s">
        <v>58</v>
      </c>
      <c r="F1883" t="s">
        <v>22</v>
      </c>
      <c r="G1883">
        <v>18</v>
      </c>
      <c r="H1883" t="s">
        <v>20</v>
      </c>
      <c r="I1883">
        <v>308.7</v>
      </c>
      <c r="J1883">
        <v>421.33</v>
      </c>
      <c r="K1883">
        <v>292.88</v>
      </c>
      <c r="L1883">
        <v>39.47</v>
      </c>
      <c r="M1883">
        <v>1022.91</v>
      </c>
      <c r="N1883">
        <v>1062.3800000000001</v>
      </c>
    </row>
    <row r="1884" spans="1:14" x14ac:dyDescent="0.3">
      <c r="A1884" s="2">
        <v>44562</v>
      </c>
      <c r="B1884" t="s">
        <v>69</v>
      </c>
      <c r="C1884">
        <v>2022</v>
      </c>
      <c r="D1884">
        <v>1</v>
      </c>
      <c r="E1884" t="s">
        <v>58</v>
      </c>
      <c r="F1884" t="s">
        <v>23</v>
      </c>
      <c r="G1884">
        <v>10</v>
      </c>
      <c r="H1884" t="s">
        <v>20</v>
      </c>
      <c r="I1884">
        <v>327.85</v>
      </c>
      <c r="J1884">
        <v>552.08000000000004</v>
      </c>
      <c r="K1884">
        <v>145.4</v>
      </c>
      <c r="L1884">
        <v>171.09</v>
      </c>
      <c r="M1884">
        <v>1025.33</v>
      </c>
      <c r="N1884">
        <v>1196.42</v>
      </c>
    </row>
    <row r="1885" spans="1:14" x14ac:dyDescent="0.3">
      <c r="A1885" s="2">
        <v>44562</v>
      </c>
      <c r="B1885" t="s">
        <v>69</v>
      </c>
      <c r="C1885">
        <v>2022</v>
      </c>
      <c r="D1885">
        <v>1</v>
      </c>
      <c r="E1885" t="s">
        <v>58</v>
      </c>
      <c r="F1885" t="s">
        <v>24</v>
      </c>
      <c r="G1885">
        <v>4</v>
      </c>
      <c r="H1885" t="s">
        <v>18</v>
      </c>
      <c r="I1885">
        <v>37.909999999999997</v>
      </c>
      <c r="J1885">
        <v>59.54</v>
      </c>
      <c r="K1885">
        <v>93.8</v>
      </c>
      <c r="L1885">
        <v>4.71</v>
      </c>
      <c r="M1885">
        <v>191.25</v>
      </c>
      <c r="N1885">
        <v>195.96</v>
      </c>
    </row>
    <row r="1886" spans="1:14" x14ac:dyDescent="0.3">
      <c r="A1886" s="2">
        <v>44562</v>
      </c>
      <c r="B1886" t="s">
        <v>69</v>
      </c>
      <c r="C1886">
        <v>2022</v>
      </c>
      <c r="D1886">
        <v>1</v>
      </c>
      <c r="E1886" t="s">
        <v>58</v>
      </c>
      <c r="F1886" t="s">
        <v>25</v>
      </c>
      <c r="G1886">
        <v>22</v>
      </c>
      <c r="H1886" t="s">
        <v>20</v>
      </c>
      <c r="I1886">
        <v>518.75</v>
      </c>
      <c r="J1886">
        <v>621.97</v>
      </c>
      <c r="K1886">
        <v>874.26</v>
      </c>
      <c r="L1886">
        <v>641.13</v>
      </c>
      <c r="M1886">
        <v>2014.98</v>
      </c>
      <c r="N1886">
        <v>2656.11</v>
      </c>
    </row>
    <row r="1887" spans="1:14" x14ac:dyDescent="0.3">
      <c r="A1887" s="2">
        <v>44562</v>
      </c>
      <c r="B1887" t="s">
        <v>69</v>
      </c>
      <c r="C1887">
        <v>2022</v>
      </c>
      <c r="D1887">
        <v>1</v>
      </c>
      <c r="E1887" t="s">
        <v>58</v>
      </c>
      <c r="F1887" t="s">
        <v>26</v>
      </c>
      <c r="G1887">
        <v>38</v>
      </c>
      <c r="H1887" t="s">
        <v>18</v>
      </c>
      <c r="I1887">
        <v>35.35</v>
      </c>
      <c r="J1887">
        <v>46.04</v>
      </c>
      <c r="K1887">
        <v>197.96</v>
      </c>
      <c r="L1887">
        <v>0.53</v>
      </c>
      <c r="M1887">
        <v>279.35000000000002</v>
      </c>
      <c r="N1887">
        <v>279.88</v>
      </c>
    </row>
    <row r="1888" spans="1:14" x14ac:dyDescent="0.3">
      <c r="A1888" s="2">
        <v>44562</v>
      </c>
      <c r="B1888" t="s">
        <v>69</v>
      </c>
      <c r="C1888">
        <v>2022</v>
      </c>
      <c r="D1888">
        <v>1</v>
      </c>
      <c r="E1888" t="s">
        <v>58</v>
      </c>
      <c r="F1888" t="s">
        <v>27</v>
      </c>
      <c r="G1888">
        <v>7</v>
      </c>
      <c r="H1888" t="s">
        <v>18</v>
      </c>
      <c r="I1888">
        <v>870.82</v>
      </c>
      <c r="J1888">
        <v>1104.48</v>
      </c>
      <c r="K1888">
        <v>2454.7199999999998</v>
      </c>
      <c r="L1888">
        <v>98.71</v>
      </c>
      <c r="M1888">
        <v>4430.0200000000004</v>
      </c>
      <c r="N1888">
        <v>4528.7299999999996</v>
      </c>
    </row>
    <row r="1889" spans="1:14" x14ac:dyDescent="0.3">
      <c r="A1889" s="2">
        <v>44562</v>
      </c>
      <c r="B1889" t="s">
        <v>69</v>
      </c>
      <c r="C1889">
        <v>2022</v>
      </c>
      <c r="D1889">
        <v>1</v>
      </c>
      <c r="E1889" t="s">
        <v>58</v>
      </c>
      <c r="F1889" t="s">
        <v>28</v>
      </c>
      <c r="G1889">
        <v>30</v>
      </c>
      <c r="H1889" t="s">
        <v>20</v>
      </c>
      <c r="I1889">
        <v>111.82</v>
      </c>
      <c r="J1889">
        <v>155.49</v>
      </c>
      <c r="K1889">
        <v>124.28</v>
      </c>
      <c r="L1889">
        <v>2.59</v>
      </c>
      <c r="M1889">
        <v>391.59</v>
      </c>
      <c r="N1889">
        <v>394.18</v>
      </c>
    </row>
    <row r="1890" spans="1:14" x14ac:dyDescent="0.3">
      <c r="A1890" s="2">
        <v>44562</v>
      </c>
      <c r="B1890" t="s">
        <v>69</v>
      </c>
      <c r="C1890">
        <v>2022</v>
      </c>
      <c r="D1890">
        <v>1</v>
      </c>
      <c r="E1890" t="s">
        <v>58</v>
      </c>
      <c r="F1890" t="s">
        <v>29</v>
      </c>
      <c r="G1890">
        <v>24</v>
      </c>
      <c r="H1890" t="s">
        <v>20</v>
      </c>
      <c r="I1890">
        <v>2430.91</v>
      </c>
      <c r="J1890">
        <v>2960.16</v>
      </c>
      <c r="K1890">
        <v>2613.7800000000002</v>
      </c>
      <c r="L1890">
        <v>611.47</v>
      </c>
      <c r="M1890">
        <v>8004.85</v>
      </c>
      <c r="N1890">
        <v>8616.32</v>
      </c>
    </row>
    <row r="1891" spans="1:14" x14ac:dyDescent="0.3">
      <c r="A1891" s="2">
        <v>44562</v>
      </c>
      <c r="B1891" t="s">
        <v>69</v>
      </c>
      <c r="C1891">
        <v>2022</v>
      </c>
      <c r="D1891">
        <v>1</v>
      </c>
      <c r="E1891" t="s">
        <v>58</v>
      </c>
      <c r="F1891" t="s">
        <v>30</v>
      </c>
      <c r="G1891">
        <v>6</v>
      </c>
      <c r="H1891" t="s">
        <v>20</v>
      </c>
      <c r="I1891">
        <v>1038.75</v>
      </c>
      <c r="J1891">
        <v>1420.77</v>
      </c>
      <c r="K1891">
        <v>3470.79</v>
      </c>
      <c r="L1891">
        <v>489.4</v>
      </c>
      <c r="M1891">
        <v>5930.31</v>
      </c>
      <c r="N1891">
        <v>6419.71</v>
      </c>
    </row>
    <row r="1892" spans="1:14" x14ac:dyDescent="0.3">
      <c r="A1892" s="2">
        <v>44562</v>
      </c>
      <c r="B1892" t="s">
        <v>69</v>
      </c>
      <c r="C1892">
        <v>2022</v>
      </c>
      <c r="D1892">
        <v>1</v>
      </c>
      <c r="E1892" t="s">
        <v>58</v>
      </c>
      <c r="F1892" t="s">
        <v>31</v>
      </c>
      <c r="G1892">
        <v>2</v>
      </c>
      <c r="H1892" t="s">
        <v>20</v>
      </c>
      <c r="I1892">
        <v>127.19</v>
      </c>
      <c r="J1892">
        <v>194.38</v>
      </c>
      <c r="K1892">
        <v>368.83</v>
      </c>
      <c r="L1892">
        <v>4.45</v>
      </c>
      <c r="M1892">
        <v>690.4</v>
      </c>
      <c r="N1892">
        <v>694.85</v>
      </c>
    </row>
    <row r="1893" spans="1:14" x14ac:dyDescent="0.3">
      <c r="A1893" s="2">
        <v>44562</v>
      </c>
      <c r="B1893" t="s">
        <v>69</v>
      </c>
      <c r="C1893">
        <v>2022</v>
      </c>
      <c r="D1893">
        <v>1</v>
      </c>
      <c r="E1893" t="s">
        <v>58</v>
      </c>
      <c r="F1893" t="s">
        <v>32</v>
      </c>
      <c r="G1893">
        <v>1</v>
      </c>
      <c r="H1893" t="s">
        <v>18</v>
      </c>
      <c r="I1893">
        <v>112.93</v>
      </c>
      <c r="J1893">
        <v>198.36</v>
      </c>
      <c r="K1893">
        <v>91.16</v>
      </c>
      <c r="L1893">
        <v>2.23</v>
      </c>
      <c r="M1893">
        <v>402.45</v>
      </c>
      <c r="N1893">
        <v>404.68</v>
      </c>
    </row>
    <row r="1894" spans="1:14" x14ac:dyDescent="0.3">
      <c r="A1894" s="2">
        <v>44562</v>
      </c>
      <c r="B1894" t="s">
        <v>69</v>
      </c>
      <c r="C1894">
        <v>2022</v>
      </c>
      <c r="D1894">
        <v>1</v>
      </c>
      <c r="E1894" t="s">
        <v>58</v>
      </c>
      <c r="F1894" t="s">
        <v>33</v>
      </c>
      <c r="G1894">
        <v>20</v>
      </c>
      <c r="H1894" t="s">
        <v>20</v>
      </c>
      <c r="I1894">
        <v>451.55</v>
      </c>
      <c r="J1894">
        <v>559.61</v>
      </c>
      <c r="K1894">
        <v>950.58</v>
      </c>
      <c r="L1894">
        <v>470.95</v>
      </c>
      <c r="M1894">
        <v>1961.74</v>
      </c>
      <c r="N1894">
        <v>2432.69</v>
      </c>
    </row>
    <row r="1895" spans="1:14" x14ac:dyDescent="0.3">
      <c r="A1895" s="2">
        <v>44562</v>
      </c>
      <c r="B1895" t="s">
        <v>69</v>
      </c>
      <c r="C1895">
        <v>2022</v>
      </c>
      <c r="D1895">
        <v>1</v>
      </c>
      <c r="E1895" t="s">
        <v>58</v>
      </c>
      <c r="F1895" t="s">
        <v>34</v>
      </c>
      <c r="G1895">
        <v>29</v>
      </c>
      <c r="H1895" t="s">
        <v>20</v>
      </c>
      <c r="I1895">
        <v>2195.5300000000002</v>
      </c>
      <c r="J1895">
        <v>2835.47</v>
      </c>
      <c r="K1895">
        <v>3644.53</v>
      </c>
      <c r="L1895">
        <v>920.74</v>
      </c>
      <c r="M1895">
        <v>8675.5300000000007</v>
      </c>
      <c r="N1895">
        <v>9596.27</v>
      </c>
    </row>
    <row r="1896" spans="1:14" x14ac:dyDescent="0.3">
      <c r="A1896" s="2">
        <v>44562</v>
      </c>
      <c r="B1896" t="s">
        <v>69</v>
      </c>
      <c r="C1896">
        <v>2022</v>
      </c>
      <c r="D1896">
        <v>1</v>
      </c>
      <c r="E1896" t="s">
        <v>58</v>
      </c>
      <c r="F1896" t="s">
        <v>35</v>
      </c>
      <c r="G1896">
        <v>32</v>
      </c>
      <c r="H1896" t="s">
        <v>20</v>
      </c>
      <c r="I1896">
        <v>752.75</v>
      </c>
      <c r="J1896">
        <v>1056.32</v>
      </c>
      <c r="K1896">
        <v>651.42999999999995</v>
      </c>
      <c r="L1896">
        <v>21.38</v>
      </c>
      <c r="M1896">
        <v>2460.5</v>
      </c>
      <c r="N1896">
        <v>2481.88</v>
      </c>
    </row>
    <row r="1897" spans="1:14" x14ac:dyDescent="0.3">
      <c r="A1897" s="2">
        <v>44562</v>
      </c>
      <c r="B1897" t="s">
        <v>69</v>
      </c>
      <c r="C1897">
        <v>2022</v>
      </c>
      <c r="D1897">
        <v>1</v>
      </c>
      <c r="E1897" t="s">
        <v>58</v>
      </c>
      <c r="F1897" t="s">
        <v>67</v>
      </c>
      <c r="G1897">
        <v>37</v>
      </c>
      <c r="H1897" t="s">
        <v>18</v>
      </c>
      <c r="I1897">
        <v>13.31</v>
      </c>
      <c r="J1897">
        <v>17.71</v>
      </c>
      <c r="K1897">
        <v>3.86</v>
      </c>
      <c r="L1897">
        <v>0.28000000000000003</v>
      </c>
      <c r="M1897">
        <v>34.880000000000003</v>
      </c>
      <c r="N1897">
        <v>35.159999999999997</v>
      </c>
    </row>
    <row r="1898" spans="1:14" x14ac:dyDescent="0.3">
      <c r="A1898" s="2">
        <v>44562</v>
      </c>
      <c r="B1898" t="s">
        <v>69</v>
      </c>
      <c r="C1898">
        <v>2022</v>
      </c>
      <c r="D1898">
        <v>1</v>
      </c>
      <c r="E1898" t="s">
        <v>58</v>
      </c>
      <c r="F1898" t="s">
        <v>36</v>
      </c>
      <c r="G1898">
        <v>31</v>
      </c>
      <c r="H1898" t="s">
        <v>18</v>
      </c>
      <c r="I1898">
        <v>0.99</v>
      </c>
      <c r="J1898">
        <v>1.03</v>
      </c>
      <c r="K1898">
        <v>0.05</v>
      </c>
      <c r="L1898">
        <v>0</v>
      </c>
      <c r="M1898">
        <v>2.0699999999999998</v>
      </c>
      <c r="N1898">
        <v>2.0699999999999998</v>
      </c>
    </row>
    <row r="1899" spans="1:14" x14ac:dyDescent="0.3">
      <c r="A1899" s="2">
        <v>44562</v>
      </c>
      <c r="B1899" t="s">
        <v>69</v>
      </c>
      <c r="C1899">
        <v>2022</v>
      </c>
      <c r="D1899">
        <v>1</v>
      </c>
      <c r="E1899" t="s">
        <v>58</v>
      </c>
      <c r="F1899" t="s">
        <v>37</v>
      </c>
      <c r="G1899">
        <v>23</v>
      </c>
      <c r="H1899" t="s">
        <v>20</v>
      </c>
      <c r="I1899">
        <v>718.3</v>
      </c>
      <c r="J1899">
        <v>920.77</v>
      </c>
      <c r="K1899">
        <v>734.12</v>
      </c>
      <c r="L1899">
        <v>586.12</v>
      </c>
      <c r="M1899">
        <v>2373.19</v>
      </c>
      <c r="N1899">
        <v>2959.31</v>
      </c>
    </row>
    <row r="1900" spans="1:14" x14ac:dyDescent="0.3">
      <c r="A1900" s="2">
        <v>44562</v>
      </c>
      <c r="B1900" t="s">
        <v>69</v>
      </c>
      <c r="C1900">
        <v>2022</v>
      </c>
      <c r="D1900">
        <v>1</v>
      </c>
      <c r="E1900" t="s">
        <v>58</v>
      </c>
      <c r="F1900" t="s">
        <v>38</v>
      </c>
      <c r="G1900">
        <v>27</v>
      </c>
      <c r="H1900" t="s">
        <v>20</v>
      </c>
      <c r="I1900">
        <v>5319.45</v>
      </c>
      <c r="J1900">
        <v>6360.44</v>
      </c>
      <c r="K1900">
        <v>7687.46</v>
      </c>
      <c r="L1900">
        <v>1337.05</v>
      </c>
      <c r="M1900">
        <v>19367.349999999999</v>
      </c>
      <c r="N1900">
        <v>20704.400000000001</v>
      </c>
    </row>
    <row r="1901" spans="1:14" x14ac:dyDescent="0.3">
      <c r="A1901" s="2">
        <v>44562</v>
      </c>
      <c r="B1901" t="s">
        <v>69</v>
      </c>
      <c r="C1901">
        <v>2022</v>
      </c>
      <c r="D1901">
        <v>1</v>
      </c>
      <c r="E1901" t="s">
        <v>58</v>
      </c>
      <c r="F1901" t="s">
        <v>39</v>
      </c>
      <c r="G1901">
        <v>14</v>
      </c>
      <c r="H1901" t="s">
        <v>20</v>
      </c>
      <c r="I1901">
        <v>16.13</v>
      </c>
      <c r="J1901">
        <v>20.82</v>
      </c>
      <c r="K1901">
        <v>7.26</v>
      </c>
      <c r="L1901">
        <v>0.09</v>
      </c>
      <c r="M1901">
        <v>44.21</v>
      </c>
      <c r="N1901">
        <v>44.3</v>
      </c>
    </row>
    <row r="1902" spans="1:14" x14ac:dyDescent="0.3">
      <c r="A1902" s="2">
        <v>44562</v>
      </c>
      <c r="B1902" t="s">
        <v>69</v>
      </c>
      <c r="C1902">
        <v>2022</v>
      </c>
      <c r="D1902">
        <v>1</v>
      </c>
      <c r="E1902" t="s">
        <v>58</v>
      </c>
      <c r="F1902" t="s">
        <v>40</v>
      </c>
      <c r="G1902">
        <v>17</v>
      </c>
      <c r="H1902" t="s">
        <v>20</v>
      </c>
      <c r="I1902">
        <v>26.95</v>
      </c>
      <c r="J1902">
        <v>35.6</v>
      </c>
      <c r="K1902">
        <v>83.27</v>
      </c>
      <c r="L1902">
        <v>0.49</v>
      </c>
      <c r="M1902">
        <v>145.82</v>
      </c>
      <c r="N1902">
        <v>146.31</v>
      </c>
    </row>
    <row r="1903" spans="1:14" x14ac:dyDescent="0.3">
      <c r="A1903" s="2">
        <v>44562</v>
      </c>
      <c r="B1903" t="s">
        <v>69</v>
      </c>
      <c r="C1903">
        <v>2022</v>
      </c>
      <c r="D1903">
        <v>1</v>
      </c>
      <c r="E1903" t="s">
        <v>58</v>
      </c>
      <c r="F1903" t="s">
        <v>41</v>
      </c>
      <c r="G1903">
        <v>15</v>
      </c>
      <c r="H1903" t="s">
        <v>20</v>
      </c>
      <c r="I1903">
        <v>11.99</v>
      </c>
      <c r="J1903">
        <v>17.510000000000002</v>
      </c>
      <c r="K1903">
        <v>5.09</v>
      </c>
      <c r="L1903">
        <v>0.17</v>
      </c>
      <c r="M1903">
        <v>34.590000000000003</v>
      </c>
      <c r="N1903">
        <v>34.76</v>
      </c>
    </row>
    <row r="1904" spans="1:14" x14ac:dyDescent="0.3">
      <c r="A1904" s="2">
        <v>44562</v>
      </c>
      <c r="B1904" t="s">
        <v>69</v>
      </c>
      <c r="C1904">
        <v>2022</v>
      </c>
      <c r="D1904">
        <v>1</v>
      </c>
      <c r="E1904" t="s">
        <v>58</v>
      </c>
      <c r="F1904" t="s">
        <v>42</v>
      </c>
      <c r="G1904">
        <v>13</v>
      </c>
      <c r="H1904" t="s">
        <v>20</v>
      </c>
      <c r="I1904">
        <v>12.24</v>
      </c>
      <c r="J1904">
        <v>20.04</v>
      </c>
      <c r="K1904">
        <v>6.54</v>
      </c>
      <c r="L1904">
        <v>1.73</v>
      </c>
      <c r="M1904">
        <v>38.82</v>
      </c>
      <c r="N1904">
        <v>40.549999999999997</v>
      </c>
    </row>
    <row r="1905" spans="1:14" x14ac:dyDescent="0.3">
      <c r="A1905" s="2">
        <v>44562</v>
      </c>
      <c r="B1905" t="s">
        <v>69</v>
      </c>
      <c r="C1905">
        <v>2022</v>
      </c>
      <c r="D1905">
        <v>1</v>
      </c>
      <c r="E1905" t="s">
        <v>58</v>
      </c>
      <c r="F1905" t="s">
        <v>43</v>
      </c>
      <c r="G1905">
        <v>21</v>
      </c>
      <c r="H1905" t="s">
        <v>20</v>
      </c>
      <c r="I1905">
        <v>965.92</v>
      </c>
      <c r="J1905">
        <v>1143.1400000000001</v>
      </c>
      <c r="K1905">
        <v>1134.1500000000001</v>
      </c>
      <c r="L1905">
        <v>752.19</v>
      </c>
      <c r="M1905">
        <v>3243.21</v>
      </c>
      <c r="N1905">
        <v>3995.4</v>
      </c>
    </row>
    <row r="1906" spans="1:14" x14ac:dyDescent="0.3">
      <c r="A1906" s="2">
        <v>44562</v>
      </c>
      <c r="B1906" t="s">
        <v>69</v>
      </c>
      <c r="C1906">
        <v>2022</v>
      </c>
      <c r="D1906">
        <v>1</v>
      </c>
      <c r="E1906" t="s">
        <v>58</v>
      </c>
      <c r="F1906" t="s">
        <v>44</v>
      </c>
      <c r="G1906">
        <v>34</v>
      </c>
      <c r="H1906" t="s">
        <v>18</v>
      </c>
      <c r="I1906">
        <v>22.48</v>
      </c>
      <c r="J1906">
        <v>38.72</v>
      </c>
      <c r="K1906">
        <v>106.77</v>
      </c>
      <c r="L1906">
        <v>1.28</v>
      </c>
      <c r="M1906">
        <v>167.97</v>
      </c>
      <c r="N1906">
        <v>169.25</v>
      </c>
    </row>
    <row r="1907" spans="1:14" x14ac:dyDescent="0.3">
      <c r="A1907" s="2">
        <v>44562</v>
      </c>
      <c r="B1907" t="s">
        <v>69</v>
      </c>
      <c r="C1907">
        <v>2022</v>
      </c>
      <c r="D1907">
        <v>1</v>
      </c>
      <c r="E1907" t="s">
        <v>58</v>
      </c>
      <c r="F1907" t="s">
        <v>45</v>
      </c>
      <c r="G1907">
        <v>3</v>
      </c>
      <c r="H1907" t="s">
        <v>20</v>
      </c>
      <c r="I1907">
        <v>422.29</v>
      </c>
      <c r="J1907">
        <v>659.09</v>
      </c>
      <c r="K1907">
        <v>583.15</v>
      </c>
      <c r="L1907">
        <v>25.75</v>
      </c>
      <c r="M1907">
        <v>1664.53</v>
      </c>
      <c r="N1907">
        <v>1690.28</v>
      </c>
    </row>
    <row r="1908" spans="1:14" x14ac:dyDescent="0.3">
      <c r="A1908" s="2">
        <v>44562</v>
      </c>
      <c r="B1908" t="s">
        <v>69</v>
      </c>
      <c r="C1908">
        <v>2022</v>
      </c>
      <c r="D1908">
        <v>1</v>
      </c>
      <c r="E1908" t="s">
        <v>58</v>
      </c>
      <c r="F1908" t="s">
        <v>46</v>
      </c>
      <c r="G1908">
        <v>8</v>
      </c>
      <c r="H1908" t="s">
        <v>20</v>
      </c>
      <c r="I1908">
        <v>971.7</v>
      </c>
      <c r="J1908">
        <v>1289.8599999999999</v>
      </c>
      <c r="K1908">
        <v>1215.7</v>
      </c>
      <c r="L1908">
        <v>171.41</v>
      </c>
      <c r="M1908">
        <v>3477.26</v>
      </c>
      <c r="N1908">
        <v>3648.67</v>
      </c>
    </row>
    <row r="1909" spans="1:14" x14ac:dyDescent="0.3">
      <c r="A1909" s="2">
        <v>44562</v>
      </c>
      <c r="B1909" t="s">
        <v>69</v>
      </c>
      <c r="C1909">
        <v>2022</v>
      </c>
      <c r="D1909">
        <v>1</v>
      </c>
      <c r="E1909" t="s">
        <v>58</v>
      </c>
      <c r="F1909" t="s">
        <v>47</v>
      </c>
      <c r="G1909">
        <v>11</v>
      </c>
      <c r="H1909" t="s">
        <v>20</v>
      </c>
      <c r="I1909">
        <v>15</v>
      </c>
      <c r="J1909">
        <v>24.72</v>
      </c>
      <c r="K1909">
        <v>209.51</v>
      </c>
      <c r="L1909">
        <v>0.38</v>
      </c>
      <c r="M1909">
        <v>249.23</v>
      </c>
      <c r="N1909">
        <v>249.61</v>
      </c>
    </row>
    <row r="1910" spans="1:14" x14ac:dyDescent="0.3">
      <c r="A1910" s="2">
        <v>44562</v>
      </c>
      <c r="B1910" t="s">
        <v>69</v>
      </c>
      <c r="C1910">
        <v>2022</v>
      </c>
      <c r="D1910">
        <v>1</v>
      </c>
      <c r="E1910" t="s">
        <v>58</v>
      </c>
      <c r="F1910" t="s">
        <v>48</v>
      </c>
      <c r="G1910">
        <v>33</v>
      </c>
      <c r="H1910" t="s">
        <v>20</v>
      </c>
      <c r="I1910">
        <v>2089.7399999999998</v>
      </c>
      <c r="J1910">
        <v>2812.13</v>
      </c>
      <c r="K1910">
        <v>2421.11</v>
      </c>
      <c r="L1910">
        <v>656.63</v>
      </c>
      <c r="M1910">
        <v>7322.98</v>
      </c>
      <c r="N1910">
        <v>7979.61</v>
      </c>
    </row>
    <row r="1911" spans="1:14" x14ac:dyDescent="0.3">
      <c r="A1911" s="2">
        <v>44562</v>
      </c>
      <c r="B1911" t="s">
        <v>69</v>
      </c>
      <c r="C1911">
        <v>2022</v>
      </c>
      <c r="D1911">
        <v>1</v>
      </c>
      <c r="E1911" t="s">
        <v>58</v>
      </c>
      <c r="F1911" t="s">
        <v>49</v>
      </c>
      <c r="G1911">
        <v>36</v>
      </c>
      <c r="H1911" t="s">
        <v>20</v>
      </c>
      <c r="I1911">
        <v>1055.72</v>
      </c>
      <c r="J1911">
        <v>1424.16</v>
      </c>
      <c r="K1911">
        <v>1375.14</v>
      </c>
      <c r="L1911">
        <v>604.96</v>
      </c>
      <c r="M1911">
        <v>3855.02</v>
      </c>
      <c r="N1911">
        <v>4459.9799999999996</v>
      </c>
    </row>
    <row r="1912" spans="1:14" x14ac:dyDescent="0.3">
      <c r="A1912" s="2">
        <v>44562</v>
      </c>
      <c r="B1912" t="s">
        <v>69</v>
      </c>
      <c r="C1912">
        <v>2022</v>
      </c>
      <c r="D1912">
        <v>1</v>
      </c>
      <c r="E1912" t="s">
        <v>58</v>
      </c>
      <c r="F1912" t="s">
        <v>50</v>
      </c>
      <c r="G1912">
        <v>16</v>
      </c>
      <c r="H1912" t="s">
        <v>20</v>
      </c>
      <c r="I1912">
        <v>27</v>
      </c>
      <c r="J1912">
        <v>37.42</v>
      </c>
      <c r="K1912">
        <v>8.3800000000000008</v>
      </c>
      <c r="L1912">
        <v>0.38</v>
      </c>
      <c r="M1912">
        <v>72.8</v>
      </c>
      <c r="N1912">
        <v>73.180000000000007</v>
      </c>
    </row>
    <row r="1913" spans="1:14" x14ac:dyDescent="0.3">
      <c r="A1913" s="2">
        <v>44562</v>
      </c>
      <c r="B1913" t="s">
        <v>69</v>
      </c>
      <c r="C1913">
        <v>2022</v>
      </c>
      <c r="D1913">
        <v>1</v>
      </c>
      <c r="E1913" t="s">
        <v>58</v>
      </c>
      <c r="F1913" t="s">
        <v>51</v>
      </c>
      <c r="G1913">
        <v>9</v>
      </c>
      <c r="H1913" t="s">
        <v>20</v>
      </c>
      <c r="I1913">
        <v>1529.52</v>
      </c>
      <c r="J1913">
        <v>2178.6999999999998</v>
      </c>
      <c r="K1913">
        <v>2181.83</v>
      </c>
      <c r="L1913">
        <v>1095.5</v>
      </c>
      <c r="M1913">
        <v>5890.05</v>
      </c>
      <c r="N1913">
        <v>6985.55</v>
      </c>
    </row>
    <row r="1914" spans="1:14" x14ac:dyDescent="0.3">
      <c r="A1914" s="2">
        <v>44562</v>
      </c>
      <c r="B1914" t="s">
        <v>69</v>
      </c>
      <c r="C1914">
        <v>2022</v>
      </c>
      <c r="D1914">
        <v>1</v>
      </c>
      <c r="E1914" t="s">
        <v>58</v>
      </c>
      <c r="F1914" t="s">
        <v>52</v>
      </c>
      <c r="G1914">
        <v>5</v>
      </c>
      <c r="H1914" t="s">
        <v>20</v>
      </c>
      <c r="I1914">
        <v>242.6</v>
      </c>
      <c r="J1914">
        <v>360.92</v>
      </c>
      <c r="K1914">
        <v>693.35</v>
      </c>
      <c r="L1914">
        <v>9.2200000000000006</v>
      </c>
      <c r="M1914">
        <v>1296.8699999999999</v>
      </c>
      <c r="N1914">
        <v>1306.0899999999999</v>
      </c>
    </row>
    <row r="1915" spans="1:14" x14ac:dyDescent="0.3">
      <c r="A1915" s="2">
        <v>44562</v>
      </c>
      <c r="B1915" t="s">
        <v>69</v>
      </c>
      <c r="C1915">
        <v>2022</v>
      </c>
      <c r="D1915">
        <v>1</v>
      </c>
      <c r="E1915" t="s">
        <v>58</v>
      </c>
      <c r="F1915" t="s">
        <v>53</v>
      </c>
      <c r="G1915">
        <v>19</v>
      </c>
      <c r="H1915" t="s">
        <v>20</v>
      </c>
      <c r="I1915">
        <v>1329.17</v>
      </c>
      <c r="J1915">
        <v>1675.91</v>
      </c>
      <c r="K1915">
        <v>1140.81</v>
      </c>
      <c r="L1915">
        <v>328.37</v>
      </c>
      <c r="M1915">
        <v>4145.8900000000003</v>
      </c>
      <c r="N1915">
        <v>4474.26</v>
      </c>
    </row>
    <row r="1916" spans="1:14" x14ac:dyDescent="0.3">
      <c r="A1916" s="2">
        <v>44593</v>
      </c>
      <c r="B1916" t="s">
        <v>69</v>
      </c>
      <c r="C1916">
        <v>2022</v>
      </c>
      <c r="D1916">
        <v>2</v>
      </c>
      <c r="E1916" t="s">
        <v>59</v>
      </c>
      <c r="F1916" t="s">
        <v>17</v>
      </c>
      <c r="G1916">
        <v>35</v>
      </c>
      <c r="H1916" t="s">
        <v>18</v>
      </c>
      <c r="I1916">
        <v>8.39</v>
      </c>
      <c r="J1916">
        <v>11.57</v>
      </c>
      <c r="K1916">
        <v>2.02</v>
      </c>
      <c r="L1916">
        <v>0.03</v>
      </c>
      <c r="M1916">
        <v>21.98</v>
      </c>
      <c r="N1916">
        <v>22.01</v>
      </c>
    </row>
    <row r="1917" spans="1:14" x14ac:dyDescent="0.3">
      <c r="A1917" s="2">
        <v>44593</v>
      </c>
      <c r="B1917" t="s">
        <v>69</v>
      </c>
      <c r="C1917">
        <v>2022</v>
      </c>
      <c r="D1917">
        <v>2</v>
      </c>
      <c r="E1917" t="s">
        <v>59</v>
      </c>
      <c r="F1917" t="s">
        <v>19</v>
      </c>
      <c r="G1917">
        <v>28</v>
      </c>
      <c r="H1917" t="s">
        <v>20</v>
      </c>
      <c r="I1917">
        <v>707.92</v>
      </c>
      <c r="J1917">
        <v>931.88</v>
      </c>
      <c r="K1917">
        <v>1204.19</v>
      </c>
      <c r="L1917">
        <v>313.29000000000002</v>
      </c>
      <c r="M1917">
        <v>2843.99</v>
      </c>
      <c r="N1917">
        <v>3157.28</v>
      </c>
    </row>
    <row r="1918" spans="1:14" x14ac:dyDescent="0.3">
      <c r="A1918" s="2">
        <v>44593</v>
      </c>
      <c r="B1918" t="s">
        <v>69</v>
      </c>
      <c r="C1918">
        <v>2022</v>
      </c>
      <c r="D1918">
        <v>2</v>
      </c>
      <c r="E1918" t="s">
        <v>59</v>
      </c>
      <c r="F1918" t="s">
        <v>21</v>
      </c>
      <c r="G1918">
        <v>12</v>
      </c>
      <c r="H1918" t="s">
        <v>20</v>
      </c>
      <c r="I1918">
        <v>18.59</v>
      </c>
      <c r="J1918">
        <v>26.26</v>
      </c>
      <c r="K1918">
        <v>10.98</v>
      </c>
      <c r="L1918">
        <v>0.16</v>
      </c>
      <c r="M1918">
        <v>55.83</v>
      </c>
      <c r="N1918">
        <v>55.99</v>
      </c>
    </row>
    <row r="1919" spans="1:14" x14ac:dyDescent="0.3">
      <c r="A1919" s="2">
        <v>44593</v>
      </c>
      <c r="B1919" t="s">
        <v>69</v>
      </c>
      <c r="C1919">
        <v>2022</v>
      </c>
      <c r="D1919">
        <v>2</v>
      </c>
      <c r="E1919" t="s">
        <v>59</v>
      </c>
      <c r="F1919" t="s">
        <v>22</v>
      </c>
      <c r="G1919">
        <v>18</v>
      </c>
      <c r="H1919" t="s">
        <v>20</v>
      </c>
      <c r="I1919">
        <v>311.91000000000003</v>
      </c>
      <c r="J1919">
        <v>401.63</v>
      </c>
      <c r="K1919">
        <v>250.85</v>
      </c>
      <c r="L1919">
        <v>43.41</v>
      </c>
      <c r="M1919">
        <v>964.39</v>
      </c>
      <c r="N1919">
        <v>1007.8</v>
      </c>
    </row>
    <row r="1920" spans="1:14" x14ac:dyDescent="0.3">
      <c r="A1920" s="2">
        <v>44593</v>
      </c>
      <c r="B1920" t="s">
        <v>69</v>
      </c>
      <c r="C1920">
        <v>2022</v>
      </c>
      <c r="D1920">
        <v>2</v>
      </c>
      <c r="E1920" t="s">
        <v>59</v>
      </c>
      <c r="F1920" t="s">
        <v>23</v>
      </c>
      <c r="G1920">
        <v>10</v>
      </c>
      <c r="H1920" t="s">
        <v>20</v>
      </c>
      <c r="I1920">
        <v>351.46</v>
      </c>
      <c r="J1920">
        <v>550.11</v>
      </c>
      <c r="K1920">
        <v>156.36000000000001</v>
      </c>
      <c r="L1920">
        <v>148.41</v>
      </c>
      <c r="M1920">
        <v>1057.93</v>
      </c>
      <c r="N1920">
        <v>1206.3399999999999</v>
      </c>
    </row>
    <row r="1921" spans="1:14" x14ac:dyDescent="0.3">
      <c r="A1921" s="2">
        <v>44593</v>
      </c>
      <c r="B1921" t="s">
        <v>69</v>
      </c>
      <c r="C1921">
        <v>2022</v>
      </c>
      <c r="D1921">
        <v>2</v>
      </c>
      <c r="E1921" t="s">
        <v>59</v>
      </c>
      <c r="F1921" t="s">
        <v>24</v>
      </c>
      <c r="G1921">
        <v>4</v>
      </c>
      <c r="H1921" t="s">
        <v>18</v>
      </c>
      <c r="I1921">
        <v>32.880000000000003</v>
      </c>
      <c r="J1921">
        <v>45.79</v>
      </c>
      <c r="K1921">
        <v>98.79</v>
      </c>
      <c r="L1921">
        <v>0.82</v>
      </c>
      <c r="M1921">
        <v>177.46</v>
      </c>
      <c r="N1921">
        <v>178.28</v>
      </c>
    </row>
    <row r="1922" spans="1:14" x14ac:dyDescent="0.3">
      <c r="A1922" s="2">
        <v>44593</v>
      </c>
      <c r="B1922" t="s">
        <v>69</v>
      </c>
      <c r="C1922">
        <v>2022</v>
      </c>
      <c r="D1922">
        <v>2</v>
      </c>
      <c r="E1922" t="s">
        <v>59</v>
      </c>
      <c r="F1922" t="s">
        <v>25</v>
      </c>
      <c r="G1922">
        <v>22</v>
      </c>
      <c r="H1922" t="s">
        <v>20</v>
      </c>
      <c r="I1922">
        <v>528.39</v>
      </c>
      <c r="J1922">
        <v>620.37</v>
      </c>
      <c r="K1922">
        <v>988.95</v>
      </c>
      <c r="L1922">
        <v>645.09</v>
      </c>
      <c r="M1922">
        <v>2137.71</v>
      </c>
      <c r="N1922">
        <v>2782.8</v>
      </c>
    </row>
    <row r="1923" spans="1:14" x14ac:dyDescent="0.3">
      <c r="A1923" s="2">
        <v>44593</v>
      </c>
      <c r="B1923" t="s">
        <v>69</v>
      </c>
      <c r="C1923">
        <v>2022</v>
      </c>
      <c r="D1923">
        <v>2</v>
      </c>
      <c r="E1923" t="s">
        <v>59</v>
      </c>
      <c r="F1923" t="s">
        <v>26</v>
      </c>
      <c r="G1923">
        <v>38</v>
      </c>
      <c r="H1923" t="s">
        <v>18</v>
      </c>
      <c r="I1923">
        <v>37.06</v>
      </c>
      <c r="J1923">
        <v>48</v>
      </c>
      <c r="K1923">
        <v>174.56</v>
      </c>
      <c r="L1923">
        <v>0.52</v>
      </c>
      <c r="M1923">
        <v>259.62</v>
      </c>
      <c r="N1923">
        <v>260.14</v>
      </c>
    </row>
    <row r="1924" spans="1:14" x14ac:dyDescent="0.3">
      <c r="A1924" s="2">
        <v>44593</v>
      </c>
      <c r="B1924" t="s">
        <v>69</v>
      </c>
      <c r="C1924">
        <v>2022</v>
      </c>
      <c r="D1924">
        <v>2</v>
      </c>
      <c r="E1924" t="s">
        <v>59</v>
      </c>
      <c r="F1924" t="s">
        <v>27</v>
      </c>
      <c r="G1924">
        <v>7</v>
      </c>
      <c r="H1924" t="s">
        <v>18</v>
      </c>
      <c r="I1924">
        <v>777.9</v>
      </c>
      <c r="J1924">
        <v>939.01</v>
      </c>
      <c r="K1924">
        <v>2103.11</v>
      </c>
      <c r="L1924">
        <v>101.63</v>
      </c>
      <c r="M1924">
        <v>3820.02</v>
      </c>
      <c r="N1924">
        <v>3921.65</v>
      </c>
    </row>
    <row r="1925" spans="1:14" x14ac:dyDescent="0.3">
      <c r="A1925" s="2">
        <v>44593</v>
      </c>
      <c r="B1925" t="s">
        <v>69</v>
      </c>
      <c r="C1925">
        <v>2022</v>
      </c>
      <c r="D1925">
        <v>2</v>
      </c>
      <c r="E1925" t="s">
        <v>59</v>
      </c>
      <c r="F1925" t="s">
        <v>28</v>
      </c>
      <c r="G1925">
        <v>30</v>
      </c>
      <c r="H1925" t="s">
        <v>20</v>
      </c>
      <c r="I1925">
        <v>92.95</v>
      </c>
      <c r="J1925">
        <v>123.79</v>
      </c>
      <c r="K1925">
        <v>145.04</v>
      </c>
      <c r="L1925">
        <v>2.0499999999999998</v>
      </c>
      <c r="M1925">
        <v>361.78</v>
      </c>
      <c r="N1925">
        <v>363.83</v>
      </c>
    </row>
    <row r="1926" spans="1:14" x14ac:dyDescent="0.3">
      <c r="A1926" s="2">
        <v>44593</v>
      </c>
      <c r="B1926" t="s">
        <v>69</v>
      </c>
      <c r="C1926">
        <v>2022</v>
      </c>
      <c r="D1926">
        <v>2</v>
      </c>
      <c r="E1926" t="s">
        <v>59</v>
      </c>
      <c r="F1926" t="s">
        <v>29</v>
      </c>
      <c r="G1926">
        <v>24</v>
      </c>
      <c r="H1926" t="s">
        <v>20</v>
      </c>
      <c r="I1926">
        <v>2478.13</v>
      </c>
      <c r="J1926">
        <v>3007.46</v>
      </c>
      <c r="K1926">
        <v>2768.51</v>
      </c>
      <c r="L1926">
        <v>618.66</v>
      </c>
      <c r="M1926">
        <v>8254.1</v>
      </c>
      <c r="N1926">
        <v>8872.76</v>
      </c>
    </row>
    <row r="1927" spans="1:14" x14ac:dyDescent="0.3">
      <c r="A1927" s="2">
        <v>44593</v>
      </c>
      <c r="B1927" t="s">
        <v>69</v>
      </c>
      <c r="C1927">
        <v>2022</v>
      </c>
      <c r="D1927">
        <v>2</v>
      </c>
      <c r="E1927" t="s">
        <v>59</v>
      </c>
      <c r="F1927" t="s">
        <v>30</v>
      </c>
      <c r="G1927">
        <v>6</v>
      </c>
      <c r="H1927" t="s">
        <v>20</v>
      </c>
      <c r="I1927">
        <v>1050.3699999999999</v>
      </c>
      <c r="J1927">
        <v>1399.91</v>
      </c>
      <c r="K1927">
        <v>3008.6</v>
      </c>
      <c r="L1927">
        <v>469.29</v>
      </c>
      <c r="M1927">
        <v>5458.88</v>
      </c>
      <c r="N1927">
        <v>5928.17</v>
      </c>
    </row>
    <row r="1928" spans="1:14" x14ac:dyDescent="0.3">
      <c r="A1928" s="2">
        <v>44593</v>
      </c>
      <c r="B1928" t="s">
        <v>69</v>
      </c>
      <c r="C1928">
        <v>2022</v>
      </c>
      <c r="D1928">
        <v>2</v>
      </c>
      <c r="E1928" t="s">
        <v>59</v>
      </c>
      <c r="F1928" t="s">
        <v>31</v>
      </c>
      <c r="G1928">
        <v>2</v>
      </c>
      <c r="H1928" t="s">
        <v>20</v>
      </c>
      <c r="I1928">
        <v>108.59</v>
      </c>
      <c r="J1928">
        <v>155.47999999999999</v>
      </c>
      <c r="K1928">
        <v>392.19</v>
      </c>
      <c r="L1928">
        <v>0.98</v>
      </c>
      <c r="M1928">
        <v>656.26</v>
      </c>
      <c r="N1928">
        <v>657.24</v>
      </c>
    </row>
    <row r="1929" spans="1:14" x14ac:dyDescent="0.3">
      <c r="A1929" s="2">
        <v>44593</v>
      </c>
      <c r="B1929" t="s">
        <v>69</v>
      </c>
      <c r="C1929">
        <v>2022</v>
      </c>
      <c r="D1929">
        <v>2</v>
      </c>
      <c r="E1929" t="s">
        <v>59</v>
      </c>
      <c r="F1929" t="s">
        <v>32</v>
      </c>
      <c r="G1929">
        <v>1</v>
      </c>
      <c r="H1929" t="s">
        <v>18</v>
      </c>
      <c r="I1929">
        <v>96.86</v>
      </c>
      <c r="J1929">
        <v>136.46</v>
      </c>
      <c r="K1929">
        <v>90.67</v>
      </c>
      <c r="L1929">
        <v>2.4300000000000002</v>
      </c>
      <c r="M1929">
        <v>323.99</v>
      </c>
      <c r="N1929">
        <v>326.42</v>
      </c>
    </row>
    <row r="1930" spans="1:14" x14ac:dyDescent="0.3">
      <c r="A1930" s="2">
        <v>44593</v>
      </c>
      <c r="B1930" t="s">
        <v>69</v>
      </c>
      <c r="C1930">
        <v>2022</v>
      </c>
      <c r="D1930">
        <v>2</v>
      </c>
      <c r="E1930" t="s">
        <v>59</v>
      </c>
      <c r="F1930" t="s">
        <v>33</v>
      </c>
      <c r="G1930">
        <v>20</v>
      </c>
      <c r="H1930" t="s">
        <v>20</v>
      </c>
      <c r="I1930">
        <v>544.61</v>
      </c>
      <c r="J1930">
        <v>660.79</v>
      </c>
      <c r="K1930">
        <v>846.35</v>
      </c>
      <c r="L1930">
        <v>484.73</v>
      </c>
      <c r="M1930">
        <v>2051.75</v>
      </c>
      <c r="N1930">
        <v>2536.48</v>
      </c>
    </row>
    <row r="1931" spans="1:14" x14ac:dyDescent="0.3">
      <c r="A1931" s="2">
        <v>44593</v>
      </c>
      <c r="B1931" t="s">
        <v>69</v>
      </c>
      <c r="C1931">
        <v>2022</v>
      </c>
      <c r="D1931">
        <v>2</v>
      </c>
      <c r="E1931" t="s">
        <v>59</v>
      </c>
      <c r="F1931" t="s">
        <v>34</v>
      </c>
      <c r="G1931">
        <v>29</v>
      </c>
      <c r="H1931" t="s">
        <v>20</v>
      </c>
      <c r="I1931">
        <v>2177.58</v>
      </c>
      <c r="J1931">
        <v>2678.54</v>
      </c>
      <c r="K1931">
        <v>3393.69</v>
      </c>
      <c r="L1931">
        <v>926.51</v>
      </c>
      <c r="M1931">
        <v>8249.81</v>
      </c>
      <c r="N1931">
        <v>9176.32</v>
      </c>
    </row>
    <row r="1932" spans="1:14" x14ac:dyDescent="0.3">
      <c r="A1932" s="2">
        <v>44593</v>
      </c>
      <c r="B1932" t="s">
        <v>69</v>
      </c>
      <c r="C1932">
        <v>2022</v>
      </c>
      <c r="D1932">
        <v>2</v>
      </c>
      <c r="E1932" t="s">
        <v>59</v>
      </c>
      <c r="F1932" t="s">
        <v>35</v>
      </c>
      <c r="G1932">
        <v>32</v>
      </c>
      <c r="H1932" t="s">
        <v>20</v>
      </c>
      <c r="I1932">
        <v>706.36</v>
      </c>
      <c r="J1932">
        <v>927.57</v>
      </c>
      <c r="K1932">
        <v>434.7</v>
      </c>
      <c r="L1932">
        <v>5.86</v>
      </c>
      <c r="M1932">
        <v>2068.63</v>
      </c>
      <c r="N1932">
        <v>2074.4899999999998</v>
      </c>
    </row>
    <row r="1933" spans="1:14" x14ac:dyDescent="0.3">
      <c r="A1933" s="2">
        <v>44593</v>
      </c>
      <c r="B1933" t="s">
        <v>69</v>
      </c>
      <c r="C1933">
        <v>2022</v>
      </c>
      <c r="D1933">
        <v>2</v>
      </c>
      <c r="E1933" t="s">
        <v>59</v>
      </c>
      <c r="F1933" t="s">
        <v>67</v>
      </c>
      <c r="G1933">
        <v>37</v>
      </c>
      <c r="H1933" t="s">
        <v>18</v>
      </c>
      <c r="I1933">
        <v>5.56</v>
      </c>
      <c r="J1933">
        <v>7.59</v>
      </c>
      <c r="K1933">
        <v>2.17</v>
      </c>
      <c r="L1933">
        <v>0.25</v>
      </c>
      <c r="M1933">
        <v>15.32</v>
      </c>
      <c r="N1933">
        <v>15.57</v>
      </c>
    </row>
    <row r="1934" spans="1:14" x14ac:dyDescent="0.3">
      <c r="A1934" s="2">
        <v>44593</v>
      </c>
      <c r="B1934" t="s">
        <v>69</v>
      </c>
      <c r="C1934">
        <v>2022</v>
      </c>
      <c r="D1934">
        <v>2</v>
      </c>
      <c r="E1934" t="s">
        <v>59</v>
      </c>
      <c r="F1934" t="s">
        <v>36</v>
      </c>
      <c r="G1934">
        <v>31</v>
      </c>
      <c r="H1934" t="s">
        <v>18</v>
      </c>
      <c r="I1934">
        <v>0.3</v>
      </c>
      <c r="J1934">
        <v>0.45</v>
      </c>
      <c r="K1934">
        <v>0.06</v>
      </c>
      <c r="L1934">
        <v>0</v>
      </c>
      <c r="M1934">
        <v>0.81</v>
      </c>
      <c r="N1934">
        <v>0.81</v>
      </c>
    </row>
    <row r="1935" spans="1:14" x14ac:dyDescent="0.3">
      <c r="A1935" s="2">
        <v>44593</v>
      </c>
      <c r="B1935" t="s">
        <v>69</v>
      </c>
      <c r="C1935">
        <v>2022</v>
      </c>
      <c r="D1935">
        <v>2</v>
      </c>
      <c r="E1935" t="s">
        <v>59</v>
      </c>
      <c r="F1935" t="s">
        <v>37</v>
      </c>
      <c r="G1935">
        <v>23</v>
      </c>
      <c r="H1935" t="s">
        <v>20</v>
      </c>
      <c r="I1935">
        <v>666.04</v>
      </c>
      <c r="J1935">
        <v>858.95</v>
      </c>
      <c r="K1935">
        <v>726.38</v>
      </c>
      <c r="L1935">
        <v>601.45000000000005</v>
      </c>
      <c r="M1935">
        <v>2251.37</v>
      </c>
      <c r="N1935">
        <v>2852.82</v>
      </c>
    </row>
    <row r="1936" spans="1:14" x14ac:dyDescent="0.3">
      <c r="A1936" s="2">
        <v>44593</v>
      </c>
      <c r="B1936" t="s">
        <v>69</v>
      </c>
      <c r="C1936">
        <v>2022</v>
      </c>
      <c r="D1936">
        <v>2</v>
      </c>
      <c r="E1936" t="s">
        <v>59</v>
      </c>
      <c r="F1936" t="s">
        <v>38</v>
      </c>
      <c r="G1936">
        <v>27</v>
      </c>
      <c r="H1936" t="s">
        <v>20</v>
      </c>
      <c r="I1936">
        <v>5426.85</v>
      </c>
      <c r="J1936">
        <v>6379.42</v>
      </c>
      <c r="K1936">
        <v>6122.46</v>
      </c>
      <c r="L1936">
        <v>1493.86</v>
      </c>
      <c r="M1936">
        <v>17928.73</v>
      </c>
      <c r="N1936">
        <v>19422.59</v>
      </c>
    </row>
    <row r="1937" spans="1:14" x14ac:dyDescent="0.3">
      <c r="A1937" s="2">
        <v>44593</v>
      </c>
      <c r="B1937" t="s">
        <v>69</v>
      </c>
      <c r="C1937">
        <v>2022</v>
      </c>
      <c r="D1937">
        <v>2</v>
      </c>
      <c r="E1937" t="s">
        <v>59</v>
      </c>
      <c r="F1937" t="s">
        <v>39</v>
      </c>
      <c r="G1937">
        <v>14</v>
      </c>
      <c r="H1937" t="s">
        <v>20</v>
      </c>
      <c r="I1937">
        <v>14.12</v>
      </c>
      <c r="J1937">
        <v>19.52</v>
      </c>
      <c r="K1937">
        <v>5.0199999999999996</v>
      </c>
      <c r="L1937">
        <v>0.13</v>
      </c>
      <c r="M1937">
        <v>38.659999999999997</v>
      </c>
      <c r="N1937">
        <v>38.79</v>
      </c>
    </row>
    <row r="1938" spans="1:14" x14ac:dyDescent="0.3">
      <c r="A1938" s="2">
        <v>44593</v>
      </c>
      <c r="B1938" t="s">
        <v>69</v>
      </c>
      <c r="C1938">
        <v>2022</v>
      </c>
      <c r="D1938">
        <v>2</v>
      </c>
      <c r="E1938" t="s">
        <v>59</v>
      </c>
      <c r="F1938" t="s">
        <v>40</v>
      </c>
      <c r="G1938">
        <v>17</v>
      </c>
      <c r="H1938" t="s">
        <v>20</v>
      </c>
      <c r="I1938">
        <v>31.25</v>
      </c>
      <c r="J1938">
        <v>38.369999999999997</v>
      </c>
      <c r="K1938">
        <v>130.19999999999999</v>
      </c>
      <c r="L1938">
        <v>0.74</v>
      </c>
      <c r="M1938">
        <v>199.82</v>
      </c>
      <c r="N1938">
        <v>200.56</v>
      </c>
    </row>
    <row r="1939" spans="1:14" x14ac:dyDescent="0.3">
      <c r="A1939" s="2">
        <v>44593</v>
      </c>
      <c r="B1939" t="s">
        <v>69</v>
      </c>
      <c r="C1939">
        <v>2022</v>
      </c>
      <c r="D1939">
        <v>2</v>
      </c>
      <c r="E1939" t="s">
        <v>59</v>
      </c>
      <c r="F1939" t="s">
        <v>41</v>
      </c>
      <c r="G1939">
        <v>15</v>
      </c>
      <c r="H1939" t="s">
        <v>20</v>
      </c>
      <c r="I1939">
        <v>9.65</v>
      </c>
      <c r="J1939">
        <v>12.26</v>
      </c>
      <c r="K1939">
        <v>2.29</v>
      </c>
      <c r="L1939">
        <v>0.03</v>
      </c>
      <c r="M1939">
        <v>24.2</v>
      </c>
      <c r="N1939">
        <v>24.23</v>
      </c>
    </row>
    <row r="1940" spans="1:14" x14ac:dyDescent="0.3">
      <c r="A1940" s="2">
        <v>44593</v>
      </c>
      <c r="B1940" t="s">
        <v>69</v>
      </c>
      <c r="C1940">
        <v>2022</v>
      </c>
      <c r="D1940">
        <v>2</v>
      </c>
      <c r="E1940" t="s">
        <v>59</v>
      </c>
      <c r="F1940" t="s">
        <v>42</v>
      </c>
      <c r="G1940">
        <v>13</v>
      </c>
      <c r="H1940" t="s">
        <v>20</v>
      </c>
      <c r="I1940">
        <v>9.0500000000000007</v>
      </c>
      <c r="J1940">
        <v>12.24</v>
      </c>
      <c r="K1940">
        <v>9.6</v>
      </c>
      <c r="L1940">
        <v>1.95</v>
      </c>
      <c r="M1940">
        <v>30.89</v>
      </c>
      <c r="N1940">
        <v>32.840000000000003</v>
      </c>
    </row>
    <row r="1941" spans="1:14" x14ac:dyDescent="0.3">
      <c r="A1941" s="2">
        <v>44593</v>
      </c>
      <c r="B1941" t="s">
        <v>69</v>
      </c>
      <c r="C1941">
        <v>2022</v>
      </c>
      <c r="D1941">
        <v>2</v>
      </c>
      <c r="E1941" t="s">
        <v>59</v>
      </c>
      <c r="F1941" t="s">
        <v>43</v>
      </c>
      <c r="G1941">
        <v>21</v>
      </c>
      <c r="H1941" t="s">
        <v>20</v>
      </c>
      <c r="I1941">
        <v>989.49</v>
      </c>
      <c r="J1941">
        <v>1152.3699999999999</v>
      </c>
      <c r="K1941">
        <v>1223.92</v>
      </c>
      <c r="L1941">
        <v>735.71</v>
      </c>
      <c r="M1941">
        <v>3365.78</v>
      </c>
      <c r="N1941">
        <v>4101.49</v>
      </c>
    </row>
    <row r="1942" spans="1:14" x14ac:dyDescent="0.3">
      <c r="A1942" s="2">
        <v>44593</v>
      </c>
      <c r="B1942" t="s">
        <v>69</v>
      </c>
      <c r="C1942">
        <v>2022</v>
      </c>
      <c r="D1942">
        <v>2</v>
      </c>
      <c r="E1942" t="s">
        <v>59</v>
      </c>
      <c r="F1942" t="s">
        <v>44</v>
      </c>
      <c r="G1942">
        <v>34</v>
      </c>
      <c r="H1942" t="s">
        <v>18</v>
      </c>
      <c r="I1942">
        <v>22.26</v>
      </c>
      <c r="J1942">
        <v>32.450000000000003</v>
      </c>
      <c r="K1942">
        <v>123.5</v>
      </c>
      <c r="L1942">
        <v>0.17</v>
      </c>
      <c r="M1942">
        <v>178.21</v>
      </c>
      <c r="N1942">
        <v>178.38</v>
      </c>
    </row>
    <row r="1943" spans="1:14" x14ac:dyDescent="0.3">
      <c r="A1943" s="2">
        <v>44593</v>
      </c>
      <c r="B1943" t="s">
        <v>69</v>
      </c>
      <c r="C1943">
        <v>2022</v>
      </c>
      <c r="D1943">
        <v>2</v>
      </c>
      <c r="E1943" t="s">
        <v>59</v>
      </c>
      <c r="F1943" t="s">
        <v>45</v>
      </c>
      <c r="G1943">
        <v>3</v>
      </c>
      <c r="H1943" t="s">
        <v>20</v>
      </c>
      <c r="I1943">
        <v>367.37</v>
      </c>
      <c r="J1943">
        <v>516.98</v>
      </c>
      <c r="K1943">
        <v>584.59</v>
      </c>
      <c r="L1943">
        <v>11.21</v>
      </c>
      <c r="M1943">
        <v>1468.94</v>
      </c>
      <c r="N1943">
        <v>1480.15</v>
      </c>
    </row>
    <row r="1944" spans="1:14" x14ac:dyDescent="0.3">
      <c r="A1944" s="2">
        <v>44593</v>
      </c>
      <c r="B1944" t="s">
        <v>69</v>
      </c>
      <c r="C1944">
        <v>2022</v>
      </c>
      <c r="D1944">
        <v>2</v>
      </c>
      <c r="E1944" t="s">
        <v>59</v>
      </c>
      <c r="F1944" t="s">
        <v>46</v>
      </c>
      <c r="G1944">
        <v>8</v>
      </c>
      <c r="H1944" t="s">
        <v>20</v>
      </c>
      <c r="I1944">
        <v>934.17</v>
      </c>
      <c r="J1944">
        <v>1213.3900000000001</v>
      </c>
      <c r="K1944">
        <v>1165.58</v>
      </c>
      <c r="L1944">
        <v>155.54</v>
      </c>
      <c r="M1944">
        <v>3313.14</v>
      </c>
      <c r="N1944">
        <v>3468.68</v>
      </c>
    </row>
    <row r="1945" spans="1:14" x14ac:dyDescent="0.3">
      <c r="A1945" s="2">
        <v>44593</v>
      </c>
      <c r="B1945" t="s">
        <v>69</v>
      </c>
      <c r="C1945">
        <v>2022</v>
      </c>
      <c r="D1945">
        <v>2</v>
      </c>
      <c r="E1945" t="s">
        <v>59</v>
      </c>
      <c r="F1945" t="s">
        <v>47</v>
      </c>
      <c r="G1945">
        <v>11</v>
      </c>
      <c r="H1945" t="s">
        <v>20</v>
      </c>
      <c r="I1945">
        <v>15.6</v>
      </c>
      <c r="J1945">
        <v>21.26</v>
      </c>
      <c r="K1945">
        <v>185.3</v>
      </c>
      <c r="L1945">
        <v>0.11</v>
      </c>
      <c r="M1945">
        <v>222.16</v>
      </c>
      <c r="N1945">
        <v>222.27</v>
      </c>
    </row>
    <row r="1946" spans="1:14" x14ac:dyDescent="0.3">
      <c r="A1946" s="2">
        <v>44593</v>
      </c>
      <c r="B1946" t="s">
        <v>69</v>
      </c>
      <c r="C1946">
        <v>2022</v>
      </c>
      <c r="D1946">
        <v>2</v>
      </c>
      <c r="E1946" t="s">
        <v>59</v>
      </c>
      <c r="F1946" t="s">
        <v>48</v>
      </c>
      <c r="G1946">
        <v>33</v>
      </c>
      <c r="H1946" t="s">
        <v>20</v>
      </c>
      <c r="I1946">
        <v>1907.21</v>
      </c>
      <c r="J1946">
        <v>2525.0100000000002</v>
      </c>
      <c r="K1946">
        <v>2299.17</v>
      </c>
      <c r="L1946">
        <v>661.81</v>
      </c>
      <c r="M1946">
        <v>6731.39</v>
      </c>
      <c r="N1946">
        <v>7393.2</v>
      </c>
    </row>
    <row r="1947" spans="1:14" x14ac:dyDescent="0.3">
      <c r="A1947" s="2">
        <v>44593</v>
      </c>
      <c r="B1947" t="s">
        <v>69</v>
      </c>
      <c r="C1947">
        <v>2022</v>
      </c>
      <c r="D1947">
        <v>2</v>
      </c>
      <c r="E1947" t="s">
        <v>59</v>
      </c>
      <c r="F1947" t="s">
        <v>49</v>
      </c>
      <c r="G1947">
        <v>36</v>
      </c>
      <c r="H1947" t="s">
        <v>20</v>
      </c>
      <c r="I1947">
        <v>979.77</v>
      </c>
      <c r="J1947">
        <v>1283.76</v>
      </c>
      <c r="K1947">
        <v>1219.45</v>
      </c>
      <c r="L1947">
        <v>630.20000000000005</v>
      </c>
      <c r="M1947">
        <v>3482.98</v>
      </c>
      <c r="N1947">
        <v>4113.18</v>
      </c>
    </row>
    <row r="1948" spans="1:14" x14ac:dyDescent="0.3">
      <c r="A1948" s="2">
        <v>44593</v>
      </c>
      <c r="B1948" t="s">
        <v>69</v>
      </c>
      <c r="C1948">
        <v>2022</v>
      </c>
      <c r="D1948">
        <v>2</v>
      </c>
      <c r="E1948" t="s">
        <v>59</v>
      </c>
      <c r="F1948" t="s">
        <v>50</v>
      </c>
      <c r="G1948">
        <v>16</v>
      </c>
      <c r="H1948" t="s">
        <v>20</v>
      </c>
      <c r="I1948">
        <v>25.01</v>
      </c>
      <c r="J1948">
        <v>31.95</v>
      </c>
      <c r="K1948">
        <v>8.8800000000000008</v>
      </c>
      <c r="L1948">
        <v>0.23</v>
      </c>
      <c r="M1948">
        <v>65.84</v>
      </c>
      <c r="N1948">
        <v>66.069999999999993</v>
      </c>
    </row>
    <row r="1949" spans="1:14" x14ac:dyDescent="0.3">
      <c r="A1949" s="2">
        <v>44593</v>
      </c>
      <c r="B1949" t="s">
        <v>69</v>
      </c>
      <c r="C1949">
        <v>2022</v>
      </c>
      <c r="D1949">
        <v>2</v>
      </c>
      <c r="E1949" t="s">
        <v>59</v>
      </c>
      <c r="F1949" t="s">
        <v>51</v>
      </c>
      <c r="G1949">
        <v>9</v>
      </c>
      <c r="H1949" t="s">
        <v>20</v>
      </c>
      <c r="I1949">
        <v>1465.09</v>
      </c>
      <c r="J1949">
        <v>2022.52</v>
      </c>
      <c r="K1949">
        <v>1754</v>
      </c>
      <c r="L1949">
        <v>1277.04</v>
      </c>
      <c r="M1949">
        <v>5241.6099999999997</v>
      </c>
      <c r="N1949">
        <v>6518.65</v>
      </c>
    </row>
    <row r="1950" spans="1:14" x14ac:dyDescent="0.3">
      <c r="A1950" s="2">
        <v>44593</v>
      </c>
      <c r="B1950" t="s">
        <v>69</v>
      </c>
      <c r="C1950">
        <v>2022</v>
      </c>
      <c r="D1950">
        <v>2</v>
      </c>
      <c r="E1950" t="s">
        <v>59</v>
      </c>
      <c r="F1950" t="s">
        <v>52</v>
      </c>
      <c r="G1950">
        <v>5</v>
      </c>
      <c r="H1950" t="s">
        <v>20</v>
      </c>
      <c r="I1950">
        <v>226.34</v>
      </c>
      <c r="J1950">
        <v>332.38</v>
      </c>
      <c r="K1950">
        <v>613.26</v>
      </c>
      <c r="L1950">
        <v>3.63</v>
      </c>
      <c r="M1950">
        <v>1171.98</v>
      </c>
      <c r="N1950">
        <v>1175.6099999999999</v>
      </c>
    </row>
    <row r="1951" spans="1:14" x14ac:dyDescent="0.3">
      <c r="A1951" s="2">
        <v>44593</v>
      </c>
      <c r="B1951" t="s">
        <v>69</v>
      </c>
      <c r="C1951">
        <v>2022</v>
      </c>
      <c r="D1951">
        <v>2</v>
      </c>
      <c r="E1951" t="s">
        <v>59</v>
      </c>
      <c r="F1951" t="s">
        <v>53</v>
      </c>
      <c r="G1951">
        <v>19</v>
      </c>
      <c r="H1951" t="s">
        <v>20</v>
      </c>
      <c r="I1951">
        <v>1302.8900000000001</v>
      </c>
      <c r="J1951">
        <v>1644.41</v>
      </c>
      <c r="K1951">
        <v>1103.17</v>
      </c>
      <c r="L1951">
        <v>363.96</v>
      </c>
      <c r="M1951">
        <v>4050.47</v>
      </c>
      <c r="N1951">
        <v>4414.43</v>
      </c>
    </row>
    <row r="1952" spans="1:14" x14ac:dyDescent="0.3">
      <c r="A1952" s="2">
        <v>44621</v>
      </c>
      <c r="B1952" t="s">
        <v>69</v>
      </c>
      <c r="C1952">
        <v>2022</v>
      </c>
      <c r="D1952">
        <v>3</v>
      </c>
      <c r="E1952" t="s">
        <v>60</v>
      </c>
      <c r="F1952" t="s">
        <v>17</v>
      </c>
      <c r="G1952">
        <v>35</v>
      </c>
      <c r="H1952" t="s">
        <v>18</v>
      </c>
      <c r="I1952">
        <v>10.42</v>
      </c>
      <c r="J1952">
        <v>14.17</v>
      </c>
      <c r="K1952">
        <v>2.27</v>
      </c>
      <c r="L1952">
        <v>0.04</v>
      </c>
      <c r="M1952">
        <v>26.86</v>
      </c>
      <c r="N1952">
        <v>26.9</v>
      </c>
    </row>
    <row r="1953" spans="1:14" x14ac:dyDescent="0.3">
      <c r="A1953" s="2">
        <v>44621</v>
      </c>
      <c r="B1953" t="s">
        <v>69</v>
      </c>
      <c r="C1953">
        <v>2022</v>
      </c>
      <c r="D1953">
        <v>3</v>
      </c>
      <c r="E1953" t="s">
        <v>60</v>
      </c>
      <c r="F1953" t="s">
        <v>19</v>
      </c>
      <c r="G1953">
        <v>28</v>
      </c>
      <c r="H1953" t="s">
        <v>20</v>
      </c>
      <c r="I1953">
        <v>776.83</v>
      </c>
      <c r="J1953">
        <v>1006.23</v>
      </c>
      <c r="K1953">
        <v>1092.0899999999999</v>
      </c>
      <c r="L1953">
        <v>299.3</v>
      </c>
      <c r="M1953">
        <v>2875.15</v>
      </c>
      <c r="N1953">
        <v>3174.45</v>
      </c>
    </row>
    <row r="1954" spans="1:14" x14ac:dyDescent="0.3">
      <c r="A1954" s="2">
        <v>44621</v>
      </c>
      <c r="B1954" t="s">
        <v>69</v>
      </c>
      <c r="C1954">
        <v>2022</v>
      </c>
      <c r="D1954">
        <v>3</v>
      </c>
      <c r="E1954" t="s">
        <v>60</v>
      </c>
      <c r="F1954" t="s">
        <v>21</v>
      </c>
      <c r="G1954">
        <v>12</v>
      </c>
      <c r="H1954" t="s">
        <v>20</v>
      </c>
      <c r="I1954">
        <v>42.46</v>
      </c>
      <c r="J1954">
        <v>51.18</v>
      </c>
      <c r="K1954">
        <v>11.21</v>
      </c>
      <c r="L1954">
        <v>0.14000000000000001</v>
      </c>
      <c r="M1954">
        <v>104.85</v>
      </c>
      <c r="N1954">
        <v>104.99</v>
      </c>
    </row>
    <row r="1955" spans="1:14" x14ac:dyDescent="0.3">
      <c r="A1955" s="2">
        <v>44621</v>
      </c>
      <c r="B1955" t="s">
        <v>69</v>
      </c>
      <c r="C1955">
        <v>2022</v>
      </c>
      <c r="D1955">
        <v>3</v>
      </c>
      <c r="E1955" t="s">
        <v>60</v>
      </c>
      <c r="F1955" t="s">
        <v>22</v>
      </c>
      <c r="G1955">
        <v>18</v>
      </c>
      <c r="H1955" t="s">
        <v>20</v>
      </c>
      <c r="I1955">
        <v>345.94</v>
      </c>
      <c r="J1955">
        <v>445.56</v>
      </c>
      <c r="K1955">
        <v>285.95</v>
      </c>
      <c r="L1955">
        <v>37.15</v>
      </c>
      <c r="M1955">
        <v>1077.45</v>
      </c>
      <c r="N1955">
        <v>1114.5999999999999</v>
      </c>
    </row>
    <row r="1956" spans="1:14" x14ac:dyDescent="0.3">
      <c r="A1956" s="2">
        <v>44621</v>
      </c>
      <c r="B1956" t="s">
        <v>69</v>
      </c>
      <c r="C1956">
        <v>2022</v>
      </c>
      <c r="D1956">
        <v>3</v>
      </c>
      <c r="E1956" t="s">
        <v>60</v>
      </c>
      <c r="F1956" t="s">
        <v>23</v>
      </c>
      <c r="G1956">
        <v>10</v>
      </c>
      <c r="H1956" t="s">
        <v>20</v>
      </c>
      <c r="I1956">
        <v>377.01</v>
      </c>
      <c r="J1956">
        <v>579.54999999999995</v>
      </c>
      <c r="K1956">
        <v>170.81</v>
      </c>
      <c r="L1956">
        <v>220.53</v>
      </c>
      <c r="M1956">
        <v>1127.3699999999999</v>
      </c>
      <c r="N1956">
        <v>1347.9</v>
      </c>
    </row>
    <row r="1957" spans="1:14" x14ac:dyDescent="0.3">
      <c r="A1957" s="2">
        <v>44621</v>
      </c>
      <c r="B1957" t="s">
        <v>69</v>
      </c>
      <c r="C1957">
        <v>2022</v>
      </c>
      <c r="D1957">
        <v>3</v>
      </c>
      <c r="E1957" t="s">
        <v>60</v>
      </c>
      <c r="F1957" t="s">
        <v>24</v>
      </c>
      <c r="G1957">
        <v>4</v>
      </c>
      <c r="H1957" t="s">
        <v>18</v>
      </c>
      <c r="I1957">
        <v>33.909999999999997</v>
      </c>
      <c r="J1957">
        <v>43.75</v>
      </c>
      <c r="K1957">
        <v>105.71</v>
      </c>
      <c r="L1957">
        <v>0.38</v>
      </c>
      <c r="M1957">
        <v>183.37</v>
      </c>
      <c r="N1957">
        <v>183.75</v>
      </c>
    </row>
    <row r="1958" spans="1:14" x14ac:dyDescent="0.3">
      <c r="A1958" s="2">
        <v>44621</v>
      </c>
      <c r="B1958" t="s">
        <v>69</v>
      </c>
      <c r="C1958">
        <v>2022</v>
      </c>
      <c r="D1958">
        <v>3</v>
      </c>
      <c r="E1958" t="s">
        <v>60</v>
      </c>
      <c r="F1958" t="s">
        <v>25</v>
      </c>
      <c r="G1958">
        <v>22</v>
      </c>
      <c r="H1958" t="s">
        <v>20</v>
      </c>
      <c r="I1958">
        <v>544.67999999999995</v>
      </c>
      <c r="J1958">
        <v>638.92999999999995</v>
      </c>
      <c r="K1958">
        <v>923.94</v>
      </c>
      <c r="L1958">
        <v>612.55999999999995</v>
      </c>
      <c r="M1958">
        <v>2107.5500000000002</v>
      </c>
      <c r="N1958">
        <v>2720.11</v>
      </c>
    </row>
    <row r="1959" spans="1:14" x14ac:dyDescent="0.3">
      <c r="A1959" s="2">
        <v>44621</v>
      </c>
      <c r="B1959" t="s">
        <v>69</v>
      </c>
      <c r="C1959">
        <v>2022</v>
      </c>
      <c r="D1959">
        <v>3</v>
      </c>
      <c r="E1959" t="s">
        <v>60</v>
      </c>
      <c r="F1959" t="s">
        <v>26</v>
      </c>
      <c r="G1959">
        <v>38</v>
      </c>
      <c r="H1959" t="s">
        <v>18</v>
      </c>
      <c r="I1959">
        <v>40.07</v>
      </c>
      <c r="J1959">
        <v>50.85</v>
      </c>
      <c r="K1959">
        <v>192.18</v>
      </c>
      <c r="L1959">
        <v>0.68</v>
      </c>
      <c r="M1959">
        <v>283.10000000000002</v>
      </c>
      <c r="N1959">
        <v>283.77999999999997</v>
      </c>
    </row>
    <row r="1960" spans="1:14" x14ac:dyDescent="0.3">
      <c r="A1960" s="2">
        <v>44621</v>
      </c>
      <c r="B1960" t="s">
        <v>69</v>
      </c>
      <c r="C1960">
        <v>2022</v>
      </c>
      <c r="D1960">
        <v>3</v>
      </c>
      <c r="E1960" t="s">
        <v>60</v>
      </c>
      <c r="F1960" t="s">
        <v>27</v>
      </c>
      <c r="G1960">
        <v>7</v>
      </c>
      <c r="H1960" t="s">
        <v>18</v>
      </c>
      <c r="I1960">
        <v>817.25</v>
      </c>
      <c r="J1960">
        <v>985.54</v>
      </c>
      <c r="K1960">
        <v>2204.14</v>
      </c>
      <c r="L1960">
        <v>104.79</v>
      </c>
      <c r="M1960">
        <v>4006.93</v>
      </c>
      <c r="N1960">
        <v>4111.72</v>
      </c>
    </row>
    <row r="1961" spans="1:14" x14ac:dyDescent="0.3">
      <c r="A1961" s="2">
        <v>44621</v>
      </c>
      <c r="B1961" t="s">
        <v>69</v>
      </c>
      <c r="C1961">
        <v>2022</v>
      </c>
      <c r="D1961">
        <v>3</v>
      </c>
      <c r="E1961" t="s">
        <v>60</v>
      </c>
      <c r="F1961" t="s">
        <v>28</v>
      </c>
      <c r="G1961">
        <v>30</v>
      </c>
      <c r="H1961" t="s">
        <v>20</v>
      </c>
      <c r="I1961">
        <v>107.22</v>
      </c>
      <c r="J1961">
        <v>143.84</v>
      </c>
      <c r="K1961">
        <v>132.99</v>
      </c>
      <c r="L1961">
        <v>1.9</v>
      </c>
      <c r="M1961">
        <v>384.05</v>
      </c>
      <c r="N1961">
        <v>385.95</v>
      </c>
    </row>
    <row r="1962" spans="1:14" x14ac:dyDescent="0.3">
      <c r="A1962" s="2">
        <v>44621</v>
      </c>
      <c r="B1962" t="s">
        <v>69</v>
      </c>
      <c r="C1962">
        <v>2022</v>
      </c>
      <c r="D1962">
        <v>3</v>
      </c>
      <c r="E1962" t="s">
        <v>60</v>
      </c>
      <c r="F1962" t="s">
        <v>29</v>
      </c>
      <c r="G1962">
        <v>24</v>
      </c>
      <c r="H1962" t="s">
        <v>20</v>
      </c>
      <c r="I1962">
        <v>2563.0100000000002</v>
      </c>
      <c r="J1962">
        <v>3080.66</v>
      </c>
      <c r="K1962">
        <v>3112.9</v>
      </c>
      <c r="L1962">
        <v>401.1</v>
      </c>
      <c r="M1962">
        <v>8756.57</v>
      </c>
      <c r="N1962">
        <v>9157.67</v>
      </c>
    </row>
    <row r="1963" spans="1:14" x14ac:dyDescent="0.3">
      <c r="A1963" s="2">
        <v>44621</v>
      </c>
      <c r="B1963" t="s">
        <v>69</v>
      </c>
      <c r="C1963">
        <v>2022</v>
      </c>
      <c r="D1963">
        <v>3</v>
      </c>
      <c r="E1963" t="s">
        <v>60</v>
      </c>
      <c r="F1963" t="s">
        <v>30</v>
      </c>
      <c r="G1963">
        <v>6</v>
      </c>
      <c r="H1963" t="s">
        <v>20</v>
      </c>
      <c r="I1963">
        <v>1057.5999999999999</v>
      </c>
      <c r="J1963">
        <v>1403.64</v>
      </c>
      <c r="K1963">
        <v>3751.21</v>
      </c>
      <c r="L1963">
        <v>441.08</v>
      </c>
      <c r="M1963">
        <v>6212.45</v>
      </c>
      <c r="N1963">
        <v>6653.53</v>
      </c>
    </row>
    <row r="1964" spans="1:14" x14ac:dyDescent="0.3">
      <c r="A1964" s="2">
        <v>44621</v>
      </c>
      <c r="B1964" t="s">
        <v>69</v>
      </c>
      <c r="C1964">
        <v>2022</v>
      </c>
      <c r="D1964">
        <v>3</v>
      </c>
      <c r="E1964" t="s">
        <v>60</v>
      </c>
      <c r="F1964" t="s">
        <v>31</v>
      </c>
      <c r="G1964">
        <v>2</v>
      </c>
      <c r="H1964" t="s">
        <v>20</v>
      </c>
      <c r="I1964">
        <v>122.83</v>
      </c>
      <c r="J1964">
        <v>163.5</v>
      </c>
      <c r="K1964">
        <v>396.68</v>
      </c>
      <c r="L1964">
        <v>0.89</v>
      </c>
      <c r="M1964">
        <v>683.01</v>
      </c>
      <c r="N1964">
        <v>683.9</v>
      </c>
    </row>
    <row r="1965" spans="1:14" x14ac:dyDescent="0.3">
      <c r="A1965" s="2">
        <v>44621</v>
      </c>
      <c r="B1965" t="s">
        <v>69</v>
      </c>
      <c r="C1965">
        <v>2022</v>
      </c>
      <c r="D1965">
        <v>3</v>
      </c>
      <c r="E1965" t="s">
        <v>60</v>
      </c>
      <c r="F1965" t="s">
        <v>32</v>
      </c>
      <c r="G1965">
        <v>1</v>
      </c>
      <c r="H1965" t="s">
        <v>18</v>
      </c>
      <c r="I1965">
        <v>112.42</v>
      </c>
      <c r="J1965">
        <v>166.71</v>
      </c>
      <c r="K1965">
        <v>85.65</v>
      </c>
      <c r="L1965">
        <v>3.62</v>
      </c>
      <c r="M1965">
        <v>364.78</v>
      </c>
      <c r="N1965">
        <v>368.4</v>
      </c>
    </row>
    <row r="1966" spans="1:14" x14ac:dyDescent="0.3">
      <c r="A1966" s="2">
        <v>44621</v>
      </c>
      <c r="B1966" t="s">
        <v>69</v>
      </c>
      <c r="C1966">
        <v>2022</v>
      </c>
      <c r="D1966">
        <v>3</v>
      </c>
      <c r="E1966" t="s">
        <v>60</v>
      </c>
      <c r="F1966" t="s">
        <v>33</v>
      </c>
      <c r="G1966">
        <v>20</v>
      </c>
      <c r="H1966" t="s">
        <v>20</v>
      </c>
      <c r="I1966">
        <v>524.67999999999995</v>
      </c>
      <c r="J1966">
        <v>661.51</v>
      </c>
      <c r="K1966">
        <v>881.98</v>
      </c>
      <c r="L1966">
        <v>481.79</v>
      </c>
      <c r="M1966">
        <v>2068.17</v>
      </c>
      <c r="N1966">
        <v>2549.96</v>
      </c>
    </row>
    <row r="1967" spans="1:14" x14ac:dyDescent="0.3">
      <c r="A1967" s="2">
        <v>44621</v>
      </c>
      <c r="B1967" t="s">
        <v>69</v>
      </c>
      <c r="C1967">
        <v>2022</v>
      </c>
      <c r="D1967">
        <v>3</v>
      </c>
      <c r="E1967" t="s">
        <v>60</v>
      </c>
      <c r="F1967" t="s">
        <v>34</v>
      </c>
      <c r="G1967">
        <v>29</v>
      </c>
      <c r="H1967" t="s">
        <v>20</v>
      </c>
      <c r="I1967">
        <v>2202.46</v>
      </c>
      <c r="J1967">
        <v>2688.59</v>
      </c>
      <c r="K1967">
        <v>3088.67</v>
      </c>
      <c r="L1967">
        <v>770.4</v>
      </c>
      <c r="M1967">
        <v>7979.72</v>
      </c>
      <c r="N1967">
        <v>8750.1200000000008</v>
      </c>
    </row>
    <row r="1968" spans="1:14" x14ac:dyDescent="0.3">
      <c r="A1968" s="2">
        <v>44621</v>
      </c>
      <c r="B1968" t="s">
        <v>69</v>
      </c>
      <c r="C1968">
        <v>2022</v>
      </c>
      <c r="D1968">
        <v>3</v>
      </c>
      <c r="E1968" t="s">
        <v>60</v>
      </c>
      <c r="F1968" t="s">
        <v>35</v>
      </c>
      <c r="G1968">
        <v>32</v>
      </c>
      <c r="H1968" t="s">
        <v>20</v>
      </c>
      <c r="I1968">
        <v>694.9</v>
      </c>
      <c r="J1968">
        <v>923.53</v>
      </c>
      <c r="K1968">
        <v>467.8</v>
      </c>
      <c r="L1968">
        <v>2.98</v>
      </c>
      <c r="M1968">
        <v>2086.23</v>
      </c>
      <c r="N1968">
        <v>2089.21</v>
      </c>
    </row>
    <row r="1969" spans="1:14" x14ac:dyDescent="0.3">
      <c r="A1969" s="2">
        <v>44621</v>
      </c>
      <c r="B1969" t="s">
        <v>69</v>
      </c>
      <c r="C1969">
        <v>2022</v>
      </c>
      <c r="D1969">
        <v>3</v>
      </c>
      <c r="E1969" t="s">
        <v>60</v>
      </c>
      <c r="F1969" t="s">
        <v>67</v>
      </c>
      <c r="G1969">
        <v>37</v>
      </c>
      <c r="H1969" t="s">
        <v>18</v>
      </c>
      <c r="I1969">
        <v>9.44</v>
      </c>
      <c r="J1969">
        <v>11.33</v>
      </c>
      <c r="K1969">
        <v>2.72</v>
      </c>
      <c r="L1969">
        <v>0</v>
      </c>
      <c r="M1969">
        <v>23.49</v>
      </c>
      <c r="N1969">
        <v>23.49</v>
      </c>
    </row>
    <row r="1970" spans="1:14" x14ac:dyDescent="0.3">
      <c r="A1970" s="2">
        <v>44621</v>
      </c>
      <c r="B1970" t="s">
        <v>69</v>
      </c>
      <c r="C1970">
        <v>2022</v>
      </c>
      <c r="D1970">
        <v>3</v>
      </c>
      <c r="E1970" t="s">
        <v>60</v>
      </c>
      <c r="F1970" t="s">
        <v>36</v>
      </c>
      <c r="G1970">
        <v>31</v>
      </c>
      <c r="H1970" t="s">
        <v>18</v>
      </c>
      <c r="I1970">
        <v>0.93</v>
      </c>
      <c r="J1970">
        <v>0.94</v>
      </c>
      <c r="K1970">
        <v>0.21</v>
      </c>
      <c r="L1970">
        <v>0</v>
      </c>
      <c r="M1970">
        <v>2.08</v>
      </c>
      <c r="N1970">
        <v>2.08</v>
      </c>
    </row>
    <row r="1971" spans="1:14" x14ac:dyDescent="0.3">
      <c r="A1971" s="2">
        <v>44621</v>
      </c>
      <c r="B1971" t="s">
        <v>69</v>
      </c>
      <c r="C1971">
        <v>2022</v>
      </c>
      <c r="D1971">
        <v>3</v>
      </c>
      <c r="E1971" t="s">
        <v>60</v>
      </c>
      <c r="F1971" t="s">
        <v>37</v>
      </c>
      <c r="G1971">
        <v>23</v>
      </c>
      <c r="H1971" t="s">
        <v>20</v>
      </c>
      <c r="I1971">
        <v>713.28</v>
      </c>
      <c r="J1971">
        <v>911.32</v>
      </c>
      <c r="K1971">
        <v>785.03</v>
      </c>
      <c r="L1971">
        <v>525.51</v>
      </c>
      <c r="M1971">
        <v>2409.63</v>
      </c>
      <c r="N1971">
        <v>2935.14</v>
      </c>
    </row>
    <row r="1972" spans="1:14" x14ac:dyDescent="0.3">
      <c r="A1972" s="2">
        <v>44621</v>
      </c>
      <c r="B1972" t="s">
        <v>69</v>
      </c>
      <c r="C1972">
        <v>2022</v>
      </c>
      <c r="D1972">
        <v>3</v>
      </c>
      <c r="E1972" t="s">
        <v>60</v>
      </c>
      <c r="F1972" t="s">
        <v>38</v>
      </c>
      <c r="G1972">
        <v>27</v>
      </c>
      <c r="H1972" t="s">
        <v>20</v>
      </c>
      <c r="I1972">
        <v>5803.34</v>
      </c>
      <c r="J1972">
        <v>6658.66</v>
      </c>
      <c r="K1972">
        <v>6467.73</v>
      </c>
      <c r="L1972">
        <v>1375.48</v>
      </c>
      <c r="M1972">
        <v>18929.73</v>
      </c>
      <c r="N1972">
        <v>20305.21</v>
      </c>
    </row>
    <row r="1973" spans="1:14" x14ac:dyDescent="0.3">
      <c r="A1973" s="2">
        <v>44621</v>
      </c>
      <c r="B1973" t="s">
        <v>69</v>
      </c>
      <c r="C1973">
        <v>2022</v>
      </c>
      <c r="D1973">
        <v>3</v>
      </c>
      <c r="E1973" t="s">
        <v>60</v>
      </c>
      <c r="F1973" t="s">
        <v>39</v>
      </c>
      <c r="G1973">
        <v>14</v>
      </c>
      <c r="H1973" t="s">
        <v>20</v>
      </c>
      <c r="I1973">
        <v>22.18</v>
      </c>
      <c r="J1973">
        <v>32.82</v>
      </c>
      <c r="K1973">
        <v>4.3600000000000003</v>
      </c>
      <c r="L1973">
        <v>0.28000000000000003</v>
      </c>
      <c r="M1973">
        <v>59.36</v>
      </c>
      <c r="N1973">
        <v>59.64</v>
      </c>
    </row>
    <row r="1974" spans="1:14" x14ac:dyDescent="0.3">
      <c r="A1974" s="2">
        <v>44621</v>
      </c>
      <c r="B1974" t="s">
        <v>69</v>
      </c>
      <c r="C1974">
        <v>2022</v>
      </c>
      <c r="D1974">
        <v>3</v>
      </c>
      <c r="E1974" t="s">
        <v>60</v>
      </c>
      <c r="F1974" t="s">
        <v>40</v>
      </c>
      <c r="G1974">
        <v>17</v>
      </c>
      <c r="H1974" t="s">
        <v>20</v>
      </c>
      <c r="I1974">
        <v>28.52</v>
      </c>
      <c r="J1974">
        <v>36.69</v>
      </c>
      <c r="K1974">
        <v>112.22</v>
      </c>
      <c r="L1974">
        <v>3.49</v>
      </c>
      <c r="M1974">
        <v>177.43</v>
      </c>
      <c r="N1974">
        <v>180.92</v>
      </c>
    </row>
    <row r="1975" spans="1:14" x14ac:dyDescent="0.3">
      <c r="A1975" s="2">
        <v>44621</v>
      </c>
      <c r="B1975" t="s">
        <v>69</v>
      </c>
      <c r="C1975">
        <v>2022</v>
      </c>
      <c r="D1975">
        <v>3</v>
      </c>
      <c r="E1975" t="s">
        <v>60</v>
      </c>
      <c r="F1975" t="s">
        <v>41</v>
      </c>
      <c r="G1975">
        <v>15</v>
      </c>
      <c r="H1975" t="s">
        <v>20</v>
      </c>
      <c r="I1975">
        <v>14.24</v>
      </c>
      <c r="J1975">
        <v>19.98</v>
      </c>
      <c r="K1975">
        <v>2.54</v>
      </c>
      <c r="L1975">
        <v>0.01</v>
      </c>
      <c r="M1975">
        <v>36.76</v>
      </c>
      <c r="N1975">
        <v>36.770000000000003</v>
      </c>
    </row>
    <row r="1976" spans="1:14" x14ac:dyDescent="0.3">
      <c r="A1976" s="2">
        <v>44621</v>
      </c>
      <c r="B1976" t="s">
        <v>69</v>
      </c>
      <c r="C1976">
        <v>2022</v>
      </c>
      <c r="D1976">
        <v>3</v>
      </c>
      <c r="E1976" t="s">
        <v>60</v>
      </c>
      <c r="F1976" t="s">
        <v>42</v>
      </c>
      <c r="G1976">
        <v>13</v>
      </c>
      <c r="H1976" t="s">
        <v>20</v>
      </c>
      <c r="I1976">
        <v>12.75</v>
      </c>
      <c r="J1976">
        <v>17.29</v>
      </c>
      <c r="K1976">
        <v>8.5</v>
      </c>
      <c r="L1976">
        <v>4.1399999999999997</v>
      </c>
      <c r="M1976">
        <v>38.54</v>
      </c>
      <c r="N1976">
        <v>42.68</v>
      </c>
    </row>
    <row r="1977" spans="1:14" x14ac:dyDescent="0.3">
      <c r="A1977" s="2">
        <v>44621</v>
      </c>
      <c r="B1977" t="s">
        <v>69</v>
      </c>
      <c r="C1977">
        <v>2022</v>
      </c>
      <c r="D1977">
        <v>3</v>
      </c>
      <c r="E1977" t="s">
        <v>60</v>
      </c>
      <c r="F1977" t="s">
        <v>43</v>
      </c>
      <c r="G1977">
        <v>21</v>
      </c>
      <c r="H1977" t="s">
        <v>20</v>
      </c>
      <c r="I1977">
        <v>1109.8499999999999</v>
      </c>
      <c r="J1977">
        <v>1351.25</v>
      </c>
      <c r="K1977">
        <v>1003.47</v>
      </c>
      <c r="L1977">
        <v>660.09</v>
      </c>
      <c r="M1977">
        <v>3464.57</v>
      </c>
      <c r="N1977">
        <v>4124.66</v>
      </c>
    </row>
    <row r="1978" spans="1:14" x14ac:dyDescent="0.3">
      <c r="A1978" s="2">
        <v>44621</v>
      </c>
      <c r="B1978" t="s">
        <v>69</v>
      </c>
      <c r="C1978">
        <v>2022</v>
      </c>
      <c r="D1978">
        <v>3</v>
      </c>
      <c r="E1978" t="s">
        <v>60</v>
      </c>
      <c r="F1978" t="s">
        <v>44</v>
      </c>
      <c r="G1978">
        <v>34</v>
      </c>
      <c r="H1978" t="s">
        <v>18</v>
      </c>
      <c r="I1978">
        <v>26.1</v>
      </c>
      <c r="J1978">
        <v>32.840000000000003</v>
      </c>
      <c r="K1978">
        <v>103.98</v>
      </c>
      <c r="L1978">
        <v>0.42</v>
      </c>
      <c r="M1978">
        <v>162.91999999999999</v>
      </c>
      <c r="N1978">
        <v>163.34</v>
      </c>
    </row>
    <row r="1979" spans="1:14" x14ac:dyDescent="0.3">
      <c r="A1979" s="2">
        <v>44621</v>
      </c>
      <c r="B1979" t="s">
        <v>69</v>
      </c>
      <c r="C1979">
        <v>2022</v>
      </c>
      <c r="D1979">
        <v>3</v>
      </c>
      <c r="E1979" t="s">
        <v>60</v>
      </c>
      <c r="F1979" t="s">
        <v>45</v>
      </c>
      <c r="G1979">
        <v>3</v>
      </c>
      <c r="H1979" t="s">
        <v>20</v>
      </c>
      <c r="I1979">
        <v>412.6</v>
      </c>
      <c r="J1979">
        <v>596.47</v>
      </c>
      <c r="K1979">
        <v>545.33000000000004</v>
      </c>
      <c r="L1979">
        <v>17.47</v>
      </c>
      <c r="M1979">
        <v>1554.4</v>
      </c>
      <c r="N1979">
        <v>1571.87</v>
      </c>
    </row>
    <row r="1980" spans="1:14" x14ac:dyDescent="0.3">
      <c r="A1980" s="2">
        <v>44621</v>
      </c>
      <c r="B1980" t="s">
        <v>69</v>
      </c>
      <c r="C1980">
        <v>2022</v>
      </c>
      <c r="D1980">
        <v>3</v>
      </c>
      <c r="E1980" t="s">
        <v>60</v>
      </c>
      <c r="F1980" t="s">
        <v>46</v>
      </c>
      <c r="G1980">
        <v>8</v>
      </c>
      <c r="H1980" t="s">
        <v>20</v>
      </c>
      <c r="I1980">
        <v>953.69</v>
      </c>
      <c r="J1980">
        <v>1247.73</v>
      </c>
      <c r="K1980">
        <v>1219.47</v>
      </c>
      <c r="L1980">
        <v>166.6</v>
      </c>
      <c r="M1980">
        <v>3420.89</v>
      </c>
      <c r="N1980">
        <v>3587.49</v>
      </c>
    </row>
    <row r="1981" spans="1:14" x14ac:dyDescent="0.3">
      <c r="A1981" s="2">
        <v>44621</v>
      </c>
      <c r="B1981" t="s">
        <v>69</v>
      </c>
      <c r="C1981">
        <v>2022</v>
      </c>
      <c r="D1981">
        <v>3</v>
      </c>
      <c r="E1981" t="s">
        <v>60</v>
      </c>
      <c r="F1981" t="s">
        <v>47</v>
      </c>
      <c r="G1981">
        <v>11</v>
      </c>
      <c r="H1981" t="s">
        <v>20</v>
      </c>
      <c r="I1981">
        <v>15.14</v>
      </c>
      <c r="J1981">
        <v>19.23</v>
      </c>
      <c r="K1981">
        <v>195.57</v>
      </c>
      <c r="L1981">
        <v>0.02</v>
      </c>
      <c r="M1981">
        <v>229.94</v>
      </c>
      <c r="N1981">
        <v>229.96</v>
      </c>
    </row>
    <row r="1982" spans="1:14" x14ac:dyDescent="0.3">
      <c r="A1982" s="2">
        <v>44621</v>
      </c>
      <c r="B1982" t="s">
        <v>69</v>
      </c>
      <c r="C1982">
        <v>2022</v>
      </c>
      <c r="D1982">
        <v>3</v>
      </c>
      <c r="E1982" t="s">
        <v>60</v>
      </c>
      <c r="F1982" t="s">
        <v>48</v>
      </c>
      <c r="G1982">
        <v>33</v>
      </c>
      <c r="H1982" t="s">
        <v>20</v>
      </c>
      <c r="I1982">
        <v>2081.36</v>
      </c>
      <c r="J1982">
        <v>2768.83</v>
      </c>
      <c r="K1982">
        <v>2572.77</v>
      </c>
      <c r="L1982">
        <v>599.57000000000005</v>
      </c>
      <c r="M1982">
        <v>7422.96</v>
      </c>
      <c r="N1982">
        <v>8022.53</v>
      </c>
    </row>
    <row r="1983" spans="1:14" x14ac:dyDescent="0.3">
      <c r="A1983" s="2">
        <v>44621</v>
      </c>
      <c r="B1983" t="s">
        <v>69</v>
      </c>
      <c r="C1983">
        <v>2022</v>
      </c>
      <c r="D1983">
        <v>3</v>
      </c>
      <c r="E1983" t="s">
        <v>60</v>
      </c>
      <c r="F1983" t="s">
        <v>49</v>
      </c>
      <c r="G1983">
        <v>36</v>
      </c>
      <c r="H1983" t="s">
        <v>20</v>
      </c>
      <c r="I1983">
        <v>1083.77</v>
      </c>
      <c r="J1983">
        <v>1419.98</v>
      </c>
      <c r="K1983">
        <v>1246.01</v>
      </c>
      <c r="L1983">
        <v>492.38</v>
      </c>
      <c r="M1983">
        <v>3749.76</v>
      </c>
      <c r="N1983">
        <v>4242.1400000000003</v>
      </c>
    </row>
    <row r="1984" spans="1:14" x14ac:dyDescent="0.3">
      <c r="A1984" s="2">
        <v>44621</v>
      </c>
      <c r="B1984" t="s">
        <v>69</v>
      </c>
      <c r="C1984">
        <v>2022</v>
      </c>
      <c r="D1984">
        <v>3</v>
      </c>
      <c r="E1984" t="s">
        <v>60</v>
      </c>
      <c r="F1984" t="s">
        <v>50</v>
      </c>
      <c r="G1984">
        <v>16</v>
      </c>
      <c r="H1984" t="s">
        <v>20</v>
      </c>
      <c r="I1984">
        <v>31.37</v>
      </c>
      <c r="J1984">
        <v>39.369999999999997</v>
      </c>
      <c r="K1984">
        <v>11.19</v>
      </c>
      <c r="L1984">
        <v>0.12</v>
      </c>
      <c r="M1984">
        <v>81.93</v>
      </c>
      <c r="N1984">
        <v>82.05</v>
      </c>
    </row>
    <row r="1985" spans="1:14" x14ac:dyDescent="0.3">
      <c r="A1985" s="2">
        <v>44621</v>
      </c>
      <c r="B1985" t="s">
        <v>69</v>
      </c>
      <c r="C1985">
        <v>2022</v>
      </c>
      <c r="D1985">
        <v>3</v>
      </c>
      <c r="E1985" t="s">
        <v>60</v>
      </c>
      <c r="F1985" t="s">
        <v>51</v>
      </c>
      <c r="G1985">
        <v>9</v>
      </c>
      <c r="H1985" t="s">
        <v>20</v>
      </c>
      <c r="I1985">
        <v>1552.93</v>
      </c>
      <c r="J1985">
        <v>2167.9499999999998</v>
      </c>
      <c r="K1985">
        <v>1988.9</v>
      </c>
      <c r="L1985">
        <v>909.98</v>
      </c>
      <c r="M1985">
        <v>5709.78</v>
      </c>
      <c r="N1985">
        <v>6619.76</v>
      </c>
    </row>
    <row r="1986" spans="1:14" x14ac:dyDescent="0.3">
      <c r="A1986" s="2">
        <v>44621</v>
      </c>
      <c r="B1986" t="s">
        <v>69</v>
      </c>
      <c r="C1986">
        <v>2022</v>
      </c>
      <c r="D1986">
        <v>3</v>
      </c>
      <c r="E1986" t="s">
        <v>60</v>
      </c>
      <c r="F1986" t="s">
        <v>52</v>
      </c>
      <c r="G1986">
        <v>5</v>
      </c>
      <c r="H1986" t="s">
        <v>20</v>
      </c>
      <c r="I1986">
        <v>221.13</v>
      </c>
      <c r="J1986">
        <v>327.54000000000002</v>
      </c>
      <c r="K1986">
        <v>697.51</v>
      </c>
      <c r="L1986">
        <v>9.15</v>
      </c>
      <c r="M1986">
        <v>1246.18</v>
      </c>
      <c r="N1986">
        <v>1255.33</v>
      </c>
    </row>
    <row r="1987" spans="1:14" x14ac:dyDescent="0.3">
      <c r="A1987" s="2">
        <v>44621</v>
      </c>
      <c r="B1987" t="s">
        <v>69</v>
      </c>
      <c r="C1987">
        <v>2022</v>
      </c>
      <c r="D1987">
        <v>3</v>
      </c>
      <c r="E1987" t="s">
        <v>60</v>
      </c>
      <c r="F1987" t="s">
        <v>53</v>
      </c>
      <c r="G1987">
        <v>19</v>
      </c>
      <c r="H1987" t="s">
        <v>20</v>
      </c>
      <c r="I1987">
        <v>1353.23</v>
      </c>
      <c r="J1987">
        <v>1656.69</v>
      </c>
      <c r="K1987">
        <v>1169.8</v>
      </c>
      <c r="L1987">
        <v>291.92</v>
      </c>
      <c r="M1987">
        <v>4179.72</v>
      </c>
      <c r="N1987">
        <v>4471.6400000000003</v>
      </c>
    </row>
    <row r="1988" spans="1:14" x14ac:dyDescent="0.3">
      <c r="A1988" s="2">
        <v>44652</v>
      </c>
      <c r="B1988" t="s">
        <v>70</v>
      </c>
      <c r="C1988">
        <v>2022</v>
      </c>
      <c r="D1988">
        <v>4</v>
      </c>
      <c r="E1988" t="s">
        <v>62</v>
      </c>
      <c r="F1988" t="s">
        <v>17</v>
      </c>
      <c r="G1988">
        <v>35</v>
      </c>
      <c r="H1988" t="s">
        <v>18</v>
      </c>
      <c r="I1988">
        <v>37.380000000000003</v>
      </c>
      <c r="J1988">
        <v>42.84</v>
      </c>
      <c r="K1988">
        <v>7.12</v>
      </c>
      <c r="L1988">
        <v>0.08</v>
      </c>
      <c r="M1988">
        <v>87.34</v>
      </c>
      <c r="N1988">
        <v>87.42</v>
      </c>
    </row>
    <row r="1989" spans="1:14" x14ac:dyDescent="0.3">
      <c r="A1989" s="2">
        <v>44652</v>
      </c>
      <c r="B1989" t="s">
        <v>70</v>
      </c>
      <c r="C1989">
        <v>2022</v>
      </c>
      <c r="D1989">
        <v>4</v>
      </c>
      <c r="E1989" t="s">
        <v>62</v>
      </c>
      <c r="F1989" t="s">
        <v>19</v>
      </c>
      <c r="G1989">
        <v>28</v>
      </c>
      <c r="H1989" t="s">
        <v>20</v>
      </c>
      <c r="I1989">
        <v>1002.93</v>
      </c>
      <c r="J1989">
        <v>1294.48</v>
      </c>
      <c r="K1989">
        <v>1388.74</v>
      </c>
      <c r="L1989">
        <v>380.97</v>
      </c>
      <c r="M1989">
        <v>3686.15</v>
      </c>
      <c r="N1989">
        <v>4067.12</v>
      </c>
    </row>
    <row r="1990" spans="1:14" x14ac:dyDescent="0.3">
      <c r="A1990" s="2">
        <v>44652</v>
      </c>
      <c r="B1990" t="s">
        <v>70</v>
      </c>
      <c r="C1990">
        <v>2022</v>
      </c>
      <c r="D1990">
        <v>4</v>
      </c>
      <c r="E1990" t="s">
        <v>62</v>
      </c>
      <c r="F1990" t="s">
        <v>21</v>
      </c>
      <c r="G1990">
        <v>12</v>
      </c>
      <c r="H1990" t="s">
        <v>20</v>
      </c>
      <c r="I1990">
        <v>79.97</v>
      </c>
      <c r="J1990">
        <v>93.2</v>
      </c>
      <c r="K1990">
        <v>22.82</v>
      </c>
      <c r="L1990">
        <v>0.22</v>
      </c>
      <c r="M1990">
        <v>195.99</v>
      </c>
      <c r="N1990">
        <v>196.21</v>
      </c>
    </row>
    <row r="1991" spans="1:14" x14ac:dyDescent="0.3">
      <c r="A1991" s="2">
        <v>44652</v>
      </c>
      <c r="B1991" t="s">
        <v>70</v>
      </c>
      <c r="C1991">
        <v>2022</v>
      </c>
      <c r="D1991">
        <v>4</v>
      </c>
      <c r="E1991" t="s">
        <v>62</v>
      </c>
      <c r="F1991" t="s">
        <v>22</v>
      </c>
      <c r="G1991">
        <v>18</v>
      </c>
      <c r="H1991" t="s">
        <v>20</v>
      </c>
      <c r="I1991">
        <v>429.75</v>
      </c>
      <c r="J1991">
        <v>553.30999999999995</v>
      </c>
      <c r="K1991">
        <v>295.52</v>
      </c>
      <c r="L1991">
        <v>33.94</v>
      </c>
      <c r="M1991">
        <v>1278.58</v>
      </c>
      <c r="N1991">
        <v>1312.52</v>
      </c>
    </row>
    <row r="1992" spans="1:14" x14ac:dyDescent="0.3">
      <c r="A1992" s="2">
        <v>44652</v>
      </c>
      <c r="B1992" t="s">
        <v>70</v>
      </c>
      <c r="C1992">
        <v>2022</v>
      </c>
      <c r="D1992">
        <v>4</v>
      </c>
      <c r="E1992" t="s">
        <v>62</v>
      </c>
      <c r="F1992" t="s">
        <v>23</v>
      </c>
      <c r="G1992">
        <v>10</v>
      </c>
      <c r="H1992" t="s">
        <v>20</v>
      </c>
      <c r="I1992">
        <v>456.79</v>
      </c>
      <c r="J1992">
        <v>767.19</v>
      </c>
      <c r="K1992">
        <v>179.25</v>
      </c>
      <c r="L1992">
        <v>67.400000000000006</v>
      </c>
      <c r="M1992">
        <v>1403.23</v>
      </c>
      <c r="N1992">
        <v>1470.63</v>
      </c>
    </row>
    <row r="1993" spans="1:14" x14ac:dyDescent="0.3">
      <c r="A1993" s="2">
        <v>44652</v>
      </c>
      <c r="B1993" t="s">
        <v>70</v>
      </c>
      <c r="C1993">
        <v>2022</v>
      </c>
      <c r="D1993">
        <v>4</v>
      </c>
      <c r="E1993" t="s">
        <v>62</v>
      </c>
      <c r="F1993" t="s">
        <v>24</v>
      </c>
      <c r="G1993">
        <v>4</v>
      </c>
      <c r="H1993" t="s">
        <v>18</v>
      </c>
      <c r="I1993">
        <v>44.92</v>
      </c>
      <c r="J1993">
        <v>60.8</v>
      </c>
      <c r="K1993">
        <v>140.72999999999999</v>
      </c>
      <c r="L1993">
        <v>2.1800000000000002</v>
      </c>
      <c r="M1993">
        <v>246.45</v>
      </c>
      <c r="N1993">
        <v>248.63</v>
      </c>
    </row>
    <row r="1994" spans="1:14" x14ac:dyDescent="0.3">
      <c r="A1994" s="2">
        <v>44652</v>
      </c>
      <c r="B1994" t="s">
        <v>70</v>
      </c>
      <c r="C1994">
        <v>2022</v>
      </c>
      <c r="D1994">
        <v>4</v>
      </c>
      <c r="E1994" t="s">
        <v>62</v>
      </c>
      <c r="F1994" t="s">
        <v>25</v>
      </c>
      <c r="G1994">
        <v>22</v>
      </c>
      <c r="H1994" t="s">
        <v>20</v>
      </c>
      <c r="I1994">
        <v>665.61</v>
      </c>
      <c r="J1994">
        <v>787.74</v>
      </c>
      <c r="K1994">
        <v>865.32</v>
      </c>
      <c r="L1994">
        <v>658.58</v>
      </c>
      <c r="M1994">
        <v>2318.67</v>
      </c>
      <c r="N1994">
        <v>2977.25</v>
      </c>
    </row>
    <row r="1995" spans="1:14" x14ac:dyDescent="0.3">
      <c r="A1995" s="2">
        <v>44652</v>
      </c>
      <c r="B1995" t="s">
        <v>70</v>
      </c>
      <c r="C1995">
        <v>2022</v>
      </c>
      <c r="D1995">
        <v>4</v>
      </c>
      <c r="E1995" t="s">
        <v>62</v>
      </c>
      <c r="F1995" t="s">
        <v>26</v>
      </c>
      <c r="G1995">
        <v>38</v>
      </c>
      <c r="H1995" t="s">
        <v>18</v>
      </c>
      <c r="I1995">
        <v>46.55</v>
      </c>
      <c r="J1995">
        <v>59.1</v>
      </c>
      <c r="K1995">
        <v>273.83</v>
      </c>
      <c r="L1995">
        <v>1.27</v>
      </c>
      <c r="M1995">
        <v>379.48</v>
      </c>
      <c r="N1995">
        <v>380.75</v>
      </c>
    </row>
    <row r="1996" spans="1:14" x14ac:dyDescent="0.3">
      <c r="A1996" s="2">
        <v>44652</v>
      </c>
      <c r="B1996" t="s">
        <v>70</v>
      </c>
      <c r="C1996">
        <v>2022</v>
      </c>
      <c r="D1996">
        <v>4</v>
      </c>
      <c r="E1996" t="s">
        <v>62</v>
      </c>
      <c r="F1996" t="s">
        <v>27</v>
      </c>
      <c r="G1996">
        <v>7</v>
      </c>
      <c r="H1996" t="s">
        <v>18</v>
      </c>
      <c r="I1996">
        <v>1324.21</v>
      </c>
      <c r="J1996">
        <v>1578.8</v>
      </c>
      <c r="K1996">
        <v>2903.97</v>
      </c>
      <c r="L1996">
        <v>63.8</v>
      </c>
      <c r="M1996">
        <v>5806.98</v>
      </c>
      <c r="N1996">
        <v>5870.78</v>
      </c>
    </row>
    <row r="1997" spans="1:14" x14ac:dyDescent="0.3">
      <c r="A1997" s="2">
        <v>44652</v>
      </c>
      <c r="B1997" t="s">
        <v>70</v>
      </c>
      <c r="C1997">
        <v>2022</v>
      </c>
      <c r="D1997">
        <v>4</v>
      </c>
      <c r="E1997" t="s">
        <v>62</v>
      </c>
      <c r="F1997" t="s">
        <v>28</v>
      </c>
      <c r="G1997">
        <v>30</v>
      </c>
      <c r="H1997" t="s">
        <v>20</v>
      </c>
      <c r="I1997">
        <v>134.01</v>
      </c>
      <c r="J1997">
        <v>183.7</v>
      </c>
      <c r="K1997">
        <v>148.97999999999999</v>
      </c>
      <c r="L1997">
        <v>3.09</v>
      </c>
      <c r="M1997">
        <v>466.69</v>
      </c>
      <c r="N1997">
        <v>469.78</v>
      </c>
    </row>
    <row r="1998" spans="1:14" x14ac:dyDescent="0.3">
      <c r="A1998" s="2">
        <v>44652</v>
      </c>
      <c r="B1998" t="s">
        <v>70</v>
      </c>
      <c r="C1998">
        <v>2022</v>
      </c>
      <c r="D1998">
        <v>4</v>
      </c>
      <c r="E1998" t="s">
        <v>62</v>
      </c>
      <c r="F1998" t="s">
        <v>29</v>
      </c>
      <c r="G1998">
        <v>24</v>
      </c>
      <c r="H1998" t="s">
        <v>20</v>
      </c>
      <c r="I1998">
        <v>3303.49</v>
      </c>
      <c r="J1998">
        <v>3901.62</v>
      </c>
      <c r="K1998">
        <v>3578.04</v>
      </c>
      <c r="L1998">
        <v>480.97</v>
      </c>
      <c r="M1998">
        <v>10783.15</v>
      </c>
      <c r="N1998">
        <v>11264.12</v>
      </c>
    </row>
    <row r="1999" spans="1:14" x14ac:dyDescent="0.3">
      <c r="A1999" s="2">
        <v>44652</v>
      </c>
      <c r="B1999" t="s">
        <v>70</v>
      </c>
      <c r="C1999">
        <v>2022</v>
      </c>
      <c r="D1999">
        <v>4</v>
      </c>
      <c r="E1999" t="s">
        <v>62</v>
      </c>
      <c r="F1999" t="s">
        <v>30</v>
      </c>
      <c r="G1999">
        <v>6</v>
      </c>
      <c r="H1999" t="s">
        <v>20</v>
      </c>
      <c r="I1999">
        <v>1317.87</v>
      </c>
      <c r="J1999">
        <v>1717.8</v>
      </c>
      <c r="K1999">
        <v>4665.07</v>
      </c>
      <c r="L1999">
        <v>496.62</v>
      </c>
      <c r="M1999">
        <v>7700.74</v>
      </c>
      <c r="N1999">
        <v>8197.36</v>
      </c>
    </row>
    <row r="2000" spans="1:14" x14ac:dyDescent="0.3">
      <c r="A2000" s="2">
        <v>44652</v>
      </c>
      <c r="B2000" t="s">
        <v>70</v>
      </c>
      <c r="C2000">
        <v>2022</v>
      </c>
      <c r="D2000">
        <v>4</v>
      </c>
      <c r="E2000" t="s">
        <v>62</v>
      </c>
      <c r="F2000" t="s">
        <v>31</v>
      </c>
      <c r="G2000">
        <v>2</v>
      </c>
      <c r="H2000" t="s">
        <v>20</v>
      </c>
      <c r="I2000">
        <v>166.56</v>
      </c>
      <c r="J2000">
        <v>225.66</v>
      </c>
      <c r="K2000">
        <v>423.14</v>
      </c>
      <c r="L2000">
        <v>2.0099999999999998</v>
      </c>
      <c r="M2000">
        <v>815.36</v>
      </c>
      <c r="N2000">
        <v>817.37</v>
      </c>
    </row>
    <row r="2001" spans="1:14" x14ac:dyDescent="0.3">
      <c r="A2001" s="2">
        <v>44652</v>
      </c>
      <c r="B2001" t="s">
        <v>70</v>
      </c>
      <c r="C2001">
        <v>2022</v>
      </c>
      <c r="D2001">
        <v>4</v>
      </c>
      <c r="E2001" t="s">
        <v>62</v>
      </c>
      <c r="F2001" t="s">
        <v>32</v>
      </c>
      <c r="G2001">
        <v>1</v>
      </c>
      <c r="H2001" t="s">
        <v>18</v>
      </c>
      <c r="I2001">
        <v>176.26</v>
      </c>
      <c r="J2001">
        <v>273.36</v>
      </c>
      <c r="K2001">
        <v>104.21</v>
      </c>
      <c r="L2001">
        <v>6.03</v>
      </c>
      <c r="M2001">
        <v>553.83000000000004</v>
      </c>
      <c r="N2001">
        <v>559.86</v>
      </c>
    </row>
    <row r="2002" spans="1:14" x14ac:dyDescent="0.3">
      <c r="A2002" s="2">
        <v>44652</v>
      </c>
      <c r="B2002" t="s">
        <v>70</v>
      </c>
      <c r="C2002">
        <v>2022</v>
      </c>
      <c r="D2002">
        <v>4</v>
      </c>
      <c r="E2002" t="s">
        <v>62</v>
      </c>
      <c r="F2002" t="s">
        <v>33</v>
      </c>
      <c r="G2002">
        <v>20</v>
      </c>
      <c r="H2002" t="s">
        <v>20</v>
      </c>
      <c r="I2002">
        <v>573.46</v>
      </c>
      <c r="J2002">
        <v>773.85</v>
      </c>
      <c r="K2002">
        <v>1226.79</v>
      </c>
      <c r="L2002">
        <v>525.98</v>
      </c>
      <c r="M2002">
        <v>2574.1</v>
      </c>
      <c r="N2002">
        <v>3100.08</v>
      </c>
    </row>
    <row r="2003" spans="1:14" x14ac:dyDescent="0.3">
      <c r="A2003" s="2">
        <v>44652</v>
      </c>
      <c r="B2003" t="s">
        <v>70</v>
      </c>
      <c r="C2003">
        <v>2022</v>
      </c>
      <c r="D2003">
        <v>4</v>
      </c>
      <c r="E2003" t="s">
        <v>62</v>
      </c>
      <c r="F2003" t="s">
        <v>34</v>
      </c>
      <c r="G2003">
        <v>29</v>
      </c>
      <c r="H2003" t="s">
        <v>20</v>
      </c>
      <c r="I2003">
        <v>2859.52</v>
      </c>
      <c r="J2003">
        <v>3520.29</v>
      </c>
      <c r="K2003">
        <v>4354.76</v>
      </c>
      <c r="L2003">
        <v>1085.43</v>
      </c>
      <c r="M2003">
        <v>10734.57</v>
      </c>
      <c r="N2003">
        <v>11820</v>
      </c>
    </row>
    <row r="2004" spans="1:14" x14ac:dyDescent="0.3">
      <c r="A2004" s="2">
        <v>44652</v>
      </c>
      <c r="B2004" t="s">
        <v>70</v>
      </c>
      <c r="C2004">
        <v>2022</v>
      </c>
      <c r="D2004">
        <v>4</v>
      </c>
      <c r="E2004" t="s">
        <v>62</v>
      </c>
      <c r="F2004" t="s">
        <v>35</v>
      </c>
      <c r="G2004">
        <v>32</v>
      </c>
      <c r="H2004" t="s">
        <v>20</v>
      </c>
      <c r="I2004">
        <v>844.33</v>
      </c>
      <c r="J2004">
        <v>1153.07</v>
      </c>
      <c r="K2004">
        <v>686.4</v>
      </c>
      <c r="L2004">
        <v>5.21</v>
      </c>
      <c r="M2004">
        <v>2683.8</v>
      </c>
      <c r="N2004">
        <v>2689.01</v>
      </c>
    </row>
    <row r="2005" spans="1:14" x14ac:dyDescent="0.3">
      <c r="A2005" s="2">
        <v>44652</v>
      </c>
      <c r="B2005" t="s">
        <v>70</v>
      </c>
      <c r="C2005">
        <v>2022</v>
      </c>
      <c r="D2005">
        <v>4</v>
      </c>
      <c r="E2005" t="s">
        <v>62</v>
      </c>
      <c r="F2005" t="s">
        <v>67</v>
      </c>
      <c r="G2005">
        <v>37</v>
      </c>
      <c r="H2005" t="s">
        <v>18</v>
      </c>
      <c r="I2005">
        <v>19.09</v>
      </c>
      <c r="J2005">
        <v>23.34</v>
      </c>
      <c r="K2005">
        <v>4.51</v>
      </c>
      <c r="L2005">
        <v>0.24</v>
      </c>
      <c r="M2005">
        <v>46.94</v>
      </c>
      <c r="N2005">
        <v>47.18</v>
      </c>
    </row>
    <row r="2006" spans="1:14" x14ac:dyDescent="0.3">
      <c r="A2006" s="2">
        <v>44652</v>
      </c>
      <c r="B2006" t="s">
        <v>70</v>
      </c>
      <c r="C2006">
        <v>2022</v>
      </c>
      <c r="D2006">
        <v>4</v>
      </c>
      <c r="E2006" t="s">
        <v>62</v>
      </c>
      <c r="F2006" t="s">
        <v>36</v>
      </c>
      <c r="G2006">
        <v>31</v>
      </c>
      <c r="H2006" t="s">
        <v>18</v>
      </c>
      <c r="I2006">
        <v>1.19</v>
      </c>
      <c r="J2006">
        <v>1.77</v>
      </c>
      <c r="K2006">
        <v>0.08</v>
      </c>
      <c r="L2006">
        <v>0</v>
      </c>
      <c r="M2006">
        <v>3.04</v>
      </c>
      <c r="N2006">
        <v>3.04</v>
      </c>
    </row>
    <row r="2007" spans="1:14" x14ac:dyDescent="0.3">
      <c r="A2007" s="2">
        <v>44652</v>
      </c>
      <c r="B2007" t="s">
        <v>70</v>
      </c>
      <c r="C2007">
        <v>2022</v>
      </c>
      <c r="D2007">
        <v>4</v>
      </c>
      <c r="E2007" t="s">
        <v>62</v>
      </c>
      <c r="F2007" t="s">
        <v>37</v>
      </c>
      <c r="G2007">
        <v>23</v>
      </c>
      <c r="H2007" t="s">
        <v>20</v>
      </c>
      <c r="I2007">
        <v>850.2</v>
      </c>
      <c r="J2007">
        <v>1102.1199999999999</v>
      </c>
      <c r="K2007">
        <v>876.76</v>
      </c>
      <c r="L2007">
        <v>510.31</v>
      </c>
      <c r="M2007">
        <v>2829.08</v>
      </c>
      <c r="N2007">
        <v>3339.39</v>
      </c>
    </row>
    <row r="2008" spans="1:14" x14ac:dyDescent="0.3">
      <c r="A2008" s="2">
        <v>44652</v>
      </c>
      <c r="B2008" t="s">
        <v>70</v>
      </c>
      <c r="C2008">
        <v>2022</v>
      </c>
      <c r="D2008">
        <v>4</v>
      </c>
      <c r="E2008" t="s">
        <v>62</v>
      </c>
      <c r="F2008" t="s">
        <v>38</v>
      </c>
      <c r="G2008">
        <v>27</v>
      </c>
      <c r="H2008" t="s">
        <v>20</v>
      </c>
      <c r="I2008">
        <v>7305.65</v>
      </c>
      <c r="J2008">
        <v>8573</v>
      </c>
      <c r="K2008">
        <v>9884.7000000000007</v>
      </c>
      <c r="L2008">
        <v>1731.29</v>
      </c>
      <c r="M2008">
        <v>25763.35</v>
      </c>
      <c r="N2008">
        <v>27494.639999999999</v>
      </c>
    </row>
    <row r="2009" spans="1:14" x14ac:dyDescent="0.3">
      <c r="A2009" s="2">
        <v>44652</v>
      </c>
      <c r="B2009" t="s">
        <v>70</v>
      </c>
      <c r="C2009">
        <v>2022</v>
      </c>
      <c r="D2009">
        <v>4</v>
      </c>
      <c r="E2009" t="s">
        <v>62</v>
      </c>
      <c r="F2009" t="s">
        <v>39</v>
      </c>
      <c r="G2009">
        <v>14</v>
      </c>
      <c r="H2009" t="s">
        <v>20</v>
      </c>
      <c r="I2009">
        <v>25.9</v>
      </c>
      <c r="J2009">
        <v>35.67</v>
      </c>
      <c r="K2009">
        <v>6.8</v>
      </c>
      <c r="L2009">
        <v>0.6</v>
      </c>
      <c r="M2009">
        <v>68.37</v>
      </c>
      <c r="N2009">
        <v>68.97</v>
      </c>
    </row>
    <row r="2010" spans="1:14" x14ac:dyDescent="0.3">
      <c r="A2010" s="2">
        <v>44652</v>
      </c>
      <c r="B2010" t="s">
        <v>70</v>
      </c>
      <c r="C2010">
        <v>2022</v>
      </c>
      <c r="D2010">
        <v>4</v>
      </c>
      <c r="E2010" t="s">
        <v>62</v>
      </c>
      <c r="F2010" t="s">
        <v>40</v>
      </c>
      <c r="G2010">
        <v>17</v>
      </c>
      <c r="H2010" t="s">
        <v>20</v>
      </c>
      <c r="I2010">
        <v>48.83</v>
      </c>
      <c r="J2010">
        <v>58.17</v>
      </c>
      <c r="K2010">
        <v>117.66</v>
      </c>
      <c r="L2010">
        <v>2.04</v>
      </c>
      <c r="M2010">
        <v>224.66</v>
      </c>
      <c r="N2010">
        <v>226.7</v>
      </c>
    </row>
    <row r="2011" spans="1:14" x14ac:dyDescent="0.3">
      <c r="A2011" s="2">
        <v>44652</v>
      </c>
      <c r="B2011" t="s">
        <v>70</v>
      </c>
      <c r="C2011">
        <v>2022</v>
      </c>
      <c r="D2011">
        <v>4</v>
      </c>
      <c r="E2011" t="s">
        <v>62</v>
      </c>
      <c r="F2011" t="s">
        <v>41</v>
      </c>
      <c r="G2011">
        <v>15</v>
      </c>
      <c r="H2011" t="s">
        <v>20</v>
      </c>
      <c r="I2011">
        <v>17.28</v>
      </c>
      <c r="J2011">
        <v>24.49</v>
      </c>
      <c r="K2011">
        <v>4.4800000000000004</v>
      </c>
      <c r="L2011">
        <v>0.09</v>
      </c>
      <c r="M2011">
        <v>46.25</v>
      </c>
      <c r="N2011">
        <v>46.34</v>
      </c>
    </row>
    <row r="2012" spans="1:14" x14ac:dyDescent="0.3">
      <c r="A2012" s="2">
        <v>44652</v>
      </c>
      <c r="B2012" t="s">
        <v>70</v>
      </c>
      <c r="C2012">
        <v>2022</v>
      </c>
      <c r="D2012">
        <v>4</v>
      </c>
      <c r="E2012" t="s">
        <v>62</v>
      </c>
      <c r="F2012" t="s">
        <v>42</v>
      </c>
      <c r="G2012">
        <v>13</v>
      </c>
      <c r="H2012" t="s">
        <v>20</v>
      </c>
      <c r="I2012">
        <v>22.22</v>
      </c>
      <c r="J2012">
        <v>28.29</v>
      </c>
      <c r="K2012">
        <v>12.03</v>
      </c>
      <c r="L2012">
        <v>5.5</v>
      </c>
      <c r="M2012">
        <v>62.54</v>
      </c>
      <c r="N2012">
        <v>68.040000000000006</v>
      </c>
    </row>
    <row r="2013" spans="1:14" x14ac:dyDescent="0.3">
      <c r="A2013" s="2">
        <v>44652</v>
      </c>
      <c r="B2013" t="s">
        <v>70</v>
      </c>
      <c r="C2013">
        <v>2022</v>
      </c>
      <c r="D2013">
        <v>4</v>
      </c>
      <c r="E2013" t="s">
        <v>62</v>
      </c>
      <c r="F2013" t="s">
        <v>43</v>
      </c>
      <c r="G2013">
        <v>21</v>
      </c>
      <c r="H2013" t="s">
        <v>20</v>
      </c>
      <c r="I2013">
        <v>1381</v>
      </c>
      <c r="J2013">
        <v>1714.78</v>
      </c>
      <c r="K2013">
        <v>1092.05</v>
      </c>
      <c r="L2013">
        <v>722.4</v>
      </c>
      <c r="M2013">
        <v>4187.83</v>
      </c>
      <c r="N2013">
        <v>4910.2299999999996</v>
      </c>
    </row>
    <row r="2014" spans="1:14" x14ac:dyDescent="0.3">
      <c r="A2014" s="2">
        <v>44652</v>
      </c>
      <c r="B2014" t="s">
        <v>70</v>
      </c>
      <c r="C2014">
        <v>2022</v>
      </c>
      <c r="D2014">
        <v>4</v>
      </c>
      <c r="E2014" t="s">
        <v>62</v>
      </c>
      <c r="F2014" t="s">
        <v>44</v>
      </c>
      <c r="G2014">
        <v>34</v>
      </c>
      <c r="H2014" t="s">
        <v>18</v>
      </c>
      <c r="I2014">
        <v>27.92</v>
      </c>
      <c r="J2014">
        <v>44.95</v>
      </c>
      <c r="K2014">
        <v>132.30000000000001</v>
      </c>
      <c r="L2014">
        <v>0.59</v>
      </c>
      <c r="M2014">
        <v>205.17</v>
      </c>
      <c r="N2014">
        <v>205.76</v>
      </c>
    </row>
    <row r="2015" spans="1:14" x14ac:dyDescent="0.3">
      <c r="A2015" s="2">
        <v>44652</v>
      </c>
      <c r="B2015" t="s">
        <v>70</v>
      </c>
      <c r="C2015">
        <v>2022</v>
      </c>
      <c r="D2015">
        <v>4</v>
      </c>
      <c r="E2015" t="s">
        <v>62</v>
      </c>
      <c r="F2015" t="s">
        <v>45</v>
      </c>
      <c r="G2015">
        <v>3</v>
      </c>
      <c r="H2015" t="s">
        <v>20</v>
      </c>
      <c r="I2015">
        <v>531.03</v>
      </c>
      <c r="J2015">
        <v>783.04</v>
      </c>
      <c r="K2015">
        <v>649.65</v>
      </c>
      <c r="L2015">
        <v>30.27</v>
      </c>
      <c r="M2015">
        <v>1963.72</v>
      </c>
      <c r="N2015">
        <v>1993.99</v>
      </c>
    </row>
    <row r="2016" spans="1:14" x14ac:dyDescent="0.3">
      <c r="A2016" s="2">
        <v>44652</v>
      </c>
      <c r="B2016" t="s">
        <v>70</v>
      </c>
      <c r="C2016">
        <v>2022</v>
      </c>
      <c r="D2016">
        <v>4</v>
      </c>
      <c r="E2016" t="s">
        <v>62</v>
      </c>
      <c r="F2016" t="s">
        <v>46</v>
      </c>
      <c r="G2016">
        <v>8</v>
      </c>
      <c r="H2016" t="s">
        <v>20</v>
      </c>
      <c r="I2016">
        <v>1309.4100000000001</v>
      </c>
      <c r="J2016">
        <v>1670.42</v>
      </c>
      <c r="K2016">
        <v>1412.38</v>
      </c>
      <c r="L2016">
        <v>155</v>
      </c>
      <c r="M2016">
        <v>4392.21</v>
      </c>
      <c r="N2016">
        <v>4547.21</v>
      </c>
    </row>
    <row r="2017" spans="1:14" x14ac:dyDescent="0.3">
      <c r="A2017" s="2">
        <v>44652</v>
      </c>
      <c r="B2017" t="s">
        <v>70</v>
      </c>
      <c r="C2017">
        <v>2022</v>
      </c>
      <c r="D2017">
        <v>4</v>
      </c>
      <c r="E2017" t="s">
        <v>62</v>
      </c>
      <c r="F2017" t="s">
        <v>47</v>
      </c>
      <c r="G2017">
        <v>11</v>
      </c>
      <c r="H2017" t="s">
        <v>20</v>
      </c>
      <c r="I2017">
        <v>31.68</v>
      </c>
      <c r="J2017">
        <v>48.38</v>
      </c>
      <c r="K2017">
        <v>183.65</v>
      </c>
      <c r="L2017">
        <v>0.11</v>
      </c>
      <c r="M2017">
        <v>263.70999999999998</v>
      </c>
      <c r="N2017">
        <v>263.82</v>
      </c>
    </row>
    <row r="2018" spans="1:14" x14ac:dyDescent="0.3">
      <c r="A2018" s="2">
        <v>44652</v>
      </c>
      <c r="B2018" t="s">
        <v>70</v>
      </c>
      <c r="C2018">
        <v>2022</v>
      </c>
      <c r="D2018">
        <v>4</v>
      </c>
      <c r="E2018" t="s">
        <v>62</v>
      </c>
      <c r="F2018" t="s">
        <v>48</v>
      </c>
      <c r="G2018">
        <v>33</v>
      </c>
      <c r="H2018" t="s">
        <v>20</v>
      </c>
      <c r="I2018">
        <v>2595.96</v>
      </c>
      <c r="J2018">
        <v>3440.26</v>
      </c>
      <c r="K2018">
        <v>2924.95</v>
      </c>
      <c r="L2018">
        <v>762.98</v>
      </c>
      <c r="M2018">
        <v>8961.17</v>
      </c>
      <c r="N2018">
        <v>9724.15</v>
      </c>
    </row>
    <row r="2019" spans="1:14" x14ac:dyDescent="0.3">
      <c r="A2019" s="2">
        <v>44652</v>
      </c>
      <c r="B2019" t="s">
        <v>70</v>
      </c>
      <c r="C2019">
        <v>2022</v>
      </c>
      <c r="D2019">
        <v>4</v>
      </c>
      <c r="E2019" t="s">
        <v>62</v>
      </c>
      <c r="F2019" t="s">
        <v>49</v>
      </c>
      <c r="G2019">
        <v>36</v>
      </c>
      <c r="H2019" t="s">
        <v>20</v>
      </c>
      <c r="I2019">
        <v>1271.06</v>
      </c>
      <c r="J2019">
        <v>1662.97</v>
      </c>
      <c r="K2019">
        <v>1524.18</v>
      </c>
      <c r="L2019">
        <v>497.15</v>
      </c>
      <c r="M2019">
        <v>4458.21</v>
      </c>
      <c r="N2019">
        <v>4955.3599999999997</v>
      </c>
    </row>
    <row r="2020" spans="1:14" x14ac:dyDescent="0.3">
      <c r="A2020" s="2">
        <v>44652</v>
      </c>
      <c r="B2020" t="s">
        <v>70</v>
      </c>
      <c r="C2020">
        <v>2022</v>
      </c>
      <c r="D2020">
        <v>4</v>
      </c>
      <c r="E2020" t="s">
        <v>62</v>
      </c>
      <c r="F2020" t="s">
        <v>50</v>
      </c>
      <c r="G2020">
        <v>16</v>
      </c>
      <c r="H2020" t="s">
        <v>20</v>
      </c>
      <c r="I2020">
        <v>40.630000000000003</v>
      </c>
      <c r="J2020">
        <v>53.61</v>
      </c>
      <c r="K2020">
        <v>12.04</v>
      </c>
      <c r="L2020">
        <v>0.57999999999999996</v>
      </c>
      <c r="M2020">
        <v>106.28</v>
      </c>
      <c r="N2020">
        <v>106.86</v>
      </c>
    </row>
    <row r="2021" spans="1:14" x14ac:dyDescent="0.3">
      <c r="A2021" s="2">
        <v>44652</v>
      </c>
      <c r="B2021" t="s">
        <v>70</v>
      </c>
      <c r="C2021">
        <v>2022</v>
      </c>
      <c r="D2021">
        <v>4</v>
      </c>
      <c r="E2021" t="s">
        <v>62</v>
      </c>
      <c r="F2021" t="s">
        <v>51</v>
      </c>
      <c r="G2021">
        <v>9</v>
      </c>
      <c r="H2021" t="s">
        <v>20</v>
      </c>
      <c r="I2021">
        <v>2038.59</v>
      </c>
      <c r="J2021">
        <v>2781.78</v>
      </c>
      <c r="K2021">
        <v>2542.98</v>
      </c>
      <c r="L2021">
        <v>1170.76</v>
      </c>
      <c r="M2021">
        <v>7363.35</v>
      </c>
      <c r="N2021">
        <v>8534.11</v>
      </c>
    </row>
    <row r="2022" spans="1:14" x14ac:dyDescent="0.3">
      <c r="A2022" s="2">
        <v>44652</v>
      </c>
      <c r="B2022" t="s">
        <v>70</v>
      </c>
      <c r="C2022">
        <v>2022</v>
      </c>
      <c r="D2022">
        <v>4</v>
      </c>
      <c r="E2022" t="s">
        <v>62</v>
      </c>
      <c r="F2022" t="s">
        <v>52</v>
      </c>
      <c r="G2022">
        <v>5</v>
      </c>
      <c r="H2022" t="s">
        <v>20</v>
      </c>
      <c r="I2022">
        <v>426.27</v>
      </c>
      <c r="J2022">
        <v>584.84</v>
      </c>
      <c r="K2022">
        <v>863.93</v>
      </c>
      <c r="L2022">
        <v>11.55</v>
      </c>
      <c r="M2022">
        <v>1875.04</v>
      </c>
      <c r="N2022">
        <v>1886.59</v>
      </c>
    </row>
    <row r="2023" spans="1:14" x14ac:dyDescent="0.3">
      <c r="A2023" s="2">
        <v>44652</v>
      </c>
      <c r="B2023" t="s">
        <v>70</v>
      </c>
      <c r="C2023">
        <v>2022</v>
      </c>
      <c r="D2023">
        <v>4</v>
      </c>
      <c r="E2023" t="s">
        <v>62</v>
      </c>
      <c r="F2023" t="s">
        <v>53</v>
      </c>
      <c r="G2023">
        <v>19</v>
      </c>
      <c r="H2023" t="s">
        <v>20</v>
      </c>
      <c r="I2023">
        <v>1734.28</v>
      </c>
      <c r="J2023">
        <v>2155.35</v>
      </c>
      <c r="K2023">
        <v>1377.17</v>
      </c>
      <c r="L2023">
        <v>377.04</v>
      </c>
      <c r="M2023">
        <v>5266.8</v>
      </c>
      <c r="N2023">
        <v>5643.84</v>
      </c>
    </row>
    <row r="2024" spans="1:14" x14ac:dyDescent="0.3">
      <c r="A2024" s="2">
        <v>44682</v>
      </c>
      <c r="B2024" t="s">
        <v>70</v>
      </c>
      <c r="C2024">
        <v>2022</v>
      </c>
      <c r="D2024">
        <v>5</v>
      </c>
      <c r="E2024" t="s">
        <v>63</v>
      </c>
      <c r="F2024" t="s">
        <v>17</v>
      </c>
      <c r="G2024">
        <v>35</v>
      </c>
      <c r="H2024" t="s">
        <v>18</v>
      </c>
      <c r="I2024">
        <v>8.48</v>
      </c>
      <c r="J2024">
        <v>11.66</v>
      </c>
      <c r="K2024">
        <v>4.17</v>
      </c>
      <c r="L2024">
        <v>0.02</v>
      </c>
      <c r="M2024">
        <v>24.31</v>
      </c>
      <c r="N2024">
        <v>24.33</v>
      </c>
    </row>
    <row r="2025" spans="1:14" x14ac:dyDescent="0.3">
      <c r="A2025" s="2">
        <v>44682</v>
      </c>
      <c r="B2025" t="s">
        <v>70</v>
      </c>
      <c r="C2025">
        <v>2022</v>
      </c>
      <c r="D2025">
        <v>5</v>
      </c>
      <c r="E2025" t="s">
        <v>63</v>
      </c>
      <c r="F2025" t="s">
        <v>19</v>
      </c>
      <c r="G2025">
        <v>28</v>
      </c>
      <c r="H2025" t="s">
        <v>20</v>
      </c>
      <c r="I2025">
        <v>742.18</v>
      </c>
      <c r="J2025">
        <v>972.51</v>
      </c>
      <c r="K2025">
        <v>945.11</v>
      </c>
      <c r="L2025">
        <v>386.9</v>
      </c>
      <c r="M2025">
        <v>2659.8</v>
      </c>
      <c r="N2025">
        <v>3046.7</v>
      </c>
    </row>
    <row r="2026" spans="1:14" x14ac:dyDescent="0.3">
      <c r="A2026" s="2">
        <v>44682</v>
      </c>
      <c r="B2026" t="s">
        <v>70</v>
      </c>
      <c r="C2026">
        <v>2022</v>
      </c>
      <c r="D2026">
        <v>5</v>
      </c>
      <c r="E2026" t="s">
        <v>63</v>
      </c>
      <c r="F2026" t="s">
        <v>21</v>
      </c>
      <c r="G2026">
        <v>12</v>
      </c>
      <c r="H2026" t="s">
        <v>20</v>
      </c>
      <c r="I2026">
        <v>31.52</v>
      </c>
      <c r="J2026">
        <v>41.17</v>
      </c>
      <c r="K2026">
        <v>8.82</v>
      </c>
      <c r="L2026">
        <v>0.12</v>
      </c>
      <c r="M2026">
        <v>81.510000000000005</v>
      </c>
      <c r="N2026">
        <v>81.63</v>
      </c>
    </row>
    <row r="2027" spans="1:14" x14ac:dyDescent="0.3">
      <c r="A2027" s="2">
        <v>44682</v>
      </c>
      <c r="B2027" t="s">
        <v>70</v>
      </c>
      <c r="C2027">
        <v>2022</v>
      </c>
      <c r="D2027">
        <v>5</v>
      </c>
      <c r="E2027" t="s">
        <v>63</v>
      </c>
      <c r="F2027" t="s">
        <v>22</v>
      </c>
      <c r="G2027">
        <v>18</v>
      </c>
      <c r="H2027" t="s">
        <v>20</v>
      </c>
      <c r="I2027">
        <v>304.76</v>
      </c>
      <c r="J2027">
        <v>414.38</v>
      </c>
      <c r="K2027">
        <v>300.08</v>
      </c>
      <c r="L2027">
        <v>42.96</v>
      </c>
      <c r="M2027">
        <v>1019.22</v>
      </c>
      <c r="N2027">
        <v>1062.18</v>
      </c>
    </row>
    <row r="2028" spans="1:14" x14ac:dyDescent="0.3">
      <c r="A2028" s="2">
        <v>44682</v>
      </c>
      <c r="B2028" t="s">
        <v>70</v>
      </c>
      <c r="C2028">
        <v>2022</v>
      </c>
      <c r="D2028">
        <v>5</v>
      </c>
      <c r="E2028" t="s">
        <v>63</v>
      </c>
      <c r="F2028" t="s">
        <v>23</v>
      </c>
      <c r="G2028">
        <v>10</v>
      </c>
      <c r="H2028" t="s">
        <v>20</v>
      </c>
      <c r="I2028">
        <v>313.8</v>
      </c>
      <c r="J2028">
        <v>546.19000000000005</v>
      </c>
      <c r="K2028">
        <v>149.81</v>
      </c>
      <c r="L2028">
        <v>167.77</v>
      </c>
      <c r="M2028">
        <v>1009.8</v>
      </c>
      <c r="N2028">
        <v>1177.57</v>
      </c>
    </row>
    <row r="2029" spans="1:14" x14ac:dyDescent="0.3">
      <c r="A2029" s="2">
        <v>44682</v>
      </c>
      <c r="B2029" t="s">
        <v>70</v>
      </c>
      <c r="C2029">
        <v>2022</v>
      </c>
      <c r="D2029">
        <v>5</v>
      </c>
      <c r="E2029" t="s">
        <v>63</v>
      </c>
      <c r="F2029" t="s">
        <v>24</v>
      </c>
      <c r="G2029">
        <v>4</v>
      </c>
      <c r="H2029" t="s">
        <v>18</v>
      </c>
      <c r="I2029">
        <v>32.270000000000003</v>
      </c>
      <c r="J2029">
        <v>43.39</v>
      </c>
      <c r="K2029">
        <v>86.68</v>
      </c>
      <c r="L2029">
        <v>4.7699999999999996</v>
      </c>
      <c r="M2029">
        <v>162.34</v>
      </c>
      <c r="N2029">
        <v>167.11</v>
      </c>
    </row>
    <row r="2030" spans="1:14" x14ac:dyDescent="0.3">
      <c r="A2030" s="2">
        <v>44682</v>
      </c>
      <c r="B2030" t="s">
        <v>70</v>
      </c>
      <c r="C2030">
        <v>2022</v>
      </c>
      <c r="D2030">
        <v>5</v>
      </c>
      <c r="E2030" t="s">
        <v>63</v>
      </c>
      <c r="F2030" t="s">
        <v>25</v>
      </c>
      <c r="G2030">
        <v>22</v>
      </c>
      <c r="H2030" t="s">
        <v>20</v>
      </c>
      <c r="I2030">
        <v>508.34</v>
      </c>
      <c r="J2030">
        <v>604.47</v>
      </c>
      <c r="K2030">
        <v>938.4</v>
      </c>
      <c r="L2030">
        <v>576.21</v>
      </c>
      <c r="M2030">
        <v>2051.21</v>
      </c>
      <c r="N2030">
        <v>2627.42</v>
      </c>
    </row>
    <row r="2031" spans="1:14" x14ac:dyDescent="0.3">
      <c r="A2031" s="2">
        <v>44682</v>
      </c>
      <c r="B2031" t="s">
        <v>70</v>
      </c>
      <c r="C2031">
        <v>2022</v>
      </c>
      <c r="D2031">
        <v>5</v>
      </c>
      <c r="E2031" t="s">
        <v>63</v>
      </c>
      <c r="F2031" t="s">
        <v>26</v>
      </c>
      <c r="G2031">
        <v>38</v>
      </c>
      <c r="H2031" t="s">
        <v>18</v>
      </c>
      <c r="I2031">
        <v>43.21</v>
      </c>
      <c r="J2031">
        <v>55.26</v>
      </c>
      <c r="K2031">
        <v>199.69</v>
      </c>
      <c r="L2031">
        <v>2.2599999999999998</v>
      </c>
      <c r="M2031">
        <v>298.16000000000003</v>
      </c>
      <c r="N2031">
        <v>300.42</v>
      </c>
    </row>
    <row r="2032" spans="1:14" x14ac:dyDescent="0.3">
      <c r="A2032" s="2">
        <v>44682</v>
      </c>
      <c r="B2032" t="s">
        <v>70</v>
      </c>
      <c r="C2032">
        <v>2022</v>
      </c>
      <c r="D2032">
        <v>5</v>
      </c>
      <c r="E2032" t="s">
        <v>63</v>
      </c>
      <c r="F2032" t="s">
        <v>27</v>
      </c>
      <c r="G2032">
        <v>7</v>
      </c>
      <c r="H2032" t="s">
        <v>18</v>
      </c>
      <c r="I2032">
        <v>798.73</v>
      </c>
      <c r="J2032">
        <v>996.34</v>
      </c>
      <c r="K2032">
        <v>2217.87</v>
      </c>
      <c r="L2032">
        <v>100.55</v>
      </c>
      <c r="M2032">
        <v>4012.94</v>
      </c>
      <c r="N2032">
        <v>4113.49</v>
      </c>
    </row>
    <row r="2033" spans="1:14" x14ac:dyDescent="0.3">
      <c r="A2033" s="2">
        <v>44682</v>
      </c>
      <c r="B2033" t="s">
        <v>70</v>
      </c>
      <c r="C2033">
        <v>2022</v>
      </c>
      <c r="D2033">
        <v>5</v>
      </c>
      <c r="E2033" t="s">
        <v>63</v>
      </c>
      <c r="F2033" t="s">
        <v>28</v>
      </c>
      <c r="G2033">
        <v>30</v>
      </c>
      <c r="H2033" t="s">
        <v>20</v>
      </c>
      <c r="I2033">
        <v>125.94</v>
      </c>
      <c r="J2033">
        <v>167.24</v>
      </c>
      <c r="K2033">
        <v>163.47999999999999</v>
      </c>
      <c r="L2033">
        <v>4.13</v>
      </c>
      <c r="M2033">
        <v>456.66</v>
      </c>
      <c r="N2033">
        <v>460.79</v>
      </c>
    </row>
    <row r="2034" spans="1:14" x14ac:dyDescent="0.3">
      <c r="A2034" s="2">
        <v>44682</v>
      </c>
      <c r="B2034" t="s">
        <v>70</v>
      </c>
      <c r="C2034">
        <v>2022</v>
      </c>
      <c r="D2034">
        <v>5</v>
      </c>
      <c r="E2034" t="s">
        <v>63</v>
      </c>
      <c r="F2034" t="s">
        <v>29</v>
      </c>
      <c r="G2034">
        <v>24</v>
      </c>
      <c r="H2034" t="s">
        <v>20</v>
      </c>
      <c r="I2034">
        <v>2634.17</v>
      </c>
      <c r="J2034">
        <v>3097.14</v>
      </c>
      <c r="K2034">
        <v>3053.15</v>
      </c>
      <c r="L2034">
        <v>536.88</v>
      </c>
      <c r="M2034">
        <v>8784.4599999999991</v>
      </c>
      <c r="N2034">
        <v>9321.34</v>
      </c>
    </row>
    <row r="2035" spans="1:14" x14ac:dyDescent="0.3">
      <c r="A2035" s="2">
        <v>44682</v>
      </c>
      <c r="B2035" t="s">
        <v>70</v>
      </c>
      <c r="C2035">
        <v>2022</v>
      </c>
      <c r="D2035">
        <v>5</v>
      </c>
      <c r="E2035" t="s">
        <v>63</v>
      </c>
      <c r="F2035" t="s">
        <v>30</v>
      </c>
      <c r="G2035">
        <v>6</v>
      </c>
      <c r="H2035" t="s">
        <v>20</v>
      </c>
      <c r="I2035">
        <v>1106.4000000000001</v>
      </c>
      <c r="J2035">
        <v>1483.91</v>
      </c>
      <c r="K2035">
        <v>3523.21</v>
      </c>
      <c r="L2035">
        <v>549.66</v>
      </c>
      <c r="M2035">
        <v>6113.52</v>
      </c>
      <c r="N2035">
        <v>6663.18</v>
      </c>
    </row>
    <row r="2036" spans="1:14" x14ac:dyDescent="0.3">
      <c r="A2036" s="2">
        <v>44682</v>
      </c>
      <c r="B2036" t="s">
        <v>70</v>
      </c>
      <c r="C2036">
        <v>2022</v>
      </c>
      <c r="D2036">
        <v>5</v>
      </c>
      <c r="E2036" t="s">
        <v>63</v>
      </c>
      <c r="F2036" t="s">
        <v>31</v>
      </c>
      <c r="G2036">
        <v>2</v>
      </c>
      <c r="H2036" t="s">
        <v>20</v>
      </c>
      <c r="I2036">
        <v>119.49</v>
      </c>
      <c r="J2036">
        <v>171.72</v>
      </c>
      <c r="K2036">
        <v>447.74</v>
      </c>
      <c r="L2036">
        <v>1.89</v>
      </c>
      <c r="M2036">
        <v>738.95</v>
      </c>
      <c r="N2036">
        <v>740.84</v>
      </c>
    </row>
    <row r="2037" spans="1:14" x14ac:dyDescent="0.3">
      <c r="A2037" s="2">
        <v>44682</v>
      </c>
      <c r="B2037" t="s">
        <v>70</v>
      </c>
      <c r="C2037">
        <v>2022</v>
      </c>
      <c r="D2037">
        <v>5</v>
      </c>
      <c r="E2037" t="s">
        <v>63</v>
      </c>
      <c r="F2037" t="s">
        <v>32</v>
      </c>
      <c r="G2037">
        <v>1</v>
      </c>
      <c r="H2037" t="s">
        <v>18</v>
      </c>
      <c r="I2037">
        <v>103.41</v>
      </c>
      <c r="J2037">
        <v>165.49</v>
      </c>
      <c r="K2037">
        <v>93.95</v>
      </c>
      <c r="L2037">
        <v>8.7899999999999991</v>
      </c>
      <c r="M2037">
        <v>362.85</v>
      </c>
      <c r="N2037">
        <v>371.64</v>
      </c>
    </row>
    <row r="2038" spans="1:14" x14ac:dyDescent="0.3">
      <c r="A2038" s="2">
        <v>44682</v>
      </c>
      <c r="B2038" t="s">
        <v>70</v>
      </c>
      <c r="C2038">
        <v>2022</v>
      </c>
      <c r="D2038">
        <v>5</v>
      </c>
      <c r="E2038" t="s">
        <v>63</v>
      </c>
      <c r="F2038" t="s">
        <v>33</v>
      </c>
      <c r="G2038">
        <v>20</v>
      </c>
      <c r="H2038" t="s">
        <v>20</v>
      </c>
      <c r="I2038">
        <v>443.82</v>
      </c>
      <c r="J2038">
        <v>607.97</v>
      </c>
      <c r="K2038">
        <v>963.42</v>
      </c>
      <c r="L2038">
        <v>452.86</v>
      </c>
      <c r="M2038">
        <v>2015.21</v>
      </c>
      <c r="N2038">
        <v>2468.0700000000002</v>
      </c>
    </row>
    <row r="2039" spans="1:14" x14ac:dyDescent="0.3">
      <c r="A2039" s="2">
        <v>44682</v>
      </c>
      <c r="B2039" t="s">
        <v>70</v>
      </c>
      <c r="C2039">
        <v>2022</v>
      </c>
      <c r="D2039">
        <v>5</v>
      </c>
      <c r="E2039" t="s">
        <v>63</v>
      </c>
      <c r="F2039" t="s">
        <v>34</v>
      </c>
      <c r="G2039">
        <v>29</v>
      </c>
      <c r="H2039" t="s">
        <v>20</v>
      </c>
      <c r="I2039">
        <v>2111.77</v>
      </c>
      <c r="J2039">
        <v>2658.02</v>
      </c>
      <c r="K2039">
        <v>3408.4</v>
      </c>
      <c r="L2039">
        <v>1053.8499999999999</v>
      </c>
      <c r="M2039">
        <v>8178.19</v>
      </c>
      <c r="N2039">
        <v>9232.0400000000009</v>
      </c>
    </row>
    <row r="2040" spans="1:14" x14ac:dyDescent="0.3">
      <c r="A2040" s="2">
        <v>44682</v>
      </c>
      <c r="B2040" t="s">
        <v>70</v>
      </c>
      <c r="C2040">
        <v>2022</v>
      </c>
      <c r="D2040">
        <v>5</v>
      </c>
      <c r="E2040" t="s">
        <v>63</v>
      </c>
      <c r="F2040" t="s">
        <v>35</v>
      </c>
      <c r="G2040">
        <v>32</v>
      </c>
      <c r="H2040" t="s">
        <v>20</v>
      </c>
      <c r="I2040">
        <v>697.48</v>
      </c>
      <c r="J2040">
        <v>952.62</v>
      </c>
      <c r="K2040">
        <v>411.4</v>
      </c>
      <c r="L2040">
        <v>2.56</v>
      </c>
      <c r="M2040">
        <v>2061.5</v>
      </c>
      <c r="N2040">
        <v>2064.06</v>
      </c>
    </row>
    <row r="2041" spans="1:14" x14ac:dyDescent="0.3">
      <c r="A2041" s="2">
        <v>44682</v>
      </c>
      <c r="B2041" t="s">
        <v>70</v>
      </c>
      <c r="C2041">
        <v>2022</v>
      </c>
      <c r="D2041">
        <v>5</v>
      </c>
      <c r="E2041" t="s">
        <v>63</v>
      </c>
      <c r="F2041" t="s">
        <v>67</v>
      </c>
      <c r="G2041">
        <v>37</v>
      </c>
      <c r="H2041" t="s">
        <v>18</v>
      </c>
      <c r="I2041">
        <v>4.1500000000000004</v>
      </c>
      <c r="J2041">
        <v>6.66</v>
      </c>
      <c r="K2041">
        <v>1.49</v>
      </c>
      <c r="L2041">
        <v>0.13</v>
      </c>
      <c r="M2041">
        <v>12.3</v>
      </c>
      <c r="N2041">
        <v>12.43</v>
      </c>
    </row>
    <row r="2042" spans="1:14" x14ac:dyDescent="0.3">
      <c r="A2042" s="2">
        <v>44682</v>
      </c>
      <c r="B2042" t="s">
        <v>70</v>
      </c>
      <c r="C2042">
        <v>2022</v>
      </c>
      <c r="D2042">
        <v>5</v>
      </c>
      <c r="E2042" t="s">
        <v>63</v>
      </c>
      <c r="F2042" t="s">
        <v>36</v>
      </c>
      <c r="G2042">
        <v>31</v>
      </c>
      <c r="H2042" t="s">
        <v>18</v>
      </c>
      <c r="I2042">
        <v>0.31</v>
      </c>
      <c r="J2042">
        <v>0.33</v>
      </c>
      <c r="K2042">
        <v>0.03</v>
      </c>
      <c r="L2042">
        <v>0</v>
      </c>
      <c r="M2042">
        <v>0.67</v>
      </c>
      <c r="N2042">
        <v>0.67</v>
      </c>
    </row>
    <row r="2043" spans="1:14" x14ac:dyDescent="0.3">
      <c r="A2043" s="2">
        <v>44682</v>
      </c>
      <c r="B2043" t="s">
        <v>70</v>
      </c>
      <c r="C2043">
        <v>2022</v>
      </c>
      <c r="D2043">
        <v>5</v>
      </c>
      <c r="E2043" t="s">
        <v>63</v>
      </c>
      <c r="F2043" t="s">
        <v>37</v>
      </c>
      <c r="G2043">
        <v>23</v>
      </c>
      <c r="H2043" t="s">
        <v>20</v>
      </c>
      <c r="I2043">
        <v>603.24</v>
      </c>
      <c r="J2043">
        <v>833.01</v>
      </c>
      <c r="K2043">
        <v>752.36</v>
      </c>
      <c r="L2043">
        <v>557.87</v>
      </c>
      <c r="M2043">
        <v>2188.61</v>
      </c>
      <c r="N2043">
        <v>2746.48</v>
      </c>
    </row>
    <row r="2044" spans="1:14" x14ac:dyDescent="0.3">
      <c r="A2044" s="2">
        <v>44682</v>
      </c>
      <c r="B2044" t="s">
        <v>70</v>
      </c>
      <c r="C2044">
        <v>2022</v>
      </c>
      <c r="D2044">
        <v>5</v>
      </c>
      <c r="E2044" t="s">
        <v>63</v>
      </c>
      <c r="F2044" t="s">
        <v>38</v>
      </c>
      <c r="G2044">
        <v>27</v>
      </c>
      <c r="H2044" t="s">
        <v>20</v>
      </c>
      <c r="I2044">
        <v>5650.29</v>
      </c>
      <c r="J2044">
        <v>6607.17</v>
      </c>
      <c r="K2044">
        <v>6530.69</v>
      </c>
      <c r="L2044">
        <v>1524.63</v>
      </c>
      <c r="M2044">
        <v>18788.150000000001</v>
      </c>
      <c r="N2044">
        <v>20312.78</v>
      </c>
    </row>
    <row r="2045" spans="1:14" x14ac:dyDescent="0.3">
      <c r="A2045" s="2">
        <v>44682</v>
      </c>
      <c r="B2045" t="s">
        <v>70</v>
      </c>
      <c r="C2045">
        <v>2022</v>
      </c>
      <c r="D2045">
        <v>5</v>
      </c>
      <c r="E2045" t="s">
        <v>63</v>
      </c>
      <c r="F2045" t="s">
        <v>39</v>
      </c>
      <c r="G2045">
        <v>14</v>
      </c>
      <c r="H2045" t="s">
        <v>20</v>
      </c>
      <c r="I2045">
        <v>17.45</v>
      </c>
      <c r="J2045">
        <v>25.94</v>
      </c>
      <c r="K2045">
        <v>3.86</v>
      </c>
      <c r="L2045">
        <v>0.21</v>
      </c>
      <c r="M2045">
        <v>47.25</v>
      </c>
      <c r="N2045">
        <v>47.46</v>
      </c>
    </row>
    <row r="2046" spans="1:14" x14ac:dyDescent="0.3">
      <c r="A2046" s="2">
        <v>44682</v>
      </c>
      <c r="B2046" t="s">
        <v>70</v>
      </c>
      <c r="C2046">
        <v>2022</v>
      </c>
      <c r="D2046">
        <v>5</v>
      </c>
      <c r="E2046" t="s">
        <v>63</v>
      </c>
      <c r="F2046" t="s">
        <v>40</v>
      </c>
      <c r="G2046">
        <v>17</v>
      </c>
      <c r="H2046" t="s">
        <v>20</v>
      </c>
      <c r="I2046">
        <v>29.89</v>
      </c>
      <c r="J2046">
        <v>38.21</v>
      </c>
      <c r="K2046">
        <v>103.77</v>
      </c>
      <c r="L2046">
        <v>2.59</v>
      </c>
      <c r="M2046">
        <v>171.87</v>
      </c>
      <c r="N2046">
        <v>174.46</v>
      </c>
    </row>
    <row r="2047" spans="1:14" x14ac:dyDescent="0.3">
      <c r="A2047" s="2">
        <v>44682</v>
      </c>
      <c r="B2047" t="s">
        <v>70</v>
      </c>
      <c r="C2047">
        <v>2022</v>
      </c>
      <c r="D2047">
        <v>5</v>
      </c>
      <c r="E2047" t="s">
        <v>63</v>
      </c>
      <c r="F2047" t="s">
        <v>41</v>
      </c>
      <c r="G2047">
        <v>15</v>
      </c>
      <c r="H2047" t="s">
        <v>20</v>
      </c>
      <c r="I2047">
        <v>8.84</v>
      </c>
      <c r="J2047">
        <v>14.38</v>
      </c>
      <c r="K2047">
        <v>1.77</v>
      </c>
      <c r="L2047">
        <v>0.01</v>
      </c>
      <c r="M2047">
        <v>24.99</v>
      </c>
      <c r="N2047">
        <v>25</v>
      </c>
    </row>
    <row r="2048" spans="1:14" x14ac:dyDescent="0.3">
      <c r="A2048" s="2">
        <v>44682</v>
      </c>
      <c r="B2048" t="s">
        <v>70</v>
      </c>
      <c r="C2048">
        <v>2022</v>
      </c>
      <c r="D2048">
        <v>5</v>
      </c>
      <c r="E2048" t="s">
        <v>63</v>
      </c>
      <c r="F2048" t="s">
        <v>42</v>
      </c>
      <c r="G2048">
        <v>13</v>
      </c>
      <c r="H2048" t="s">
        <v>20</v>
      </c>
      <c r="I2048">
        <v>14.96</v>
      </c>
      <c r="J2048">
        <v>18.55</v>
      </c>
      <c r="K2048">
        <v>11.24</v>
      </c>
      <c r="L2048">
        <v>4.38</v>
      </c>
      <c r="M2048">
        <v>44.75</v>
      </c>
      <c r="N2048">
        <v>49.13</v>
      </c>
    </row>
    <row r="2049" spans="1:14" x14ac:dyDescent="0.3">
      <c r="A2049" s="2">
        <v>44682</v>
      </c>
      <c r="B2049" t="s">
        <v>70</v>
      </c>
      <c r="C2049">
        <v>2022</v>
      </c>
      <c r="D2049">
        <v>5</v>
      </c>
      <c r="E2049" t="s">
        <v>63</v>
      </c>
      <c r="F2049" t="s">
        <v>43</v>
      </c>
      <c r="G2049">
        <v>21</v>
      </c>
      <c r="H2049" t="s">
        <v>20</v>
      </c>
      <c r="I2049">
        <v>978.25</v>
      </c>
      <c r="J2049">
        <v>1174.02</v>
      </c>
      <c r="K2049">
        <v>1105.51</v>
      </c>
      <c r="L2049">
        <v>697.97</v>
      </c>
      <c r="M2049">
        <v>3257.78</v>
      </c>
      <c r="N2049">
        <v>3955.75</v>
      </c>
    </row>
    <row r="2050" spans="1:14" x14ac:dyDescent="0.3">
      <c r="A2050" s="2">
        <v>44682</v>
      </c>
      <c r="B2050" t="s">
        <v>70</v>
      </c>
      <c r="C2050">
        <v>2022</v>
      </c>
      <c r="D2050">
        <v>5</v>
      </c>
      <c r="E2050" t="s">
        <v>63</v>
      </c>
      <c r="F2050" t="s">
        <v>44</v>
      </c>
      <c r="G2050">
        <v>34</v>
      </c>
      <c r="H2050" t="s">
        <v>18</v>
      </c>
      <c r="I2050">
        <v>21.84</v>
      </c>
      <c r="J2050">
        <v>33.31</v>
      </c>
      <c r="K2050">
        <v>125.56</v>
      </c>
      <c r="L2050">
        <v>0.41</v>
      </c>
      <c r="M2050">
        <v>180.71</v>
      </c>
      <c r="N2050">
        <v>181.12</v>
      </c>
    </row>
    <row r="2051" spans="1:14" x14ac:dyDescent="0.3">
      <c r="A2051" s="2">
        <v>44682</v>
      </c>
      <c r="B2051" t="s">
        <v>70</v>
      </c>
      <c r="C2051">
        <v>2022</v>
      </c>
      <c r="D2051">
        <v>5</v>
      </c>
      <c r="E2051" t="s">
        <v>63</v>
      </c>
      <c r="F2051" t="s">
        <v>45</v>
      </c>
      <c r="G2051">
        <v>3</v>
      </c>
      <c r="H2051" t="s">
        <v>20</v>
      </c>
      <c r="I2051">
        <v>428.02</v>
      </c>
      <c r="J2051">
        <v>639.19000000000005</v>
      </c>
      <c r="K2051">
        <v>725.1</v>
      </c>
      <c r="L2051">
        <v>40.58</v>
      </c>
      <c r="M2051">
        <v>1792.31</v>
      </c>
      <c r="N2051">
        <v>1832.89</v>
      </c>
    </row>
    <row r="2052" spans="1:14" x14ac:dyDescent="0.3">
      <c r="A2052" s="2">
        <v>44682</v>
      </c>
      <c r="B2052" t="s">
        <v>70</v>
      </c>
      <c r="C2052">
        <v>2022</v>
      </c>
      <c r="D2052">
        <v>5</v>
      </c>
      <c r="E2052" t="s">
        <v>63</v>
      </c>
      <c r="F2052" t="s">
        <v>46</v>
      </c>
      <c r="G2052">
        <v>8</v>
      </c>
      <c r="H2052" t="s">
        <v>20</v>
      </c>
      <c r="I2052">
        <v>953.06</v>
      </c>
      <c r="J2052">
        <v>1256.93</v>
      </c>
      <c r="K2052">
        <v>1438.99</v>
      </c>
      <c r="L2052">
        <v>139.93</v>
      </c>
      <c r="M2052">
        <v>3648.98</v>
      </c>
      <c r="N2052">
        <v>3788.91</v>
      </c>
    </row>
    <row r="2053" spans="1:14" x14ac:dyDescent="0.3">
      <c r="A2053" s="2">
        <v>44682</v>
      </c>
      <c r="B2053" t="s">
        <v>70</v>
      </c>
      <c r="C2053">
        <v>2022</v>
      </c>
      <c r="D2053">
        <v>5</v>
      </c>
      <c r="E2053" t="s">
        <v>63</v>
      </c>
      <c r="F2053" t="s">
        <v>47</v>
      </c>
      <c r="G2053">
        <v>11</v>
      </c>
      <c r="H2053" t="s">
        <v>20</v>
      </c>
      <c r="I2053">
        <v>17.399999999999999</v>
      </c>
      <c r="J2053">
        <v>22.85</v>
      </c>
      <c r="K2053">
        <v>238.21</v>
      </c>
      <c r="L2053">
        <v>0.18</v>
      </c>
      <c r="M2053">
        <v>278.45999999999998</v>
      </c>
      <c r="N2053">
        <v>278.64</v>
      </c>
    </row>
    <row r="2054" spans="1:14" x14ac:dyDescent="0.3">
      <c r="A2054" s="2">
        <v>44682</v>
      </c>
      <c r="B2054" t="s">
        <v>70</v>
      </c>
      <c r="C2054">
        <v>2022</v>
      </c>
      <c r="D2054">
        <v>5</v>
      </c>
      <c r="E2054" t="s">
        <v>63</v>
      </c>
      <c r="F2054" t="s">
        <v>48</v>
      </c>
      <c r="G2054">
        <v>33</v>
      </c>
      <c r="H2054" t="s">
        <v>20</v>
      </c>
      <c r="I2054">
        <v>2056.6999999999998</v>
      </c>
      <c r="J2054">
        <v>2720.28</v>
      </c>
      <c r="K2054">
        <v>2488.5</v>
      </c>
      <c r="L2054">
        <v>644.37</v>
      </c>
      <c r="M2054">
        <v>7265.48</v>
      </c>
      <c r="N2054">
        <v>7909.85</v>
      </c>
    </row>
    <row r="2055" spans="1:14" x14ac:dyDescent="0.3">
      <c r="A2055" s="2">
        <v>44682</v>
      </c>
      <c r="B2055" t="s">
        <v>70</v>
      </c>
      <c r="C2055">
        <v>2022</v>
      </c>
      <c r="D2055">
        <v>5</v>
      </c>
      <c r="E2055" t="s">
        <v>63</v>
      </c>
      <c r="F2055" t="s">
        <v>49</v>
      </c>
      <c r="G2055">
        <v>36</v>
      </c>
      <c r="H2055" t="s">
        <v>20</v>
      </c>
      <c r="I2055">
        <v>942.49</v>
      </c>
      <c r="J2055">
        <v>1244.99</v>
      </c>
      <c r="K2055">
        <v>1250.8900000000001</v>
      </c>
      <c r="L2055">
        <v>543.29999999999995</v>
      </c>
      <c r="M2055">
        <v>3438.37</v>
      </c>
      <c r="N2055">
        <v>3981.67</v>
      </c>
    </row>
    <row r="2056" spans="1:14" x14ac:dyDescent="0.3">
      <c r="A2056" s="2">
        <v>44682</v>
      </c>
      <c r="B2056" t="s">
        <v>70</v>
      </c>
      <c r="C2056">
        <v>2022</v>
      </c>
      <c r="D2056">
        <v>5</v>
      </c>
      <c r="E2056" t="s">
        <v>63</v>
      </c>
      <c r="F2056" t="s">
        <v>50</v>
      </c>
      <c r="G2056">
        <v>16</v>
      </c>
      <c r="H2056" t="s">
        <v>20</v>
      </c>
      <c r="I2056">
        <v>23.44</v>
      </c>
      <c r="J2056">
        <v>33.840000000000003</v>
      </c>
      <c r="K2056">
        <v>7.8</v>
      </c>
      <c r="L2056">
        <v>0.25</v>
      </c>
      <c r="M2056">
        <v>65.08</v>
      </c>
      <c r="N2056">
        <v>65.33</v>
      </c>
    </row>
    <row r="2057" spans="1:14" x14ac:dyDescent="0.3">
      <c r="A2057" s="2">
        <v>44682</v>
      </c>
      <c r="B2057" t="s">
        <v>70</v>
      </c>
      <c r="C2057">
        <v>2022</v>
      </c>
      <c r="D2057">
        <v>5</v>
      </c>
      <c r="E2057" t="s">
        <v>63</v>
      </c>
      <c r="F2057" t="s">
        <v>51</v>
      </c>
      <c r="G2057">
        <v>9</v>
      </c>
      <c r="H2057" t="s">
        <v>20</v>
      </c>
      <c r="I2057">
        <v>1494.83</v>
      </c>
      <c r="J2057">
        <v>2188.8000000000002</v>
      </c>
      <c r="K2057">
        <v>1869.99</v>
      </c>
      <c r="L2057">
        <v>1116.43</v>
      </c>
      <c r="M2057">
        <v>5553.62</v>
      </c>
      <c r="N2057">
        <v>6670.05</v>
      </c>
    </row>
    <row r="2058" spans="1:14" x14ac:dyDescent="0.3">
      <c r="A2058" s="2">
        <v>44682</v>
      </c>
      <c r="B2058" t="s">
        <v>70</v>
      </c>
      <c r="C2058">
        <v>2022</v>
      </c>
      <c r="D2058">
        <v>5</v>
      </c>
      <c r="E2058" t="s">
        <v>63</v>
      </c>
      <c r="F2058" t="s">
        <v>52</v>
      </c>
      <c r="G2058">
        <v>5</v>
      </c>
      <c r="H2058" t="s">
        <v>20</v>
      </c>
      <c r="I2058">
        <v>257.42</v>
      </c>
      <c r="J2058">
        <v>358.22</v>
      </c>
      <c r="K2058">
        <v>680.9</v>
      </c>
      <c r="L2058">
        <v>12.07</v>
      </c>
      <c r="M2058">
        <v>1296.54</v>
      </c>
      <c r="N2058">
        <v>1308.6099999999999</v>
      </c>
    </row>
    <row r="2059" spans="1:14" x14ac:dyDescent="0.3">
      <c r="A2059" s="2">
        <v>44682</v>
      </c>
      <c r="B2059" t="s">
        <v>70</v>
      </c>
      <c r="C2059">
        <v>2022</v>
      </c>
      <c r="D2059">
        <v>5</v>
      </c>
      <c r="E2059" t="s">
        <v>63</v>
      </c>
      <c r="F2059" t="s">
        <v>53</v>
      </c>
      <c r="G2059">
        <v>19</v>
      </c>
      <c r="H2059" t="s">
        <v>20</v>
      </c>
      <c r="I2059">
        <v>1396.91</v>
      </c>
      <c r="J2059">
        <v>1782.84</v>
      </c>
      <c r="K2059">
        <v>1322.24</v>
      </c>
      <c r="L2059">
        <v>393.8</v>
      </c>
      <c r="M2059">
        <v>4501.99</v>
      </c>
      <c r="N2059">
        <v>4895.79</v>
      </c>
    </row>
    <row r="2060" spans="1:14" x14ac:dyDescent="0.3">
      <c r="A2060" s="2">
        <v>44713</v>
      </c>
      <c r="B2060" t="s">
        <v>70</v>
      </c>
      <c r="C2060">
        <v>2022</v>
      </c>
      <c r="D2060">
        <v>6</v>
      </c>
      <c r="E2060" t="s">
        <v>64</v>
      </c>
      <c r="F2060" t="s">
        <v>17</v>
      </c>
      <c r="G2060">
        <v>35</v>
      </c>
      <c r="H2060" t="s">
        <v>18</v>
      </c>
      <c r="I2060">
        <v>7.9</v>
      </c>
      <c r="J2060">
        <v>11.12</v>
      </c>
      <c r="K2060">
        <v>3.32</v>
      </c>
      <c r="L2060">
        <v>0.02</v>
      </c>
      <c r="M2060">
        <v>22.34</v>
      </c>
      <c r="N2060">
        <v>22.36</v>
      </c>
    </row>
    <row r="2061" spans="1:14" x14ac:dyDescent="0.3">
      <c r="A2061" s="2">
        <v>44713</v>
      </c>
      <c r="B2061" t="s">
        <v>70</v>
      </c>
      <c r="C2061">
        <v>2022</v>
      </c>
      <c r="D2061">
        <v>6</v>
      </c>
      <c r="E2061" t="s">
        <v>64</v>
      </c>
      <c r="F2061" t="s">
        <v>19</v>
      </c>
      <c r="G2061">
        <v>28</v>
      </c>
      <c r="H2061" t="s">
        <v>20</v>
      </c>
      <c r="I2061">
        <v>739.75</v>
      </c>
      <c r="J2061">
        <v>965.12</v>
      </c>
      <c r="K2061">
        <v>1026.83</v>
      </c>
      <c r="L2061">
        <v>254.81</v>
      </c>
      <c r="M2061">
        <v>2731.7</v>
      </c>
      <c r="N2061">
        <v>2986.51</v>
      </c>
    </row>
    <row r="2062" spans="1:14" x14ac:dyDescent="0.3">
      <c r="A2062" s="2">
        <v>44713</v>
      </c>
      <c r="B2062" t="s">
        <v>70</v>
      </c>
      <c r="C2062">
        <v>2022</v>
      </c>
      <c r="D2062">
        <v>6</v>
      </c>
      <c r="E2062" t="s">
        <v>64</v>
      </c>
      <c r="F2062" t="s">
        <v>21</v>
      </c>
      <c r="G2062">
        <v>12</v>
      </c>
      <c r="H2062" t="s">
        <v>20</v>
      </c>
      <c r="I2062">
        <v>19.55</v>
      </c>
      <c r="J2062">
        <v>28.08</v>
      </c>
      <c r="K2062">
        <v>10.71</v>
      </c>
      <c r="L2062">
        <v>0.18</v>
      </c>
      <c r="M2062">
        <v>58.34</v>
      </c>
      <c r="N2062">
        <v>58.52</v>
      </c>
    </row>
    <row r="2063" spans="1:14" x14ac:dyDescent="0.3">
      <c r="A2063" s="2">
        <v>44713</v>
      </c>
      <c r="B2063" t="s">
        <v>70</v>
      </c>
      <c r="C2063">
        <v>2022</v>
      </c>
      <c r="D2063">
        <v>6</v>
      </c>
      <c r="E2063" t="s">
        <v>64</v>
      </c>
      <c r="F2063" t="s">
        <v>22</v>
      </c>
      <c r="G2063">
        <v>18</v>
      </c>
      <c r="H2063" t="s">
        <v>20</v>
      </c>
      <c r="I2063">
        <v>288.73</v>
      </c>
      <c r="J2063">
        <v>376.74</v>
      </c>
      <c r="K2063">
        <v>265.02999999999997</v>
      </c>
      <c r="L2063">
        <v>41.57</v>
      </c>
      <c r="M2063">
        <v>930.5</v>
      </c>
      <c r="N2063">
        <v>972.07</v>
      </c>
    </row>
    <row r="2064" spans="1:14" x14ac:dyDescent="0.3">
      <c r="A2064" s="2">
        <v>44713</v>
      </c>
      <c r="B2064" t="s">
        <v>70</v>
      </c>
      <c r="C2064">
        <v>2022</v>
      </c>
      <c r="D2064">
        <v>6</v>
      </c>
      <c r="E2064" t="s">
        <v>64</v>
      </c>
      <c r="F2064" t="s">
        <v>23</v>
      </c>
      <c r="G2064">
        <v>10</v>
      </c>
      <c r="H2064" t="s">
        <v>20</v>
      </c>
      <c r="I2064">
        <v>314.79000000000002</v>
      </c>
      <c r="J2064">
        <v>541.69000000000005</v>
      </c>
      <c r="K2064">
        <v>187.93</v>
      </c>
      <c r="L2064">
        <v>187.65</v>
      </c>
      <c r="M2064">
        <v>1044.4100000000001</v>
      </c>
      <c r="N2064">
        <v>1232.06</v>
      </c>
    </row>
    <row r="2065" spans="1:14" x14ac:dyDescent="0.3">
      <c r="A2065" s="2">
        <v>44713</v>
      </c>
      <c r="B2065" t="s">
        <v>70</v>
      </c>
      <c r="C2065">
        <v>2022</v>
      </c>
      <c r="D2065">
        <v>6</v>
      </c>
      <c r="E2065" t="s">
        <v>64</v>
      </c>
      <c r="F2065" t="s">
        <v>24</v>
      </c>
      <c r="G2065">
        <v>4</v>
      </c>
      <c r="H2065" t="s">
        <v>18</v>
      </c>
      <c r="I2065">
        <v>31.9</v>
      </c>
      <c r="J2065">
        <v>44.71</v>
      </c>
      <c r="K2065">
        <v>92.04</v>
      </c>
      <c r="L2065">
        <v>1.04</v>
      </c>
      <c r="M2065">
        <v>168.65</v>
      </c>
      <c r="N2065">
        <v>169.69</v>
      </c>
    </row>
    <row r="2066" spans="1:14" x14ac:dyDescent="0.3">
      <c r="A2066" s="2">
        <v>44713</v>
      </c>
      <c r="B2066" t="s">
        <v>70</v>
      </c>
      <c r="C2066">
        <v>2022</v>
      </c>
      <c r="D2066">
        <v>6</v>
      </c>
      <c r="E2066" t="s">
        <v>64</v>
      </c>
      <c r="F2066" t="s">
        <v>25</v>
      </c>
      <c r="G2066">
        <v>22</v>
      </c>
      <c r="H2066" t="s">
        <v>20</v>
      </c>
      <c r="I2066">
        <v>533.74</v>
      </c>
      <c r="J2066">
        <v>628.26</v>
      </c>
      <c r="K2066">
        <v>977</v>
      </c>
      <c r="L2066">
        <v>635.41</v>
      </c>
      <c r="M2066">
        <v>2139</v>
      </c>
      <c r="N2066">
        <v>2774.41</v>
      </c>
    </row>
    <row r="2067" spans="1:14" x14ac:dyDescent="0.3">
      <c r="A2067" s="2">
        <v>44713</v>
      </c>
      <c r="B2067" t="s">
        <v>70</v>
      </c>
      <c r="C2067">
        <v>2022</v>
      </c>
      <c r="D2067">
        <v>6</v>
      </c>
      <c r="E2067" t="s">
        <v>64</v>
      </c>
      <c r="F2067" t="s">
        <v>26</v>
      </c>
      <c r="G2067">
        <v>38</v>
      </c>
      <c r="H2067" t="s">
        <v>18</v>
      </c>
      <c r="I2067">
        <v>55.74</v>
      </c>
      <c r="J2067">
        <v>67.260000000000005</v>
      </c>
      <c r="K2067">
        <v>225.55</v>
      </c>
      <c r="L2067">
        <v>1.41</v>
      </c>
      <c r="M2067">
        <v>348.55</v>
      </c>
      <c r="N2067">
        <v>349.96</v>
      </c>
    </row>
    <row r="2068" spans="1:14" x14ac:dyDescent="0.3">
      <c r="A2068" s="2">
        <v>44713</v>
      </c>
      <c r="B2068" t="s">
        <v>70</v>
      </c>
      <c r="C2068">
        <v>2022</v>
      </c>
      <c r="D2068">
        <v>6</v>
      </c>
      <c r="E2068" t="s">
        <v>64</v>
      </c>
      <c r="F2068" t="s">
        <v>27</v>
      </c>
      <c r="G2068">
        <v>7</v>
      </c>
      <c r="H2068" t="s">
        <v>18</v>
      </c>
      <c r="I2068">
        <v>852.92</v>
      </c>
      <c r="J2068">
        <v>1018.51</v>
      </c>
      <c r="K2068">
        <v>2359.73</v>
      </c>
      <c r="L2068">
        <v>82.19</v>
      </c>
      <c r="M2068">
        <v>4231.16</v>
      </c>
      <c r="N2068">
        <v>4313.3500000000004</v>
      </c>
    </row>
    <row r="2069" spans="1:14" x14ac:dyDescent="0.3">
      <c r="A2069" s="2">
        <v>44713</v>
      </c>
      <c r="B2069" t="s">
        <v>70</v>
      </c>
      <c r="C2069">
        <v>2022</v>
      </c>
      <c r="D2069">
        <v>6</v>
      </c>
      <c r="E2069" t="s">
        <v>64</v>
      </c>
      <c r="F2069" t="s">
        <v>28</v>
      </c>
      <c r="G2069">
        <v>30</v>
      </c>
      <c r="H2069" t="s">
        <v>20</v>
      </c>
      <c r="I2069">
        <v>109.79</v>
      </c>
      <c r="J2069">
        <v>154.19999999999999</v>
      </c>
      <c r="K2069">
        <v>160.44999999999999</v>
      </c>
      <c r="L2069">
        <v>4.2</v>
      </c>
      <c r="M2069">
        <v>424.44</v>
      </c>
      <c r="N2069">
        <v>428.64</v>
      </c>
    </row>
    <row r="2070" spans="1:14" x14ac:dyDescent="0.3">
      <c r="A2070" s="2">
        <v>44713</v>
      </c>
      <c r="B2070" t="s">
        <v>70</v>
      </c>
      <c r="C2070">
        <v>2022</v>
      </c>
      <c r="D2070">
        <v>6</v>
      </c>
      <c r="E2070" t="s">
        <v>64</v>
      </c>
      <c r="F2070" t="s">
        <v>29</v>
      </c>
      <c r="G2070">
        <v>24</v>
      </c>
      <c r="H2070" t="s">
        <v>20</v>
      </c>
      <c r="I2070">
        <v>2454.92</v>
      </c>
      <c r="J2070">
        <v>2967.56</v>
      </c>
      <c r="K2070">
        <v>3252.83</v>
      </c>
      <c r="L2070">
        <v>531.27</v>
      </c>
      <c r="M2070">
        <v>8675.31</v>
      </c>
      <c r="N2070">
        <v>9206.58</v>
      </c>
    </row>
    <row r="2071" spans="1:14" x14ac:dyDescent="0.3">
      <c r="A2071" s="2">
        <v>44713</v>
      </c>
      <c r="B2071" t="s">
        <v>70</v>
      </c>
      <c r="C2071">
        <v>2022</v>
      </c>
      <c r="D2071">
        <v>6</v>
      </c>
      <c r="E2071" t="s">
        <v>64</v>
      </c>
      <c r="F2071" t="s">
        <v>30</v>
      </c>
      <c r="G2071">
        <v>6</v>
      </c>
      <c r="H2071" t="s">
        <v>20</v>
      </c>
      <c r="I2071">
        <v>1141.32</v>
      </c>
      <c r="J2071">
        <v>1487.39</v>
      </c>
      <c r="K2071">
        <v>3577.48</v>
      </c>
      <c r="L2071">
        <v>507.7</v>
      </c>
      <c r="M2071">
        <v>6206.19</v>
      </c>
      <c r="N2071">
        <v>6713.89</v>
      </c>
    </row>
    <row r="2072" spans="1:14" x14ac:dyDescent="0.3">
      <c r="A2072" s="2">
        <v>44713</v>
      </c>
      <c r="B2072" t="s">
        <v>70</v>
      </c>
      <c r="C2072">
        <v>2022</v>
      </c>
      <c r="D2072">
        <v>6</v>
      </c>
      <c r="E2072" t="s">
        <v>64</v>
      </c>
      <c r="F2072" t="s">
        <v>31</v>
      </c>
      <c r="G2072">
        <v>2</v>
      </c>
      <c r="H2072" t="s">
        <v>20</v>
      </c>
      <c r="I2072">
        <v>126.5</v>
      </c>
      <c r="J2072">
        <v>186.86</v>
      </c>
      <c r="K2072">
        <v>377.58</v>
      </c>
      <c r="L2072">
        <v>2.2000000000000002</v>
      </c>
      <c r="M2072">
        <v>690.94</v>
      </c>
      <c r="N2072">
        <v>693.14</v>
      </c>
    </row>
    <row r="2073" spans="1:14" x14ac:dyDescent="0.3">
      <c r="A2073" s="2">
        <v>44713</v>
      </c>
      <c r="B2073" t="s">
        <v>70</v>
      </c>
      <c r="C2073">
        <v>2022</v>
      </c>
      <c r="D2073">
        <v>6</v>
      </c>
      <c r="E2073" t="s">
        <v>64</v>
      </c>
      <c r="F2073" t="s">
        <v>32</v>
      </c>
      <c r="G2073">
        <v>1</v>
      </c>
      <c r="H2073" t="s">
        <v>18</v>
      </c>
      <c r="I2073">
        <v>96.38</v>
      </c>
      <c r="J2073">
        <v>162.32</v>
      </c>
      <c r="K2073">
        <v>103.27</v>
      </c>
      <c r="L2073">
        <v>9.86</v>
      </c>
      <c r="M2073">
        <v>361.97</v>
      </c>
      <c r="N2073">
        <v>371.83</v>
      </c>
    </row>
    <row r="2074" spans="1:14" x14ac:dyDescent="0.3">
      <c r="A2074" s="2">
        <v>44713</v>
      </c>
      <c r="B2074" t="s">
        <v>70</v>
      </c>
      <c r="C2074">
        <v>2022</v>
      </c>
      <c r="D2074">
        <v>6</v>
      </c>
      <c r="E2074" t="s">
        <v>64</v>
      </c>
      <c r="F2074" t="s">
        <v>33</v>
      </c>
      <c r="G2074">
        <v>20</v>
      </c>
      <c r="H2074" t="s">
        <v>20</v>
      </c>
      <c r="I2074">
        <v>408.77</v>
      </c>
      <c r="J2074">
        <v>577.79</v>
      </c>
      <c r="K2074">
        <v>824.36</v>
      </c>
      <c r="L2074">
        <v>504.23</v>
      </c>
      <c r="M2074">
        <v>1810.92</v>
      </c>
      <c r="N2074">
        <v>2315.15</v>
      </c>
    </row>
    <row r="2075" spans="1:14" x14ac:dyDescent="0.3">
      <c r="A2075" s="2">
        <v>44713</v>
      </c>
      <c r="B2075" t="s">
        <v>70</v>
      </c>
      <c r="C2075">
        <v>2022</v>
      </c>
      <c r="D2075">
        <v>6</v>
      </c>
      <c r="E2075" t="s">
        <v>64</v>
      </c>
      <c r="F2075" t="s">
        <v>34</v>
      </c>
      <c r="G2075">
        <v>29</v>
      </c>
      <c r="H2075" t="s">
        <v>20</v>
      </c>
      <c r="I2075">
        <v>2069.87</v>
      </c>
      <c r="J2075">
        <v>2589.9</v>
      </c>
      <c r="K2075">
        <v>3241.16</v>
      </c>
      <c r="L2075">
        <v>943.96</v>
      </c>
      <c r="M2075">
        <v>7900.93</v>
      </c>
      <c r="N2075">
        <v>8844.89</v>
      </c>
    </row>
    <row r="2076" spans="1:14" x14ac:dyDescent="0.3">
      <c r="A2076" s="2">
        <v>44713</v>
      </c>
      <c r="B2076" t="s">
        <v>70</v>
      </c>
      <c r="C2076">
        <v>2022</v>
      </c>
      <c r="D2076">
        <v>6</v>
      </c>
      <c r="E2076" t="s">
        <v>64</v>
      </c>
      <c r="F2076" t="s">
        <v>35</v>
      </c>
      <c r="G2076">
        <v>32</v>
      </c>
      <c r="H2076" t="s">
        <v>20</v>
      </c>
      <c r="I2076">
        <v>730.7</v>
      </c>
      <c r="J2076">
        <v>981.77</v>
      </c>
      <c r="K2076">
        <v>442.2</v>
      </c>
      <c r="L2076">
        <v>6.23</v>
      </c>
      <c r="M2076">
        <v>2154.67</v>
      </c>
      <c r="N2076">
        <v>2160.9</v>
      </c>
    </row>
    <row r="2077" spans="1:14" x14ac:dyDescent="0.3">
      <c r="A2077" s="2">
        <v>44713</v>
      </c>
      <c r="B2077" t="s">
        <v>70</v>
      </c>
      <c r="C2077">
        <v>2022</v>
      </c>
      <c r="D2077">
        <v>6</v>
      </c>
      <c r="E2077" t="s">
        <v>64</v>
      </c>
      <c r="F2077" t="s">
        <v>67</v>
      </c>
      <c r="G2077">
        <v>37</v>
      </c>
      <c r="H2077" t="s">
        <v>18</v>
      </c>
      <c r="I2077">
        <v>4.3899999999999997</v>
      </c>
      <c r="J2077">
        <v>6.25</v>
      </c>
      <c r="K2077">
        <v>2.56</v>
      </c>
      <c r="L2077">
        <v>0.01</v>
      </c>
      <c r="M2077">
        <v>13.2</v>
      </c>
      <c r="N2077">
        <v>13.21</v>
      </c>
    </row>
    <row r="2078" spans="1:14" x14ac:dyDescent="0.3">
      <c r="A2078" s="2">
        <v>44713</v>
      </c>
      <c r="B2078" t="s">
        <v>70</v>
      </c>
      <c r="C2078">
        <v>2022</v>
      </c>
      <c r="D2078">
        <v>6</v>
      </c>
      <c r="E2078" t="s">
        <v>64</v>
      </c>
      <c r="F2078" t="s">
        <v>36</v>
      </c>
      <c r="G2078">
        <v>31</v>
      </c>
      <c r="H2078" t="s">
        <v>18</v>
      </c>
      <c r="I2078">
        <v>0.15</v>
      </c>
      <c r="J2078">
        <v>0.41</v>
      </c>
      <c r="K2078">
        <v>0.08</v>
      </c>
      <c r="L2078">
        <v>0</v>
      </c>
      <c r="M2078">
        <v>0.64</v>
      </c>
      <c r="N2078">
        <v>0.64</v>
      </c>
    </row>
    <row r="2079" spans="1:14" x14ac:dyDescent="0.3">
      <c r="A2079" s="2">
        <v>44713</v>
      </c>
      <c r="B2079" t="s">
        <v>70</v>
      </c>
      <c r="C2079">
        <v>2022</v>
      </c>
      <c r="D2079">
        <v>6</v>
      </c>
      <c r="E2079" t="s">
        <v>64</v>
      </c>
      <c r="F2079" t="s">
        <v>37</v>
      </c>
      <c r="G2079">
        <v>23</v>
      </c>
      <c r="H2079" t="s">
        <v>20</v>
      </c>
      <c r="I2079">
        <v>583.13</v>
      </c>
      <c r="J2079">
        <v>809.89</v>
      </c>
      <c r="K2079">
        <v>808.68</v>
      </c>
      <c r="L2079">
        <v>635.66</v>
      </c>
      <c r="M2079">
        <v>2201.6999999999998</v>
      </c>
      <c r="N2079">
        <v>2837.36</v>
      </c>
    </row>
    <row r="2080" spans="1:14" x14ac:dyDescent="0.3">
      <c r="A2080" s="2">
        <v>44713</v>
      </c>
      <c r="B2080" t="s">
        <v>70</v>
      </c>
      <c r="C2080">
        <v>2022</v>
      </c>
      <c r="D2080">
        <v>6</v>
      </c>
      <c r="E2080" t="s">
        <v>64</v>
      </c>
      <c r="F2080" t="s">
        <v>38</v>
      </c>
      <c r="G2080">
        <v>27</v>
      </c>
      <c r="H2080" t="s">
        <v>20</v>
      </c>
      <c r="I2080">
        <v>6184.24</v>
      </c>
      <c r="J2080">
        <v>7409.87</v>
      </c>
      <c r="K2080">
        <v>7108.14</v>
      </c>
      <c r="L2080">
        <v>1639.17</v>
      </c>
      <c r="M2080">
        <v>20702.25</v>
      </c>
      <c r="N2080">
        <v>22341.42</v>
      </c>
    </row>
    <row r="2081" spans="1:14" x14ac:dyDescent="0.3">
      <c r="A2081" s="2">
        <v>44713</v>
      </c>
      <c r="B2081" t="s">
        <v>70</v>
      </c>
      <c r="C2081">
        <v>2022</v>
      </c>
      <c r="D2081">
        <v>6</v>
      </c>
      <c r="E2081" t="s">
        <v>64</v>
      </c>
      <c r="F2081" t="s">
        <v>39</v>
      </c>
      <c r="G2081">
        <v>14</v>
      </c>
      <c r="H2081" t="s">
        <v>20</v>
      </c>
      <c r="I2081">
        <v>14.62</v>
      </c>
      <c r="J2081">
        <v>20.68</v>
      </c>
      <c r="K2081">
        <v>3.43</v>
      </c>
      <c r="L2081">
        <v>0.06</v>
      </c>
      <c r="M2081">
        <v>38.729999999999997</v>
      </c>
      <c r="N2081">
        <v>38.79</v>
      </c>
    </row>
    <row r="2082" spans="1:14" x14ac:dyDescent="0.3">
      <c r="A2082" s="2">
        <v>44713</v>
      </c>
      <c r="B2082" t="s">
        <v>70</v>
      </c>
      <c r="C2082">
        <v>2022</v>
      </c>
      <c r="D2082">
        <v>6</v>
      </c>
      <c r="E2082" t="s">
        <v>64</v>
      </c>
      <c r="F2082" t="s">
        <v>40</v>
      </c>
      <c r="G2082">
        <v>17</v>
      </c>
      <c r="H2082" t="s">
        <v>20</v>
      </c>
      <c r="I2082">
        <v>25.48</v>
      </c>
      <c r="J2082">
        <v>30.62</v>
      </c>
      <c r="K2082">
        <v>91.82</v>
      </c>
      <c r="L2082">
        <v>4.67</v>
      </c>
      <c r="M2082">
        <v>147.91999999999999</v>
      </c>
      <c r="N2082">
        <v>152.59</v>
      </c>
    </row>
    <row r="2083" spans="1:14" x14ac:dyDescent="0.3">
      <c r="A2083" s="2">
        <v>44713</v>
      </c>
      <c r="B2083" t="s">
        <v>70</v>
      </c>
      <c r="C2083">
        <v>2022</v>
      </c>
      <c r="D2083">
        <v>6</v>
      </c>
      <c r="E2083" t="s">
        <v>64</v>
      </c>
      <c r="F2083" t="s">
        <v>41</v>
      </c>
      <c r="G2083">
        <v>15</v>
      </c>
      <c r="H2083" t="s">
        <v>20</v>
      </c>
      <c r="I2083">
        <v>8.7100000000000009</v>
      </c>
      <c r="J2083">
        <v>14.31</v>
      </c>
      <c r="K2083">
        <v>2.75</v>
      </c>
      <c r="L2083">
        <v>0.08</v>
      </c>
      <c r="M2083">
        <v>25.77</v>
      </c>
      <c r="N2083">
        <v>25.85</v>
      </c>
    </row>
    <row r="2084" spans="1:14" x14ac:dyDescent="0.3">
      <c r="A2084" s="2">
        <v>44713</v>
      </c>
      <c r="B2084" t="s">
        <v>70</v>
      </c>
      <c r="C2084">
        <v>2022</v>
      </c>
      <c r="D2084">
        <v>6</v>
      </c>
      <c r="E2084" t="s">
        <v>64</v>
      </c>
      <c r="F2084" t="s">
        <v>42</v>
      </c>
      <c r="G2084">
        <v>13</v>
      </c>
      <c r="H2084" t="s">
        <v>20</v>
      </c>
      <c r="I2084">
        <v>10.11</v>
      </c>
      <c r="J2084">
        <v>13.45</v>
      </c>
      <c r="K2084">
        <v>7.74</v>
      </c>
      <c r="L2084">
        <v>2.2799999999999998</v>
      </c>
      <c r="M2084">
        <v>31.3</v>
      </c>
      <c r="N2084">
        <v>33.58</v>
      </c>
    </row>
    <row r="2085" spans="1:14" x14ac:dyDescent="0.3">
      <c r="A2085" s="2">
        <v>44713</v>
      </c>
      <c r="B2085" t="s">
        <v>70</v>
      </c>
      <c r="C2085">
        <v>2022</v>
      </c>
      <c r="D2085">
        <v>6</v>
      </c>
      <c r="E2085" t="s">
        <v>64</v>
      </c>
      <c r="F2085" t="s">
        <v>43</v>
      </c>
      <c r="G2085">
        <v>21</v>
      </c>
      <c r="H2085" t="s">
        <v>20</v>
      </c>
      <c r="I2085">
        <v>1063.33</v>
      </c>
      <c r="J2085">
        <v>1247.6300000000001</v>
      </c>
      <c r="K2085">
        <v>847.93</v>
      </c>
      <c r="L2085">
        <v>806.39</v>
      </c>
      <c r="M2085">
        <v>3158.89</v>
      </c>
      <c r="N2085">
        <v>3965.28</v>
      </c>
    </row>
    <row r="2086" spans="1:14" x14ac:dyDescent="0.3">
      <c r="A2086" s="2">
        <v>44713</v>
      </c>
      <c r="B2086" t="s">
        <v>70</v>
      </c>
      <c r="C2086">
        <v>2022</v>
      </c>
      <c r="D2086">
        <v>6</v>
      </c>
      <c r="E2086" t="s">
        <v>64</v>
      </c>
      <c r="F2086" t="s">
        <v>44</v>
      </c>
      <c r="G2086">
        <v>34</v>
      </c>
      <c r="H2086" t="s">
        <v>18</v>
      </c>
      <c r="I2086">
        <v>24.61</v>
      </c>
      <c r="J2086">
        <v>37.94</v>
      </c>
      <c r="K2086">
        <v>119.72</v>
      </c>
      <c r="L2086">
        <v>0.18</v>
      </c>
      <c r="M2086">
        <v>182.27</v>
      </c>
      <c r="N2086">
        <v>182.45</v>
      </c>
    </row>
    <row r="2087" spans="1:14" x14ac:dyDescent="0.3">
      <c r="A2087" s="2">
        <v>44713</v>
      </c>
      <c r="B2087" t="s">
        <v>70</v>
      </c>
      <c r="C2087">
        <v>2022</v>
      </c>
      <c r="D2087">
        <v>6</v>
      </c>
      <c r="E2087" t="s">
        <v>64</v>
      </c>
      <c r="F2087" t="s">
        <v>45</v>
      </c>
      <c r="G2087">
        <v>3</v>
      </c>
      <c r="H2087" t="s">
        <v>20</v>
      </c>
      <c r="I2087">
        <v>394.77</v>
      </c>
      <c r="J2087">
        <v>610.41999999999996</v>
      </c>
      <c r="K2087">
        <v>639.04999999999995</v>
      </c>
      <c r="L2087">
        <v>38.26</v>
      </c>
      <c r="M2087">
        <v>1644.24</v>
      </c>
      <c r="N2087">
        <v>1682.5</v>
      </c>
    </row>
    <row r="2088" spans="1:14" x14ac:dyDescent="0.3">
      <c r="A2088" s="2">
        <v>44713</v>
      </c>
      <c r="B2088" t="s">
        <v>70</v>
      </c>
      <c r="C2088">
        <v>2022</v>
      </c>
      <c r="D2088">
        <v>6</v>
      </c>
      <c r="E2088" t="s">
        <v>64</v>
      </c>
      <c r="F2088" t="s">
        <v>46</v>
      </c>
      <c r="G2088">
        <v>8</v>
      </c>
      <c r="H2088" t="s">
        <v>20</v>
      </c>
      <c r="I2088">
        <v>851.44</v>
      </c>
      <c r="J2088">
        <v>1161.8499999999999</v>
      </c>
      <c r="K2088">
        <v>1201.76</v>
      </c>
      <c r="L2088">
        <v>170.91</v>
      </c>
      <c r="M2088">
        <v>3215.05</v>
      </c>
      <c r="N2088">
        <v>3385.96</v>
      </c>
    </row>
    <row r="2089" spans="1:14" x14ac:dyDescent="0.3">
      <c r="A2089" s="2">
        <v>44713</v>
      </c>
      <c r="B2089" t="s">
        <v>70</v>
      </c>
      <c r="C2089">
        <v>2022</v>
      </c>
      <c r="D2089">
        <v>6</v>
      </c>
      <c r="E2089" t="s">
        <v>64</v>
      </c>
      <c r="F2089" t="s">
        <v>47</v>
      </c>
      <c r="G2089">
        <v>11</v>
      </c>
      <c r="H2089" t="s">
        <v>20</v>
      </c>
      <c r="I2089">
        <v>15.47</v>
      </c>
      <c r="J2089">
        <v>20.03</v>
      </c>
      <c r="K2089">
        <v>220.79</v>
      </c>
      <c r="L2089">
        <v>0.08</v>
      </c>
      <c r="M2089">
        <v>256.29000000000002</v>
      </c>
      <c r="N2089">
        <v>256.37</v>
      </c>
    </row>
    <row r="2090" spans="1:14" x14ac:dyDescent="0.3">
      <c r="A2090" s="2">
        <v>44713</v>
      </c>
      <c r="B2090" t="s">
        <v>70</v>
      </c>
      <c r="C2090">
        <v>2022</v>
      </c>
      <c r="D2090">
        <v>6</v>
      </c>
      <c r="E2090" t="s">
        <v>64</v>
      </c>
      <c r="F2090" t="s">
        <v>48</v>
      </c>
      <c r="G2090">
        <v>33</v>
      </c>
      <c r="H2090" t="s">
        <v>20</v>
      </c>
      <c r="I2090">
        <v>2042.37</v>
      </c>
      <c r="J2090">
        <v>2682.24</v>
      </c>
      <c r="K2090">
        <v>2623.9</v>
      </c>
      <c r="L2090">
        <v>678.74</v>
      </c>
      <c r="M2090">
        <v>7348.51</v>
      </c>
      <c r="N2090">
        <v>8027.25</v>
      </c>
    </row>
    <row r="2091" spans="1:14" x14ac:dyDescent="0.3">
      <c r="A2091" s="2">
        <v>44713</v>
      </c>
      <c r="B2091" t="s">
        <v>70</v>
      </c>
      <c r="C2091">
        <v>2022</v>
      </c>
      <c r="D2091">
        <v>6</v>
      </c>
      <c r="E2091" t="s">
        <v>64</v>
      </c>
      <c r="F2091" t="s">
        <v>49</v>
      </c>
      <c r="G2091">
        <v>36</v>
      </c>
      <c r="H2091" t="s">
        <v>20</v>
      </c>
      <c r="I2091">
        <v>932.8</v>
      </c>
      <c r="J2091">
        <v>1241.44</v>
      </c>
      <c r="K2091">
        <v>1143.25</v>
      </c>
      <c r="L2091">
        <v>583.97</v>
      </c>
      <c r="M2091">
        <v>3317.49</v>
      </c>
      <c r="N2091">
        <v>3901.46</v>
      </c>
    </row>
    <row r="2092" spans="1:14" x14ac:dyDescent="0.3">
      <c r="A2092" s="2">
        <v>44713</v>
      </c>
      <c r="B2092" t="s">
        <v>70</v>
      </c>
      <c r="C2092">
        <v>2022</v>
      </c>
      <c r="D2092">
        <v>6</v>
      </c>
      <c r="E2092" t="s">
        <v>64</v>
      </c>
      <c r="F2092" t="s">
        <v>50</v>
      </c>
      <c r="G2092">
        <v>16</v>
      </c>
      <c r="H2092" t="s">
        <v>20</v>
      </c>
      <c r="I2092">
        <v>20.75</v>
      </c>
      <c r="J2092">
        <v>28</v>
      </c>
      <c r="K2092">
        <v>13.84</v>
      </c>
      <c r="L2092">
        <v>0.4</v>
      </c>
      <c r="M2092">
        <v>62.59</v>
      </c>
      <c r="N2092">
        <v>62.99</v>
      </c>
    </row>
    <row r="2093" spans="1:14" x14ac:dyDescent="0.3">
      <c r="A2093" s="2">
        <v>44713</v>
      </c>
      <c r="B2093" t="s">
        <v>70</v>
      </c>
      <c r="C2093">
        <v>2022</v>
      </c>
      <c r="D2093">
        <v>6</v>
      </c>
      <c r="E2093" t="s">
        <v>64</v>
      </c>
      <c r="F2093" t="s">
        <v>51</v>
      </c>
      <c r="G2093">
        <v>9</v>
      </c>
      <c r="H2093" t="s">
        <v>20</v>
      </c>
      <c r="I2093">
        <v>1601.09</v>
      </c>
      <c r="J2093">
        <v>2271.7800000000002</v>
      </c>
      <c r="K2093">
        <v>1785.04</v>
      </c>
      <c r="L2093">
        <v>1176.5999999999999</v>
      </c>
      <c r="M2093">
        <v>5657.91</v>
      </c>
      <c r="N2093">
        <v>6834.51</v>
      </c>
    </row>
    <row r="2094" spans="1:14" x14ac:dyDescent="0.3">
      <c r="A2094" s="2">
        <v>44713</v>
      </c>
      <c r="B2094" t="s">
        <v>70</v>
      </c>
      <c r="C2094">
        <v>2022</v>
      </c>
      <c r="D2094">
        <v>6</v>
      </c>
      <c r="E2094" t="s">
        <v>64</v>
      </c>
      <c r="F2094" t="s">
        <v>52</v>
      </c>
      <c r="G2094">
        <v>5</v>
      </c>
      <c r="H2094" t="s">
        <v>20</v>
      </c>
      <c r="I2094">
        <v>257.79000000000002</v>
      </c>
      <c r="J2094">
        <v>369.99</v>
      </c>
      <c r="K2094">
        <v>642.75</v>
      </c>
      <c r="L2094">
        <v>10.39</v>
      </c>
      <c r="M2094">
        <v>1270.53</v>
      </c>
      <c r="N2094">
        <v>1280.92</v>
      </c>
    </row>
    <row r="2095" spans="1:14" x14ac:dyDescent="0.3">
      <c r="A2095" s="2">
        <v>44713</v>
      </c>
      <c r="B2095" t="s">
        <v>70</v>
      </c>
      <c r="C2095">
        <v>2022</v>
      </c>
      <c r="D2095">
        <v>6</v>
      </c>
      <c r="E2095" t="s">
        <v>64</v>
      </c>
      <c r="F2095" t="s">
        <v>53</v>
      </c>
      <c r="G2095">
        <v>19</v>
      </c>
      <c r="H2095" t="s">
        <v>20</v>
      </c>
      <c r="I2095">
        <v>1280.52</v>
      </c>
      <c r="J2095">
        <v>1630.56</v>
      </c>
      <c r="K2095">
        <v>1061.55</v>
      </c>
      <c r="L2095">
        <v>358.77</v>
      </c>
      <c r="M2095">
        <v>3972.63</v>
      </c>
      <c r="N2095">
        <v>4331.3999999999996</v>
      </c>
    </row>
    <row r="2096" spans="1:14" x14ac:dyDescent="0.3">
      <c r="A2096" s="2">
        <v>44743</v>
      </c>
      <c r="B2096" t="s">
        <v>70</v>
      </c>
      <c r="C2096">
        <v>2022</v>
      </c>
      <c r="D2096">
        <v>7</v>
      </c>
      <c r="E2096" t="s">
        <v>65</v>
      </c>
      <c r="F2096" t="s">
        <v>17</v>
      </c>
      <c r="G2096">
        <v>35</v>
      </c>
      <c r="H2096" t="s">
        <v>18</v>
      </c>
      <c r="I2096">
        <v>8.31</v>
      </c>
      <c r="J2096">
        <v>11.47</v>
      </c>
      <c r="K2096">
        <v>3.5</v>
      </c>
      <c r="L2096">
        <v>0.13</v>
      </c>
      <c r="M2096">
        <v>23.28</v>
      </c>
      <c r="N2096">
        <v>23.41</v>
      </c>
    </row>
    <row r="2097" spans="1:14" x14ac:dyDescent="0.3">
      <c r="A2097" s="2">
        <v>44743</v>
      </c>
      <c r="B2097" t="s">
        <v>70</v>
      </c>
      <c r="C2097">
        <v>2022</v>
      </c>
      <c r="D2097">
        <v>7</v>
      </c>
      <c r="E2097" t="s">
        <v>65</v>
      </c>
      <c r="F2097" t="s">
        <v>19</v>
      </c>
      <c r="G2097">
        <v>28</v>
      </c>
      <c r="H2097" t="s">
        <v>20</v>
      </c>
      <c r="I2097">
        <v>829.8</v>
      </c>
      <c r="J2097">
        <v>1081.57</v>
      </c>
      <c r="K2097">
        <v>1170.92</v>
      </c>
      <c r="L2097">
        <v>326.67</v>
      </c>
      <c r="M2097">
        <v>3082.29</v>
      </c>
      <c r="N2097">
        <v>3408.96</v>
      </c>
    </row>
    <row r="2098" spans="1:14" x14ac:dyDescent="0.3">
      <c r="A2098" s="2">
        <v>44743</v>
      </c>
      <c r="B2098" t="s">
        <v>70</v>
      </c>
      <c r="C2098">
        <v>2022</v>
      </c>
      <c r="D2098">
        <v>7</v>
      </c>
      <c r="E2098" t="s">
        <v>65</v>
      </c>
      <c r="F2098" t="s">
        <v>21</v>
      </c>
      <c r="G2098">
        <v>12</v>
      </c>
      <c r="H2098" t="s">
        <v>20</v>
      </c>
      <c r="I2098">
        <v>22.58</v>
      </c>
      <c r="J2098">
        <v>29.44</v>
      </c>
      <c r="K2098">
        <v>13.13</v>
      </c>
      <c r="L2098">
        <v>0.26</v>
      </c>
      <c r="M2098">
        <v>65.150000000000006</v>
      </c>
      <c r="N2098">
        <v>65.41</v>
      </c>
    </row>
    <row r="2099" spans="1:14" x14ac:dyDescent="0.3">
      <c r="A2099" s="2">
        <v>44743</v>
      </c>
      <c r="B2099" t="s">
        <v>70</v>
      </c>
      <c r="C2099">
        <v>2022</v>
      </c>
      <c r="D2099">
        <v>7</v>
      </c>
      <c r="E2099" t="s">
        <v>65</v>
      </c>
      <c r="F2099" t="s">
        <v>22</v>
      </c>
      <c r="G2099">
        <v>18</v>
      </c>
      <c r="H2099" t="s">
        <v>20</v>
      </c>
      <c r="I2099">
        <v>294.02999999999997</v>
      </c>
      <c r="J2099">
        <v>382.34</v>
      </c>
      <c r="K2099">
        <v>302.37</v>
      </c>
      <c r="L2099">
        <v>61.75</v>
      </c>
      <c r="M2099">
        <v>978.74</v>
      </c>
      <c r="N2099">
        <v>1040.49</v>
      </c>
    </row>
    <row r="2100" spans="1:14" x14ac:dyDescent="0.3">
      <c r="A2100" s="2">
        <v>44743</v>
      </c>
      <c r="B2100" t="s">
        <v>70</v>
      </c>
      <c r="C2100">
        <v>2022</v>
      </c>
      <c r="D2100">
        <v>7</v>
      </c>
      <c r="E2100" t="s">
        <v>65</v>
      </c>
      <c r="F2100" t="s">
        <v>23</v>
      </c>
      <c r="G2100">
        <v>10</v>
      </c>
      <c r="H2100" t="s">
        <v>20</v>
      </c>
      <c r="I2100">
        <v>336.69</v>
      </c>
      <c r="J2100">
        <v>584.55999999999995</v>
      </c>
      <c r="K2100">
        <v>166.7</v>
      </c>
      <c r="L2100">
        <v>175.6</v>
      </c>
      <c r="M2100">
        <v>1087.95</v>
      </c>
      <c r="N2100">
        <v>1263.55</v>
      </c>
    </row>
    <row r="2101" spans="1:14" x14ac:dyDescent="0.3">
      <c r="A2101" s="2">
        <v>44743</v>
      </c>
      <c r="B2101" t="s">
        <v>70</v>
      </c>
      <c r="C2101">
        <v>2022</v>
      </c>
      <c r="D2101">
        <v>7</v>
      </c>
      <c r="E2101" t="s">
        <v>65</v>
      </c>
      <c r="F2101" t="s">
        <v>24</v>
      </c>
      <c r="G2101">
        <v>4</v>
      </c>
      <c r="H2101" t="s">
        <v>18</v>
      </c>
      <c r="I2101">
        <v>35.99</v>
      </c>
      <c r="J2101">
        <v>48.47</v>
      </c>
      <c r="K2101">
        <v>90.78</v>
      </c>
      <c r="L2101">
        <v>0.65</v>
      </c>
      <c r="M2101">
        <v>175.24</v>
      </c>
      <c r="N2101">
        <v>175.89</v>
      </c>
    </row>
    <row r="2102" spans="1:14" x14ac:dyDescent="0.3">
      <c r="A2102" s="2">
        <v>44743</v>
      </c>
      <c r="B2102" t="s">
        <v>70</v>
      </c>
      <c r="C2102">
        <v>2022</v>
      </c>
      <c r="D2102">
        <v>7</v>
      </c>
      <c r="E2102" t="s">
        <v>65</v>
      </c>
      <c r="F2102" t="s">
        <v>25</v>
      </c>
      <c r="G2102">
        <v>22</v>
      </c>
      <c r="H2102" t="s">
        <v>20</v>
      </c>
      <c r="I2102">
        <v>540.49</v>
      </c>
      <c r="J2102">
        <v>636.53</v>
      </c>
      <c r="K2102">
        <v>926.77</v>
      </c>
      <c r="L2102">
        <v>591.16999999999996</v>
      </c>
      <c r="M2102">
        <v>2103.79</v>
      </c>
      <c r="N2102">
        <v>2694.96</v>
      </c>
    </row>
    <row r="2103" spans="1:14" x14ac:dyDescent="0.3">
      <c r="A2103" s="2">
        <v>44743</v>
      </c>
      <c r="B2103" t="s">
        <v>70</v>
      </c>
      <c r="C2103">
        <v>2022</v>
      </c>
      <c r="D2103">
        <v>7</v>
      </c>
      <c r="E2103" t="s">
        <v>65</v>
      </c>
      <c r="F2103" t="s">
        <v>26</v>
      </c>
      <c r="G2103">
        <v>38</v>
      </c>
      <c r="H2103" t="s">
        <v>18</v>
      </c>
      <c r="I2103">
        <v>38.5</v>
      </c>
      <c r="J2103">
        <v>51.09</v>
      </c>
      <c r="K2103">
        <v>222.94</v>
      </c>
      <c r="L2103">
        <v>0.99</v>
      </c>
      <c r="M2103">
        <v>312.52999999999997</v>
      </c>
      <c r="N2103">
        <v>313.52</v>
      </c>
    </row>
    <row r="2104" spans="1:14" x14ac:dyDescent="0.3">
      <c r="A2104" s="2">
        <v>44743</v>
      </c>
      <c r="B2104" t="s">
        <v>70</v>
      </c>
      <c r="C2104">
        <v>2022</v>
      </c>
      <c r="D2104">
        <v>7</v>
      </c>
      <c r="E2104" t="s">
        <v>65</v>
      </c>
      <c r="F2104" t="s">
        <v>27</v>
      </c>
      <c r="G2104">
        <v>7</v>
      </c>
      <c r="H2104" t="s">
        <v>18</v>
      </c>
      <c r="I2104">
        <v>875.79</v>
      </c>
      <c r="J2104">
        <v>1045.8900000000001</v>
      </c>
      <c r="K2104">
        <v>2328.36</v>
      </c>
      <c r="L2104">
        <v>77.28</v>
      </c>
      <c r="M2104">
        <v>4250.04</v>
      </c>
      <c r="N2104">
        <v>4327.32</v>
      </c>
    </row>
    <row r="2105" spans="1:14" x14ac:dyDescent="0.3">
      <c r="A2105" s="2">
        <v>44743</v>
      </c>
      <c r="B2105" t="s">
        <v>70</v>
      </c>
      <c r="C2105">
        <v>2022</v>
      </c>
      <c r="D2105">
        <v>7</v>
      </c>
      <c r="E2105" t="s">
        <v>65</v>
      </c>
      <c r="F2105" t="s">
        <v>28</v>
      </c>
      <c r="G2105">
        <v>30</v>
      </c>
      <c r="H2105" t="s">
        <v>20</v>
      </c>
      <c r="I2105">
        <v>112.94</v>
      </c>
      <c r="J2105">
        <v>153.19</v>
      </c>
      <c r="K2105">
        <v>162.91999999999999</v>
      </c>
      <c r="L2105">
        <v>3.44</v>
      </c>
      <c r="M2105">
        <v>429.05</v>
      </c>
      <c r="N2105">
        <v>432.49</v>
      </c>
    </row>
    <row r="2106" spans="1:14" x14ac:dyDescent="0.3">
      <c r="A2106" s="2">
        <v>44743</v>
      </c>
      <c r="B2106" t="s">
        <v>70</v>
      </c>
      <c r="C2106">
        <v>2022</v>
      </c>
      <c r="D2106">
        <v>7</v>
      </c>
      <c r="E2106" t="s">
        <v>65</v>
      </c>
      <c r="F2106" t="s">
        <v>29</v>
      </c>
      <c r="G2106">
        <v>24</v>
      </c>
      <c r="H2106" t="s">
        <v>20</v>
      </c>
      <c r="I2106">
        <v>2527</v>
      </c>
      <c r="J2106">
        <v>3036.04</v>
      </c>
      <c r="K2106">
        <v>3085.08</v>
      </c>
      <c r="L2106">
        <v>534.42999999999995</v>
      </c>
      <c r="M2106">
        <v>8648.1200000000008</v>
      </c>
      <c r="N2106">
        <v>9182.5499999999993</v>
      </c>
    </row>
    <row r="2107" spans="1:14" x14ac:dyDescent="0.3">
      <c r="A2107" s="2">
        <v>44743</v>
      </c>
      <c r="B2107" t="s">
        <v>70</v>
      </c>
      <c r="C2107">
        <v>2022</v>
      </c>
      <c r="D2107">
        <v>7</v>
      </c>
      <c r="E2107" t="s">
        <v>65</v>
      </c>
      <c r="F2107" t="s">
        <v>30</v>
      </c>
      <c r="G2107">
        <v>6</v>
      </c>
      <c r="H2107" t="s">
        <v>20</v>
      </c>
      <c r="I2107">
        <v>1152.27</v>
      </c>
      <c r="J2107">
        <v>1505.96</v>
      </c>
      <c r="K2107">
        <v>3650.84</v>
      </c>
      <c r="L2107">
        <v>481.71</v>
      </c>
      <c r="M2107">
        <v>6309.07</v>
      </c>
      <c r="N2107">
        <v>6790.78</v>
      </c>
    </row>
    <row r="2108" spans="1:14" x14ac:dyDescent="0.3">
      <c r="A2108" s="2">
        <v>44743</v>
      </c>
      <c r="B2108" t="s">
        <v>70</v>
      </c>
      <c r="C2108">
        <v>2022</v>
      </c>
      <c r="D2108">
        <v>7</v>
      </c>
      <c r="E2108" t="s">
        <v>65</v>
      </c>
      <c r="F2108" t="s">
        <v>31</v>
      </c>
      <c r="G2108">
        <v>2</v>
      </c>
      <c r="H2108" t="s">
        <v>20</v>
      </c>
      <c r="I2108">
        <v>136.82</v>
      </c>
      <c r="J2108">
        <v>198.67</v>
      </c>
      <c r="K2108">
        <v>407.92</v>
      </c>
      <c r="L2108">
        <v>2.2599999999999998</v>
      </c>
      <c r="M2108">
        <v>743.41</v>
      </c>
      <c r="N2108">
        <v>745.67</v>
      </c>
    </row>
    <row r="2109" spans="1:14" x14ac:dyDescent="0.3">
      <c r="A2109" s="2">
        <v>44743</v>
      </c>
      <c r="B2109" t="s">
        <v>70</v>
      </c>
      <c r="C2109">
        <v>2022</v>
      </c>
      <c r="D2109">
        <v>7</v>
      </c>
      <c r="E2109" t="s">
        <v>65</v>
      </c>
      <c r="F2109" t="s">
        <v>32</v>
      </c>
      <c r="G2109">
        <v>1</v>
      </c>
      <c r="H2109" t="s">
        <v>18</v>
      </c>
      <c r="I2109">
        <v>117.96</v>
      </c>
      <c r="J2109">
        <v>185.39</v>
      </c>
      <c r="K2109">
        <v>118.78</v>
      </c>
      <c r="L2109">
        <v>8.82</v>
      </c>
      <c r="M2109">
        <v>422.13</v>
      </c>
      <c r="N2109">
        <v>430.95</v>
      </c>
    </row>
    <row r="2110" spans="1:14" x14ac:dyDescent="0.3">
      <c r="A2110" s="2">
        <v>44743</v>
      </c>
      <c r="B2110" t="s">
        <v>70</v>
      </c>
      <c r="C2110">
        <v>2022</v>
      </c>
      <c r="D2110">
        <v>7</v>
      </c>
      <c r="E2110" t="s">
        <v>65</v>
      </c>
      <c r="F2110" t="s">
        <v>33</v>
      </c>
      <c r="G2110">
        <v>20</v>
      </c>
      <c r="H2110" t="s">
        <v>20</v>
      </c>
      <c r="I2110">
        <v>444.86</v>
      </c>
      <c r="J2110">
        <v>553.78</v>
      </c>
      <c r="K2110">
        <v>992.97</v>
      </c>
      <c r="L2110">
        <v>522.12</v>
      </c>
      <c r="M2110">
        <v>1991.61</v>
      </c>
      <c r="N2110">
        <v>2513.73</v>
      </c>
    </row>
    <row r="2111" spans="1:14" x14ac:dyDescent="0.3">
      <c r="A2111" s="2">
        <v>44743</v>
      </c>
      <c r="B2111" t="s">
        <v>70</v>
      </c>
      <c r="C2111">
        <v>2022</v>
      </c>
      <c r="D2111">
        <v>7</v>
      </c>
      <c r="E2111" t="s">
        <v>65</v>
      </c>
      <c r="F2111" t="s">
        <v>34</v>
      </c>
      <c r="G2111">
        <v>29</v>
      </c>
      <c r="H2111" t="s">
        <v>20</v>
      </c>
      <c r="I2111">
        <v>2233.33</v>
      </c>
      <c r="J2111">
        <v>2808.12</v>
      </c>
      <c r="K2111">
        <v>3543.11</v>
      </c>
      <c r="L2111">
        <v>1210.04</v>
      </c>
      <c r="M2111">
        <v>8584.56</v>
      </c>
      <c r="N2111">
        <v>9794.6</v>
      </c>
    </row>
    <row r="2112" spans="1:14" x14ac:dyDescent="0.3">
      <c r="A2112" s="2">
        <v>44743</v>
      </c>
      <c r="B2112" t="s">
        <v>70</v>
      </c>
      <c r="C2112">
        <v>2022</v>
      </c>
      <c r="D2112">
        <v>7</v>
      </c>
      <c r="E2112" t="s">
        <v>65</v>
      </c>
      <c r="F2112" t="s">
        <v>35</v>
      </c>
      <c r="G2112">
        <v>32</v>
      </c>
      <c r="H2112" t="s">
        <v>20</v>
      </c>
      <c r="I2112">
        <v>742.78</v>
      </c>
      <c r="J2112">
        <v>1000.18</v>
      </c>
      <c r="K2112">
        <v>410.71</v>
      </c>
      <c r="L2112">
        <v>7.56</v>
      </c>
      <c r="M2112">
        <v>2153.67</v>
      </c>
      <c r="N2112">
        <v>2161.23</v>
      </c>
    </row>
    <row r="2113" spans="1:14" x14ac:dyDescent="0.3">
      <c r="A2113" s="2">
        <v>44743</v>
      </c>
      <c r="B2113" t="s">
        <v>70</v>
      </c>
      <c r="C2113">
        <v>2022</v>
      </c>
      <c r="D2113">
        <v>7</v>
      </c>
      <c r="E2113" t="s">
        <v>65</v>
      </c>
      <c r="F2113" t="s">
        <v>67</v>
      </c>
      <c r="G2113">
        <v>37</v>
      </c>
      <c r="H2113" t="s">
        <v>18</v>
      </c>
      <c r="I2113">
        <v>6.93</v>
      </c>
      <c r="J2113">
        <v>9.14</v>
      </c>
      <c r="K2113">
        <v>3.88</v>
      </c>
      <c r="L2113">
        <v>0.04</v>
      </c>
      <c r="M2113">
        <v>19.95</v>
      </c>
      <c r="N2113">
        <v>19.989999999999998</v>
      </c>
    </row>
    <row r="2114" spans="1:14" x14ac:dyDescent="0.3">
      <c r="A2114" s="2">
        <v>44743</v>
      </c>
      <c r="B2114" t="s">
        <v>70</v>
      </c>
      <c r="C2114">
        <v>2022</v>
      </c>
      <c r="D2114">
        <v>7</v>
      </c>
      <c r="E2114" t="s">
        <v>65</v>
      </c>
      <c r="F2114" t="s">
        <v>36</v>
      </c>
      <c r="G2114">
        <v>31</v>
      </c>
      <c r="H2114" t="s">
        <v>18</v>
      </c>
      <c r="I2114">
        <v>0.7</v>
      </c>
      <c r="J2114">
        <v>0.89</v>
      </c>
      <c r="K2114">
        <v>0.03</v>
      </c>
      <c r="L2114">
        <v>0</v>
      </c>
      <c r="M2114">
        <v>1.62</v>
      </c>
      <c r="N2114">
        <v>1.62</v>
      </c>
    </row>
    <row r="2115" spans="1:14" x14ac:dyDescent="0.3">
      <c r="A2115" s="2">
        <v>44743</v>
      </c>
      <c r="B2115" t="s">
        <v>70</v>
      </c>
      <c r="C2115">
        <v>2022</v>
      </c>
      <c r="D2115">
        <v>7</v>
      </c>
      <c r="E2115" t="s">
        <v>65</v>
      </c>
      <c r="F2115" t="s">
        <v>37</v>
      </c>
      <c r="G2115">
        <v>23</v>
      </c>
      <c r="H2115" t="s">
        <v>20</v>
      </c>
      <c r="I2115">
        <v>661.46</v>
      </c>
      <c r="J2115">
        <v>902.21</v>
      </c>
      <c r="K2115">
        <v>828.16</v>
      </c>
      <c r="L2115">
        <v>574.19000000000005</v>
      </c>
      <c r="M2115">
        <v>2391.83</v>
      </c>
      <c r="N2115">
        <v>2966.02</v>
      </c>
    </row>
    <row r="2116" spans="1:14" x14ac:dyDescent="0.3">
      <c r="A2116" s="2">
        <v>44743</v>
      </c>
      <c r="B2116" t="s">
        <v>70</v>
      </c>
      <c r="C2116">
        <v>2022</v>
      </c>
      <c r="D2116">
        <v>7</v>
      </c>
      <c r="E2116" t="s">
        <v>65</v>
      </c>
      <c r="F2116" t="s">
        <v>38</v>
      </c>
      <c r="G2116">
        <v>27</v>
      </c>
      <c r="H2116" t="s">
        <v>20</v>
      </c>
      <c r="I2116">
        <v>5524.67</v>
      </c>
      <c r="J2116">
        <v>6578.04</v>
      </c>
      <c r="K2116">
        <v>8248.5400000000009</v>
      </c>
      <c r="L2116">
        <v>1777.46</v>
      </c>
      <c r="M2116">
        <v>20351.25</v>
      </c>
      <c r="N2116">
        <v>22128.71</v>
      </c>
    </row>
    <row r="2117" spans="1:14" x14ac:dyDescent="0.3">
      <c r="A2117" s="2">
        <v>44743</v>
      </c>
      <c r="B2117" t="s">
        <v>70</v>
      </c>
      <c r="C2117">
        <v>2022</v>
      </c>
      <c r="D2117">
        <v>7</v>
      </c>
      <c r="E2117" t="s">
        <v>65</v>
      </c>
      <c r="F2117" t="s">
        <v>39</v>
      </c>
      <c r="G2117">
        <v>14</v>
      </c>
      <c r="H2117" t="s">
        <v>20</v>
      </c>
      <c r="I2117">
        <v>16.899999999999999</v>
      </c>
      <c r="J2117">
        <v>23.74</v>
      </c>
      <c r="K2117">
        <v>4.18</v>
      </c>
      <c r="L2117">
        <v>0.19</v>
      </c>
      <c r="M2117">
        <v>44.82</v>
      </c>
      <c r="N2117">
        <v>45.01</v>
      </c>
    </row>
    <row r="2118" spans="1:14" x14ac:dyDescent="0.3">
      <c r="A2118" s="2">
        <v>44743</v>
      </c>
      <c r="B2118" t="s">
        <v>70</v>
      </c>
      <c r="C2118">
        <v>2022</v>
      </c>
      <c r="D2118">
        <v>7</v>
      </c>
      <c r="E2118" t="s">
        <v>65</v>
      </c>
      <c r="F2118" t="s">
        <v>40</v>
      </c>
      <c r="G2118">
        <v>17</v>
      </c>
      <c r="H2118" t="s">
        <v>20</v>
      </c>
      <c r="I2118">
        <v>25.3</v>
      </c>
      <c r="J2118">
        <v>31.81</v>
      </c>
      <c r="K2118">
        <v>80.12</v>
      </c>
      <c r="L2118">
        <v>1.1000000000000001</v>
      </c>
      <c r="M2118">
        <v>137.22999999999999</v>
      </c>
      <c r="N2118">
        <v>138.33000000000001</v>
      </c>
    </row>
    <row r="2119" spans="1:14" x14ac:dyDescent="0.3">
      <c r="A2119" s="2">
        <v>44743</v>
      </c>
      <c r="B2119" t="s">
        <v>70</v>
      </c>
      <c r="C2119">
        <v>2022</v>
      </c>
      <c r="D2119">
        <v>7</v>
      </c>
      <c r="E2119" t="s">
        <v>65</v>
      </c>
      <c r="F2119" t="s">
        <v>41</v>
      </c>
      <c r="G2119">
        <v>15</v>
      </c>
      <c r="H2119" t="s">
        <v>20</v>
      </c>
      <c r="I2119">
        <v>9.89</v>
      </c>
      <c r="J2119">
        <v>13.72</v>
      </c>
      <c r="K2119">
        <v>2.96</v>
      </c>
      <c r="L2119">
        <v>0.03</v>
      </c>
      <c r="M2119">
        <v>26.57</v>
      </c>
      <c r="N2119">
        <v>26.6</v>
      </c>
    </row>
    <row r="2120" spans="1:14" x14ac:dyDescent="0.3">
      <c r="A2120" s="2">
        <v>44743</v>
      </c>
      <c r="B2120" t="s">
        <v>70</v>
      </c>
      <c r="C2120">
        <v>2022</v>
      </c>
      <c r="D2120">
        <v>7</v>
      </c>
      <c r="E2120" t="s">
        <v>65</v>
      </c>
      <c r="F2120" t="s">
        <v>42</v>
      </c>
      <c r="G2120">
        <v>13</v>
      </c>
      <c r="H2120" t="s">
        <v>20</v>
      </c>
      <c r="I2120">
        <v>10.86</v>
      </c>
      <c r="J2120">
        <v>13.64</v>
      </c>
      <c r="K2120">
        <v>12.06</v>
      </c>
      <c r="L2120">
        <v>5.09</v>
      </c>
      <c r="M2120">
        <v>36.56</v>
      </c>
      <c r="N2120">
        <v>41.65</v>
      </c>
    </row>
    <row r="2121" spans="1:14" x14ac:dyDescent="0.3">
      <c r="A2121" s="2">
        <v>44743</v>
      </c>
      <c r="B2121" t="s">
        <v>70</v>
      </c>
      <c r="C2121">
        <v>2022</v>
      </c>
      <c r="D2121">
        <v>7</v>
      </c>
      <c r="E2121" t="s">
        <v>65</v>
      </c>
      <c r="F2121" t="s">
        <v>43</v>
      </c>
      <c r="G2121">
        <v>21</v>
      </c>
      <c r="H2121" t="s">
        <v>20</v>
      </c>
      <c r="I2121">
        <v>959.04</v>
      </c>
      <c r="J2121">
        <v>1111.69</v>
      </c>
      <c r="K2121">
        <v>872.98</v>
      </c>
      <c r="L2121">
        <v>707.9</v>
      </c>
      <c r="M2121">
        <v>2943.71</v>
      </c>
      <c r="N2121">
        <v>3651.61</v>
      </c>
    </row>
    <row r="2122" spans="1:14" x14ac:dyDescent="0.3">
      <c r="A2122" s="2">
        <v>44743</v>
      </c>
      <c r="B2122" t="s">
        <v>70</v>
      </c>
      <c r="C2122">
        <v>2022</v>
      </c>
      <c r="D2122">
        <v>7</v>
      </c>
      <c r="E2122" t="s">
        <v>65</v>
      </c>
      <c r="F2122" t="s">
        <v>44</v>
      </c>
      <c r="G2122">
        <v>34</v>
      </c>
      <c r="H2122" t="s">
        <v>18</v>
      </c>
      <c r="I2122">
        <v>25.27</v>
      </c>
      <c r="J2122">
        <v>39.11</v>
      </c>
      <c r="K2122">
        <v>133.49</v>
      </c>
      <c r="L2122">
        <v>0.52</v>
      </c>
      <c r="M2122">
        <v>197.87</v>
      </c>
      <c r="N2122">
        <v>198.39</v>
      </c>
    </row>
    <row r="2123" spans="1:14" x14ac:dyDescent="0.3">
      <c r="A2123" s="2">
        <v>44743</v>
      </c>
      <c r="B2123" t="s">
        <v>70</v>
      </c>
      <c r="C2123">
        <v>2022</v>
      </c>
      <c r="D2123">
        <v>7</v>
      </c>
      <c r="E2123" t="s">
        <v>65</v>
      </c>
      <c r="F2123" t="s">
        <v>45</v>
      </c>
      <c r="G2123">
        <v>3</v>
      </c>
      <c r="H2123" t="s">
        <v>20</v>
      </c>
      <c r="I2123">
        <v>430.97</v>
      </c>
      <c r="J2123">
        <v>641.42999999999995</v>
      </c>
      <c r="K2123">
        <v>626.46</v>
      </c>
      <c r="L2123">
        <v>34.6</v>
      </c>
      <c r="M2123">
        <v>1698.86</v>
      </c>
      <c r="N2123">
        <v>1733.46</v>
      </c>
    </row>
    <row r="2124" spans="1:14" x14ac:dyDescent="0.3">
      <c r="A2124" s="2">
        <v>44743</v>
      </c>
      <c r="B2124" t="s">
        <v>70</v>
      </c>
      <c r="C2124">
        <v>2022</v>
      </c>
      <c r="D2124">
        <v>7</v>
      </c>
      <c r="E2124" t="s">
        <v>65</v>
      </c>
      <c r="F2124" t="s">
        <v>46</v>
      </c>
      <c r="G2124">
        <v>8</v>
      </c>
      <c r="H2124" t="s">
        <v>20</v>
      </c>
      <c r="I2124">
        <v>934.24</v>
      </c>
      <c r="J2124">
        <v>1243.01</v>
      </c>
      <c r="K2124">
        <v>1351.15</v>
      </c>
      <c r="L2124">
        <v>142.76</v>
      </c>
      <c r="M2124">
        <v>3528.4</v>
      </c>
      <c r="N2124">
        <v>3671.16</v>
      </c>
    </row>
    <row r="2125" spans="1:14" x14ac:dyDescent="0.3">
      <c r="A2125" s="2">
        <v>44743</v>
      </c>
      <c r="B2125" t="s">
        <v>70</v>
      </c>
      <c r="C2125">
        <v>2022</v>
      </c>
      <c r="D2125">
        <v>7</v>
      </c>
      <c r="E2125" t="s">
        <v>65</v>
      </c>
      <c r="F2125" t="s">
        <v>47</v>
      </c>
      <c r="G2125">
        <v>11</v>
      </c>
      <c r="H2125" t="s">
        <v>20</v>
      </c>
      <c r="I2125">
        <v>15.59</v>
      </c>
      <c r="J2125">
        <v>21.98</v>
      </c>
      <c r="K2125">
        <v>211.29</v>
      </c>
      <c r="L2125">
        <v>0.02</v>
      </c>
      <c r="M2125">
        <v>248.86</v>
      </c>
      <c r="N2125">
        <v>248.88</v>
      </c>
    </row>
    <row r="2126" spans="1:14" x14ac:dyDescent="0.3">
      <c r="A2126" s="2">
        <v>44743</v>
      </c>
      <c r="B2126" t="s">
        <v>70</v>
      </c>
      <c r="C2126">
        <v>2022</v>
      </c>
      <c r="D2126">
        <v>7</v>
      </c>
      <c r="E2126" t="s">
        <v>65</v>
      </c>
      <c r="F2126" t="s">
        <v>48</v>
      </c>
      <c r="G2126">
        <v>33</v>
      </c>
      <c r="H2126" t="s">
        <v>20</v>
      </c>
      <c r="I2126">
        <v>2189.61</v>
      </c>
      <c r="J2126">
        <v>2947.07</v>
      </c>
      <c r="K2126">
        <v>2643.33</v>
      </c>
      <c r="L2126">
        <v>669.3</v>
      </c>
      <c r="M2126">
        <v>7780.01</v>
      </c>
      <c r="N2126">
        <v>8449.31</v>
      </c>
    </row>
    <row r="2127" spans="1:14" x14ac:dyDescent="0.3">
      <c r="A2127" s="2">
        <v>44743</v>
      </c>
      <c r="B2127" t="s">
        <v>70</v>
      </c>
      <c r="C2127">
        <v>2022</v>
      </c>
      <c r="D2127">
        <v>7</v>
      </c>
      <c r="E2127" t="s">
        <v>65</v>
      </c>
      <c r="F2127" t="s">
        <v>49</v>
      </c>
      <c r="G2127">
        <v>36</v>
      </c>
      <c r="H2127" t="s">
        <v>20</v>
      </c>
      <c r="I2127">
        <v>1234.98</v>
      </c>
      <c r="J2127">
        <v>1562.39</v>
      </c>
      <c r="K2127">
        <v>1275.93</v>
      </c>
      <c r="L2127">
        <v>474.16</v>
      </c>
      <c r="M2127">
        <v>4073.3</v>
      </c>
      <c r="N2127">
        <v>4547.46</v>
      </c>
    </row>
    <row r="2128" spans="1:14" x14ac:dyDescent="0.3">
      <c r="A2128" s="2">
        <v>44743</v>
      </c>
      <c r="B2128" t="s">
        <v>70</v>
      </c>
      <c r="C2128">
        <v>2022</v>
      </c>
      <c r="D2128">
        <v>7</v>
      </c>
      <c r="E2128" t="s">
        <v>65</v>
      </c>
      <c r="F2128" t="s">
        <v>50</v>
      </c>
      <c r="G2128">
        <v>16</v>
      </c>
      <c r="H2128" t="s">
        <v>20</v>
      </c>
      <c r="I2128">
        <v>23.83</v>
      </c>
      <c r="J2128">
        <v>32.590000000000003</v>
      </c>
      <c r="K2128">
        <v>6.95</v>
      </c>
      <c r="L2128">
        <v>0.1</v>
      </c>
      <c r="M2128">
        <v>63.37</v>
      </c>
      <c r="N2128">
        <v>63.47</v>
      </c>
    </row>
    <row r="2129" spans="1:14" x14ac:dyDescent="0.3">
      <c r="A2129" s="2">
        <v>44743</v>
      </c>
      <c r="B2129" t="s">
        <v>70</v>
      </c>
      <c r="C2129">
        <v>2022</v>
      </c>
      <c r="D2129">
        <v>7</v>
      </c>
      <c r="E2129" t="s">
        <v>65</v>
      </c>
      <c r="F2129" t="s">
        <v>51</v>
      </c>
      <c r="G2129">
        <v>9</v>
      </c>
      <c r="H2129" t="s">
        <v>20</v>
      </c>
      <c r="I2129">
        <v>1652.9</v>
      </c>
      <c r="J2129">
        <v>2257.86</v>
      </c>
      <c r="K2129">
        <v>1980.46</v>
      </c>
      <c r="L2129">
        <v>1182.8</v>
      </c>
      <c r="M2129">
        <v>5891.22</v>
      </c>
      <c r="N2129">
        <v>7074.02</v>
      </c>
    </row>
    <row r="2130" spans="1:14" x14ac:dyDescent="0.3">
      <c r="A2130" s="2">
        <v>44743</v>
      </c>
      <c r="B2130" t="s">
        <v>70</v>
      </c>
      <c r="C2130">
        <v>2022</v>
      </c>
      <c r="D2130">
        <v>7</v>
      </c>
      <c r="E2130" t="s">
        <v>65</v>
      </c>
      <c r="F2130" t="s">
        <v>52</v>
      </c>
      <c r="G2130">
        <v>5</v>
      </c>
      <c r="H2130" t="s">
        <v>20</v>
      </c>
      <c r="I2130">
        <v>269.02</v>
      </c>
      <c r="J2130">
        <v>389.22</v>
      </c>
      <c r="K2130">
        <v>722.23</v>
      </c>
      <c r="L2130">
        <v>9.43</v>
      </c>
      <c r="M2130">
        <v>1380.47</v>
      </c>
      <c r="N2130">
        <v>1389.9</v>
      </c>
    </row>
    <row r="2131" spans="1:14" x14ac:dyDescent="0.3">
      <c r="A2131" s="2">
        <v>44743</v>
      </c>
      <c r="B2131" t="s">
        <v>70</v>
      </c>
      <c r="C2131">
        <v>2022</v>
      </c>
      <c r="D2131">
        <v>7</v>
      </c>
      <c r="E2131" t="s">
        <v>65</v>
      </c>
      <c r="F2131" t="s">
        <v>53</v>
      </c>
      <c r="G2131">
        <v>19</v>
      </c>
      <c r="H2131" t="s">
        <v>20</v>
      </c>
      <c r="I2131">
        <v>1301.46</v>
      </c>
      <c r="J2131">
        <v>1663.87</v>
      </c>
      <c r="K2131">
        <v>1135.51</v>
      </c>
      <c r="L2131">
        <v>340.39</v>
      </c>
      <c r="M2131">
        <v>4100.84</v>
      </c>
      <c r="N2131">
        <v>4441.2299999999996</v>
      </c>
    </row>
    <row r="2132" spans="1:14" x14ac:dyDescent="0.3">
      <c r="A2132" s="2">
        <v>44774</v>
      </c>
      <c r="B2132" t="s">
        <v>70</v>
      </c>
      <c r="C2132">
        <v>2022</v>
      </c>
      <c r="D2132">
        <v>8</v>
      </c>
      <c r="E2132" t="s">
        <v>16</v>
      </c>
      <c r="F2132" t="s">
        <v>17</v>
      </c>
      <c r="G2132">
        <v>35</v>
      </c>
      <c r="H2132" t="s">
        <v>18</v>
      </c>
      <c r="I2132">
        <v>5.0199999999999996</v>
      </c>
      <c r="J2132">
        <v>8.06</v>
      </c>
      <c r="K2132">
        <v>2.65</v>
      </c>
      <c r="L2132">
        <v>0.01</v>
      </c>
      <c r="M2132">
        <v>15.73</v>
      </c>
      <c r="N2132">
        <v>15.74</v>
      </c>
    </row>
    <row r="2133" spans="1:14" x14ac:dyDescent="0.3">
      <c r="A2133" s="2">
        <v>44774</v>
      </c>
      <c r="B2133" t="s">
        <v>70</v>
      </c>
      <c r="C2133">
        <v>2022</v>
      </c>
      <c r="D2133">
        <v>8</v>
      </c>
      <c r="E2133" t="s">
        <v>16</v>
      </c>
      <c r="F2133" t="s">
        <v>19</v>
      </c>
      <c r="G2133">
        <v>28</v>
      </c>
      <c r="H2133" t="s">
        <v>20</v>
      </c>
      <c r="I2133">
        <v>765.97</v>
      </c>
      <c r="J2133">
        <v>996.86</v>
      </c>
      <c r="K2133">
        <v>1133.78</v>
      </c>
      <c r="L2133">
        <v>275.95</v>
      </c>
      <c r="M2133">
        <v>2896.61</v>
      </c>
      <c r="N2133">
        <v>3172.56</v>
      </c>
    </row>
    <row r="2134" spans="1:14" x14ac:dyDescent="0.3">
      <c r="A2134" s="2">
        <v>44774</v>
      </c>
      <c r="B2134" t="s">
        <v>70</v>
      </c>
      <c r="C2134">
        <v>2022</v>
      </c>
      <c r="D2134">
        <v>8</v>
      </c>
      <c r="E2134" t="s">
        <v>16</v>
      </c>
      <c r="F2134" t="s">
        <v>21</v>
      </c>
      <c r="G2134">
        <v>12</v>
      </c>
      <c r="H2134" t="s">
        <v>20</v>
      </c>
      <c r="I2134">
        <v>21.57</v>
      </c>
      <c r="J2134">
        <v>28.55</v>
      </c>
      <c r="K2134">
        <v>9.02</v>
      </c>
      <c r="L2134">
        <v>0.16</v>
      </c>
      <c r="M2134">
        <v>59.14</v>
      </c>
      <c r="N2134">
        <v>59.3</v>
      </c>
    </row>
    <row r="2135" spans="1:14" x14ac:dyDescent="0.3">
      <c r="A2135" s="2">
        <v>44774</v>
      </c>
      <c r="B2135" t="s">
        <v>70</v>
      </c>
      <c r="C2135">
        <v>2022</v>
      </c>
      <c r="D2135">
        <v>8</v>
      </c>
      <c r="E2135" t="s">
        <v>16</v>
      </c>
      <c r="F2135" t="s">
        <v>22</v>
      </c>
      <c r="G2135">
        <v>18</v>
      </c>
      <c r="H2135" t="s">
        <v>20</v>
      </c>
      <c r="I2135">
        <v>323.19</v>
      </c>
      <c r="J2135">
        <v>411.13</v>
      </c>
      <c r="K2135">
        <v>269.13</v>
      </c>
      <c r="L2135">
        <v>51.72</v>
      </c>
      <c r="M2135">
        <v>1003.45</v>
      </c>
      <c r="N2135">
        <v>1055.17</v>
      </c>
    </row>
    <row r="2136" spans="1:14" x14ac:dyDescent="0.3">
      <c r="A2136" s="2">
        <v>44774</v>
      </c>
      <c r="B2136" t="s">
        <v>70</v>
      </c>
      <c r="C2136">
        <v>2022</v>
      </c>
      <c r="D2136">
        <v>8</v>
      </c>
      <c r="E2136" t="s">
        <v>16</v>
      </c>
      <c r="F2136" t="s">
        <v>23</v>
      </c>
      <c r="G2136">
        <v>10</v>
      </c>
      <c r="H2136" t="s">
        <v>20</v>
      </c>
      <c r="I2136">
        <v>371.52</v>
      </c>
      <c r="J2136">
        <v>573.79999999999995</v>
      </c>
      <c r="K2136">
        <v>181.49</v>
      </c>
      <c r="L2136">
        <v>143.79</v>
      </c>
      <c r="M2136">
        <v>1126.81</v>
      </c>
      <c r="N2136">
        <v>1270.5999999999999</v>
      </c>
    </row>
    <row r="2137" spans="1:14" x14ac:dyDescent="0.3">
      <c r="A2137" s="2">
        <v>44774</v>
      </c>
      <c r="B2137" t="s">
        <v>70</v>
      </c>
      <c r="C2137">
        <v>2022</v>
      </c>
      <c r="D2137">
        <v>8</v>
      </c>
      <c r="E2137" t="s">
        <v>16</v>
      </c>
      <c r="F2137" t="s">
        <v>24</v>
      </c>
      <c r="G2137">
        <v>4</v>
      </c>
      <c r="H2137" t="s">
        <v>18</v>
      </c>
      <c r="I2137">
        <v>35.6</v>
      </c>
      <c r="J2137">
        <v>46.48</v>
      </c>
      <c r="K2137">
        <v>96.58</v>
      </c>
      <c r="L2137">
        <v>0.41</v>
      </c>
      <c r="M2137">
        <v>178.66</v>
      </c>
      <c r="N2137">
        <v>179.07</v>
      </c>
    </row>
    <row r="2138" spans="1:14" x14ac:dyDescent="0.3">
      <c r="A2138" s="2">
        <v>44774</v>
      </c>
      <c r="B2138" t="s">
        <v>70</v>
      </c>
      <c r="C2138">
        <v>2022</v>
      </c>
      <c r="D2138">
        <v>8</v>
      </c>
      <c r="E2138" t="s">
        <v>16</v>
      </c>
      <c r="F2138" t="s">
        <v>25</v>
      </c>
      <c r="G2138">
        <v>22</v>
      </c>
      <c r="H2138" t="s">
        <v>20</v>
      </c>
      <c r="I2138">
        <v>480.02</v>
      </c>
      <c r="J2138">
        <v>558.45000000000005</v>
      </c>
      <c r="K2138">
        <v>869.19</v>
      </c>
      <c r="L2138">
        <v>533.96</v>
      </c>
      <c r="M2138">
        <v>1907.66</v>
      </c>
      <c r="N2138">
        <v>2441.62</v>
      </c>
    </row>
    <row r="2139" spans="1:14" x14ac:dyDescent="0.3">
      <c r="A2139" s="2">
        <v>44774</v>
      </c>
      <c r="B2139" t="s">
        <v>70</v>
      </c>
      <c r="C2139">
        <v>2022</v>
      </c>
      <c r="D2139">
        <v>8</v>
      </c>
      <c r="E2139" t="s">
        <v>16</v>
      </c>
      <c r="F2139" t="s">
        <v>26</v>
      </c>
      <c r="G2139">
        <v>38</v>
      </c>
      <c r="H2139" t="s">
        <v>18</v>
      </c>
      <c r="I2139">
        <v>39.299999999999997</v>
      </c>
      <c r="J2139">
        <v>50.09</v>
      </c>
      <c r="K2139">
        <v>220.66</v>
      </c>
      <c r="L2139">
        <v>0.93</v>
      </c>
      <c r="M2139">
        <v>310.05</v>
      </c>
      <c r="N2139">
        <v>310.98</v>
      </c>
    </row>
    <row r="2140" spans="1:14" x14ac:dyDescent="0.3">
      <c r="A2140" s="2">
        <v>44774</v>
      </c>
      <c r="B2140" t="s">
        <v>70</v>
      </c>
      <c r="C2140">
        <v>2022</v>
      </c>
      <c r="D2140">
        <v>8</v>
      </c>
      <c r="E2140" t="s">
        <v>16</v>
      </c>
      <c r="F2140" t="s">
        <v>27</v>
      </c>
      <c r="G2140">
        <v>7</v>
      </c>
      <c r="H2140" t="s">
        <v>18</v>
      </c>
      <c r="I2140">
        <v>897.52</v>
      </c>
      <c r="J2140">
        <v>1045.26</v>
      </c>
      <c r="K2140">
        <v>2321.63</v>
      </c>
      <c r="L2140">
        <v>84.14</v>
      </c>
      <c r="M2140">
        <v>4264.41</v>
      </c>
      <c r="N2140">
        <v>4348.55</v>
      </c>
    </row>
    <row r="2141" spans="1:14" x14ac:dyDescent="0.3">
      <c r="A2141" s="2">
        <v>44774</v>
      </c>
      <c r="B2141" t="s">
        <v>70</v>
      </c>
      <c r="C2141">
        <v>2022</v>
      </c>
      <c r="D2141">
        <v>8</v>
      </c>
      <c r="E2141" t="s">
        <v>16</v>
      </c>
      <c r="F2141" t="s">
        <v>28</v>
      </c>
      <c r="G2141">
        <v>30</v>
      </c>
      <c r="H2141" t="s">
        <v>20</v>
      </c>
      <c r="I2141">
        <v>105.03</v>
      </c>
      <c r="J2141">
        <v>139.59</v>
      </c>
      <c r="K2141">
        <v>129.56</v>
      </c>
      <c r="L2141">
        <v>1.32</v>
      </c>
      <c r="M2141">
        <v>374.18</v>
      </c>
      <c r="N2141">
        <v>375.5</v>
      </c>
    </row>
    <row r="2142" spans="1:14" x14ac:dyDescent="0.3">
      <c r="A2142" s="2">
        <v>44774</v>
      </c>
      <c r="B2142" t="s">
        <v>70</v>
      </c>
      <c r="C2142">
        <v>2022</v>
      </c>
      <c r="D2142">
        <v>8</v>
      </c>
      <c r="E2142" t="s">
        <v>16</v>
      </c>
      <c r="F2142" t="s">
        <v>29</v>
      </c>
      <c r="G2142">
        <v>24</v>
      </c>
      <c r="H2142" t="s">
        <v>20</v>
      </c>
      <c r="I2142">
        <v>2346.33</v>
      </c>
      <c r="J2142">
        <v>2818</v>
      </c>
      <c r="K2142">
        <v>3017.91</v>
      </c>
      <c r="L2142">
        <v>502.05</v>
      </c>
      <c r="M2142">
        <v>8182.24</v>
      </c>
      <c r="N2142">
        <v>8684.2900000000009</v>
      </c>
    </row>
    <row r="2143" spans="1:14" x14ac:dyDescent="0.3">
      <c r="A2143" s="2">
        <v>44774</v>
      </c>
      <c r="B2143" t="s">
        <v>70</v>
      </c>
      <c r="C2143">
        <v>2022</v>
      </c>
      <c r="D2143">
        <v>8</v>
      </c>
      <c r="E2143" t="s">
        <v>16</v>
      </c>
      <c r="F2143" t="s">
        <v>30</v>
      </c>
      <c r="G2143">
        <v>6</v>
      </c>
      <c r="H2143" t="s">
        <v>20</v>
      </c>
      <c r="I2143">
        <v>1102.8</v>
      </c>
      <c r="J2143">
        <v>1466.71</v>
      </c>
      <c r="K2143">
        <v>3677.51</v>
      </c>
      <c r="L2143">
        <v>524.54</v>
      </c>
      <c r="M2143">
        <v>6247.02</v>
      </c>
      <c r="N2143">
        <v>6771.56</v>
      </c>
    </row>
    <row r="2144" spans="1:14" x14ac:dyDescent="0.3">
      <c r="A2144" s="2">
        <v>44774</v>
      </c>
      <c r="B2144" t="s">
        <v>70</v>
      </c>
      <c r="C2144">
        <v>2022</v>
      </c>
      <c r="D2144">
        <v>8</v>
      </c>
      <c r="E2144" t="s">
        <v>16</v>
      </c>
      <c r="F2144" t="s">
        <v>31</v>
      </c>
      <c r="G2144">
        <v>2</v>
      </c>
      <c r="H2144" t="s">
        <v>20</v>
      </c>
      <c r="I2144">
        <v>135.6</v>
      </c>
      <c r="J2144">
        <v>183.85</v>
      </c>
      <c r="K2144">
        <v>387.2</v>
      </c>
      <c r="L2144">
        <v>1.93</v>
      </c>
      <c r="M2144">
        <v>706.65</v>
      </c>
      <c r="N2144">
        <v>708.58</v>
      </c>
    </row>
    <row r="2145" spans="1:14" x14ac:dyDescent="0.3">
      <c r="A2145" s="2">
        <v>44774</v>
      </c>
      <c r="B2145" t="s">
        <v>70</v>
      </c>
      <c r="C2145">
        <v>2022</v>
      </c>
      <c r="D2145">
        <v>8</v>
      </c>
      <c r="E2145" t="s">
        <v>16</v>
      </c>
      <c r="F2145" t="s">
        <v>32</v>
      </c>
      <c r="G2145">
        <v>1</v>
      </c>
      <c r="H2145" t="s">
        <v>18</v>
      </c>
      <c r="I2145">
        <v>112.98</v>
      </c>
      <c r="J2145">
        <v>178.47</v>
      </c>
      <c r="K2145">
        <v>133.96</v>
      </c>
      <c r="L2145">
        <v>8.35</v>
      </c>
      <c r="M2145">
        <v>425.41</v>
      </c>
      <c r="N2145">
        <v>433.76</v>
      </c>
    </row>
    <row r="2146" spans="1:14" x14ac:dyDescent="0.3">
      <c r="A2146" s="2">
        <v>44774</v>
      </c>
      <c r="B2146" t="s">
        <v>70</v>
      </c>
      <c r="C2146">
        <v>2022</v>
      </c>
      <c r="D2146">
        <v>8</v>
      </c>
      <c r="E2146" t="s">
        <v>16</v>
      </c>
      <c r="F2146" t="s">
        <v>33</v>
      </c>
      <c r="G2146">
        <v>20</v>
      </c>
      <c r="H2146" t="s">
        <v>20</v>
      </c>
      <c r="I2146">
        <v>442.67</v>
      </c>
      <c r="J2146">
        <v>566.52</v>
      </c>
      <c r="K2146">
        <v>1104.19</v>
      </c>
      <c r="L2146">
        <v>482.04</v>
      </c>
      <c r="M2146">
        <v>2113.38</v>
      </c>
      <c r="N2146">
        <v>2595.42</v>
      </c>
    </row>
    <row r="2147" spans="1:14" x14ac:dyDescent="0.3">
      <c r="A2147" s="2">
        <v>44774</v>
      </c>
      <c r="B2147" t="s">
        <v>70</v>
      </c>
      <c r="C2147">
        <v>2022</v>
      </c>
      <c r="D2147">
        <v>8</v>
      </c>
      <c r="E2147" t="s">
        <v>16</v>
      </c>
      <c r="F2147" t="s">
        <v>34</v>
      </c>
      <c r="G2147">
        <v>29</v>
      </c>
      <c r="H2147" t="s">
        <v>20</v>
      </c>
      <c r="I2147">
        <v>2297.13</v>
      </c>
      <c r="J2147">
        <v>2840.9</v>
      </c>
      <c r="K2147">
        <v>3451.11</v>
      </c>
      <c r="L2147">
        <v>993.86</v>
      </c>
      <c r="M2147">
        <v>8589.14</v>
      </c>
      <c r="N2147">
        <v>9583</v>
      </c>
    </row>
    <row r="2148" spans="1:14" x14ac:dyDescent="0.3">
      <c r="A2148" s="2">
        <v>44774</v>
      </c>
      <c r="B2148" t="s">
        <v>70</v>
      </c>
      <c r="C2148">
        <v>2022</v>
      </c>
      <c r="D2148">
        <v>8</v>
      </c>
      <c r="E2148" t="s">
        <v>16</v>
      </c>
      <c r="F2148" t="s">
        <v>35</v>
      </c>
      <c r="G2148">
        <v>32</v>
      </c>
      <c r="H2148" t="s">
        <v>20</v>
      </c>
      <c r="I2148">
        <v>706.88</v>
      </c>
      <c r="J2148">
        <v>910.94</v>
      </c>
      <c r="K2148">
        <v>414.92</v>
      </c>
      <c r="L2148">
        <v>2.96</v>
      </c>
      <c r="M2148">
        <v>2032.74</v>
      </c>
      <c r="N2148">
        <v>2035.7</v>
      </c>
    </row>
    <row r="2149" spans="1:14" x14ac:dyDescent="0.3">
      <c r="A2149" s="2">
        <v>44774</v>
      </c>
      <c r="B2149" t="s">
        <v>70</v>
      </c>
      <c r="C2149">
        <v>2022</v>
      </c>
      <c r="D2149">
        <v>8</v>
      </c>
      <c r="E2149" t="s">
        <v>16</v>
      </c>
      <c r="F2149" t="s">
        <v>67</v>
      </c>
      <c r="G2149">
        <v>37</v>
      </c>
      <c r="H2149" t="s">
        <v>18</v>
      </c>
      <c r="I2149">
        <v>6.55</v>
      </c>
      <c r="J2149">
        <v>8.98</v>
      </c>
      <c r="K2149">
        <v>3.6</v>
      </c>
      <c r="L2149">
        <v>0.03</v>
      </c>
      <c r="M2149">
        <v>19.13</v>
      </c>
      <c r="N2149">
        <v>19.16</v>
      </c>
    </row>
    <row r="2150" spans="1:14" x14ac:dyDescent="0.3">
      <c r="A2150" s="2">
        <v>44774</v>
      </c>
      <c r="B2150" t="s">
        <v>70</v>
      </c>
      <c r="C2150">
        <v>2022</v>
      </c>
      <c r="D2150">
        <v>8</v>
      </c>
      <c r="E2150" t="s">
        <v>16</v>
      </c>
      <c r="F2150" t="s">
        <v>36</v>
      </c>
      <c r="G2150">
        <v>31</v>
      </c>
      <c r="H2150" t="s">
        <v>18</v>
      </c>
      <c r="I2150">
        <v>0.15</v>
      </c>
      <c r="J2150">
        <v>0.16</v>
      </c>
      <c r="K2150">
        <v>0.05</v>
      </c>
      <c r="L2150">
        <v>0</v>
      </c>
      <c r="M2150">
        <v>0.36</v>
      </c>
      <c r="N2150">
        <v>0.36</v>
      </c>
    </row>
    <row r="2151" spans="1:14" x14ac:dyDescent="0.3">
      <c r="A2151" s="2">
        <v>44774</v>
      </c>
      <c r="B2151" t="s">
        <v>70</v>
      </c>
      <c r="C2151">
        <v>2022</v>
      </c>
      <c r="D2151">
        <v>8</v>
      </c>
      <c r="E2151" t="s">
        <v>16</v>
      </c>
      <c r="F2151" t="s">
        <v>37</v>
      </c>
      <c r="G2151">
        <v>23</v>
      </c>
      <c r="H2151" t="s">
        <v>20</v>
      </c>
      <c r="I2151">
        <v>615.21</v>
      </c>
      <c r="J2151">
        <v>805.1</v>
      </c>
      <c r="K2151">
        <v>775.36</v>
      </c>
      <c r="L2151">
        <v>618.59</v>
      </c>
      <c r="M2151">
        <v>2195.67</v>
      </c>
      <c r="N2151">
        <v>2814.26</v>
      </c>
    </row>
    <row r="2152" spans="1:14" x14ac:dyDescent="0.3">
      <c r="A2152" s="2">
        <v>44774</v>
      </c>
      <c r="B2152" t="s">
        <v>70</v>
      </c>
      <c r="C2152">
        <v>2022</v>
      </c>
      <c r="D2152">
        <v>8</v>
      </c>
      <c r="E2152" t="s">
        <v>16</v>
      </c>
      <c r="F2152" t="s">
        <v>38</v>
      </c>
      <c r="G2152">
        <v>27</v>
      </c>
      <c r="H2152" t="s">
        <v>20</v>
      </c>
      <c r="I2152">
        <v>5211.34</v>
      </c>
      <c r="J2152">
        <v>6071.41</v>
      </c>
      <c r="K2152">
        <v>6162.5</v>
      </c>
      <c r="L2152">
        <v>1417.57</v>
      </c>
      <c r="M2152">
        <v>17445.25</v>
      </c>
      <c r="N2152">
        <v>18862.82</v>
      </c>
    </row>
    <row r="2153" spans="1:14" x14ac:dyDescent="0.3">
      <c r="A2153" s="2">
        <v>44774</v>
      </c>
      <c r="B2153" t="s">
        <v>70</v>
      </c>
      <c r="C2153">
        <v>2022</v>
      </c>
      <c r="D2153">
        <v>8</v>
      </c>
      <c r="E2153" t="s">
        <v>16</v>
      </c>
      <c r="F2153" t="s">
        <v>39</v>
      </c>
      <c r="G2153">
        <v>14</v>
      </c>
      <c r="H2153" t="s">
        <v>20</v>
      </c>
      <c r="I2153">
        <v>12.12</v>
      </c>
      <c r="J2153">
        <v>17.54</v>
      </c>
      <c r="K2153">
        <v>4.84</v>
      </c>
      <c r="L2153">
        <v>0.04</v>
      </c>
      <c r="M2153">
        <v>34.5</v>
      </c>
      <c r="N2153">
        <v>34.54</v>
      </c>
    </row>
    <row r="2154" spans="1:14" x14ac:dyDescent="0.3">
      <c r="A2154" s="2">
        <v>44774</v>
      </c>
      <c r="B2154" t="s">
        <v>70</v>
      </c>
      <c r="C2154">
        <v>2022</v>
      </c>
      <c r="D2154">
        <v>8</v>
      </c>
      <c r="E2154" t="s">
        <v>16</v>
      </c>
      <c r="F2154" t="s">
        <v>40</v>
      </c>
      <c r="G2154">
        <v>17</v>
      </c>
      <c r="H2154" t="s">
        <v>20</v>
      </c>
      <c r="I2154">
        <v>26.59</v>
      </c>
      <c r="J2154">
        <v>31.82</v>
      </c>
      <c r="K2154">
        <v>88.18</v>
      </c>
      <c r="L2154">
        <v>0.78</v>
      </c>
      <c r="M2154">
        <v>146.59</v>
      </c>
      <c r="N2154">
        <v>147.37</v>
      </c>
    </row>
    <row r="2155" spans="1:14" x14ac:dyDescent="0.3">
      <c r="A2155" s="2">
        <v>44774</v>
      </c>
      <c r="B2155" t="s">
        <v>70</v>
      </c>
      <c r="C2155">
        <v>2022</v>
      </c>
      <c r="D2155">
        <v>8</v>
      </c>
      <c r="E2155" t="s">
        <v>16</v>
      </c>
      <c r="F2155" t="s">
        <v>41</v>
      </c>
      <c r="G2155">
        <v>15</v>
      </c>
      <c r="H2155" t="s">
        <v>20</v>
      </c>
      <c r="I2155">
        <v>10.78</v>
      </c>
      <c r="J2155">
        <v>14.29</v>
      </c>
      <c r="K2155">
        <v>3.19</v>
      </c>
      <c r="L2155">
        <v>0.05</v>
      </c>
      <c r="M2155">
        <v>28.26</v>
      </c>
      <c r="N2155">
        <v>28.31</v>
      </c>
    </row>
    <row r="2156" spans="1:14" x14ac:dyDescent="0.3">
      <c r="A2156" s="2">
        <v>44774</v>
      </c>
      <c r="B2156" t="s">
        <v>70</v>
      </c>
      <c r="C2156">
        <v>2022</v>
      </c>
      <c r="D2156">
        <v>8</v>
      </c>
      <c r="E2156" t="s">
        <v>16</v>
      </c>
      <c r="F2156" t="s">
        <v>42</v>
      </c>
      <c r="G2156">
        <v>13</v>
      </c>
      <c r="H2156" t="s">
        <v>20</v>
      </c>
      <c r="I2156">
        <v>10.79</v>
      </c>
      <c r="J2156">
        <v>13.34</v>
      </c>
      <c r="K2156">
        <v>10.130000000000001</v>
      </c>
      <c r="L2156">
        <v>3.46</v>
      </c>
      <c r="M2156">
        <v>34.26</v>
      </c>
      <c r="N2156">
        <v>37.72</v>
      </c>
    </row>
    <row r="2157" spans="1:14" x14ac:dyDescent="0.3">
      <c r="A2157" s="2">
        <v>44774</v>
      </c>
      <c r="B2157" t="s">
        <v>70</v>
      </c>
      <c r="C2157">
        <v>2022</v>
      </c>
      <c r="D2157">
        <v>8</v>
      </c>
      <c r="E2157" t="s">
        <v>16</v>
      </c>
      <c r="F2157" t="s">
        <v>43</v>
      </c>
      <c r="G2157">
        <v>21</v>
      </c>
      <c r="H2157" t="s">
        <v>20</v>
      </c>
      <c r="I2157">
        <v>871.95</v>
      </c>
      <c r="J2157">
        <v>1019.81</v>
      </c>
      <c r="K2157">
        <v>1252.07</v>
      </c>
      <c r="L2157">
        <v>740.07</v>
      </c>
      <c r="M2157">
        <v>3143.83</v>
      </c>
      <c r="N2157">
        <v>3883.9</v>
      </c>
    </row>
    <row r="2158" spans="1:14" x14ac:dyDescent="0.3">
      <c r="A2158" s="2">
        <v>44774</v>
      </c>
      <c r="B2158" t="s">
        <v>70</v>
      </c>
      <c r="C2158">
        <v>2022</v>
      </c>
      <c r="D2158">
        <v>8</v>
      </c>
      <c r="E2158" t="s">
        <v>16</v>
      </c>
      <c r="F2158" t="s">
        <v>44</v>
      </c>
      <c r="G2158">
        <v>34</v>
      </c>
      <c r="H2158" t="s">
        <v>18</v>
      </c>
      <c r="I2158">
        <v>26.09</v>
      </c>
      <c r="J2158">
        <v>37.53</v>
      </c>
      <c r="K2158">
        <v>136.44999999999999</v>
      </c>
      <c r="L2158">
        <v>0.15</v>
      </c>
      <c r="M2158">
        <v>200.07</v>
      </c>
      <c r="N2158">
        <v>200.22</v>
      </c>
    </row>
    <row r="2159" spans="1:14" x14ac:dyDescent="0.3">
      <c r="A2159" s="2">
        <v>44774</v>
      </c>
      <c r="B2159" t="s">
        <v>70</v>
      </c>
      <c r="C2159">
        <v>2022</v>
      </c>
      <c r="D2159">
        <v>8</v>
      </c>
      <c r="E2159" t="s">
        <v>16</v>
      </c>
      <c r="F2159" t="s">
        <v>45</v>
      </c>
      <c r="G2159">
        <v>3</v>
      </c>
      <c r="H2159" t="s">
        <v>20</v>
      </c>
      <c r="I2159">
        <v>379.88</v>
      </c>
      <c r="J2159">
        <v>573.92999999999995</v>
      </c>
      <c r="K2159">
        <v>672.14</v>
      </c>
      <c r="L2159">
        <v>25.54</v>
      </c>
      <c r="M2159">
        <v>1625.95</v>
      </c>
      <c r="N2159">
        <v>1651.49</v>
      </c>
    </row>
    <row r="2160" spans="1:14" x14ac:dyDescent="0.3">
      <c r="A2160" s="2">
        <v>44774</v>
      </c>
      <c r="B2160" t="s">
        <v>70</v>
      </c>
      <c r="C2160">
        <v>2022</v>
      </c>
      <c r="D2160">
        <v>8</v>
      </c>
      <c r="E2160" t="s">
        <v>16</v>
      </c>
      <c r="F2160" t="s">
        <v>46</v>
      </c>
      <c r="G2160">
        <v>8</v>
      </c>
      <c r="H2160" t="s">
        <v>20</v>
      </c>
      <c r="I2160">
        <v>860.14</v>
      </c>
      <c r="J2160">
        <v>1123.27</v>
      </c>
      <c r="K2160">
        <v>1249.5899999999999</v>
      </c>
      <c r="L2160">
        <v>108.11</v>
      </c>
      <c r="M2160">
        <v>3233</v>
      </c>
      <c r="N2160">
        <v>3341.11</v>
      </c>
    </row>
    <row r="2161" spans="1:14" x14ac:dyDescent="0.3">
      <c r="A2161" s="2">
        <v>44774</v>
      </c>
      <c r="B2161" t="s">
        <v>70</v>
      </c>
      <c r="C2161">
        <v>2022</v>
      </c>
      <c r="D2161">
        <v>8</v>
      </c>
      <c r="E2161" t="s">
        <v>16</v>
      </c>
      <c r="F2161" t="s">
        <v>47</v>
      </c>
      <c r="G2161">
        <v>11</v>
      </c>
      <c r="H2161" t="s">
        <v>20</v>
      </c>
      <c r="I2161">
        <v>14.11</v>
      </c>
      <c r="J2161">
        <v>18.88</v>
      </c>
      <c r="K2161">
        <v>213.9</v>
      </c>
      <c r="L2161">
        <v>0.01</v>
      </c>
      <c r="M2161">
        <v>246.89</v>
      </c>
      <c r="N2161">
        <v>246.9</v>
      </c>
    </row>
    <row r="2162" spans="1:14" x14ac:dyDescent="0.3">
      <c r="A2162" s="2">
        <v>44774</v>
      </c>
      <c r="B2162" t="s">
        <v>70</v>
      </c>
      <c r="C2162">
        <v>2022</v>
      </c>
      <c r="D2162">
        <v>8</v>
      </c>
      <c r="E2162" t="s">
        <v>16</v>
      </c>
      <c r="F2162" t="s">
        <v>48</v>
      </c>
      <c r="G2162">
        <v>33</v>
      </c>
      <c r="H2162" t="s">
        <v>20</v>
      </c>
      <c r="I2162">
        <v>2240.0500000000002</v>
      </c>
      <c r="J2162">
        <v>2956.35</v>
      </c>
      <c r="K2162">
        <v>2411.6</v>
      </c>
      <c r="L2162">
        <v>778.3</v>
      </c>
      <c r="M2162">
        <v>7608</v>
      </c>
      <c r="N2162">
        <v>8386.2999999999993</v>
      </c>
    </row>
    <row r="2163" spans="1:14" x14ac:dyDescent="0.3">
      <c r="A2163" s="2">
        <v>44774</v>
      </c>
      <c r="B2163" t="s">
        <v>70</v>
      </c>
      <c r="C2163">
        <v>2022</v>
      </c>
      <c r="D2163">
        <v>8</v>
      </c>
      <c r="E2163" t="s">
        <v>16</v>
      </c>
      <c r="F2163" t="s">
        <v>49</v>
      </c>
      <c r="G2163">
        <v>36</v>
      </c>
      <c r="H2163" t="s">
        <v>20</v>
      </c>
      <c r="I2163">
        <v>894.78</v>
      </c>
      <c r="J2163">
        <v>1182.75</v>
      </c>
      <c r="K2163">
        <v>1269.5999999999999</v>
      </c>
      <c r="L2163">
        <v>523.89</v>
      </c>
      <c r="M2163">
        <v>3347.13</v>
      </c>
      <c r="N2163">
        <v>3871.02</v>
      </c>
    </row>
    <row r="2164" spans="1:14" x14ac:dyDescent="0.3">
      <c r="A2164" s="2">
        <v>44774</v>
      </c>
      <c r="B2164" t="s">
        <v>70</v>
      </c>
      <c r="C2164">
        <v>2022</v>
      </c>
      <c r="D2164">
        <v>8</v>
      </c>
      <c r="E2164" t="s">
        <v>16</v>
      </c>
      <c r="F2164" t="s">
        <v>50</v>
      </c>
      <c r="G2164">
        <v>16</v>
      </c>
      <c r="H2164" t="s">
        <v>20</v>
      </c>
      <c r="I2164">
        <v>20.58</v>
      </c>
      <c r="J2164">
        <v>26.59</v>
      </c>
      <c r="K2164">
        <v>8.43</v>
      </c>
      <c r="L2164">
        <v>0.22</v>
      </c>
      <c r="M2164">
        <v>55.6</v>
      </c>
      <c r="N2164">
        <v>55.82</v>
      </c>
    </row>
    <row r="2165" spans="1:14" x14ac:dyDescent="0.3">
      <c r="A2165" s="2">
        <v>44774</v>
      </c>
      <c r="B2165" t="s">
        <v>70</v>
      </c>
      <c r="C2165">
        <v>2022</v>
      </c>
      <c r="D2165">
        <v>8</v>
      </c>
      <c r="E2165" t="s">
        <v>16</v>
      </c>
      <c r="F2165" t="s">
        <v>51</v>
      </c>
      <c r="G2165">
        <v>9</v>
      </c>
      <c r="H2165" t="s">
        <v>20</v>
      </c>
      <c r="I2165">
        <v>1587.81</v>
      </c>
      <c r="J2165">
        <v>2136.96</v>
      </c>
      <c r="K2165">
        <v>2008.59</v>
      </c>
      <c r="L2165">
        <v>1048.01</v>
      </c>
      <c r="M2165">
        <v>5733.36</v>
      </c>
      <c r="N2165">
        <v>6781.37</v>
      </c>
    </row>
    <row r="2166" spans="1:14" x14ac:dyDescent="0.3">
      <c r="A2166" s="2">
        <v>44774</v>
      </c>
      <c r="B2166" t="s">
        <v>70</v>
      </c>
      <c r="C2166">
        <v>2022</v>
      </c>
      <c r="D2166">
        <v>8</v>
      </c>
      <c r="E2166" t="s">
        <v>16</v>
      </c>
      <c r="F2166" t="s">
        <v>52</v>
      </c>
      <c r="G2166">
        <v>5</v>
      </c>
      <c r="H2166" t="s">
        <v>20</v>
      </c>
      <c r="I2166">
        <v>223.87</v>
      </c>
      <c r="J2166">
        <v>335.35</v>
      </c>
      <c r="K2166">
        <v>527.01</v>
      </c>
      <c r="L2166">
        <v>7.98</v>
      </c>
      <c r="M2166">
        <v>1086.23</v>
      </c>
      <c r="N2166">
        <v>1094.21</v>
      </c>
    </row>
    <row r="2167" spans="1:14" x14ac:dyDescent="0.3">
      <c r="A2167" s="2">
        <v>44774</v>
      </c>
      <c r="B2167" t="s">
        <v>70</v>
      </c>
      <c r="C2167">
        <v>2022</v>
      </c>
      <c r="D2167">
        <v>8</v>
      </c>
      <c r="E2167" t="s">
        <v>16</v>
      </c>
      <c r="F2167" t="s">
        <v>53</v>
      </c>
      <c r="G2167">
        <v>19</v>
      </c>
      <c r="H2167" t="s">
        <v>20</v>
      </c>
      <c r="I2167">
        <v>1500.93</v>
      </c>
      <c r="J2167">
        <v>1739.51</v>
      </c>
      <c r="K2167">
        <v>1089.3499999999999</v>
      </c>
      <c r="L2167">
        <v>269.75</v>
      </c>
      <c r="M2167">
        <v>4329.79</v>
      </c>
      <c r="N2167">
        <v>4599.54</v>
      </c>
    </row>
    <row r="2168" spans="1:14" x14ac:dyDescent="0.3">
      <c r="A2168" s="2">
        <v>44805</v>
      </c>
      <c r="B2168" t="s">
        <v>70</v>
      </c>
      <c r="C2168">
        <v>2022</v>
      </c>
      <c r="D2168">
        <v>9</v>
      </c>
      <c r="E2168" t="s">
        <v>54</v>
      </c>
      <c r="F2168" t="s">
        <v>17</v>
      </c>
      <c r="G2168">
        <v>35</v>
      </c>
      <c r="H2168" t="s">
        <v>18</v>
      </c>
      <c r="I2168">
        <v>13.32</v>
      </c>
      <c r="J2168">
        <v>15.81</v>
      </c>
      <c r="K2168">
        <v>3.67</v>
      </c>
      <c r="L2168">
        <v>0.31</v>
      </c>
      <c r="M2168">
        <v>32.799999999999997</v>
      </c>
      <c r="N2168">
        <v>33.11</v>
      </c>
    </row>
    <row r="2169" spans="1:14" x14ac:dyDescent="0.3">
      <c r="A2169" s="2">
        <v>44805</v>
      </c>
      <c r="B2169" t="s">
        <v>70</v>
      </c>
      <c r="C2169">
        <v>2022</v>
      </c>
      <c r="D2169">
        <v>9</v>
      </c>
      <c r="E2169" t="s">
        <v>54</v>
      </c>
      <c r="F2169" t="s">
        <v>19</v>
      </c>
      <c r="G2169">
        <v>28</v>
      </c>
      <c r="H2169" t="s">
        <v>20</v>
      </c>
      <c r="I2169">
        <v>758.91</v>
      </c>
      <c r="J2169">
        <v>987.76</v>
      </c>
      <c r="K2169">
        <v>1106.97</v>
      </c>
      <c r="L2169">
        <v>277.88</v>
      </c>
      <c r="M2169">
        <v>2853.64</v>
      </c>
      <c r="N2169">
        <v>3131.52</v>
      </c>
    </row>
    <row r="2170" spans="1:14" x14ac:dyDescent="0.3">
      <c r="A2170" s="2">
        <v>44805</v>
      </c>
      <c r="B2170" t="s">
        <v>70</v>
      </c>
      <c r="C2170">
        <v>2022</v>
      </c>
      <c r="D2170">
        <v>9</v>
      </c>
      <c r="E2170" t="s">
        <v>54</v>
      </c>
      <c r="F2170" t="s">
        <v>21</v>
      </c>
      <c r="G2170">
        <v>12</v>
      </c>
      <c r="H2170" t="s">
        <v>20</v>
      </c>
      <c r="I2170">
        <v>21.55</v>
      </c>
      <c r="J2170">
        <v>32.549999999999997</v>
      </c>
      <c r="K2170">
        <v>9.6300000000000008</v>
      </c>
      <c r="L2170">
        <v>0.18</v>
      </c>
      <c r="M2170">
        <v>63.73</v>
      </c>
      <c r="N2170">
        <v>63.91</v>
      </c>
    </row>
    <row r="2171" spans="1:14" x14ac:dyDescent="0.3">
      <c r="A2171" s="2">
        <v>44805</v>
      </c>
      <c r="B2171" t="s">
        <v>70</v>
      </c>
      <c r="C2171">
        <v>2022</v>
      </c>
      <c r="D2171">
        <v>9</v>
      </c>
      <c r="E2171" t="s">
        <v>54</v>
      </c>
      <c r="F2171" t="s">
        <v>22</v>
      </c>
      <c r="G2171">
        <v>18</v>
      </c>
      <c r="H2171" t="s">
        <v>20</v>
      </c>
      <c r="I2171">
        <v>334.97</v>
      </c>
      <c r="J2171">
        <v>424.41</v>
      </c>
      <c r="K2171">
        <v>362.08</v>
      </c>
      <c r="L2171">
        <v>35.369999999999997</v>
      </c>
      <c r="M2171">
        <v>1121.46</v>
      </c>
      <c r="N2171">
        <v>1156.83</v>
      </c>
    </row>
    <row r="2172" spans="1:14" x14ac:dyDescent="0.3">
      <c r="A2172" s="2">
        <v>44805</v>
      </c>
      <c r="B2172" t="s">
        <v>70</v>
      </c>
      <c r="C2172">
        <v>2022</v>
      </c>
      <c r="D2172">
        <v>9</v>
      </c>
      <c r="E2172" t="s">
        <v>54</v>
      </c>
      <c r="F2172" t="s">
        <v>23</v>
      </c>
      <c r="G2172">
        <v>10</v>
      </c>
      <c r="H2172" t="s">
        <v>20</v>
      </c>
      <c r="I2172">
        <v>341.37</v>
      </c>
      <c r="J2172">
        <v>554.04999999999995</v>
      </c>
      <c r="K2172">
        <v>382.82</v>
      </c>
      <c r="L2172">
        <v>187.69</v>
      </c>
      <c r="M2172">
        <v>1278.24</v>
      </c>
      <c r="N2172">
        <v>1465.93</v>
      </c>
    </row>
    <row r="2173" spans="1:14" x14ac:dyDescent="0.3">
      <c r="A2173" s="2">
        <v>44805</v>
      </c>
      <c r="B2173" t="s">
        <v>70</v>
      </c>
      <c r="C2173">
        <v>2022</v>
      </c>
      <c r="D2173">
        <v>9</v>
      </c>
      <c r="E2173" t="s">
        <v>54</v>
      </c>
      <c r="F2173" t="s">
        <v>24</v>
      </c>
      <c r="G2173">
        <v>4</v>
      </c>
      <c r="H2173" t="s">
        <v>18</v>
      </c>
      <c r="I2173">
        <v>42.38</v>
      </c>
      <c r="J2173">
        <v>56.07</v>
      </c>
      <c r="K2173">
        <v>106.61</v>
      </c>
      <c r="L2173">
        <v>1.01</v>
      </c>
      <c r="M2173">
        <v>205.06</v>
      </c>
      <c r="N2173">
        <v>206.07</v>
      </c>
    </row>
    <row r="2174" spans="1:14" x14ac:dyDescent="0.3">
      <c r="A2174" s="2">
        <v>44805</v>
      </c>
      <c r="B2174" t="s">
        <v>70</v>
      </c>
      <c r="C2174">
        <v>2022</v>
      </c>
      <c r="D2174">
        <v>9</v>
      </c>
      <c r="E2174" t="s">
        <v>54</v>
      </c>
      <c r="F2174" t="s">
        <v>25</v>
      </c>
      <c r="G2174">
        <v>22</v>
      </c>
      <c r="H2174" t="s">
        <v>20</v>
      </c>
      <c r="I2174">
        <v>434.54</v>
      </c>
      <c r="J2174">
        <v>504.73</v>
      </c>
      <c r="K2174">
        <v>841.15</v>
      </c>
      <c r="L2174">
        <v>488.71</v>
      </c>
      <c r="M2174">
        <v>1780.42</v>
      </c>
      <c r="N2174">
        <v>2269.13</v>
      </c>
    </row>
    <row r="2175" spans="1:14" x14ac:dyDescent="0.3">
      <c r="A2175" s="2">
        <v>44805</v>
      </c>
      <c r="B2175" t="s">
        <v>70</v>
      </c>
      <c r="C2175">
        <v>2022</v>
      </c>
      <c r="D2175">
        <v>9</v>
      </c>
      <c r="E2175" t="s">
        <v>54</v>
      </c>
      <c r="F2175" t="s">
        <v>26</v>
      </c>
      <c r="G2175">
        <v>38</v>
      </c>
      <c r="H2175" t="s">
        <v>18</v>
      </c>
      <c r="I2175">
        <v>38.68</v>
      </c>
      <c r="J2175">
        <v>47.51</v>
      </c>
      <c r="K2175">
        <v>225.28</v>
      </c>
      <c r="L2175">
        <v>0.48</v>
      </c>
      <c r="M2175">
        <v>311.47000000000003</v>
      </c>
      <c r="N2175">
        <v>311.95</v>
      </c>
    </row>
    <row r="2176" spans="1:14" x14ac:dyDescent="0.3">
      <c r="A2176" s="2">
        <v>44805</v>
      </c>
      <c r="B2176" t="s">
        <v>70</v>
      </c>
      <c r="C2176">
        <v>2022</v>
      </c>
      <c r="D2176">
        <v>9</v>
      </c>
      <c r="E2176" t="s">
        <v>54</v>
      </c>
      <c r="F2176" t="s">
        <v>27</v>
      </c>
      <c r="G2176">
        <v>7</v>
      </c>
      <c r="H2176" t="s">
        <v>18</v>
      </c>
      <c r="I2176">
        <v>1031.6400000000001</v>
      </c>
      <c r="J2176">
        <v>1187.2</v>
      </c>
      <c r="K2176">
        <v>2447.73</v>
      </c>
      <c r="L2176">
        <v>74.8</v>
      </c>
      <c r="M2176">
        <v>4666.57</v>
      </c>
      <c r="N2176">
        <v>4741.37</v>
      </c>
    </row>
    <row r="2177" spans="1:14" x14ac:dyDescent="0.3">
      <c r="A2177" s="2">
        <v>44805</v>
      </c>
      <c r="B2177" t="s">
        <v>70</v>
      </c>
      <c r="C2177">
        <v>2022</v>
      </c>
      <c r="D2177">
        <v>9</v>
      </c>
      <c r="E2177" t="s">
        <v>54</v>
      </c>
      <c r="F2177" t="s">
        <v>28</v>
      </c>
      <c r="G2177">
        <v>30</v>
      </c>
      <c r="H2177" t="s">
        <v>20</v>
      </c>
      <c r="I2177">
        <v>119.79</v>
      </c>
      <c r="J2177">
        <v>158.79</v>
      </c>
      <c r="K2177">
        <v>148.51</v>
      </c>
      <c r="L2177">
        <v>2.39</v>
      </c>
      <c r="M2177">
        <v>427.09</v>
      </c>
      <c r="N2177">
        <v>429.48</v>
      </c>
    </row>
    <row r="2178" spans="1:14" x14ac:dyDescent="0.3">
      <c r="A2178" s="2">
        <v>44805</v>
      </c>
      <c r="B2178" t="s">
        <v>70</v>
      </c>
      <c r="C2178">
        <v>2022</v>
      </c>
      <c r="D2178">
        <v>9</v>
      </c>
      <c r="E2178" t="s">
        <v>54</v>
      </c>
      <c r="F2178" t="s">
        <v>29</v>
      </c>
      <c r="G2178">
        <v>24</v>
      </c>
      <c r="H2178" t="s">
        <v>20</v>
      </c>
      <c r="I2178">
        <v>2329.4</v>
      </c>
      <c r="J2178">
        <v>2808.04</v>
      </c>
      <c r="K2178">
        <v>3356.73</v>
      </c>
      <c r="L2178">
        <v>525.89</v>
      </c>
      <c r="M2178">
        <v>8494.17</v>
      </c>
      <c r="N2178">
        <v>9020.06</v>
      </c>
    </row>
    <row r="2179" spans="1:14" x14ac:dyDescent="0.3">
      <c r="A2179" s="2">
        <v>44805</v>
      </c>
      <c r="B2179" t="s">
        <v>70</v>
      </c>
      <c r="C2179">
        <v>2022</v>
      </c>
      <c r="D2179">
        <v>9</v>
      </c>
      <c r="E2179" t="s">
        <v>54</v>
      </c>
      <c r="F2179" t="s">
        <v>30</v>
      </c>
      <c r="G2179">
        <v>6</v>
      </c>
      <c r="H2179" t="s">
        <v>20</v>
      </c>
      <c r="I2179">
        <v>1065.74</v>
      </c>
      <c r="J2179">
        <v>1383.34</v>
      </c>
      <c r="K2179">
        <v>4444.38</v>
      </c>
      <c r="L2179">
        <v>509.53</v>
      </c>
      <c r="M2179">
        <v>6893.46</v>
      </c>
      <c r="N2179">
        <v>7402.99</v>
      </c>
    </row>
    <row r="2180" spans="1:14" x14ac:dyDescent="0.3">
      <c r="A2180" s="2">
        <v>44805</v>
      </c>
      <c r="B2180" t="s">
        <v>70</v>
      </c>
      <c r="C2180">
        <v>2022</v>
      </c>
      <c r="D2180">
        <v>9</v>
      </c>
      <c r="E2180" t="s">
        <v>54</v>
      </c>
      <c r="F2180" t="s">
        <v>31</v>
      </c>
      <c r="G2180">
        <v>2</v>
      </c>
      <c r="H2180" t="s">
        <v>20</v>
      </c>
      <c r="I2180">
        <v>127.55</v>
      </c>
      <c r="J2180">
        <v>183.09</v>
      </c>
      <c r="K2180">
        <v>400.85</v>
      </c>
      <c r="L2180">
        <v>0.99</v>
      </c>
      <c r="M2180">
        <v>711.49</v>
      </c>
      <c r="N2180">
        <v>712.48</v>
      </c>
    </row>
    <row r="2181" spans="1:14" x14ac:dyDescent="0.3">
      <c r="A2181" s="2">
        <v>44805</v>
      </c>
      <c r="B2181" t="s">
        <v>70</v>
      </c>
      <c r="C2181">
        <v>2022</v>
      </c>
      <c r="D2181">
        <v>9</v>
      </c>
      <c r="E2181" t="s">
        <v>54</v>
      </c>
      <c r="F2181" t="s">
        <v>32</v>
      </c>
      <c r="G2181">
        <v>1</v>
      </c>
      <c r="H2181" t="s">
        <v>18</v>
      </c>
      <c r="I2181">
        <v>106.75</v>
      </c>
      <c r="J2181">
        <v>172.95</v>
      </c>
      <c r="K2181">
        <v>141.94999999999999</v>
      </c>
      <c r="L2181">
        <v>6.12</v>
      </c>
      <c r="M2181">
        <v>421.65</v>
      </c>
      <c r="N2181">
        <v>427.77</v>
      </c>
    </row>
    <row r="2182" spans="1:14" x14ac:dyDescent="0.3">
      <c r="A2182" s="2">
        <v>44805</v>
      </c>
      <c r="B2182" t="s">
        <v>70</v>
      </c>
      <c r="C2182">
        <v>2022</v>
      </c>
      <c r="D2182">
        <v>9</v>
      </c>
      <c r="E2182" t="s">
        <v>54</v>
      </c>
      <c r="F2182" t="s">
        <v>33</v>
      </c>
      <c r="G2182">
        <v>20</v>
      </c>
      <c r="H2182" t="s">
        <v>20</v>
      </c>
      <c r="I2182">
        <v>442.79</v>
      </c>
      <c r="J2182">
        <v>580.78</v>
      </c>
      <c r="K2182">
        <v>1035.93</v>
      </c>
      <c r="L2182">
        <v>403.2</v>
      </c>
      <c r="M2182">
        <v>2059.5</v>
      </c>
      <c r="N2182">
        <v>2462.6999999999998</v>
      </c>
    </row>
    <row r="2183" spans="1:14" x14ac:dyDescent="0.3">
      <c r="A2183" s="2">
        <v>44805</v>
      </c>
      <c r="B2183" t="s">
        <v>70</v>
      </c>
      <c r="C2183">
        <v>2022</v>
      </c>
      <c r="D2183">
        <v>9</v>
      </c>
      <c r="E2183" t="s">
        <v>54</v>
      </c>
      <c r="F2183" t="s">
        <v>34</v>
      </c>
      <c r="G2183">
        <v>29</v>
      </c>
      <c r="H2183" t="s">
        <v>20</v>
      </c>
      <c r="I2183">
        <v>2230.65</v>
      </c>
      <c r="J2183">
        <v>2778.74</v>
      </c>
      <c r="K2183">
        <v>3706.5</v>
      </c>
      <c r="L2183">
        <v>1044.58</v>
      </c>
      <c r="M2183">
        <v>8715.89</v>
      </c>
      <c r="N2183">
        <v>9760.4699999999993</v>
      </c>
    </row>
    <row r="2184" spans="1:14" x14ac:dyDescent="0.3">
      <c r="A2184" s="2">
        <v>44805</v>
      </c>
      <c r="B2184" t="s">
        <v>70</v>
      </c>
      <c r="C2184">
        <v>2022</v>
      </c>
      <c r="D2184">
        <v>9</v>
      </c>
      <c r="E2184" t="s">
        <v>54</v>
      </c>
      <c r="F2184" t="s">
        <v>35</v>
      </c>
      <c r="G2184">
        <v>32</v>
      </c>
      <c r="H2184" t="s">
        <v>20</v>
      </c>
      <c r="I2184">
        <v>767.25</v>
      </c>
      <c r="J2184">
        <v>1015.12</v>
      </c>
      <c r="K2184">
        <v>460.25</v>
      </c>
      <c r="L2184">
        <v>3.35</v>
      </c>
      <c r="M2184">
        <v>2242.62</v>
      </c>
      <c r="N2184">
        <v>2245.9699999999998</v>
      </c>
    </row>
    <row r="2185" spans="1:14" x14ac:dyDescent="0.3">
      <c r="A2185" s="2">
        <v>44805</v>
      </c>
      <c r="B2185" t="s">
        <v>70</v>
      </c>
      <c r="C2185">
        <v>2022</v>
      </c>
      <c r="D2185">
        <v>9</v>
      </c>
      <c r="E2185" t="s">
        <v>54</v>
      </c>
      <c r="F2185" t="s">
        <v>67</v>
      </c>
      <c r="G2185">
        <v>37</v>
      </c>
      <c r="H2185" t="s">
        <v>18</v>
      </c>
      <c r="I2185">
        <v>6.76</v>
      </c>
      <c r="J2185">
        <v>8.76</v>
      </c>
      <c r="K2185">
        <v>3.79</v>
      </c>
      <c r="L2185">
        <v>0</v>
      </c>
      <c r="M2185">
        <v>19.309999999999999</v>
      </c>
      <c r="N2185">
        <v>19.309999999999999</v>
      </c>
    </row>
    <row r="2186" spans="1:14" x14ac:dyDescent="0.3">
      <c r="A2186" s="2">
        <v>44805</v>
      </c>
      <c r="B2186" t="s">
        <v>70</v>
      </c>
      <c r="C2186">
        <v>2022</v>
      </c>
      <c r="D2186">
        <v>9</v>
      </c>
      <c r="E2186" t="s">
        <v>54</v>
      </c>
      <c r="F2186" t="s">
        <v>36</v>
      </c>
      <c r="G2186">
        <v>31</v>
      </c>
      <c r="H2186" t="s">
        <v>18</v>
      </c>
      <c r="I2186">
        <v>1.4</v>
      </c>
      <c r="J2186">
        <v>1.41</v>
      </c>
      <c r="K2186">
        <v>0.11</v>
      </c>
      <c r="L2186">
        <v>0</v>
      </c>
      <c r="M2186">
        <v>2.92</v>
      </c>
      <c r="N2186">
        <v>2.92</v>
      </c>
    </row>
    <row r="2187" spans="1:14" x14ac:dyDescent="0.3">
      <c r="A2187" s="2">
        <v>44805</v>
      </c>
      <c r="B2187" t="s">
        <v>70</v>
      </c>
      <c r="C2187">
        <v>2022</v>
      </c>
      <c r="D2187">
        <v>9</v>
      </c>
      <c r="E2187" t="s">
        <v>54</v>
      </c>
      <c r="F2187" t="s">
        <v>37</v>
      </c>
      <c r="G2187">
        <v>23</v>
      </c>
      <c r="H2187" t="s">
        <v>20</v>
      </c>
      <c r="I2187">
        <v>599.53</v>
      </c>
      <c r="J2187">
        <v>769.13</v>
      </c>
      <c r="K2187">
        <v>753.42</v>
      </c>
      <c r="L2187">
        <v>589.1</v>
      </c>
      <c r="M2187">
        <v>2122.08</v>
      </c>
      <c r="N2187">
        <v>2711.18</v>
      </c>
    </row>
    <row r="2188" spans="1:14" x14ac:dyDescent="0.3">
      <c r="A2188" s="2">
        <v>44805</v>
      </c>
      <c r="B2188" t="s">
        <v>70</v>
      </c>
      <c r="C2188">
        <v>2022</v>
      </c>
      <c r="D2188">
        <v>9</v>
      </c>
      <c r="E2188" t="s">
        <v>54</v>
      </c>
      <c r="F2188" t="s">
        <v>38</v>
      </c>
      <c r="G2188">
        <v>27</v>
      </c>
      <c r="H2188" t="s">
        <v>20</v>
      </c>
      <c r="I2188">
        <v>5794.85</v>
      </c>
      <c r="J2188">
        <v>6803.36</v>
      </c>
      <c r="K2188">
        <v>7247.78</v>
      </c>
      <c r="L2188">
        <v>1556.84</v>
      </c>
      <c r="M2188">
        <v>19845.990000000002</v>
      </c>
      <c r="N2188">
        <v>21402.83</v>
      </c>
    </row>
    <row r="2189" spans="1:14" x14ac:dyDescent="0.3">
      <c r="A2189" s="2">
        <v>44805</v>
      </c>
      <c r="B2189" t="s">
        <v>70</v>
      </c>
      <c r="C2189">
        <v>2022</v>
      </c>
      <c r="D2189">
        <v>9</v>
      </c>
      <c r="E2189" t="s">
        <v>54</v>
      </c>
      <c r="F2189" t="s">
        <v>39</v>
      </c>
      <c r="G2189">
        <v>14</v>
      </c>
      <c r="H2189" t="s">
        <v>20</v>
      </c>
      <c r="I2189">
        <v>14.24</v>
      </c>
      <c r="J2189">
        <v>18.940000000000001</v>
      </c>
      <c r="K2189">
        <v>5.26</v>
      </c>
      <c r="L2189">
        <v>0.03</v>
      </c>
      <c r="M2189">
        <v>38.44</v>
      </c>
      <c r="N2189">
        <v>38.47</v>
      </c>
    </row>
    <row r="2190" spans="1:14" x14ac:dyDescent="0.3">
      <c r="A2190" s="2">
        <v>44805</v>
      </c>
      <c r="B2190" t="s">
        <v>70</v>
      </c>
      <c r="C2190">
        <v>2022</v>
      </c>
      <c r="D2190">
        <v>9</v>
      </c>
      <c r="E2190" t="s">
        <v>54</v>
      </c>
      <c r="F2190" t="s">
        <v>40</v>
      </c>
      <c r="G2190">
        <v>17</v>
      </c>
      <c r="H2190" t="s">
        <v>20</v>
      </c>
      <c r="I2190">
        <v>30.61</v>
      </c>
      <c r="J2190">
        <v>36.130000000000003</v>
      </c>
      <c r="K2190">
        <v>93.49</v>
      </c>
      <c r="L2190">
        <v>0.85</v>
      </c>
      <c r="M2190">
        <v>160.22999999999999</v>
      </c>
      <c r="N2190">
        <v>161.08000000000001</v>
      </c>
    </row>
    <row r="2191" spans="1:14" x14ac:dyDescent="0.3">
      <c r="A2191" s="2">
        <v>44805</v>
      </c>
      <c r="B2191" t="s">
        <v>70</v>
      </c>
      <c r="C2191">
        <v>2022</v>
      </c>
      <c r="D2191">
        <v>9</v>
      </c>
      <c r="E2191" t="s">
        <v>54</v>
      </c>
      <c r="F2191" t="s">
        <v>41</v>
      </c>
      <c r="G2191">
        <v>15</v>
      </c>
      <c r="H2191" t="s">
        <v>20</v>
      </c>
      <c r="I2191">
        <v>9.1300000000000008</v>
      </c>
      <c r="J2191">
        <v>12</v>
      </c>
      <c r="K2191">
        <v>2.76</v>
      </c>
      <c r="L2191">
        <v>0.04</v>
      </c>
      <c r="M2191">
        <v>23.89</v>
      </c>
      <c r="N2191">
        <v>23.93</v>
      </c>
    </row>
    <row r="2192" spans="1:14" x14ac:dyDescent="0.3">
      <c r="A2192" s="2">
        <v>44805</v>
      </c>
      <c r="B2192" t="s">
        <v>70</v>
      </c>
      <c r="C2192">
        <v>2022</v>
      </c>
      <c r="D2192">
        <v>9</v>
      </c>
      <c r="E2192" t="s">
        <v>54</v>
      </c>
      <c r="F2192" t="s">
        <v>42</v>
      </c>
      <c r="G2192">
        <v>13</v>
      </c>
      <c r="H2192" t="s">
        <v>20</v>
      </c>
      <c r="I2192">
        <v>17.3</v>
      </c>
      <c r="J2192">
        <v>21.17</v>
      </c>
      <c r="K2192">
        <v>7.96</v>
      </c>
      <c r="L2192">
        <v>2.68</v>
      </c>
      <c r="M2192">
        <v>46.43</v>
      </c>
      <c r="N2192">
        <v>49.11</v>
      </c>
    </row>
    <row r="2193" spans="1:14" x14ac:dyDescent="0.3">
      <c r="A2193" s="2">
        <v>44805</v>
      </c>
      <c r="B2193" t="s">
        <v>70</v>
      </c>
      <c r="C2193">
        <v>2022</v>
      </c>
      <c r="D2193">
        <v>9</v>
      </c>
      <c r="E2193" t="s">
        <v>54</v>
      </c>
      <c r="F2193" t="s">
        <v>43</v>
      </c>
      <c r="G2193">
        <v>21</v>
      </c>
      <c r="H2193" t="s">
        <v>20</v>
      </c>
      <c r="I2193">
        <v>770.86</v>
      </c>
      <c r="J2193">
        <v>938.18</v>
      </c>
      <c r="K2193">
        <v>1337.61</v>
      </c>
      <c r="L2193">
        <v>718.52</v>
      </c>
      <c r="M2193">
        <v>3046.65</v>
      </c>
      <c r="N2193">
        <v>3765.17</v>
      </c>
    </row>
    <row r="2194" spans="1:14" x14ac:dyDescent="0.3">
      <c r="A2194" s="2">
        <v>44805</v>
      </c>
      <c r="B2194" t="s">
        <v>70</v>
      </c>
      <c r="C2194">
        <v>2022</v>
      </c>
      <c r="D2194">
        <v>9</v>
      </c>
      <c r="E2194" t="s">
        <v>54</v>
      </c>
      <c r="F2194" t="s">
        <v>44</v>
      </c>
      <c r="G2194">
        <v>34</v>
      </c>
      <c r="H2194" t="s">
        <v>18</v>
      </c>
      <c r="I2194">
        <v>25.7</v>
      </c>
      <c r="J2194">
        <v>39.69</v>
      </c>
      <c r="K2194">
        <v>122.22</v>
      </c>
      <c r="L2194">
        <v>0.82</v>
      </c>
      <c r="M2194">
        <v>187.61</v>
      </c>
      <c r="N2194">
        <v>188.43</v>
      </c>
    </row>
    <row r="2195" spans="1:14" x14ac:dyDescent="0.3">
      <c r="A2195" s="2">
        <v>44805</v>
      </c>
      <c r="B2195" t="s">
        <v>70</v>
      </c>
      <c r="C2195">
        <v>2022</v>
      </c>
      <c r="D2195">
        <v>9</v>
      </c>
      <c r="E2195" t="s">
        <v>54</v>
      </c>
      <c r="F2195" t="s">
        <v>45</v>
      </c>
      <c r="G2195">
        <v>3</v>
      </c>
      <c r="H2195" t="s">
        <v>20</v>
      </c>
      <c r="I2195">
        <v>392.67</v>
      </c>
      <c r="J2195">
        <v>597.88</v>
      </c>
      <c r="K2195">
        <v>691.23</v>
      </c>
      <c r="L2195">
        <v>28.31</v>
      </c>
      <c r="M2195">
        <v>1681.78</v>
      </c>
      <c r="N2195">
        <v>1710.09</v>
      </c>
    </row>
    <row r="2196" spans="1:14" x14ac:dyDescent="0.3">
      <c r="A2196" s="2">
        <v>44805</v>
      </c>
      <c r="B2196" t="s">
        <v>70</v>
      </c>
      <c r="C2196">
        <v>2022</v>
      </c>
      <c r="D2196">
        <v>9</v>
      </c>
      <c r="E2196" t="s">
        <v>54</v>
      </c>
      <c r="F2196" t="s">
        <v>46</v>
      </c>
      <c r="G2196">
        <v>8</v>
      </c>
      <c r="H2196" t="s">
        <v>20</v>
      </c>
      <c r="I2196">
        <v>861.06</v>
      </c>
      <c r="J2196">
        <v>1141.3599999999999</v>
      </c>
      <c r="K2196">
        <v>1189.6600000000001</v>
      </c>
      <c r="L2196">
        <v>114.44</v>
      </c>
      <c r="M2196">
        <v>3192.08</v>
      </c>
      <c r="N2196">
        <v>3306.52</v>
      </c>
    </row>
    <row r="2197" spans="1:14" x14ac:dyDescent="0.3">
      <c r="A2197" s="2">
        <v>44805</v>
      </c>
      <c r="B2197" t="s">
        <v>70</v>
      </c>
      <c r="C2197">
        <v>2022</v>
      </c>
      <c r="D2197">
        <v>9</v>
      </c>
      <c r="E2197" t="s">
        <v>54</v>
      </c>
      <c r="F2197" t="s">
        <v>47</v>
      </c>
      <c r="G2197">
        <v>11</v>
      </c>
      <c r="H2197" t="s">
        <v>20</v>
      </c>
      <c r="I2197">
        <v>14.68</v>
      </c>
      <c r="J2197">
        <v>20.5</v>
      </c>
      <c r="K2197">
        <v>249.51</v>
      </c>
      <c r="L2197">
        <v>0.05</v>
      </c>
      <c r="M2197">
        <v>284.69</v>
      </c>
      <c r="N2197">
        <v>284.74</v>
      </c>
    </row>
    <row r="2198" spans="1:14" x14ac:dyDescent="0.3">
      <c r="A2198" s="2">
        <v>44805</v>
      </c>
      <c r="B2198" t="s">
        <v>70</v>
      </c>
      <c r="C2198">
        <v>2022</v>
      </c>
      <c r="D2198">
        <v>9</v>
      </c>
      <c r="E2198" t="s">
        <v>54</v>
      </c>
      <c r="F2198" t="s">
        <v>48</v>
      </c>
      <c r="G2198">
        <v>33</v>
      </c>
      <c r="H2198" t="s">
        <v>20</v>
      </c>
      <c r="I2198">
        <v>2251.2199999999998</v>
      </c>
      <c r="J2198">
        <v>2965.31</v>
      </c>
      <c r="K2198">
        <v>2782.02</v>
      </c>
      <c r="L2198">
        <v>638.16</v>
      </c>
      <c r="M2198">
        <v>7998.55</v>
      </c>
      <c r="N2198">
        <v>8636.7099999999991</v>
      </c>
    </row>
    <row r="2199" spans="1:14" x14ac:dyDescent="0.3">
      <c r="A2199" s="2">
        <v>44805</v>
      </c>
      <c r="B2199" t="s">
        <v>70</v>
      </c>
      <c r="C2199">
        <v>2022</v>
      </c>
      <c r="D2199">
        <v>9</v>
      </c>
      <c r="E2199" t="s">
        <v>54</v>
      </c>
      <c r="F2199" t="s">
        <v>49</v>
      </c>
      <c r="G2199">
        <v>36</v>
      </c>
      <c r="H2199" t="s">
        <v>20</v>
      </c>
      <c r="I2199">
        <v>975.62</v>
      </c>
      <c r="J2199">
        <v>1289.17</v>
      </c>
      <c r="K2199">
        <v>1139.9000000000001</v>
      </c>
      <c r="L2199">
        <v>510.06</v>
      </c>
      <c r="M2199">
        <v>3404.69</v>
      </c>
      <c r="N2199">
        <v>3914.75</v>
      </c>
    </row>
    <row r="2200" spans="1:14" x14ac:dyDescent="0.3">
      <c r="A2200" s="2">
        <v>44805</v>
      </c>
      <c r="B2200" t="s">
        <v>70</v>
      </c>
      <c r="C2200">
        <v>2022</v>
      </c>
      <c r="D2200">
        <v>9</v>
      </c>
      <c r="E2200" t="s">
        <v>54</v>
      </c>
      <c r="F2200" t="s">
        <v>50</v>
      </c>
      <c r="G2200">
        <v>16</v>
      </c>
      <c r="H2200" t="s">
        <v>20</v>
      </c>
      <c r="I2200">
        <v>24.12</v>
      </c>
      <c r="J2200">
        <v>31.5</v>
      </c>
      <c r="K2200">
        <v>8.93</v>
      </c>
      <c r="L2200">
        <v>0.22</v>
      </c>
      <c r="M2200">
        <v>64.55</v>
      </c>
      <c r="N2200">
        <v>64.77</v>
      </c>
    </row>
    <row r="2201" spans="1:14" x14ac:dyDescent="0.3">
      <c r="A2201" s="2">
        <v>44805</v>
      </c>
      <c r="B2201" t="s">
        <v>70</v>
      </c>
      <c r="C2201">
        <v>2022</v>
      </c>
      <c r="D2201">
        <v>9</v>
      </c>
      <c r="E2201" t="s">
        <v>54</v>
      </c>
      <c r="F2201" t="s">
        <v>51</v>
      </c>
      <c r="G2201">
        <v>9</v>
      </c>
      <c r="H2201" t="s">
        <v>20</v>
      </c>
      <c r="I2201">
        <v>1539.94</v>
      </c>
      <c r="J2201">
        <v>2073.87</v>
      </c>
      <c r="K2201">
        <v>2222.7399999999998</v>
      </c>
      <c r="L2201">
        <v>1167.77</v>
      </c>
      <c r="M2201">
        <v>5836.55</v>
      </c>
      <c r="N2201">
        <v>7004.32</v>
      </c>
    </row>
    <row r="2202" spans="1:14" x14ac:dyDescent="0.3">
      <c r="A2202" s="2">
        <v>44805</v>
      </c>
      <c r="B2202" t="s">
        <v>70</v>
      </c>
      <c r="C2202">
        <v>2022</v>
      </c>
      <c r="D2202">
        <v>9</v>
      </c>
      <c r="E2202" t="s">
        <v>54</v>
      </c>
      <c r="F2202" t="s">
        <v>52</v>
      </c>
      <c r="G2202">
        <v>5</v>
      </c>
      <c r="H2202" t="s">
        <v>20</v>
      </c>
      <c r="I2202">
        <v>237.84</v>
      </c>
      <c r="J2202">
        <v>362.87</v>
      </c>
      <c r="K2202">
        <v>688.88</v>
      </c>
      <c r="L2202">
        <v>10.78</v>
      </c>
      <c r="M2202">
        <v>1289.5899999999999</v>
      </c>
      <c r="N2202">
        <v>1300.3699999999999</v>
      </c>
    </row>
    <row r="2203" spans="1:14" x14ac:dyDescent="0.3">
      <c r="A2203" s="2">
        <v>44805</v>
      </c>
      <c r="B2203" t="s">
        <v>70</v>
      </c>
      <c r="C2203">
        <v>2022</v>
      </c>
      <c r="D2203">
        <v>9</v>
      </c>
      <c r="E2203" t="s">
        <v>54</v>
      </c>
      <c r="F2203" t="s">
        <v>53</v>
      </c>
      <c r="G2203">
        <v>19</v>
      </c>
      <c r="H2203" t="s">
        <v>20</v>
      </c>
      <c r="I2203">
        <v>1488.67</v>
      </c>
      <c r="J2203">
        <v>1778.42</v>
      </c>
      <c r="K2203">
        <v>1156.8499999999999</v>
      </c>
      <c r="L2203">
        <v>380.39</v>
      </c>
      <c r="M2203">
        <v>4423.9399999999996</v>
      </c>
      <c r="N2203">
        <v>4804.33</v>
      </c>
    </row>
    <row r="2204" spans="1:14" x14ac:dyDescent="0.3">
      <c r="A2204" s="2">
        <v>44835</v>
      </c>
      <c r="B2204" t="s">
        <v>70</v>
      </c>
      <c r="C2204">
        <v>2022</v>
      </c>
      <c r="D2204">
        <v>10</v>
      </c>
      <c r="E2204" t="s">
        <v>55</v>
      </c>
      <c r="F2204" t="s">
        <v>17</v>
      </c>
      <c r="G2204">
        <v>35</v>
      </c>
      <c r="H2204" t="s">
        <v>18</v>
      </c>
      <c r="I2204">
        <v>7.9</v>
      </c>
      <c r="J2204">
        <v>11.05</v>
      </c>
      <c r="K2204">
        <v>4.45</v>
      </c>
      <c r="L2204">
        <v>0.01</v>
      </c>
      <c r="M2204">
        <v>23.4</v>
      </c>
      <c r="N2204">
        <v>23.41</v>
      </c>
    </row>
    <row r="2205" spans="1:14" x14ac:dyDescent="0.3">
      <c r="A2205" s="2">
        <v>44835</v>
      </c>
      <c r="B2205" t="s">
        <v>70</v>
      </c>
      <c r="C2205">
        <v>2022</v>
      </c>
      <c r="D2205">
        <v>10</v>
      </c>
      <c r="E2205" t="s">
        <v>55</v>
      </c>
      <c r="F2205" t="s">
        <v>19</v>
      </c>
      <c r="G2205">
        <v>28</v>
      </c>
      <c r="H2205" t="s">
        <v>20</v>
      </c>
      <c r="I2205">
        <v>793.83</v>
      </c>
      <c r="J2205">
        <v>1049.08</v>
      </c>
      <c r="K2205">
        <v>1421.34</v>
      </c>
      <c r="L2205">
        <v>315.04000000000002</v>
      </c>
      <c r="M2205">
        <v>3264.25</v>
      </c>
      <c r="N2205">
        <v>3579.29</v>
      </c>
    </row>
    <row r="2206" spans="1:14" x14ac:dyDescent="0.3">
      <c r="A2206" s="2">
        <v>44835</v>
      </c>
      <c r="B2206" t="s">
        <v>70</v>
      </c>
      <c r="C2206">
        <v>2022</v>
      </c>
      <c r="D2206">
        <v>10</v>
      </c>
      <c r="E2206" t="s">
        <v>55</v>
      </c>
      <c r="F2206" t="s">
        <v>21</v>
      </c>
      <c r="G2206">
        <v>12</v>
      </c>
      <c r="H2206" t="s">
        <v>20</v>
      </c>
      <c r="I2206">
        <v>22.76</v>
      </c>
      <c r="J2206">
        <v>29.28</v>
      </c>
      <c r="K2206">
        <v>12.57</v>
      </c>
      <c r="L2206">
        <v>0.22</v>
      </c>
      <c r="M2206">
        <v>64.61</v>
      </c>
      <c r="N2206">
        <v>64.83</v>
      </c>
    </row>
    <row r="2207" spans="1:14" x14ac:dyDescent="0.3">
      <c r="A2207" s="2">
        <v>44835</v>
      </c>
      <c r="B2207" t="s">
        <v>70</v>
      </c>
      <c r="C2207">
        <v>2022</v>
      </c>
      <c r="D2207">
        <v>10</v>
      </c>
      <c r="E2207" t="s">
        <v>55</v>
      </c>
      <c r="F2207" t="s">
        <v>22</v>
      </c>
      <c r="G2207">
        <v>18</v>
      </c>
      <c r="H2207" t="s">
        <v>20</v>
      </c>
      <c r="I2207">
        <v>323.26</v>
      </c>
      <c r="J2207">
        <v>424.73</v>
      </c>
      <c r="K2207">
        <v>425.01</v>
      </c>
      <c r="L2207">
        <v>70.95</v>
      </c>
      <c r="M2207">
        <v>1173</v>
      </c>
      <c r="N2207">
        <v>1243.95</v>
      </c>
    </row>
    <row r="2208" spans="1:14" x14ac:dyDescent="0.3">
      <c r="A2208" s="2">
        <v>44835</v>
      </c>
      <c r="B2208" t="s">
        <v>70</v>
      </c>
      <c r="C2208">
        <v>2022</v>
      </c>
      <c r="D2208">
        <v>10</v>
      </c>
      <c r="E2208" t="s">
        <v>55</v>
      </c>
      <c r="F2208" t="s">
        <v>23</v>
      </c>
      <c r="G2208">
        <v>10</v>
      </c>
      <c r="H2208" t="s">
        <v>20</v>
      </c>
      <c r="I2208">
        <v>328.06</v>
      </c>
      <c r="J2208">
        <v>542.11</v>
      </c>
      <c r="K2208">
        <v>302.52</v>
      </c>
      <c r="L2208">
        <v>171.48</v>
      </c>
      <c r="M2208">
        <v>1172.69</v>
      </c>
      <c r="N2208">
        <v>1344.17</v>
      </c>
    </row>
    <row r="2209" spans="1:14" x14ac:dyDescent="0.3">
      <c r="A2209" s="2">
        <v>44835</v>
      </c>
      <c r="B2209" t="s">
        <v>70</v>
      </c>
      <c r="C2209">
        <v>2022</v>
      </c>
      <c r="D2209">
        <v>10</v>
      </c>
      <c r="E2209" t="s">
        <v>55</v>
      </c>
      <c r="F2209" t="s">
        <v>24</v>
      </c>
      <c r="G2209">
        <v>4</v>
      </c>
      <c r="H2209" t="s">
        <v>18</v>
      </c>
      <c r="I2209">
        <v>40.28</v>
      </c>
      <c r="J2209">
        <v>51.2</v>
      </c>
      <c r="K2209">
        <v>109.59</v>
      </c>
      <c r="L2209">
        <v>1.43</v>
      </c>
      <c r="M2209">
        <v>201.07</v>
      </c>
      <c r="N2209">
        <v>202.5</v>
      </c>
    </row>
    <row r="2210" spans="1:14" x14ac:dyDescent="0.3">
      <c r="A2210" s="2">
        <v>44835</v>
      </c>
      <c r="B2210" t="s">
        <v>70</v>
      </c>
      <c r="C2210">
        <v>2022</v>
      </c>
      <c r="D2210">
        <v>10</v>
      </c>
      <c r="E2210" t="s">
        <v>55</v>
      </c>
      <c r="F2210" t="s">
        <v>25</v>
      </c>
      <c r="G2210">
        <v>22</v>
      </c>
      <c r="H2210" t="s">
        <v>20</v>
      </c>
      <c r="I2210">
        <v>478.98</v>
      </c>
      <c r="J2210">
        <v>565.20000000000005</v>
      </c>
      <c r="K2210">
        <v>834.59</v>
      </c>
      <c r="L2210">
        <v>449.61</v>
      </c>
      <c r="M2210">
        <v>1878.77</v>
      </c>
      <c r="N2210">
        <v>2328.38</v>
      </c>
    </row>
    <row r="2211" spans="1:14" x14ac:dyDescent="0.3">
      <c r="A2211" s="2">
        <v>44835</v>
      </c>
      <c r="B2211" t="s">
        <v>70</v>
      </c>
      <c r="C2211">
        <v>2022</v>
      </c>
      <c r="D2211">
        <v>10</v>
      </c>
      <c r="E2211" t="s">
        <v>55</v>
      </c>
      <c r="F2211" t="s">
        <v>26</v>
      </c>
      <c r="G2211">
        <v>38</v>
      </c>
      <c r="H2211" t="s">
        <v>18</v>
      </c>
      <c r="I2211">
        <v>37.65</v>
      </c>
      <c r="J2211">
        <v>50.88</v>
      </c>
      <c r="K2211">
        <v>190.11</v>
      </c>
      <c r="L2211">
        <v>0.26</v>
      </c>
      <c r="M2211">
        <v>278.64</v>
      </c>
      <c r="N2211">
        <v>278.89999999999998</v>
      </c>
    </row>
    <row r="2212" spans="1:14" x14ac:dyDescent="0.3">
      <c r="A2212" s="2">
        <v>44835</v>
      </c>
      <c r="B2212" t="s">
        <v>70</v>
      </c>
      <c r="C2212">
        <v>2022</v>
      </c>
      <c r="D2212">
        <v>10</v>
      </c>
      <c r="E2212" t="s">
        <v>55</v>
      </c>
      <c r="F2212" t="s">
        <v>27</v>
      </c>
      <c r="G2212">
        <v>7</v>
      </c>
      <c r="H2212" t="s">
        <v>18</v>
      </c>
      <c r="I2212">
        <v>920.54</v>
      </c>
      <c r="J2212">
        <v>1127.58</v>
      </c>
      <c r="K2212">
        <v>2537.85</v>
      </c>
      <c r="L2212">
        <v>84.47</v>
      </c>
      <c r="M2212">
        <v>4585.97</v>
      </c>
      <c r="N2212">
        <v>4670.4399999999996</v>
      </c>
    </row>
    <row r="2213" spans="1:14" x14ac:dyDescent="0.3">
      <c r="A2213" s="2">
        <v>44835</v>
      </c>
      <c r="B2213" t="s">
        <v>70</v>
      </c>
      <c r="C2213">
        <v>2022</v>
      </c>
      <c r="D2213">
        <v>10</v>
      </c>
      <c r="E2213" t="s">
        <v>55</v>
      </c>
      <c r="F2213" t="s">
        <v>28</v>
      </c>
      <c r="G2213">
        <v>30</v>
      </c>
      <c r="H2213" t="s">
        <v>20</v>
      </c>
      <c r="I2213">
        <v>112.31</v>
      </c>
      <c r="J2213">
        <v>154.31</v>
      </c>
      <c r="K2213">
        <v>149.6</v>
      </c>
      <c r="L2213">
        <v>3.34</v>
      </c>
      <c r="M2213">
        <v>416.22</v>
      </c>
      <c r="N2213">
        <v>419.56</v>
      </c>
    </row>
    <row r="2214" spans="1:14" x14ac:dyDescent="0.3">
      <c r="A2214" s="2">
        <v>44835</v>
      </c>
      <c r="B2214" t="s">
        <v>70</v>
      </c>
      <c r="C2214">
        <v>2022</v>
      </c>
      <c r="D2214">
        <v>10</v>
      </c>
      <c r="E2214" t="s">
        <v>55</v>
      </c>
      <c r="F2214" t="s">
        <v>29</v>
      </c>
      <c r="G2214">
        <v>24</v>
      </c>
      <c r="H2214" t="s">
        <v>20</v>
      </c>
      <c r="I2214">
        <v>2451.3200000000002</v>
      </c>
      <c r="J2214">
        <v>3015.26</v>
      </c>
      <c r="K2214">
        <v>3461.02</v>
      </c>
      <c r="L2214">
        <v>541.47</v>
      </c>
      <c r="M2214">
        <v>8927.6</v>
      </c>
      <c r="N2214">
        <v>9469.07</v>
      </c>
    </row>
    <row r="2215" spans="1:14" x14ac:dyDescent="0.3">
      <c r="A2215" s="2">
        <v>44835</v>
      </c>
      <c r="B2215" t="s">
        <v>70</v>
      </c>
      <c r="C2215">
        <v>2022</v>
      </c>
      <c r="D2215">
        <v>10</v>
      </c>
      <c r="E2215" t="s">
        <v>55</v>
      </c>
      <c r="F2215" t="s">
        <v>30</v>
      </c>
      <c r="G2215">
        <v>6</v>
      </c>
      <c r="H2215" t="s">
        <v>20</v>
      </c>
      <c r="I2215">
        <v>1190.42</v>
      </c>
      <c r="J2215">
        <v>1611.92</v>
      </c>
      <c r="K2215">
        <v>4332.7</v>
      </c>
      <c r="L2215">
        <v>526.53</v>
      </c>
      <c r="M2215">
        <v>7135.04</v>
      </c>
      <c r="N2215">
        <v>7661.57</v>
      </c>
    </row>
    <row r="2216" spans="1:14" x14ac:dyDescent="0.3">
      <c r="A2216" s="2">
        <v>44835</v>
      </c>
      <c r="B2216" t="s">
        <v>70</v>
      </c>
      <c r="C2216">
        <v>2022</v>
      </c>
      <c r="D2216">
        <v>10</v>
      </c>
      <c r="E2216" t="s">
        <v>55</v>
      </c>
      <c r="F2216" t="s">
        <v>31</v>
      </c>
      <c r="G2216">
        <v>2</v>
      </c>
      <c r="H2216" t="s">
        <v>20</v>
      </c>
      <c r="I2216">
        <v>133</v>
      </c>
      <c r="J2216">
        <v>190.77</v>
      </c>
      <c r="K2216">
        <v>457.53</v>
      </c>
      <c r="L2216">
        <v>2.74</v>
      </c>
      <c r="M2216">
        <v>781.3</v>
      </c>
      <c r="N2216">
        <v>784.04</v>
      </c>
    </row>
    <row r="2217" spans="1:14" x14ac:dyDescent="0.3">
      <c r="A2217" s="2">
        <v>44835</v>
      </c>
      <c r="B2217" t="s">
        <v>70</v>
      </c>
      <c r="C2217">
        <v>2022</v>
      </c>
      <c r="D2217">
        <v>10</v>
      </c>
      <c r="E2217" t="s">
        <v>55</v>
      </c>
      <c r="F2217" t="s">
        <v>32</v>
      </c>
      <c r="G2217">
        <v>1</v>
      </c>
      <c r="H2217" t="s">
        <v>18</v>
      </c>
      <c r="I2217">
        <v>114.89</v>
      </c>
      <c r="J2217">
        <v>179.99</v>
      </c>
      <c r="K2217">
        <v>126.07</v>
      </c>
      <c r="L2217">
        <v>4.3600000000000003</v>
      </c>
      <c r="M2217">
        <v>420.95</v>
      </c>
      <c r="N2217">
        <v>425.31</v>
      </c>
    </row>
    <row r="2218" spans="1:14" x14ac:dyDescent="0.3">
      <c r="A2218" s="2">
        <v>44835</v>
      </c>
      <c r="B2218" t="s">
        <v>70</v>
      </c>
      <c r="C2218">
        <v>2022</v>
      </c>
      <c r="D2218">
        <v>10</v>
      </c>
      <c r="E2218" t="s">
        <v>55</v>
      </c>
      <c r="F2218" t="s">
        <v>33</v>
      </c>
      <c r="G2218">
        <v>20</v>
      </c>
      <c r="H2218" t="s">
        <v>20</v>
      </c>
      <c r="I2218">
        <v>507.23</v>
      </c>
      <c r="J2218">
        <v>668.79</v>
      </c>
      <c r="K2218">
        <v>942.51</v>
      </c>
      <c r="L2218">
        <v>381.3</v>
      </c>
      <c r="M2218">
        <v>2118.5300000000002</v>
      </c>
      <c r="N2218">
        <v>2499.83</v>
      </c>
    </row>
    <row r="2219" spans="1:14" x14ac:dyDescent="0.3">
      <c r="A2219" s="2">
        <v>44835</v>
      </c>
      <c r="B2219" t="s">
        <v>70</v>
      </c>
      <c r="C2219">
        <v>2022</v>
      </c>
      <c r="D2219">
        <v>10</v>
      </c>
      <c r="E2219" t="s">
        <v>55</v>
      </c>
      <c r="F2219" t="s">
        <v>34</v>
      </c>
      <c r="G2219">
        <v>29</v>
      </c>
      <c r="H2219" t="s">
        <v>20</v>
      </c>
      <c r="I2219">
        <v>2342.9</v>
      </c>
      <c r="J2219">
        <v>2968.77</v>
      </c>
      <c r="K2219">
        <v>4453.47</v>
      </c>
      <c r="L2219">
        <v>1231.2</v>
      </c>
      <c r="M2219">
        <v>9765.14</v>
      </c>
      <c r="N2219">
        <v>10996.34</v>
      </c>
    </row>
    <row r="2220" spans="1:14" x14ac:dyDescent="0.3">
      <c r="A2220" s="2">
        <v>44835</v>
      </c>
      <c r="B2220" t="s">
        <v>70</v>
      </c>
      <c r="C2220">
        <v>2022</v>
      </c>
      <c r="D2220">
        <v>10</v>
      </c>
      <c r="E2220" t="s">
        <v>55</v>
      </c>
      <c r="F2220" t="s">
        <v>35</v>
      </c>
      <c r="G2220">
        <v>32</v>
      </c>
      <c r="H2220" t="s">
        <v>20</v>
      </c>
      <c r="I2220">
        <v>777.96</v>
      </c>
      <c r="J2220">
        <v>1002.27</v>
      </c>
      <c r="K2220">
        <v>695.68</v>
      </c>
      <c r="L2220">
        <v>9.17</v>
      </c>
      <c r="M2220">
        <v>2475.91</v>
      </c>
      <c r="N2220">
        <v>2485.08</v>
      </c>
    </row>
    <row r="2221" spans="1:14" x14ac:dyDescent="0.3">
      <c r="A2221" s="2">
        <v>44835</v>
      </c>
      <c r="B2221" t="s">
        <v>70</v>
      </c>
      <c r="C2221">
        <v>2022</v>
      </c>
      <c r="D2221">
        <v>10</v>
      </c>
      <c r="E2221" t="s">
        <v>55</v>
      </c>
      <c r="F2221" t="s">
        <v>67</v>
      </c>
      <c r="G2221">
        <v>37</v>
      </c>
      <c r="H2221" t="s">
        <v>18</v>
      </c>
      <c r="I2221">
        <v>11.25</v>
      </c>
      <c r="J2221">
        <v>18.27</v>
      </c>
      <c r="K2221">
        <v>3.82</v>
      </c>
      <c r="L2221">
        <v>0.11</v>
      </c>
      <c r="M2221">
        <v>33.340000000000003</v>
      </c>
      <c r="N2221">
        <v>33.450000000000003</v>
      </c>
    </row>
    <row r="2222" spans="1:14" x14ac:dyDescent="0.3">
      <c r="A2222" s="2">
        <v>44835</v>
      </c>
      <c r="B2222" t="s">
        <v>70</v>
      </c>
      <c r="C2222">
        <v>2022</v>
      </c>
      <c r="D2222">
        <v>10</v>
      </c>
      <c r="E2222" t="s">
        <v>55</v>
      </c>
      <c r="F2222" t="s">
        <v>36</v>
      </c>
      <c r="G2222">
        <v>31</v>
      </c>
      <c r="H2222" t="s">
        <v>18</v>
      </c>
      <c r="I2222">
        <v>0.47</v>
      </c>
      <c r="J2222">
        <v>1.03</v>
      </c>
      <c r="K2222">
        <v>0.85</v>
      </c>
      <c r="L2222">
        <v>0</v>
      </c>
      <c r="M2222">
        <v>2.35</v>
      </c>
      <c r="N2222">
        <v>2.35</v>
      </c>
    </row>
    <row r="2223" spans="1:14" x14ac:dyDescent="0.3">
      <c r="A2223" s="2">
        <v>44835</v>
      </c>
      <c r="B2223" t="s">
        <v>70</v>
      </c>
      <c r="C2223">
        <v>2022</v>
      </c>
      <c r="D2223">
        <v>10</v>
      </c>
      <c r="E2223" t="s">
        <v>55</v>
      </c>
      <c r="F2223" t="s">
        <v>37</v>
      </c>
      <c r="G2223">
        <v>23</v>
      </c>
      <c r="H2223" t="s">
        <v>20</v>
      </c>
      <c r="I2223">
        <v>634.98</v>
      </c>
      <c r="J2223">
        <v>840.68</v>
      </c>
      <c r="K2223">
        <v>900.19</v>
      </c>
      <c r="L2223">
        <v>544.34</v>
      </c>
      <c r="M2223">
        <v>2375.85</v>
      </c>
      <c r="N2223">
        <v>2920.19</v>
      </c>
    </row>
    <row r="2224" spans="1:14" x14ac:dyDescent="0.3">
      <c r="A2224" s="2">
        <v>44835</v>
      </c>
      <c r="B2224" t="s">
        <v>70</v>
      </c>
      <c r="C2224">
        <v>2022</v>
      </c>
      <c r="D2224">
        <v>10</v>
      </c>
      <c r="E2224" t="s">
        <v>55</v>
      </c>
      <c r="F2224" t="s">
        <v>38</v>
      </c>
      <c r="G2224">
        <v>27</v>
      </c>
      <c r="H2224" t="s">
        <v>20</v>
      </c>
      <c r="I2224">
        <v>5761.79</v>
      </c>
      <c r="J2224">
        <v>6827.22</v>
      </c>
      <c r="K2224">
        <v>8805.3799999999992</v>
      </c>
      <c r="L2224">
        <v>1642.86</v>
      </c>
      <c r="M2224">
        <v>21394.39</v>
      </c>
      <c r="N2224">
        <v>23037.25</v>
      </c>
    </row>
    <row r="2225" spans="1:14" x14ac:dyDescent="0.3">
      <c r="A2225" s="2">
        <v>44835</v>
      </c>
      <c r="B2225" t="s">
        <v>70</v>
      </c>
      <c r="C2225">
        <v>2022</v>
      </c>
      <c r="D2225">
        <v>10</v>
      </c>
      <c r="E2225" t="s">
        <v>55</v>
      </c>
      <c r="F2225" t="s">
        <v>39</v>
      </c>
      <c r="G2225">
        <v>14</v>
      </c>
      <c r="H2225" t="s">
        <v>20</v>
      </c>
      <c r="I2225">
        <v>18.559999999999999</v>
      </c>
      <c r="J2225">
        <v>23.33</v>
      </c>
      <c r="K2225">
        <v>7.47</v>
      </c>
      <c r="L2225">
        <v>0.14000000000000001</v>
      </c>
      <c r="M2225">
        <v>49.36</v>
      </c>
      <c r="N2225">
        <v>49.5</v>
      </c>
    </row>
    <row r="2226" spans="1:14" x14ac:dyDescent="0.3">
      <c r="A2226" s="2">
        <v>44835</v>
      </c>
      <c r="B2226" t="s">
        <v>70</v>
      </c>
      <c r="C2226">
        <v>2022</v>
      </c>
      <c r="D2226">
        <v>10</v>
      </c>
      <c r="E2226" t="s">
        <v>55</v>
      </c>
      <c r="F2226" t="s">
        <v>40</v>
      </c>
      <c r="G2226">
        <v>17</v>
      </c>
      <c r="H2226" t="s">
        <v>20</v>
      </c>
      <c r="I2226">
        <v>34.54</v>
      </c>
      <c r="J2226">
        <v>38.28</v>
      </c>
      <c r="K2226">
        <v>89.59</v>
      </c>
      <c r="L2226">
        <v>1.46</v>
      </c>
      <c r="M2226">
        <v>162.41</v>
      </c>
      <c r="N2226">
        <v>163.87</v>
      </c>
    </row>
    <row r="2227" spans="1:14" x14ac:dyDescent="0.3">
      <c r="A2227" s="2">
        <v>44835</v>
      </c>
      <c r="B2227" t="s">
        <v>70</v>
      </c>
      <c r="C2227">
        <v>2022</v>
      </c>
      <c r="D2227">
        <v>10</v>
      </c>
      <c r="E2227" t="s">
        <v>55</v>
      </c>
      <c r="F2227" t="s">
        <v>41</v>
      </c>
      <c r="G2227">
        <v>15</v>
      </c>
      <c r="H2227" t="s">
        <v>20</v>
      </c>
      <c r="I2227">
        <v>8.58</v>
      </c>
      <c r="J2227">
        <v>11.88</v>
      </c>
      <c r="K2227">
        <v>3.99</v>
      </c>
      <c r="L2227">
        <v>0.02</v>
      </c>
      <c r="M2227">
        <v>24.45</v>
      </c>
      <c r="N2227">
        <v>24.47</v>
      </c>
    </row>
    <row r="2228" spans="1:14" x14ac:dyDescent="0.3">
      <c r="A2228" s="2">
        <v>44835</v>
      </c>
      <c r="B2228" t="s">
        <v>70</v>
      </c>
      <c r="C2228">
        <v>2022</v>
      </c>
      <c r="D2228">
        <v>10</v>
      </c>
      <c r="E2228" t="s">
        <v>55</v>
      </c>
      <c r="F2228" t="s">
        <v>42</v>
      </c>
      <c r="G2228">
        <v>13</v>
      </c>
      <c r="H2228" t="s">
        <v>20</v>
      </c>
      <c r="I2228">
        <v>14.2</v>
      </c>
      <c r="J2228">
        <v>16.27</v>
      </c>
      <c r="K2228">
        <v>11.44</v>
      </c>
      <c r="L2228">
        <v>1.36</v>
      </c>
      <c r="M2228">
        <v>41.91</v>
      </c>
      <c r="N2228">
        <v>43.27</v>
      </c>
    </row>
    <row r="2229" spans="1:14" x14ac:dyDescent="0.3">
      <c r="A2229" s="2">
        <v>44835</v>
      </c>
      <c r="B2229" t="s">
        <v>70</v>
      </c>
      <c r="C2229">
        <v>2022</v>
      </c>
      <c r="D2229">
        <v>10</v>
      </c>
      <c r="E2229" t="s">
        <v>55</v>
      </c>
      <c r="F2229" t="s">
        <v>43</v>
      </c>
      <c r="G2229">
        <v>21</v>
      </c>
      <c r="H2229" t="s">
        <v>20</v>
      </c>
      <c r="I2229">
        <v>856.48</v>
      </c>
      <c r="J2229">
        <v>1058.48</v>
      </c>
      <c r="K2229">
        <v>1139.5899999999999</v>
      </c>
      <c r="L2229">
        <v>714.89</v>
      </c>
      <c r="M2229">
        <v>3054.55</v>
      </c>
      <c r="N2229">
        <v>3769.44</v>
      </c>
    </row>
    <row r="2230" spans="1:14" x14ac:dyDescent="0.3">
      <c r="A2230" s="2">
        <v>44835</v>
      </c>
      <c r="B2230" t="s">
        <v>70</v>
      </c>
      <c r="C2230">
        <v>2022</v>
      </c>
      <c r="D2230">
        <v>10</v>
      </c>
      <c r="E2230" t="s">
        <v>55</v>
      </c>
      <c r="F2230" t="s">
        <v>44</v>
      </c>
      <c r="G2230">
        <v>34</v>
      </c>
      <c r="H2230" t="s">
        <v>18</v>
      </c>
      <c r="I2230">
        <v>25.38</v>
      </c>
      <c r="J2230">
        <v>38.32</v>
      </c>
      <c r="K2230">
        <v>139.38</v>
      </c>
      <c r="L2230">
        <v>0.63</v>
      </c>
      <c r="M2230">
        <v>203.08</v>
      </c>
      <c r="N2230">
        <v>203.71</v>
      </c>
    </row>
    <row r="2231" spans="1:14" x14ac:dyDescent="0.3">
      <c r="A2231" s="2">
        <v>44835</v>
      </c>
      <c r="B2231" t="s">
        <v>70</v>
      </c>
      <c r="C2231">
        <v>2022</v>
      </c>
      <c r="D2231">
        <v>10</v>
      </c>
      <c r="E2231" t="s">
        <v>55</v>
      </c>
      <c r="F2231" t="s">
        <v>45</v>
      </c>
      <c r="G2231">
        <v>3</v>
      </c>
      <c r="H2231" t="s">
        <v>20</v>
      </c>
      <c r="I2231">
        <v>405.42</v>
      </c>
      <c r="J2231">
        <v>610.62</v>
      </c>
      <c r="K2231">
        <v>714.47</v>
      </c>
      <c r="L2231">
        <v>29.3</v>
      </c>
      <c r="M2231">
        <v>1730.51</v>
      </c>
      <c r="N2231">
        <v>1759.81</v>
      </c>
    </row>
    <row r="2232" spans="1:14" x14ac:dyDescent="0.3">
      <c r="A2232" s="2">
        <v>44835</v>
      </c>
      <c r="B2232" t="s">
        <v>70</v>
      </c>
      <c r="C2232">
        <v>2022</v>
      </c>
      <c r="D2232">
        <v>10</v>
      </c>
      <c r="E2232" t="s">
        <v>55</v>
      </c>
      <c r="F2232" t="s">
        <v>46</v>
      </c>
      <c r="G2232">
        <v>8</v>
      </c>
      <c r="H2232" t="s">
        <v>20</v>
      </c>
      <c r="I2232">
        <v>915.86</v>
      </c>
      <c r="J2232">
        <v>1235.1199999999999</v>
      </c>
      <c r="K2232">
        <v>1493.92</v>
      </c>
      <c r="L2232">
        <v>116.13</v>
      </c>
      <c r="M2232">
        <v>3644.9</v>
      </c>
      <c r="N2232">
        <v>3761.03</v>
      </c>
    </row>
    <row r="2233" spans="1:14" x14ac:dyDescent="0.3">
      <c r="A2233" s="2">
        <v>44835</v>
      </c>
      <c r="B2233" t="s">
        <v>70</v>
      </c>
      <c r="C2233">
        <v>2022</v>
      </c>
      <c r="D2233">
        <v>10</v>
      </c>
      <c r="E2233" t="s">
        <v>55</v>
      </c>
      <c r="F2233" t="s">
        <v>47</v>
      </c>
      <c r="G2233">
        <v>11</v>
      </c>
      <c r="H2233" t="s">
        <v>20</v>
      </c>
      <c r="I2233">
        <v>21.56</v>
      </c>
      <c r="J2233">
        <v>26.35</v>
      </c>
      <c r="K2233">
        <v>217.27</v>
      </c>
      <c r="L2233">
        <v>0.02</v>
      </c>
      <c r="M2233">
        <v>265.18</v>
      </c>
      <c r="N2233">
        <v>265.2</v>
      </c>
    </row>
    <row r="2234" spans="1:14" x14ac:dyDescent="0.3">
      <c r="A2234" s="2">
        <v>44835</v>
      </c>
      <c r="B2234" t="s">
        <v>70</v>
      </c>
      <c r="C2234">
        <v>2022</v>
      </c>
      <c r="D2234">
        <v>10</v>
      </c>
      <c r="E2234" t="s">
        <v>55</v>
      </c>
      <c r="F2234" t="s">
        <v>48</v>
      </c>
      <c r="G2234">
        <v>33</v>
      </c>
      <c r="H2234" t="s">
        <v>20</v>
      </c>
      <c r="I2234">
        <v>2328.64</v>
      </c>
      <c r="J2234">
        <v>3124.26</v>
      </c>
      <c r="K2234">
        <v>3366.18</v>
      </c>
      <c r="L2234">
        <v>720.62</v>
      </c>
      <c r="M2234">
        <v>8819.08</v>
      </c>
      <c r="N2234">
        <v>9539.7000000000007</v>
      </c>
    </row>
    <row r="2235" spans="1:14" x14ac:dyDescent="0.3">
      <c r="A2235" s="2">
        <v>44835</v>
      </c>
      <c r="B2235" t="s">
        <v>70</v>
      </c>
      <c r="C2235">
        <v>2022</v>
      </c>
      <c r="D2235">
        <v>10</v>
      </c>
      <c r="E2235" t="s">
        <v>55</v>
      </c>
      <c r="F2235" t="s">
        <v>49</v>
      </c>
      <c r="G2235">
        <v>36</v>
      </c>
      <c r="H2235" t="s">
        <v>20</v>
      </c>
      <c r="I2235">
        <v>990.42</v>
      </c>
      <c r="J2235">
        <v>1353.92</v>
      </c>
      <c r="K2235">
        <v>1413.3</v>
      </c>
      <c r="L2235">
        <v>526.39</v>
      </c>
      <c r="M2235">
        <v>3757.64</v>
      </c>
      <c r="N2235">
        <v>4284.03</v>
      </c>
    </row>
    <row r="2236" spans="1:14" x14ac:dyDescent="0.3">
      <c r="A2236" s="2">
        <v>44835</v>
      </c>
      <c r="B2236" t="s">
        <v>70</v>
      </c>
      <c r="C2236">
        <v>2022</v>
      </c>
      <c r="D2236">
        <v>10</v>
      </c>
      <c r="E2236" t="s">
        <v>55</v>
      </c>
      <c r="F2236" t="s">
        <v>50</v>
      </c>
      <c r="G2236">
        <v>16</v>
      </c>
      <c r="H2236" t="s">
        <v>20</v>
      </c>
      <c r="I2236">
        <v>27.66</v>
      </c>
      <c r="J2236">
        <v>36.06</v>
      </c>
      <c r="K2236">
        <v>12.05</v>
      </c>
      <c r="L2236">
        <v>0.45</v>
      </c>
      <c r="M2236">
        <v>75.77</v>
      </c>
      <c r="N2236">
        <v>76.22</v>
      </c>
    </row>
    <row r="2237" spans="1:14" x14ac:dyDescent="0.3">
      <c r="A2237" s="2">
        <v>44835</v>
      </c>
      <c r="B2237" t="s">
        <v>70</v>
      </c>
      <c r="C2237">
        <v>2022</v>
      </c>
      <c r="D2237">
        <v>10</v>
      </c>
      <c r="E2237" t="s">
        <v>55</v>
      </c>
      <c r="F2237" t="s">
        <v>51</v>
      </c>
      <c r="G2237">
        <v>9</v>
      </c>
      <c r="H2237" t="s">
        <v>20</v>
      </c>
      <c r="I2237">
        <v>1530.5</v>
      </c>
      <c r="J2237">
        <v>2136.75</v>
      </c>
      <c r="K2237">
        <v>2944.71</v>
      </c>
      <c r="L2237">
        <v>1226.76</v>
      </c>
      <c r="M2237">
        <v>6611.96</v>
      </c>
      <c r="N2237">
        <v>7838.72</v>
      </c>
    </row>
    <row r="2238" spans="1:14" x14ac:dyDescent="0.3">
      <c r="A2238" s="2">
        <v>44835</v>
      </c>
      <c r="B2238" t="s">
        <v>70</v>
      </c>
      <c r="C2238">
        <v>2022</v>
      </c>
      <c r="D2238">
        <v>10</v>
      </c>
      <c r="E2238" t="s">
        <v>55</v>
      </c>
      <c r="F2238" t="s">
        <v>52</v>
      </c>
      <c r="G2238">
        <v>5</v>
      </c>
      <c r="H2238" t="s">
        <v>20</v>
      </c>
      <c r="I2238">
        <v>280.58999999999997</v>
      </c>
      <c r="J2238">
        <v>404.58</v>
      </c>
      <c r="K2238">
        <v>918.38</v>
      </c>
      <c r="L2238">
        <v>9.06</v>
      </c>
      <c r="M2238">
        <v>1603.55</v>
      </c>
      <c r="N2238">
        <v>1612.61</v>
      </c>
    </row>
    <row r="2239" spans="1:14" x14ac:dyDescent="0.3">
      <c r="A2239" s="2">
        <v>44835</v>
      </c>
      <c r="B2239" t="s">
        <v>70</v>
      </c>
      <c r="C2239">
        <v>2022</v>
      </c>
      <c r="D2239">
        <v>10</v>
      </c>
      <c r="E2239" t="s">
        <v>55</v>
      </c>
      <c r="F2239" t="s">
        <v>53</v>
      </c>
      <c r="G2239">
        <v>19</v>
      </c>
      <c r="H2239" t="s">
        <v>20</v>
      </c>
      <c r="I2239">
        <v>1575.46</v>
      </c>
      <c r="J2239">
        <v>1931.53</v>
      </c>
      <c r="K2239">
        <v>1507.6</v>
      </c>
      <c r="L2239">
        <v>352.11</v>
      </c>
      <c r="M2239">
        <v>5014.59</v>
      </c>
      <c r="N2239">
        <v>5366.7</v>
      </c>
    </row>
    <row r="2240" spans="1:14" x14ac:dyDescent="0.3">
      <c r="A2240" s="2">
        <v>44866</v>
      </c>
      <c r="B2240" t="s">
        <v>70</v>
      </c>
      <c r="C2240">
        <v>2022</v>
      </c>
      <c r="D2240">
        <v>11</v>
      </c>
      <c r="E2240" t="s">
        <v>56</v>
      </c>
      <c r="F2240" t="s">
        <v>17</v>
      </c>
      <c r="G2240">
        <v>35</v>
      </c>
      <c r="H2240" t="s">
        <v>18</v>
      </c>
      <c r="I2240">
        <v>8.1199999999999992</v>
      </c>
      <c r="J2240">
        <v>10.54</v>
      </c>
      <c r="K2240">
        <v>3.89</v>
      </c>
      <c r="L2240">
        <v>0.03</v>
      </c>
      <c r="M2240">
        <v>22.55</v>
      </c>
      <c r="N2240">
        <v>22.58</v>
      </c>
    </row>
    <row r="2241" spans="1:14" x14ac:dyDescent="0.3">
      <c r="A2241" s="2">
        <v>44866</v>
      </c>
      <c r="B2241" t="s">
        <v>70</v>
      </c>
      <c r="C2241">
        <v>2022</v>
      </c>
      <c r="D2241">
        <v>11</v>
      </c>
      <c r="E2241" t="s">
        <v>56</v>
      </c>
      <c r="F2241" t="s">
        <v>19</v>
      </c>
      <c r="G2241">
        <v>28</v>
      </c>
      <c r="H2241" t="s">
        <v>20</v>
      </c>
      <c r="I2241">
        <v>741.27</v>
      </c>
      <c r="J2241">
        <v>978.05</v>
      </c>
      <c r="K2241">
        <v>1127.1199999999999</v>
      </c>
      <c r="L2241">
        <v>287.11</v>
      </c>
      <c r="M2241">
        <v>2846.44</v>
      </c>
      <c r="N2241">
        <v>3133.55</v>
      </c>
    </row>
    <row r="2242" spans="1:14" x14ac:dyDescent="0.3">
      <c r="A2242" s="2">
        <v>44866</v>
      </c>
      <c r="B2242" t="s">
        <v>70</v>
      </c>
      <c r="C2242">
        <v>2022</v>
      </c>
      <c r="D2242">
        <v>11</v>
      </c>
      <c r="E2242" t="s">
        <v>56</v>
      </c>
      <c r="F2242" t="s">
        <v>21</v>
      </c>
      <c r="G2242">
        <v>12</v>
      </c>
      <c r="H2242" t="s">
        <v>20</v>
      </c>
      <c r="I2242">
        <v>22.34</v>
      </c>
      <c r="J2242">
        <v>29.12</v>
      </c>
      <c r="K2242">
        <v>10.81</v>
      </c>
      <c r="L2242">
        <v>0.13</v>
      </c>
      <c r="M2242">
        <v>62.27</v>
      </c>
      <c r="N2242">
        <v>62.4</v>
      </c>
    </row>
    <row r="2243" spans="1:14" x14ac:dyDescent="0.3">
      <c r="A2243" s="2">
        <v>44866</v>
      </c>
      <c r="B2243" t="s">
        <v>70</v>
      </c>
      <c r="C2243">
        <v>2022</v>
      </c>
      <c r="D2243">
        <v>11</v>
      </c>
      <c r="E2243" t="s">
        <v>56</v>
      </c>
      <c r="F2243" t="s">
        <v>22</v>
      </c>
      <c r="G2243">
        <v>18</v>
      </c>
      <c r="H2243" t="s">
        <v>20</v>
      </c>
      <c r="I2243">
        <v>302.45999999999998</v>
      </c>
      <c r="J2243">
        <v>391.7</v>
      </c>
      <c r="K2243">
        <v>343.61</v>
      </c>
      <c r="L2243">
        <v>42.72</v>
      </c>
      <c r="M2243">
        <v>1037.77</v>
      </c>
      <c r="N2243">
        <v>1080.49</v>
      </c>
    </row>
    <row r="2244" spans="1:14" x14ac:dyDescent="0.3">
      <c r="A2244" s="2">
        <v>44866</v>
      </c>
      <c r="B2244" t="s">
        <v>70</v>
      </c>
      <c r="C2244">
        <v>2022</v>
      </c>
      <c r="D2244">
        <v>11</v>
      </c>
      <c r="E2244" t="s">
        <v>56</v>
      </c>
      <c r="F2244" t="s">
        <v>23</v>
      </c>
      <c r="G2244">
        <v>10</v>
      </c>
      <c r="H2244" t="s">
        <v>20</v>
      </c>
      <c r="I2244">
        <v>378.25</v>
      </c>
      <c r="J2244">
        <v>605.03</v>
      </c>
      <c r="K2244">
        <v>163.53</v>
      </c>
      <c r="L2244">
        <v>169.78</v>
      </c>
      <c r="M2244">
        <v>1146.81</v>
      </c>
      <c r="N2244">
        <v>1316.59</v>
      </c>
    </row>
    <row r="2245" spans="1:14" x14ac:dyDescent="0.3">
      <c r="A2245" s="2">
        <v>44866</v>
      </c>
      <c r="B2245" t="s">
        <v>70</v>
      </c>
      <c r="C2245">
        <v>2022</v>
      </c>
      <c r="D2245">
        <v>11</v>
      </c>
      <c r="E2245" t="s">
        <v>56</v>
      </c>
      <c r="F2245" t="s">
        <v>24</v>
      </c>
      <c r="G2245">
        <v>4</v>
      </c>
      <c r="H2245" t="s">
        <v>18</v>
      </c>
      <c r="I2245">
        <v>35.03</v>
      </c>
      <c r="J2245">
        <v>49.97</v>
      </c>
      <c r="K2245">
        <v>89.35</v>
      </c>
      <c r="L2245">
        <v>0.8</v>
      </c>
      <c r="M2245">
        <v>174.35</v>
      </c>
      <c r="N2245">
        <v>175.15</v>
      </c>
    </row>
    <row r="2246" spans="1:14" x14ac:dyDescent="0.3">
      <c r="A2246" s="2">
        <v>44866</v>
      </c>
      <c r="B2246" t="s">
        <v>70</v>
      </c>
      <c r="C2246">
        <v>2022</v>
      </c>
      <c r="D2246">
        <v>11</v>
      </c>
      <c r="E2246" t="s">
        <v>56</v>
      </c>
      <c r="F2246" t="s">
        <v>25</v>
      </c>
      <c r="G2246">
        <v>22</v>
      </c>
      <c r="H2246" t="s">
        <v>20</v>
      </c>
      <c r="I2246">
        <v>462.02</v>
      </c>
      <c r="J2246">
        <v>552.64</v>
      </c>
      <c r="K2246">
        <v>910.16</v>
      </c>
      <c r="L2246">
        <v>523.65</v>
      </c>
      <c r="M2246">
        <v>1924.82</v>
      </c>
      <c r="N2246">
        <v>2448.4699999999998</v>
      </c>
    </row>
    <row r="2247" spans="1:14" x14ac:dyDescent="0.3">
      <c r="A2247" s="2">
        <v>44866</v>
      </c>
      <c r="B2247" t="s">
        <v>70</v>
      </c>
      <c r="C2247">
        <v>2022</v>
      </c>
      <c r="D2247">
        <v>11</v>
      </c>
      <c r="E2247" t="s">
        <v>56</v>
      </c>
      <c r="F2247" t="s">
        <v>26</v>
      </c>
      <c r="G2247">
        <v>38</v>
      </c>
      <c r="H2247" t="s">
        <v>18</v>
      </c>
      <c r="I2247">
        <v>36.130000000000003</v>
      </c>
      <c r="J2247">
        <v>46.26</v>
      </c>
      <c r="K2247">
        <v>221.22</v>
      </c>
      <c r="L2247">
        <v>0.93</v>
      </c>
      <c r="M2247">
        <v>303.61</v>
      </c>
      <c r="N2247">
        <v>304.54000000000002</v>
      </c>
    </row>
    <row r="2248" spans="1:14" x14ac:dyDescent="0.3">
      <c r="A2248" s="2">
        <v>44866</v>
      </c>
      <c r="B2248" t="s">
        <v>70</v>
      </c>
      <c r="C2248">
        <v>2022</v>
      </c>
      <c r="D2248">
        <v>11</v>
      </c>
      <c r="E2248" t="s">
        <v>56</v>
      </c>
      <c r="F2248" t="s">
        <v>27</v>
      </c>
      <c r="G2248">
        <v>7</v>
      </c>
      <c r="H2248" t="s">
        <v>18</v>
      </c>
      <c r="I2248">
        <v>930.95</v>
      </c>
      <c r="J2248">
        <v>1127.43</v>
      </c>
      <c r="K2248">
        <v>2429.5300000000002</v>
      </c>
      <c r="L2248">
        <v>77.66</v>
      </c>
      <c r="M2248">
        <v>4487.91</v>
      </c>
      <c r="N2248">
        <v>4565.57</v>
      </c>
    </row>
    <row r="2249" spans="1:14" x14ac:dyDescent="0.3">
      <c r="A2249" s="2">
        <v>44866</v>
      </c>
      <c r="B2249" t="s">
        <v>70</v>
      </c>
      <c r="C2249">
        <v>2022</v>
      </c>
      <c r="D2249">
        <v>11</v>
      </c>
      <c r="E2249" t="s">
        <v>56</v>
      </c>
      <c r="F2249" t="s">
        <v>28</v>
      </c>
      <c r="G2249">
        <v>30</v>
      </c>
      <c r="H2249" t="s">
        <v>20</v>
      </c>
      <c r="I2249">
        <v>120.32</v>
      </c>
      <c r="J2249">
        <v>160.91999999999999</v>
      </c>
      <c r="K2249">
        <v>163.37</v>
      </c>
      <c r="L2249">
        <v>2.73</v>
      </c>
      <c r="M2249">
        <v>444.61</v>
      </c>
      <c r="N2249">
        <v>447.34</v>
      </c>
    </row>
    <row r="2250" spans="1:14" x14ac:dyDescent="0.3">
      <c r="A2250" s="2">
        <v>44866</v>
      </c>
      <c r="B2250" t="s">
        <v>70</v>
      </c>
      <c r="C2250">
        <v>2022</v>
      </c>
      <c r="D2250">
        <v>11</v>
      </c>
      <c r="E2250" t="s">
        <v>56</v>
      </c>
      <c r="F2250" t="s">
        <v>29</v>
      </c>
      <c r="G2250">
        <v>24</v>
      </c>
      <c r="H2250" t="s">
        <v>20</v>
      </c>
      <c r="I2250">
        <v>2583.1</v>
      </c>
      <c r="J2250">
        <v>3109.07</v>
      </c>
      <c r="K2250">
        <v>3056.62</v>
      </c>
      <c r="L2250">
        <v>584.61</v>
      </c>
      <c r="M2250">
        <v>8748.7900000000009</v>
      </c>
      <c r="N2250">
        <v>9333.4</v>
      </c>
    </row>
    <row r="2251" spans="1:14" x14ac:dyDescent="0.3">
      <c r="A2251" s="2">
        <v>44866</v>
      </c>
      <c r="B2251" t="s">
        <v>70</v>
      </c>
      <c r="C2251">
        <v>2022</v>
      </c>
      <c r="D2251">
        <v>11</v>
      </c>
      <c r="E2251" t="s">
        <v>56</v>
      </c>
      <c r="F2251" t="s">
        <v>30</v>
      </c>
      <c r="G2251">
        <v>6</v>
      </c>
      <c r="H2251" t="s">
        <v>20</v>
      </c>
      <c r="I2251">
        <v>1045.69</v>
      </c>
      <c r="J2251">
        <v>1395.03</v>
      </c>
      <c r="K2251">
        <v>3880.31</v>
      </c>
      <c r="L2251">
        <v>448.2</v>
      </c>
      <c r="M2251">
        <v>6321.03</v>
      </c>
      <c r="N2251">
        <v>6769.23</v>
      </c>
    </row>
    <row r="2252" spans="1:14" x14ac:dyDescent="0.3">
      <c r="A2252" s="2">
        <v>44866</v>
      </c>
      <c r="B2252" t="s">
        <v>70</v>
      </c>
      <c r="C2252">
        <v>2022</v>
      </c>
      <c r="D2252">
        <v>11</v>
      </c>
      <c r="E2252" t="s">
        <v>56</v>
      </c>
      <c r="F2252" t="s">
        <v>31</v>
      </c>
      <c r="G2252">
        <v>2</v>
      </c>
      <c r="H2252" t="s">
        <v>20</v>
      </c>
      <c r="I2252">
        <v>141.84</v>
      </c>
      <c r="J2252">
        <v>206.79</v>
      </c>
      <c r="K2252">
        <v>322.52</v>
      </c>
      <c r="L2252">
        <v>1.22</v>
      </c>
      <c r="M2252">
        <v>671.15</v>
      </c>
      <c r="N2252">
        <v>672.37</v>
      </c>
    </row>
    <row r="2253" spans="1:14" x14ac:dyDescent="0.3">
      <c r="A2253" s="2">
        <v>44866</v>
      </c>
      <c r="B2253" t="s">
        <v>70</v>
      </c>
      <c r="C2253">
        <v>2022</v>
      </c>
      <c r="D2253">
        <v>11</v>
      </c>
      <c r="E2253" t="s">
        <v>56</v>
      </c>
      <c r="F2253" t="s">
        <v>32</v>
      </c>
      <c r="G2253">
        <v>1</v>
      </c>
      <c r="H2253" t="s">
        <v>18</v>
      </c>
      <c r="I2253">
        <v>129.44999999999999</v>
      </c>
      <c r="J2253">
        <v>194.92</v>
      </c>
      <c r="K2253">
        <v>102.13</v>
      </c>
      <c r="L2253">
        <v>3.07</v>
      </c>
      <c r="M2253">
        <v>426.5</v>
      </c>
      <c r="N2253">
        <v>429.57</v>
      </c>
    </row>
    <row r="2254" spans="1:14" x14ac:dyDescent="0.3">
      <c r="A2254" s="2">
        <v>44866</v>
      </c>
      <c r="B2254" t="s">
        <v>70</v>
      </c>
      <c r="C2254">
        <v>2022</v>
      </c>
      <c r="D2254">
        <v>11</v>
      </c>
      <c r="E2254" t="s">
        <v>56</v>
      </c>
      <c r="F2254" t="s">
        <v>33</v>
      </c>
      <c r="G2254">
        <v>20</v>
      </c>
      <c r="H2254" t="s">
        <v>20</v>
      </c>
      <c r="I2254">
        <v>442.81</v>
      </c>
      <c r="J2254">
        <v>617.62</v>
      </c>
      <c r="K2254">
        <v>1064.19</v>
      </c>
      <c r="L2254">
        <v>426.19</v>
      </c>
      <c r="M2254">
        <v>2124.62</v>
      </c>
      <c r="N2254">
        <v>2550.81</v>
      </c>
    </row>
    <row r="2255" spans="1:14" x14ac:dyDescent="0.3">
      <c r="A2255" s="2">
        <v>44866</v>
      </c>
      <c r="B2255" t="s">
        <v>70</v>
      </c>
      <c r="C2255">
        <v>2022</v>
      </c>
      <c r="D2255">
        <v>11</v>
      </c>
      <c r="E2255" t="s">
        <v>56</v>
      </c>
      <c r="F2255" t="s">
        <v>34</v>
      </c>
      <c r="G2255">
        <v>29</v>
      </c>
      <c r="H2255" t="s">
        <v>20</v>
      </c>
      <c r="I2255">
        <v>2241.31</v>
      </c>
      <c r="J2255">
        <v>2861.04</v>
      </c>
      <c r="K2255">
        <v>3958.75</v>
      </c>
      <c r="L2255">
        <v>1177.3599999999999</v>
      </c>
      <c r="M2255">
        <v>9061.1</v>
      </c>
      <c r="N2255">
        <v>10238.459999999999</v>
      </c>
    </row>
    <row r="2256" spans="1:14" x14ac:dyDescent="0.3">
      <c r="A2256" s="2">
        <v>44866</v>
      </c>
      <c r="B2256" t="s">
        <v>70</v>
      </c>
      <c r="C2256">
        <v>2022</v>
      </c>
      <c r="D2256">
        <v>11</v>
      </c>
      <c r="E2256" t="s">
        <v>56</v>
      </c>
      <c r="F2256" t="s">
        <v>35</v>
      </c>
      <c r="G2256">
        <v>32</v>
      </c>
      <c r="H2256" t="s">
        <v>20</v>
      </c>
      <c r="I2256">
        <v>761.22</v>
      </c>
      <c r="J2256">
        <v>989.25</v>
      </c>
      <c r="K2256">
        <v>337.56</v>
      </c>
      <c r="L2256">
        <v>6.05</v>
      </c>
      <c r="M2256">
        <v>2088.0300000000002</v>
      </c>
      <c r="N2256">
        <v>2094.08</v>
      </c>
    </row>
    <row r="2257" spans="1:14" x14ac:dyDescent="0.3">
      <c r="A2257" s="2">
        <v>44866</v>
      </c>
      <c r="B2257" t="s">
        <v>70</v>
      </c>
      <c r="C2257">
        <v>2022</v>
      </c>
      <c r="D2257">
        <v>11</v>
      </c>
      <c r="E2257" t="s">
        <v>56</v>
      </c>
      <c r="F2257" t="s">
        <v>67</v>
      </c>
      <c r="G2257">
        <v>37</v>
      </c>
      <c r="H2257" t="s">
        <v>18</v>
      </c>
      <c r="I2257">
        <v>17.84</v>
      </c>
      <c r="J2257">
        <v>29.26</v>
      </c>
      <c r="K2257">
        <v>2.76</v>
      </c>
      <c r="L2257">
        <v>0.09</v>
      </c>
      <c r="M2257">
        <v>49.86</v>
      </c>
      <c r="N2257">
        <v>49.95</v>
      </c>
    </row>
    <row r="2258" spans="1:14" x14ac:dyDescent="0.3">
      <c r="A2258" s="2">
        <v>44866</v>
      </c>
      <c r="B2258" t="s">
        <v>70</v>
      </c>
      <c r="C2258">
        <v>2022</v>
      </c>
      <c r="D2258">
        <v>11</v>
      </c>
      <c r="E2258" t="s">
        <v>56</v>
      </c>
      <c r="F2258" t="s">
        <v>36</v>
      </c>
      <c r="G2258">
        <v>31</v>
      </c>
      <c r="H2258" t="s">
        <v>18</v>
      </c>
      <c r="I2258">
        <v>0.13</v>
      </c>
      <c r="J2258">
        <v>0.18</v>
      </c>
      <c r="K2258">
        <v>0.17</v>
      </c>
      <c r="L2258">
        <v>0</v>
      </c>
      <c r="M2258">
        <v>0.48</v>
      </c>
      <c r="N2258">
        <v>0.48</v>
      </c>
    </row>
    <row r="2259" spans="1:14" x14ac:dyDescent="0.3">
      <c r="A2259" s="2">
        <v>44866</v>
      </c>
      <c r="B2259" t="s">
        <v>70</v>
      </c>
      <c r="C2259">
        <v>2022</v>
      </c>
      <c r="D2259">
        <v>11</v>
      </c>
      <c r="E2259" t="s">
        <v>56</v>
      </c>
      <c r="F2259" t="s">
        <v>37</v>
      </c>
      <c r="G2259">
        <v>23</v>
      </c>
      <c r="H2259" t="s">
        <v>20</v>
      </c>
      <c r="I2259">
        <v>706.66</v>
      </c>
      <c r="J2259">
        <v>916.86</v>
      </c>
      <c r="K2259">
        <v>707.39</v>
      </c>
      <c r="L2259">
        <v>558.80999999999995</v>
      </c>
      <c r="M2259">
        <v>2330.91</v>
      </c>
      <c r="N2259">
        <v>2889.72</v>
      </c>
    </row>
    <row r="2260" spans="1:14" x14ac:dyDescent="0.3">
      <c r="A2260" s="2">
        <v>44866</v>
      </c>
      <c r="B2260" t="s">
        <v>70</v>
      </c>
      <c r="C2260">
        <v>2022</v>
      </c>
      <c r="D2260">
        <v>11</v>
      </c>
      <c r="E2260" t="s">
        <v>56</v>
      </c>
      <c r="F2260" t="s">
        <v>38</v>
      </c>
      <c r="G2260">
        <v>27</v>
      </c>
      <c r="H2260" t="s">
        <v>20</v>
      </c>
      <c r="I2260">
        <v>5828.63</v>
      </c>
      <c r="J2260">
        <v>6780.17</v>
      </c>
      <c r="K2260">
        <v>7289.38</v>
      </c>
      <c r="L2260">
        <v>1712.33</v>
      </c>
      <c r="M2260">
        <v>19898.18</v>
      </c>
      <c r="N2260">
        <v>21610.51</v>
      </c>
    </row>
    <row r="2261" spans="1:14" x14ac:dyDescent="0.3">
      <c r="A2261" s="2">
        <v>44866</v>
      </c>
      <c r="B2261" t="s">
        <v>70</v>
      </c>
      <c r="C2261">
        <v>2022</v>
      </c>
      <c r="D2261">
        <v>11</v>
      </c>
      <c r="E2261" t="s">
        <v>56</v>
      </c>
      <c r="F2261" t="s">
        <v>39</v>
      </c>
      <c r="G2261">
        <v>14</v>
      </c>
      <c r="H2261" t="s">
        <v>20</v>
      </c>
      <c r="I2261">
        <v>16.760000000000002</v>
      </c>
      <c r="J2261">
        <v>24.6</v>
      </c>
      <c r="K2261">
        <v>9.0399999999999991</v>
      </c>
      <c r="L2261">
        <v>0.04</v>
      </c>
      <c r="M2261">
        <v>50.4</v>
      </c>
      <c r="N2261">
        <v>50.44</v>
      </c>
    </row>
    <row r="2262" spans="1:14" x14ac:dyDescent="0.3">
      <c r="A2262" s="2">
        <v>44866</v>
      </c>
      <c r="B2262" t="s">
        <v>70</v>
      </c>
      <c r="C2262">
        <v>2022</v>
      </c>
      <c r="D2262">
        <v>11</v>
      </c>
      <c r="E2262" t="s">
        <v>56</v>
      </c>
      <c r="F2262" t="s">
        <v>40</v>
      </c>
      <c r="G2262">
        <v>17</v>
      </c>
      <c r="H2262" t="s">
        <v>20</v>
      </c>
      <c r="I2262">
        <v>27.44</v>
      </c>
      <c r="J2262">
        <v>33.28</v>
      </c>
      <c r="K2262">
        <v>100.03</v>
      </c>
      <c r="L2262">
        <v>1.05</v>
      </c>
      <c r="M2262">
        <v>160.75</v>
      </c>
      <c r="N2262">
        <v>161.80000000000001</v>
      </c>
    </row>
    <row r="2263" spans="1:14" x14ac:dyDescent="0.3">
      <c r="A2263" s="2">
        <v>44866</v>
      </c>
      <c r="B2263" t="s">
        <v>70</v>
      </c>
      <c r="C2263">
        <v>2022</v>
      </c>
      <c r="D2263">
        <v>11</v>
      </c>
      <c r="E2263" t="s">
        <v>56</v>
      </c>
      <c r="F2263" t="s">
        <v>41</v>
      </c>
      <c r="G2263">
        <v>15</v>
      </c>
      <c r="H2263" t="s">
        <v>20</v>
      </c>
      <c r="I2263">
        <v>8.35</v>
      </c>
      <c r="J2263">
        <v>12.11</v>
      </c>
      <c r="K2263">
        <v>3.32</v>
      </c>
      <c r="L2263">
        <v>0.01</v>
      </c>
      <c r="M2263">
        <v>23.78</v>
      </c>
      <c r="N2263">
        <v>23.79</v>
      </c>
    </row>
    <row r="2264" spans="1:14" x14ac:dyDescent="0.3">
      <c r="A2264" s="2">
        <v>44866</v>
      </c>
      <c r="B2264" t="s">
        <v>70</v>
      </c>
      <c r="C2264">
        <v>2022</v>
      </c>
      <c r="D2264">
        <v>11</v>
      </c>
      <c r="E2264" t="s">
        <v>56</v>
      </c>
      <c r="F2264" t="s">
        <v>42</v>
      </c>
      <c r="G2264">
        <v>13</v>
      </c>
      <c r="H2264" t="s">
        <v>20</v>
      </c>
      <c r="I2264">
        <v>10.3</v>
      </c>
      <c r="J2264">
        <v>13.27</v>
      </c>
      <c r="K2264">
        <v>8.08</v>
      </c>
      <c r="L2264">
        <v>1.85</v>
      </c>
      <c r="M2264">
        <v>31.65</v>
      </c>
      <c r="N2264">
        <v>33.5</v>
      </c>
    </row>
    <row r="2265" spans="1:14" x14ac:dyDescent="0.3">
      <c r="A2265" s="2">
        <v>44866</v>
      </c>
      <c r="B2265" t="s">
        <v>70</v>
      </c>
      <c r="C2265">
        <v>2022</v>
      </c>
      <c r="D2265">
        <v>11</v>
      </c>
      <c r="E2265" t="s">
        <v>56</v>
      </c>
      <c r="F2265" t="s">
        <v>43</v>
      </c>
      <c r="G2265">
        <v>21</v>
      </c>
      <c r="H2265" t="s">
        <v>20</v>
      </c>
      <c r="I2265">
        <v>845.79</v>
      </c>
      <c r="J2265">
        <v>1014.82</v>
      </c>
      <c r="K2265">
        <v>1577.15</v>
      </c>
      <c r="L2265">
        <v>724.5</v>
      </c>
      <c r="M2265">
        <v>3437.76</v>
      </c>
      <c r="N2265">
        <v>4162.26</v>
      </c>
    </row>
    <row r="2266" spans="1:14" x14ac:dyDescent="0.3">
      <c r="A2266" s="2">
        <v>44866</v>
      </c>
      <c r="B2266" t="s">
        <v>70</v>
      </c>
      <c r="C2266">
        <v>2022</v>
      </c>
      <c r="D2266">
        <v>11</v>
      </c>
      <c r="E2266" t="s">
        <v>56</v>
      </c>
      <c r="F2266" t="s">
        <v>44</v>
      </c>
      <c r="G2266">
        <v>34</v>
      </c>
      <c r="H2266" t="s">
        <v>18</v>
      </c>
      <c r="I2266">
        <v>24.05</v>
      </c>
      <c r="J2266">
        <v>37.590000000000003</v>
      </c>
      <c r="K2266">
        <v>147.29</v>
      </c>
      <c r="L2266">
        <v>0.43</v>
      </c>
      <c r="M2266">
        <v>208.93</v>
      </c>
      <c r="N2266">
        <v>209.36</v>
      </c>
    </row>
    <row r="2267" spans="1:14" x14ac:dyDescent="0.3">
      <c r="A2267" s="2">
        <v>44866</v>
      </c>
      <c r="B2267" t="s">
        <v>70</v>
      </c>
      <c r="C2267">
        <v>2022</v>
      </c>
      <c r="D2267">
        <v>11</v>
      </c>
      <c r="E2267" t="s">
        <v>56</v>
      </c>
      <c r="F2267" t="s">
        <v>45</v>
      </c>
      <c r="G2267">
        <v>3</v>
      </c>
      <c r="H2267" t="s">
        <v>20</v>
      </c>
      <c r="I2267">
        <v>394.48</v>
      </c>
      <c r="J2267">
        <v>645.91</v>
      </c>
      <c r="K2267">
        <v>610.61</v>
      </c>
      <c r="L2267">
        <v>18.23</v>
      </c>
      <c r="M2267">
        <v>1651</v>
      </c>
      <c r="N2267">
        <v>1669.23</v>
      </c>
    </row>
    <row r="2268" spans="1:14" x14ac:dyDescent="0.3">
      <c r="A2268" s="2">
        <v>44866</v>
      </c>
      <c r="B2268" t="s">
        <v>70</v>
      </c>
      <c r="C2268">
        <v>2022</v>
      </c>
      <c r="D2268">
        <v>11</v>
      </c>
      <c r="E2268" t="s">
        <v>56</v>
      </c>
      <c r="F2268" t="s">
        <v>46</v>
      </c>
      <c r="G2268">
        <v>8</v>
      </c>
      <c r="H2268" t="s">
        <v>20</v>
      </c>
      <c r="I2268">
        <v>996.05</v>
      </c>
      <c r="J2268">
        <v>1314.23</v>
      </c>
      <c r="K2268">
        <v>1183.48</v>
      </c>
      <c r="L2268">
        <v>124.68</v>
      </c>
      <c r="M2268">
        <v>3493.76</v>
      </c>
      <c r="N2268">
        <v>3618.44</v>
      </c>
    </row>
    <row r="2269" spans="1:14" x14ac:dyDescent="0.3">
      <c r="A2269" s="2">
        <v>44866</v>
      </c>
      <c r="B2269" t="s">
        <v>70</v>
      </c>
      <c r="C2269">
        <v>2022</v>
      </c>
      <c r="D2269">
        <v>11</v>
      </c>
      <c r="E2269" t="s">
        <v>56</v>
      </c>
      <c r="F2269" t="s">
        <v>47</v>
      </c>
      <c r="G2269">
        <v>11</v>
      </c>
      <c r="H2269" t="s">
        <v>20</v>
      </c>
      <c r="I2269">
        <v>17.8</v>
      </c>
      <c r="J2269">
        <v>22.7</v>
      </c>
      <c r="K2269">
        <v>168.79</v>
      </c>
      <c r="L2269">
        <v>0.13</v>
      </c>
      <c r="M2269">
        <v>209.29</v>
      </c>
      <c r="N2269">
        <v>209.42</v>
      </c>
    </row>
    <row r="2270" spans="1:14" x14ac:dyDescent="0.3">
      <c r="A2270" s="2">
        <v>44866</v>
      </c>
      <c r="B2270" t="s">
        <v>70</v>
      </c>
      <c r="C2270">
        <v>2022</v>
      </c>
      <c r="D2270">
        <v>11</v>
      </c>
      <c r="E2270" t="s">
        <v>56</v>
      </c>
      <c r="F2270" t="s">
        <v>48</v>
      </c>
      <c r="G2270">
        <v>33</v>
      </c>
      <c r="H2270" t="s">
        <v>20</v>
      </c>
      <c r="I2270">
        <v>2252.19</v>
      </c>
      <c r="J2270">
        <v>2966.23</v>
      </c>
      <c r="K2270">
        <v>2655.55</v>
      </c>
      <c r="L2270">
        <v>677.47</v>
      </c>
      <c r="M2270">
        <v>7873.97</v>
      </c>
      <c r="N2270">
        <v>8551.44</v>
      </c>
    </row>
    <row r="2271" spans="1:14" x14ac:dyDescent="0.3">
      <c r="A2271" s="2">
        <v>44866</v>
      </c>
      <c r="B2271" t="s">
        <v>70</v>
      </c>
      <c r="C2271">
        <v>2022</v>
      </c>
      <c r="D2271">
        <v>11</v>
      </c>
      <c r="E2271" t="s">
        <v>56</v>
      </c>
      <c r="F2271" t="s">
        <v>49</v>
      </c>
      <c r="G2271">
        <v>36</v>
      </c>
      <c r="H2271" t="s">
        <v>20</v>
      </c>
      <c r="I2271">
        <v>1030.5999999999999</v>
      </c>
      <c r="J2271">
        <v>1388.3</v>
      </c>
      <c r="K2271">
        <v>1286.5999999999999</v>
      </c>
      <c r="L2271">
        <v>522.54</v>
      </c>
      <c r="M2271">
        <v>3705.5</v>
      </c>
      <c r="N2271">
        <v>4228.04</v>
      </c>
    </row>
    <row r="2272" spans="1:14" x14ac:dyDescent="0.3">
      <c r="A2272" s="2">
        <v>44866</v>
      </c>
      <c r="B2272" t="s">
        <v>70</v>
      </c>
      <c r="C2272">
        <v>2022</v>
      </c>
      <c r="D2272">
        <v>11</v>
      </c>
      <c r="E2272" t="s">
        <v>56</v>
      </c>
      <c r="F2272" t="s">
        <v>50</v>
      </c>
      <c r="G2272">
        <v>16</v>
      </c>
      <c r="H2272" t="s">
        <v>20</v>
      </c>
      <c r="I2272">
        <v>22.64</v>
      </c>
      <c r="J2272">
        <v>29.59</v>
      </c>
      <c r="K2272">
        <v>7.11</v>
      </c>
      <c r="L2272">
        <v>0.27</v>
      </c>
      <c r="M2272">
        <v>59.34</v>
      </c>
      <c r="N2272">
        <v>59.61</v>
      </c>
    </row>
    <row r="2273" spans="1:14" x14ac:dyDescent="0.3">
      <c r="A2273" s="2">
        <v>44866</v>
      </c>
      <c r="B2273" t="s">
        <v>70</v>
      </c>
      <c r="C2273">
        <v>2022</v>
      </c>
      <c r="D2273">
        <v>11</v>
      </c>
      <c r="E2273" t="s">
        <v>56</v>
      </c>
      <c r="F2273" t="s">
        <v>51</v>
      </c>
      <c r="G2273">
        <v>9</v>
      </c>
      <c r="H2273" t="s">
        <v>20</v>
      </c>
      <c r="I2273">
        <v>1533.66</v>
      </c>
      <c r="J2273">
        <v>2076.16</v>
      </c>
      <c r="K2273">
        <v>2444.21</v>
      </c>
      <c r="L2273">
        <v>1200.45</v>
      </c>
      <c r="M2273">
        <v>6054.03</v>
      </c>
      <c r="N2273">
        <v>7254.48</v>
      </c>
    </row>
    <row r="2274" spans="1:14" x14ac:dyDescent="0.3">
      <c r="A2274" s="2">
        <v>44866</v>
      </c>
      <c r="B2274" t="s">
        <v>70</v>
      </c>
      <c r="C2274">
        <v>2022</v>
      </c>
      <c r="D2274">
        <v>11</v>
      </c>
      <c r="E2274" t="s">
        <v>56</v>
      </c>
      <c r="F2274" t="s">
        <v>52</v>
      </c>
      <c r="G2274">
        <v>5</v>
      </c>
      <c r="H2274" t="s">
        <v>20</v>
      </c>
      <c r="I2274">
        <v>243.52</v>
      </c>
      <c r="J2274">
        <v>387.54</v>
      </c>
      <c r="K2274">
        <v>639.08000000000004</v>
      </c>
      <c r="L2274">
        <v>9.89</v>
      </c>
      <c r="M2274">
        <v>1270.1400000000001</v>
      </c>
      <c r="N2274">
        <v>1280.03</v>
      </c>
    </row>
    <row r="2275" spans="1:14" x14ac:dyDescent="0.3">
      <c r="A2275" s="2">
        <v>44866</v>
      </c>
      <c r="B2275" t="s">
        <v>70</v>
      </c>
      <c r="C2275">
        <v>2022</v>
      </c>
      <c r="D2275">
        <v>11</v>
      </c>
      <c r="E2275" t="s">
        <v>56</v>
      </c>
      <c r="F2275" t="s">
        <v>53</v>
      </c>
      <c r="G2275">
        <v>19</v>
      </c>
      <c r="H2275" t="s">
        <v>20</v>
      </c>
      <c r="I2275">
        <v>1312.8</v>
      </c>
      <c r="J2275">
        <v>1615.48</v>
      </c>
      <c r="K2275">
        <v>1132.22</v>
      </c>
      <c r="L2275">
        <v>310.95999999999998</v>
      </c>
      <c r="M2275">
        <v>4060.5</v>
      </c>
      <c r="N2275">
        <v>4371.46</v>
      </c>
    </row>
    <row r="2276" spans="1:14" x14ac:dyDescent="0.3">
      <c r="A2276" s="2">
        <v>44896</v>
      </c>
      <c r="B2276" t="s">
        <v>70</v>
      </c>
      <c r="C2276">
        <v>2022</v>
      </c>
      <c r="D2276">
        <v>12</v>
      </c>
      <c r="E2276" t="s">
        <v>57</v>
      </c>
      <c r="F2276" t="s">
        <v>17</v>
      </c>
      <c r="G2276">
        <v>35</v>
      </c>
      <c r="H2276" t="s">
        <v>18</v>
      </c>
      <c r="I2276">
        <v>7.23</v>
      </c>
      <c r="J2276">
        <v>10.66</v>
      </c>
      <c r="K2276">
        <v>3.08</v>
      </c>
      <c r="L2276">
        <v>7.0000000000000007E-2</v>
      </c>
      <c r="M2276">
        <v>20.97</v>
      </c>
      <c r="N2276">
        <v>21.04</v>
      </c>
    </row>
    <row r="2277" spans="1:14" x14ac:dyDescent="0.3">
      <c r="A2277" s="2">
        <v>44896</v>
      </c>
      <c r="B2277" t="s">
        <v>70</v>
      </c>
      <c r="C2277">
        <v>2022</v>
      </c>
      <c r="D2277">
        <v>12</v>
      </c>
      <c r="E2277" t="s">
        <v>57</v>
      </c>
      <c r="F2277" t="s">
        <v>19</v>
      </c>
      <c r="G2277">
        <v>28</v>
      </c>
      <c r="H2277" t="s">
        <v>20</v>
      </c>
      <c r="I2277">
        <v>756.99</v>
      </c>
      <c r="J2277">
        <v>972.23</v>
      </c>
      <c r="K2277">
        <v>1162.8599999999999</v>
      </c>
      <c r="L2277">
        <v>290.33</v>
      </c>
      <c r="M2277">
        <v>2892.08</v>
      </c>
      <c r="N2277">
        <v>3182.41</v>
      </c>
    </row>
    <row r="2278" spans="1:14" x14ac:dyDescent="0.3">
      <c r="A2278" s="2">
        <v>44896</v>
      </c>
      <c r="B2278" t="s">
        <v>70</v>
      </c>
      <c r="C2278">
        <v>2022</v>
      </c>
      <c r="D2278">
        <v>12</v>
      </c>
      <c r="E2278" t="s">
        <v>57</v>
      </c>
      <c r="F2278" t="s">
        <v>21</v>
      </c>
      <c r="G2278">
        <v>12</v>
      </c>
      <c r="H2278" t="s">
        <v>20</v>
      </c>
      <c r="I2278">
        <v>24.61</v>
      </c>
      <c r="J2278">
        <v>32.32</v>
      </c>
      <c r="K2278">
        <v>10.26</v>
      </c>
      <c r="L2278">
        <v>0.03</v>
      </c>
      <c r="M2278">
        <v>67.19</v>
      </c>
      <c r="N2278">
        <v>67.22</v>
      </c>
    </row>
    <row r="2279" spans="1:14" x14ac:dyDescent="0.3">
      <c r="A2279" s="2">
        <v>44896</v>
      </c>
      <c r="B2279" t="s">
        <v>70</v>
      </c>
      <c r="C2279">
        <v>2022</v>
      </c>
      <c r="D2279">
        <v>12</v>
      </c>
      <c r="E2279" t="s">
        <v>57</v>
      </c>
      <c r="F2279" t="s">
        <v>22</v>
      </c>
      <c r="G2279">
        <v>18</v>
      </c>
      <c r="H2279" t="s">
        <v>20</v>
      </c>
      <c r="I2279">
        <v>324.05</v>
      </c>
      <c r="J2279">
        <v>405.78</v>
      </c>
      <c r="K2279">
        <v>366.37</v>
      </c>
      <c r="L2279">
        <v>53.86</v>
      </c>
      <c r="M2279">
        <v>1096.2</v>
      </c>
      <c r="N2279">
        <v>1150.06</v>
      </c>
    </row>
    <row r="2280" spans="1:14" x14ac:dyDescent="0.3">
      <c r="A2280" s="2">
        <v>44896</v>
      </c>
      <c r="B2280" t="s">
        <v>70</v>
      </c>
      <c r="C2280">
        <v>2022</v>
      </c>
      <c r="D2280">
        <v>12</v>
      </c>
      <c r="E2280" t="s">
        <v>57</v>
      </c>
      <c r="F2280" t="s">
        <v>23</v>
      </c>
      <c r="G2280">
        <v>10</v>
      </c>
      <c r="H2280" t="s">
        <v>20</v>
      </c>
      <c r="I2280">
        <v>358.84</v>
      </c>
      <c r="J2280">
        <v>592.73</v>
      </c>
      <c r="K2280">
        <v>169.85</v>
      </c>
      <c r="L2280">
        <v>187.8</v>
      </c>
      <c r="M2280">
        <v>1121.42</v>
      </c>
      <c r="N2280">
        <v>1309.22</v>
      </c>
    </row>
    <row r="2281" spans="1:14" x14ac:dyDescent="0.3">
      <c r="A2281" s="2">
        <v>44896</v>
      </c>
      <c r="B2281" t="s">
        <v>70</v>
      </c>
      <c r="C2281">
        <v>2022</v>
      </c>
      <c r="D2281">
        <v>12</v>
      </c>
      <c r="E2281" t="s">
        <v>57</v>
      </c>
      <c r="F2281" t="s">
        <v>24</v>
      </c>
      <c r="G2281">
        <v>4</v>
      </c>
      <c r="H2281" t="s">
        <v>18</v>
      </c>
      <c r="I2281">
        <v>37.369999999999997</v>
      </c>
      <c r="J2281">
        <v>50.02</v>
      </c>
      <c r="K2281">
        <v>129.82</v>
      </c>
      <c r="L2281">
        <v>0.39</v>
      </c>
      <c r="M2281">
        <v>217.21</v>
      </c>
      <c r="N2281">
        <v>217.6</v>
      </c>
    </row>
    <row r="2282" spans="1:14" x14ac:dyDescent="0.3">
      <c r="A2282" s="2">
        <v>44896</v>
      </c>
      <c r="B2282" t="s">
        <v>70</v>
      </c>
      <c r="C2282">
        <v>2022</v>
      </c>
      <c r="D2282">
        <v>12</v>
      </c>
      <c r="E2282" t="s">
        <v>57</v>
      </c>
      <c r="F2282" t="s">
        <v>25</v>
      </c>
      <c r="G2282">
        <v>22</v>
      </c>
      <c r="H2282" t="s">
        <v>20</v>
      </c>
      <c r="I2282">
        <v>512</v>
      </c>
      <c r="J2282">
        <v>588.23</v>
      </c>
      <c r="K2282">
        <v>897.89</v>
      </c>
      <c r="L2282">
        <v>587.24</v>
      </c>
      <c r="M2282">
        <v>1998.12</v>
      </c>
      <c r="N2282">
        <v>2585.36</v>
      </c>
    </row>
    <row r="2283" spans="1:14" x14ac:dyDescent="0.3">
      <c r="A2283" s="2">
        <v>44896</v>
      </c>
      <c r="B2283" t="s">
        <v>70</v>
      </c>
      <c r="C2283">
        <v>2022</v>
      </c>
      <c r="D2283">
        <v>12</v>
      </c>
      <c r="E2283" t="s">
        <v>57</v>
      </c>
      <c r="F2283" t="s">
        <v>26</v>
      </c>
      <c r="G2283">
        <v>38</v>
      </c>
      <c r="H2283" t="s">
        <v>18</v>
      </c>
      <c r="I2283">
        <v>42.98</v>
      </c>
      <c r="J2283">
        <v>51.43</v>
      </c>
      <c r="K2283">
        <v>223.03</v>
      </c>
      <c r="L2283">
        <v>0.1</v>
      </c>
      <c r="M2283">
        <v>317.44</v>
      </c>
      <c r="N2283">
        <v>317.54000000000002</v>
      </c>
    </row>
    <row r="2284" spans="1:14" x14ac:dyDescent="0.3">
      <c r="A2284" s="2">
        <v>44896</v>
      </c>
      <c r="B2284" t="s">
        <v>70</v>
      </c>
      <c r="C2284">
        <v>2022</v>
      </c>
      <c r="D2284">
        <v>12</v>
      </c>
      <c r="E2284" t="s">
        <v>57</v>
      </c>
      <c r="F2284" t="s">
        <v>27</v>
      </c>
      <c r="G2284">
        <v>7</v>
      </c>
      <c r="H2284" t="s">
        <v>18</v>
      </c>
      <c r="I2284">
        <v>859.02</v>
      </c>
      <c r="J2284">
        <v>1040.19</v>
      </c>
      <c r="K2284">
        <v>2420.66</v>
      </c>
      <c r="L2284">
        <v>80.849999999999994</v>
      </c>
      <c r="M2284">
        <v>4319.87</v>
      </c>
      <c r="N2284">
        <v>4400.72</v>
      </c>
    </row>
    <row r="2285" spans="1:14" x14ac:dyDescent="0.3">
      <c r="A2285" s="2">
        <v>44896</v>
      </c>
      <c r="B2285" t="s">
        <v>70</v>
      </c>
      <c r="C2285">
        <v>2022</v>
      </c>
      <c r="D2285">
        <v>12</v>
      </c>
      <c r="E2285" t="s">
        <v>57</v>
      </c>
      <c r="F2285" t="s">
        <v>28</v>
      </c>
      <c r="G2285">
        <v>30</v>
      </c>
      <c r="H2285" t="s">
        <v>20</v>
      </c>
      <c r="I2285">
        <v>125.81</v>
      </c>
      <c r="J2285">
        <v>162.79</v>
      </c>
      <c r="K2285">
        <v>168.83</v>
      </c>
      <c r="L2285">
        <v>2.71</v>
      </c>
      <c r="M2285">
        <v>457.43</v>
      </c>
      <c r="N2285">
        <v>460.14</v>
      </c>
    </row>
    <row r="2286" spans="1:14" x14ac:dyDescent="0.3">
      <c r="A2286" s="2">
        <v>44896</v>
      </c>
      <c r="B2286" t="s">
        <v>70</v>
      </c>
      <c r="C2286">
        <v>2022</v>
      </c>
      <c r="D2286">
        <v>12</v>
      </c>
      <c r="E2286" t="s">
        <v>57</v>
      </c>
      <c r="F2286" t="s">
        <v>29</v>
      </c>
      <c r="G2286">
        <v>24</v>
      </c>
      <c r="H2286" t="s">
        <v>20</v>
      </c>
      <c r="I2286">
        <v>2574.0700000000002</v>
      </c>
      <c r="J2286">
        <v>3067.59</v>
      </c>
      <c r="K2286">
        <v>2971.47</v>
      </c>
      <c r="L2286">
        <v>625.19000000000005</v>
      </c>
      <c r="M2286">
        <v>8613.1299999999992</v>
      </c>
      <c r="N2286">
        <v>9238.32</v>
      </c>
    </row>
    <row r="2287" spans="1:14" x14ac:dyDescent="0.3">
      <c r="A2287" s="2">
        <v>44896</v>
      </c>
      <c r="B2287" t="s">
        <v>70</v>
      </c>
      <c r="C2287">
        <v>2022</v>
      </c>
      <c r="D2287">
        <v>12</v>
      </c>
      <c r="E2287" t="s">
        <v>57</v>
      </c>
      <c r="F2287" t="s">
        <v>30</v>
      </c>
      <c r="G2287">
        <v>6</v>
      </c>
      <c r="H2287" t="s">
        <v>20</v>
      </c>
      <c r="I2287">
        <v>1032.6199999999999</v>
      </c>
      <c r="J2287">
        <v>1371.52</v>
      </c>
      <c r="K2287">
        <v>3758.63</v>
      </c>
      <c r="L2287">
        <v>515.21</v>
      </c>
      <c r="M2287">
        <v>6162.77</v>
      </c>
      <c r="N2287">
        <v>6677.98</v>
      </c>
    </row>
    <row r="2288" spans="1:14" x14ac:dyDescent="0.3">
      <c r="A2288" s="2">
        <v>44896</v>
      </c>
      <c r="B2288" t="s">
        <v>70</v>
      </c>
      <c r="C2288">
        <v>2022</v>
      </c>
      <c r="D2288">
        <v>12</v>
      </c>
      <c r="E2288" t="s">
        <v>57</v>
      </c>
      <c r="F2288" t="s">
        <v>31</v>
      </c>
      <c r="G2288">
        <v>2</v>
      </c>
      <c r="H2288" t="s">
        <v>20</v>
      </c>
      <c r="I2288">
        <v>129.96</v>
      </c>
      <c r="J2288">
        <v>183.35</v>
      </c>
      <c r="K2288">
        <v>394.39</v>
      </c>
      <c r="L2288">
        <v>0.63</v>
      </c>
      <c r="M2288">
        <v>707.7</v>
      </c>
      <c r="N2288">
        <v>708.33</v>
      </c>
    </row>
    <row r="2289" spans="1:14" x14ac:dyDescent="0.3">
      <c r="A2289" s="2">
        <v>44896</v>
      </c>
      <c r="B2289" t="s">
        <v>70</v>
      </c>
      <c r="C2289">
        <v>2022</v>
      </c>
      <c r="D2289">
        <v>12</v>
      </c>
      <c r="E2289" t="s">
        <v>57</v>
      </c>
      <c r="F2289" t="s">
        <v>32</v>
      </c>
      <c r="G2289">
        <v>1</v>
      </c>
      <c r="H2289" t="s">
        <v>18</v>
      </c>
      <c r="I2289">
        <v>125.12</v>
      </c>
      <c r="J2289">
        <v>185.86</v>
      </c>
      <c r="K2289">
        <v>97.18</v>
      </c>
      <c r="L2289">
        <v>1.44</v>
      </c>
      <c r="M2289">
        <v>408.16</v>
      </c>
      <c r="N2289">
        <v>409.6</v>
      </c>
    </row>
    <row r="2290" spans="1:14" x14ac:dyDescent="0.3">
      <c r="A2290" s="2">
        <v>44896</v>
      </c>
      <c r="B2290" t="s">
        <v>70</v>
      </c>
      <c r="C2290">
        <v>2022</v>
      </c>
      <c r="D2290">
        <v>12</v>
      </c>
      <c r="E2290" t="s">
        <v>57</v>
      </c>
      <c r="F2290" t="s">
        <v>33</v>
      </c>
      <c r="G2290">
        <v>20</v>
      </c>
      <c r="H2290" t="s">
        <v>20</v>
      </c>
      <c r="I2290">
        <v>473.71</v>
      </c>
      <c r="J2290">
        <v>615</v>
      </c>
      <c r="K2290">
        <v>951.43</v>
      </c>
      <c r="L2290">
        <v>495.54</v>
      </c>
      <c r="M2290">
        <v>2040.14</v>
      </c>
      <c r="N2290">
        <v>2535.6799999999998</v>
      </c>
    </row>
    <row r="2291" spans="1:14" x14ac:dyDescent="0.3">
      <c r="A2291" s="2">
        <v>44896</v>
      </c>
      <c r="B2291" t="s">
        <v>70</v>
      </c>
      <c r="C2291">
        <v>2022</v>
      </c>
      <c r="D2291">
        <v>12</v>
      </c>
      <c r="E2291" t="s">
        <v>57</v>
      </c>
      <c r="F2291" t="s">
        <v>34</v>
      </c>
      <c r="G2291">
        <v>29</v>
      </c>
      <c r="H2291" t="s">
        <v>20</v>
      </c>
      <c r="I2291">
        <v>2374.13</v>
      </c>
      <c r="J2291">
        <v>2950.47</v>
      </c>
      <c r="K2291">
        <v>3607.08</v>
      </c>
      <c r="L2291">
        <v>1128.8900000000001</v>
      </c>
      <c r="M2291">
        <v>8931.68</v>
      </c>
      <c r="N2291">
        <v>10060.57</v>
      </c>
    </row>
    <row r="2292" spans="1:14" x14ac:dyDescent="0.3">
      <c r="A2292" s="2">
        <v>44896</v>
      </c>
      <c r="B2292" t="s">
        <v>70</v>
      </c>
      <c r="C2292">
        <v>2022</v>
      </c>
      <c r="D2292">
        <v>12</v>
      </c>
      <c r="E2292" t="s">
        <v>57</v>
      </c>
      <c r="F2292" t="s">
        <v>35</v>
      </c>
      <c r="G2292">
        <v>32</v>
      </c>
      <c r="H2292" t="s">
        <v>20</v>
      </c>
      <c r="I2292">
        <v>752.52</v>
      </c>
      <c r="J2292">
        <v>1005.39</v>
      </c>
      <c r="K2292">
        <v>417.15</v>
      </c>
      <c r="L2292">
        <v>10.28</v>
      </c>
      <c r="M2292">
        <v>2175.06</v>
      </c>
      <c r="N2292">
        <v>2185.34</v>
      </c>
    </row>
    <row r="2293" spans="1:14" x14ac:dyDescent="0.3">
      <c r="A2293" s="2">
        <v>44896</v>
      </c>
      <c r="B2293" t="s">
        <v>70</v>
      </c>
      <c r="C2293">
        <v>2022</v>
      </c>
      <c r="D2293">
        <v>12</v>
      </c>
      <c r="E2293" t="s">
        <v>57</v>
      </c>
      <c r="F2293" t="s">
        <v>67</v>
      </c>
      <c r="G2293">
        <v>37</v>
      </c>
      <c r="H2293" t="s">
        <v>18</v>
      </c>
      <c r="I2293">
        <v>9.9600000000000009</v>
      </c>
      <c r="J2293">
        <v>12.68</v>
      </c>
      <c r="K2293">
        <v>2.79</v>
      </c>
      <c r="L2293">
        <v>0.08</v>
      </c>
      <c r="M2293">
        <v>25.43</v>
      </c>
      <c r="N2293">
        <v>25.51</v>
      </c>
    </row>
    <row r="2294" spans="1:14" x14ac:dyDescent="0.3">
      <c r="A2294" s="2">
        <v>44896</v>
      </c>
      <c r="B2294" t="s">
        <v>70</v>
      </c>
      <c r="C2294">
        <v>2022</v>
      </c>
      <c r="D2294">
        <v>12</v>
      </c>
      <c r="E2294" t="s">
        <v>57</v>
      </c>
      <c r="F2294" t="s">
        <v>36</v>
      </c>
      <c r="G2294">
        <v>31</v>
      </c>
      <c r="H2294" t="s">
        <v>18</v>
      </c>
      <c r="I2294">
        <v>0.41</v>
      </c>
      <c r="J2294">
        <v>0.45</v>
      </c>
      <c r="K2294">
        <v>0.06</v>
      </c>
      <c r="L2294">
        <v>0</v>
      </c>
      <c r="M2294">
        <v>0.92</v>
      </c>
      <c r="N2294">
        <v>0.92</v>
      </c>
    </row>
    <row r="2295" spans="1:14" x14ac:dyDescent="0.3">
      <c r="A2295" s="2">
        <v>44896</v>
      </c>
      <c r="B2295" t="s">
        <v>70</v>
      </c>
      <c r="C2295">
        <v>2022</v>
      </c>
      <c r="D2295">
        <v>12</v>
      </c>
      <c r="E2295" t="s">
        <v>57</v>
      </c>
      <c r="F2295" t="s">
        <v>37</v>
      </c>
      <c r="G2295">
        <v>23</v>
      </c>
      <c r="H2295" t="s">
        <v>20</v>
      </c>
      <c r="I2295">
        <v>733.4</v>
      </c>
      <c r="J2295">
        <v>911.41</v>
      </c>
      <c r="K2295">
        <v>824.79</v>
      </c>
      <c r="L2295">
        <v>608.95000000000005</v>
      </c>
      <c r="M2295">
        <v>2469.6</v>
      </c>
      <c r="N2295">
        <v>3078.55</v>
      </c>
    </row>
    <row r="2296" spans="1:14" x14ac:dyDescent="0.3">
      <c r="A2296" s="2">
        <v>44896</v>
      </c>
      <c r="B2296" t="s">
        <v>70</v>
      </c>
      <c r="C2296">
        <v>2022</v>
      </c>
      <c r="D2296">
        <v>12</v>
      </c>
      <c r="E2296" t="s">
        <v>57</v>
      </c>
      <c r="F2296" t="s">
        <v>38</v>
      </c>
      <c r="G2296">
        <v>27</v>
      </c>
      <c r="H2296" t="s">
        <v>20</v>
      </c>
      <c r="I2296">
        <v>6472.84</v>
      </c>
      <c r="J2296">
        <v>7519.13</v>
      </c>
      <c r="K2296">
        <v>7894.07</v>
      </c>
      <c r="L2296">
        <v>1712.07</v>
      </c>
      <c r="M2296">
        <v>21886.04</v>
      </c>
      <c r="N2296">
        <v>23598.11</v>
      </c>
    </row>
    <row r="2297" spans="1:14" x14ac:dyDescent="0.3">
      <c r="A2297" s="2">
        <v>44896</v>
      </c>
      <c r="B2297" t="s">
        <v>70</v>
      </c>
      <c r="C2297">
        <v>2022</v>
      </c>
      <c r="D2297">
        <v>12</v>
      </c>
      <c r="E2297" t="s">
        <v>57</v>
      </c>
      <c r="F2297" t="s">
        <v>39</v>
      </c>
      <c r="G2297">
        <v>14</v>
      </c>
      <c r="H2297" t="s">
        <v>20</v>
      </c>
      <c r="I2297">
        <v>16.16</v>
      </c>
      <c r="J2297">
        <v>25.39</v>
      </c>
      <c r="K2297">
        <v>4.08</v>
      </c>
      <c r="L2297">
        <v>0.03</v>
      </c>
      <c r="M2297">
        <v>45.63</v>
      </c>
      <c r="N2297">
        <v>45.66</v>
      </c>
    </row>
    <row r="2298" spans="1:14" x14ac:dyDescent="0.3">
      <c r="A2298" s="2">
        <v>44896</v>
      </c>
      <c r="B2298" t="s">
        <v>70</v>
      </c>
      <c r="C2298">
        <v>2022</v>
      </c>
      <c r="D2298">
        <v>12</v>
      </c>
      <c r="E2298" t="s">
        <v>57</v>
      </c>
      <c r="F2298" t="s">
        <v>40</v>
      </c>
      <c r="G2298">
        <v>17</v>
      </c>
      <c r="H2298" t="s">
        <v>20</v>
      </c>
      <c r="I2298">
        <v>32.47</v>
      </c>
      <c r="J2298">
        <v>40.99</v>
      </c>
      <c r="K2298">
        <v>96.41</v>
      </c>
      <c r="L2298">
        <v>1.51</v>
      </c>
      <c r="M2298">
        <v>169.87</v>
      </c>
      <c r="N2298">
        <v>171.38</v>
      </c>
    </row>
    <row r="2299" spans="1:14" x14ac:dyDescent="0.3">
      <c r="A2299" s="2">
        <v>44896</v>
      </c>
      <c r="B2299" t="s">
        <v>70</v>
      </c>
      <c r="C2299">
        <v>2022</v>
      </c>
      <c r="D2299">
        <v>12</v>
      </c>
      <c r="E2299" t="s">
        <v>57</v>
      </c>
      <c r="F2299" t="s">
        <v>41</v>
      </c>
      <c r="G2299">
        <v>15</v>
      </c>
      <c r="H2299" t="s">
        <v>20</v>
      </c>
      <c r="I2299">
        <v>7.66</v>
      </c>
      <c r="J2299">
        <v>12.94</v>
      </c>
      <c r="K2299">
        <v>2.11</v>
      </c>
      <c r="L2299">
        <v>0.04</v>
      </c>
      <c r="M2299">
        <v>22.71</v>
      </c>
      <c r="N2299">
        <v>22.75</v>
      </c>
    </row>
    <row r="2300" spans="1:14" x14ac:dyDescent="0.3">
      <c r="A2300" s="2">
        <v>44896</v>
      </c>
      <c r="B2300" t="s">
        <v>70</v>
      </c>
      <c r="C2300">
        <v>2022</v>
      </c>
      <c r="D2300">
        <v>12</v>
      </c>
      <c r="E2300" t="s">
        <v>57</v>
      </c>
      <c r="F2300" t="s">
        <v>42</v>
      </c>
      <c r="G2300">
        <v>13</v>
      </c>
      <c r="H2300" t="s">
        <v>20</v>
      </c>
      <c r="I2300">
        <v>14.73</v>
      </c>
      <c r="J2300">
        <v>20.09</v>
      </c>
      <c r="K2300">
        <v>6.4</v>
      </c>
      <c r="L2300">
        <v>2.4900000000000002</v>
      </c>
      <c r="M2300">
        <v>41.22</v>
      </c>
      <c r="N2300">
        <v>43.71</v>
      </c>
    </row>
    <row r="2301" spans="1:14" x14ac:dyDescent="0.3">
      <c r="A2301" s="2">
        <v>44896</v>
      </c>
      <c r="B2301" t="s">
        <v>70</v>
      </c>
      <c r="C2301">
        <v>2022</v>
      </c>
      <c r="D2301">
        <v>12</v>
      </c>
      <c r="E2301" t="s">
        <v>57</v>
      </c>
      <c r="F2301" t="s">
        <v>43</v>
      </c>
      <c r="G2301">
        <v>21</v>
      </c>
      <c r="H2301" t="s">
        <v>20</v>
      </c>
      <c r="I2301">
        <v>856.46</v>
      </c>
      <c r="J2301">
        <v>1033.3599999999999</v>
      </c>
      <c r="K2301">
        <v>1212.43</v>
      </c>
      <c r="L2301">
        <v>752.04</v>
      </c>
      <c r="M2301">
        <v>3102.25</v>
      </c>
      <c r="N2301">
        <v>3854.29</v>
      </c>
    </row>
    <row r="2302" spans="1:14" x14ac:dyDescent="0.3">
      <c r="A2302" s="2">
        <v>44896</v>
      </c>
      <c r="B2302" t="s">
        <v>70</v>
      </c>
      <c r="C2302">
        <v>2022</v>
      </c>
      <c r="D2302">
        <v>12</v>
      </c>
      <c r="E2302" t="s">
        <v>57</v>
      </c>
      <c r="F2302" t="s">
        <v>44</v>
      </c>
      <c r="G2302">
        <v>34</v>
      </c>
      <c r="H2302" t="s">
        <v>18</v>
      </c>
      <c r="I2302">
        <v>23.78</v>
      </c>
      <c r="J2302">
        <v>35.700000000000003</v>
      </c>
      <c r="K2302">
        <v>131.65</v>
      </c>
      <c r="L2302">
        <v>0.57999999999999996</v>
      </c>
      <c r="M2302">
        <v>191.13</v>
      </c>
      <c r="N2302">
        <v>191.71</v>
      </c>
    </row>
    <row r="2303" spans="1:14" x14ac:dyDescent="0.3">
      <c r="A2303" s="2">
        <v>44896</v>
      </c>
      <c r="B2303" t="s">
        <v>70</v>
      </c>
      <c r="C2303">
        <v>2022</v>
      </c>
      <c r="D2303">
        <v>12</v>
      </c>
      <c r="E2303" t="s">
        <v>57</v>
      </c>
      <c r="F2303" t="s">
        <v>45</v>
      </c>
      <c r="G2303">
        <v>3</v>
      </c>
      <c r="H2303" t="s">
        <v>20</v>
      </c>
      <c r="I2303">
        <v>430.71</v>
      </c>
      <c r="J2303">
        <v>616.71</v>
      </c>
      <c r="K2303">
        <v>672.17</v>
      </c>
      <c r="L2303">
        <v>14.65</v>
      </c>
      <c r="M2303">
        <v>1719.59</v>
      </c>
      <c r="N2303">
        <v>1734.24</v>
      </c>
    </row>
    <row r="2304" spans="1:14" x14ac:dyDescent="0.3">
      <c r="A2304" s="2">
        <v>44896</v>
      </c>
      <c r="B2304" t="s">
        <v>70</v>
      </c>
      <c r="C2304">
        <v>2022</v>
      </c>
      <c r="D2304">
        <v>12</v>
      </c>
      <c r="E2304" t="s">
        <v>57</v>
      </c>
      <c r="F2304" t="s">
        <v>46</v>
      </c>
      <c r="G2304">
        <v>8</v>
      </c>
      <c r="H2304" t="s">
        <v>20</v>
      </c>
      <c r="I2304">
        <v>1043.8900000000001</v>
      </c>
      <c r="J2304">
        <v>1336.98</v>
      </c>
      <c r="K2304">
        <v>1302.5899999999999</v>
      </c>
      <c r="L2304">
        <v>105.36</v>
      </c>
      <c r="M2304">
        <v>3683.46</v>
      </c>
      <c r="N2304">
        <v>3788.82</v>
      </c>
    </row>
    <row r="2305" spans="1:14" x14ac:dyDescent="0.3">
      <c r="A2305" s="2">
        <v>44896</v>
      </c>
      <c r="B2305" t="s">
        <v>70</v>
      </c>
      <c r="C2305">
        <v>2022</v>
      </c>
      <c r="D2305">
        <v>12</v>
      </c>
      <c r="E2305" t="s">
        <v>57</v>
      </c>
      <c r="F2305" t="s">
        <v>47</v>
      </c>
      <c r="G2305">
        <v>11</v>
      </c>
      <c r="H2305" t="s">
        <v>20</v>
      </c>
      <c r="I2305">
        <v>15.58</v>
      </c>
      <c r="J2305">
        <v>19.670000000000002</v>
      </c>
      <c r="K2305">
        <v>255.01</v>
      </c>
      <c r="L2305">
        <v>0.05</v>
      </c>
      <c r="M2305">
        <v>290.26</v>
      </c>
      <c r="N2305">
        <v>290.31</v>
      </c>
    </row>
    <row r="2306" spans="1:14" x14ac:dyDescent="0.3">
      <c r="A2306" s="2">
        <v>44896</v>
      </c>
      <c r="B2306" t="s">
        <v>70</v>
      </c>
      <c r="C2306">
        <v>2022</v>
      </c>
      <c r="D2306">
        <v>12</v>
      </c>
      <c r="E2306" t="s">
        <v>57</v>
      </c>
      <c r="F2306" t="s">
        <v>48</v>
      </c>
      <c r="G2306">
        <v>33</v>
      </c>
      <c r="H2306" t="s">
        <v>20</v>
      </c>
      <c r="I2306">
        <v>2225.1</v>
      </c>
      <c r="J2306">
        <v>2854.59</v>
      </c>
      <c r="K2306">
        <v>2599.9699999999998</v>
      </c>
      <c r="L2306">
        <v>644.59</v>
      </c>
      <c r="M2306">
        <v>7679.66</v>
      </c>
      <c r="N2306">
        <v>8324.25</v>
      </c>
    </row>
    <row r="2307" spans="1:14" x14ac:dyDescent="0.3">
      <c r="A2307" s="2">
        <v>44896</v>
      </c>
      <c r="B2307" t="s">
        <v>70</v>
      </c>
      <c r="C2307">
        <v>2022</v>
      </c>
      <c r="D2307">
        <v>12</v>
      </c>
      <c r="E2307" t="s">
        <v>57</v>
      </c>
      <c r="F2307" t="s">
        <v>49</v>
      </c>
      <c r="G2307">
        <v>36</v>
      </c>
      <c r="H2307" t="s">
        <v>20</v>
      </c>
      <c r="I2307">
        <v>1052.69</v>
      </c>
      <c r="J2307">
        <v>1361.11</v>
      </c>
      <c r="K2307">
        <v>1214.74</v>
      </c>
      <c r="L2307">
        <v>549.36</v>
      </c>
      <c r="M2307">
        <v>3628.54</v>
      </c>
      <c r="N2307">
        <v>4177.8999999999996</v>
      </c>
    </row>
    <row r="2308" spans="1:14" x14ac:dyDescent="0.3">
      <c r="A2308" s="2">
        <v>44896</v>
      </c>
      <c r="B2308" t="s">
        <v>70</v>
      </c>
      <c r="C2308">
        <v>2022</v>
      </c>
      <c r="D2308">
        <v>12</v>
      </c>
      <c r="E2308" t="s">
        <v>57</v>
      </c>
      <c r="F2308" t="s">
        <v>50</v>
      </c>
      <c r="G2308">
        <v>16</v>
      </c>
      <c r="H2308" t="s">
        <v>20</v>
      </c>
      <c r="I2308">
        <v>30.81</v>
      </c>
      <c r="J2308">
        <v>38.72</v>
      </c>
      <c r="K2308">
        <v>8.15</v>
      </c>
      <c r="L2308">
        <v>0.04</v>
      </c>
      <c r="M2308">
        <v>77.680000000000007</v>
      </c>
      <c r="N2308">
        <v>77.72</v>
      </c>
    </row>
    <row r="2309" spans="1:14" x14ac:dyDescent="0.3">
      <c r="A2309" s="2">
        <v>44896</v>
      </c>
      <c r="B2309" t="s">
        <v>70</v>
      </c>
      <c r="C2309">
        <v>2022</v>
      </c>
      <c r="D2309">
        <v>12</v>
      </c>
      <c r="E2309" t="s">
        <v>57</v>
      </c>
      <c r="F2309" t="s">
        <v>51</v>
      </c>
      <c r="G2309">
        <v>9</v>
      </c>
      <c r="H2309" t="s">
        <v>20</v>
      </c>
      <c r="I2309">
        <v>1587.5</v>
      </c>
      <c r="J2309">
        <v>2174.1</v>
      </c>
      <c r="K2309">
        <v>2036.29</v>
      </c>
      <c r="L2309">
        <v>1380.51</v>
      </c>
      <c r="M2309">
        <v>5797.89</v>
      </c>
      <c r="N2309">
        <v>7178.4</v>
      </c>
    </row>
    <row r="2310" spans="1:14" x14ac:dyDescent="0.3">
      <c r="A2310" s="2">
        <v>44896</v>
      </c>
      <c r="B2310" t="s">
        <v>70</v>
      </c>
      <c r="C2310">
        <v>2022</v>
      </c>
      <c r="D2310">
        <v>12</v>
      </c>
      <c r="E2310" t="s">
        <v>57</v>
      </c>
      <c r="F2310" t="s">
        <v>52</v>
      </c>
      <c r="G2310">
        <v>5</v>
      </c>
      <c r="H2310" t="s">
        <v>20</v>
      </c>
      <c r="I2310">
        <v>250.66</v>
      </c>
      <c r="J2310">
        <v>375.65</v>
      </c>
      <c r="K2310">
        <v>616.83000000000004</v>
      </c>
      <c r="L2310">
        <v>9.36</v>
      </c>
      <c r="M2310">
        <v>1243.1400000000001</v>
      </c>
      <c r="N2310">
        <v>1252.5</v>
      </c>
    </row>
    <row r="2311" spans="1:14" x14ac:dyDescent="0.3">
      <c r="A2311" s="2">
        <v>44896</v>
      </c>
      <c r="B2311" t="s">
        <v>70</v>
      </c>
      <c r="C2311">
        <v>2022</v>
      </c>
      <c r="D2311">
        <v>12</v>
      </c>
      <c r="E2311" t="s">
        <v>57</v>
      </c>
      <c r="F2311" t="s">
        <v>53</v>
      </c>
      <c r="G2311">
        <v>19</v>
      </c>
      <c r="H2311" t="s">
        <v>20</v>
      </c>
      <c r="I2311">
        <v>1380.44</v>
      </c>
      <c r="J2311">
        <v>1661.28</v>
      </c>
      <c r="K2311">
        <v>1148.25</v>
      </c>
      <c r="L2311">
        <v>392.84</v>
      </c>
      <c r="M2311">
        <v>4189.97</v>
      </c>
      <c r="N2311">
        <v>4582.8100000000004</v>
      </c>
    </row>
    <row r="2312" spans="1:14" x14ac:dyDescent="0.3">
      <c r="A2312" s="2">
        <v>44927</v>
      </c>
      <c r="B2312" t="s">
        <v>70</v>
      </c>
      <c r="C2312">
        <v>2023</v>
      </c>
      <c r="D2312">
        <v>1</v>
      </c>
      <c r="E2312" t="s">
        <v>58</v>
      </c>
      <c r="F2312" t="s">
        <v>17</v>
      </c>
      <c r="G2312">
        <v>35</v>
      </c>
      <c r="H2312" t="s">
        <v>18</v>
      </c>
      <c r="I2312">
        <v>9.76</v>
      </c>
      <c r="J2312">
        <v>16.239999999999998</v>
      </c>
      <c r="K2312">
        <v>5.5</v>
      </c>
      <c r="L2312">
        <v>0.05</v>
      </c>
      <c r="M2312">
        <v>31.5</v>
      </c>
      <c r="N2312">
        <v>31.55</v>
      </c>
    </row>
    <row r="2313" spans="1:14" x14ac:dyDescent="0.3">
      <c r="A2313" s="2">
        <v>44927</v>
      </c>
      <c r="B2313" t="s">
        <v>70</v>
      </c>
      <c r="C2313">
        <v>2023</v>
      </c>
      <c r="D2313">
        <v>1</v>
      </c>
      <c r="E2313" t="s">
        <v>58</v>
      </c>
      <c r="F2313" t="s">
        <v>19</v>
      </c>
      <c r="G2313">
        <v>28</v>
      </c>
      <c r="H2313" t="s">
        <v>20</v>
      </c>
      <c r="I2313">
        <v>840.83</v>
      </c>
      <c r="J2313">
        <v>1133.24</v>
      </c>
      <c r="K2313">
        <v>1277.8800000000001</v>
      </c>
      <c r="L2313">
        <v>182.71</v>
      </c>
      <c r="M2313">
        <v>3251.95</v>
      </c>
      <c r="N2313">
        <v>3434.66</v>
      </c>
    </row>
    <row r="2314" spans="1:14" x14ac:dyDescent="0.3">
      <c r="A2314" s="2">
        <v>44927</v>
      </c>
      <c r="B2314" t="s">
        <v>70</v>
      </c>
      <c r="C2314">
        <v>2023</v>
      </c>
      <c r="D2314">
        <v>1</v>
      </c>
      <c r="E2314" t="s">
        <v>58</v>
      </c>
      <c r="F2314" t="s">
        <v>21</v>
      </c>
      <c r="G2314">
        <v>12</v>
      </c>
      <c r="H2314" t="s">
        <v>20</v>
      </c>
      <c r="I2314">
        <v>29.79</v>
      </c>
      <c r="J2314">
        <v>38.799999999999997</v>
      </c>
      <c r="K2314">
        <v>12.28</v>
      </c>
      <c r="L2314">
        <v>0.11</v>
      </c>
      <c r="M2314">
        <v>80.87</v>
      </c>
      <c r="N2314">
        <v>80.98</v>
      </c>
    </row>
    <row r="2315" spans="1:14" x14ac:dyDescent="0.3">
      <c r="A2315" s="2">
        <v>44927</v>
      </c>
      <c r="B2315" t="s">
        <v>70</v>
      </c>
      <c r="C2315">
        <v>2023</v>
      </c>
      <c r="D2315">
        <v>1</v>
      </c>
      <c r="E2315" t="s">
        <v>58</v>
      </c>
      <c r="F2315" t="s">
        <v>22</v>
      </c>
      <c r="G2315">
        <v>18</v>
      </c>
      <c r="H2315" t="s">
        <v>20</v>
      </c>
      <c r="I2315">
        <v>353.03</v>
      </c>
      <c r="J2315">
        <v>484.5</v>
      </c>
      <c r="K2315">
        <v>342.71</v>
      </c>
      <c r="L2315">
        <v>65.510000000000005</v>
      </c>
      <c r="M2315">
        <v>1180.24</v>
      </c>
      <c r="N2315">
        <v>1245.75</v>
      </c>
    </row>
    <row r="2316" spans="1:14" x14ac:dyDescent="0.3">
      <c r="A2316" s="2">
        <v>44927</v>
      </c>
      <c r="B2316" t="s">
        <v>70</v>
      </c>
      <c r="C2316">
        <v>2023</v>
      </c>
      <c r="D2316">
        <v>1</v>
      </c>
      <c r="E2316" t="s">
        <v>58</v>
      </c>
      <c r="F2316" t="s">
        <v>23</v>
      </c>
      <c r="G2316">
        <v>10</v>
      </c>
      <c r="H2316" t="s">
        <v>20</v>
      </c>
      <c r="I2316">
        <v>427.89</v>
      </c>
      <c r="J2316">
        <v>702.78</v>
      </c>
      <c r="K2316">
        <v>161.84</v>
      </c>
      <c r="L2316">
        <v>161.26</v>
      </c>
      <c r="M2316">
        <v>1292.51</v>
      </c>
      <c r="N2316">
        <v>1453.77</v>
      </c>
    </row>
    <row r="2317" spans="1:14" x14ac:dyDescent="0.3">
      <c r="A2317" s="2">
        <v>44927</v>
      </c>
      <c r="B2317" t="s">
        <v>70</v>
      </c>
      <c r="C2317">
        <v>2023</v>
      </c>
      <c r="D2317">
        <v>1</v>
      </c>
      <c r="E2317" t="s">
        <v>58</v>
      </c>
      <c r="F2317" t="s">
        <v>24</v>
      </c>
      <c r="G2317">
        <v>4</v>
      </c>
      <c r="H2317" t="s">
        <v>18</v>
      </c>
      <c r="I2317">
        <v>45.77</v>
      </c>
      <c r="J2317">
        <v>75.28</v>
      </c>
      <c r="K2317">
        <v>104.27</v>
      </c>
      <c r="L2317">
        <v>8.3699999999999992</v>
      </c>
      <c r="M2317">
        <v>225.32</v>
      </c>
      <c r="N2317">
        <v>233.69</v>
      </c>
    </row>
    <row r="2318" spans="1:14" x14ac:dyDescent="0.3">
      <c r="A2318" s="2">
        <v>44927</v>
      </c>
      <c r="B2318" t="s">
        <v>70</v>
      </c>
      <c r="C2318">
        <v>2023</v>
      </c>
      <c r="D2318">
        <v>1</v>
      </c>
      <c r="E2318" t="s">
        <v>58</v>
      </c>
      <c r="F2318" t="s">
        <v>25</v>
      </c>
      <c r="G2318">
        <v>22</v>
      </c>
      <c r="H2318" t="s">
        <v>20</v>
      </c>
      <c r="I2318">
        <v>572.16999999999996</v>
      </c>
      <c r="J2318">
        <v>680.9</v>
      </c>
      <c r="K2318">
        <v>871.48</v>
      </c>
      <c r="L2318">
        <v>670.91</v>
      </c>
      <c r="M2318">
        <v>2124.5500000000002</v>
      </c>
      <c r="N2318">
        <v>2795.46</v>
      </c>
    </row>
    <row r="2319" spans="1:14" x14ac:dyDescent="0.3">
      <c r="A2319" s="2">
        <v>44927</v>
      </c>
      <c r="B2319" t="s">
        <v>70</v>
      </c>
      <c r="C2319">
        <v>2023</v>
      </c>
      <c r="D2319">
        <v>1</v>
      </c>
      <c r="E2319" t="s">
        <v>58</v>
      </c>
      <c r="F2319" t="s">
        <v>26</v>
      </c>
      <c r="G2319">
        <v>38</v>
      </c>
      <c r="H2319" t="s">
        <v>18</v>
      </c>
      <c r="I2319">
        <v>39.08</v>
      </c>
      <c r="J2319">
        <v>49.56</v>
      </c>
      <c r="K2319">
        <v>222.95</v>
      </c>
      <c r="L2319">
        <v>1.22</v>
      </c>
      <c r="M2319">
        <v>311.58999999999997</v>
      </c>
      <c r="N2319">
        <v>312.81</v>
      </c>
    </row>
    <row r="2320" spans="1:14" x14ac:dyDescent="0.3">
      <c r="A2320" s="2">
        <v>44927</v>
      </c>
      <c r="B2320" t="s">
        <v>70</v>
      </c>
      <c r="C2320">
        <v>2023</v>
      </c>
      <c r="D2320">
        <v>1</v>
      </c>
      <c r="E2320" t="s">
        <v>58</v>
      </c>
      <c r="F2320" t="s">
        <v>27</v>
      </c>
      <c r="G2320">
        <v>7</v>
      </c>
      <c r="H2320" t="s">
        <v>18</v>
      </c>
      <c r="I2320">
        <v>996.45</v>
      </c>
      <c r="J2320">
        <v>1248.21</v>
      </c>
      <c r="K2320">
        <v>2534.77</v>
      </c>
      <c r="L2320">
        <v>102.98</v>
      </c>
      <c r="M2320">
        <v>4779.43</v>
      </c>
      <c r="N2320">
        <v>4882.41</v>
      </c>
    </row>
    <row r="2321" spans="1:14" x14ac:dyDescent="0.3">
      <c r="A2321" s="2">
        <v>44927</v>
      </c>
      <c r="B2321" t="s">
        <v>70</v>
      </c>
      <c r="C2321">
        <v>2023</v>
      </c>
      <c r="D2321">
        <v>1</v>
      </c>
      <c r="E2321" t="s">
        <v>58</v>
      </c>
      <c r="F2321" t="s">
        <v>28</v>
      </c>
      <c r="G2321">
        <v>30</v>
      </c>
      <c r="H2321" t="s">
        <v>20</v>
      </c>
      <c r="I2321">
        <v>158.29</v>
      </c>
      <c r="J2321">
        <v>214.46</v>
      </c>
      <c r="K2321">
        <v>212.02</v>
      </c>
      <c r="L2321">
        <v>4.82</v>
      </c>
      <c r="M2321">
        <v>584.77</v>
      </c>
      <c r="N2321">
        <v>589.59</v>
      </c>
    </row>
    <row r="2322" spans="1:14" x14ac:dyDescent="0.3">
      <c r="A2322" s="2">
        <v>44927</v>
      </c>
      <c r="B2322" t="s">
        <v>70</v>
      </c>
      <c r="C2322">
        <v>2023</v>
      </c>
      <c r="D2322">
        <v>1</v>
      </c>
      <c r="E2322" t="s">
        <v>58</v>
      </c>
      <c r="F2322" t="s">
        <v>29</v>
      </c>
      <c r="G2322">
        <v>24</v>
      </c>
      <c r="H2322" t="s">
        <v>20</v>
      </c>
      <c r="I2322">
        <v>2768.12</v>
      </c>
      <c r="J2322">
        <v>3328.03</v>
      </c>
      <c r="K2322">
        <v>3262</v>
      </c>
      <c r="L2322">
        <v>650.48</v>
      </c>
      <c r="M2322">
        <v>9358.15</v>
      </c>
      <c r="N2322">
        <v>10008.629999999999</v>
      </c>
    </row>
    <row r="2323" spans="1:14" x14ac:dyDescent="0.3">
      <c r="A2323" s="2">
        <v>44927</v>
      </c>
      <c r="B2323" t="s">
        <v>70</v>
      </c>
      <c r="C2323">
        <v>2023</v>
      </c>
      <c r="D2323">
        <v>1</v>
      </c>
      <c r="E2323" t="s">
        <v>58</v>
      </c>
      <c r="F2323" t="s">
        <v>30</v>
      </c>
      <c r="G2323">
        <v>6</v>
      </c>
      <c r="H2323" t="s">
        <v>20</v>
      </c>
      <c r="I2323">
        <v>1183.4100000000001</v>
      </c>
      <c r="J2323">
        <v>1559.12</v>
      </c>
      <c r="K2323">
        <v>4681</v>
      </c>
      <c r="L2323">
        <v>506.4</v>
      </c>
      <c r="M2323">
        <v>7423.53</v>
      </c>
      <c r="N2323">
        <v>7929.93</v>
      </c>
    </row>
    <row r="2324" spans="1:14" x14ac:dyDescent="0.3">
      <c r="A2324" s="2">
        <v>44927</v>
      </c>
      <c r="B2324" t="s">
        <v>70</v>
      </c>
      <c r="C2324">
        <v>2023</v>
      </c>
      <c r="D2324">
        <v>1</v>
      </c>
      <c r="E2324" t="s">
        <v>58</v>
      </c>
      <c r="F2324" t="s">
        <v>31</v>
      </c>
      <c r="G2324">
        <v>2</v>
      </c>
      <c r="H2324" t="s">
        <v>20</v>
      </c>
      <c r="I2324">
        <v>150.15</v>
      </c>
      <c r="J2324">
        <v>218.31</v>
      </c>
      <c r="K2324">
        <v>394.33</v>
      </c>
      <c r="L2324">
        <v>2.33</v>
      </c>
      <c r="M2324">
        <v>762.79</v>
      </c>
      <c r="N2324">
        <v>765.12</v>
      </c>
    </row>
    <row r="2325" spans="1:14" x14ac:dyDescent="0.3">
      <c r="A2325" s="2">
        <v>44927</v>
      </c>
      <c r="B2325" t="s">
        <v>70</v>
      </c>
      <c r="C2325">
        <v>2023</v>
      </c>
      <c r="D2325">
        <v>1</v>
      </c>
      <c r="E2325" t="s">
        <v>58</v>
      </c>
      <c r="F2325" t="s">
        <v>32</v>
      </c>
      <c r="G2325">
        <v>1</v>
      </c>
      <c r="H2325" t="s">
        <v>18</v>
      </c>
      <c r="I2325">
        <v>148.56</v>
      </c>
      <c r="J2325">
        <v>234.33</v>
      </c>
      <c r="K2325">
        <v>87.9</v>
      </c>
      <c r="L2325">
        <v>3.61</v>
      </c>
      <c r="M2325">
        <v>470.79</v>
      </c>
      <c r="N2325">
        <v>474.4</v>
      </c>
    </row>
    <row r="2326" spans="1:14" x14ac:dyDescent="0.3">
      <c r="A2326" s="2">
        <v>44927</v>
      </c>
      <c r="B2326" t="s">
        <v>70</v>
      </c>
      <c r="C2326">
        <v>2023</v>
      </c>
      <c r="D2326">
        <v>1</v>
      </c>
      <c r="E2326" t="s">
        <v>58</v>
      </c>
      <c r="F2326" t="s">
        <v>33</v>
      </c>
      <c r="G2326">
        <v>20</v>
      </c>
      <c r="H2326" t="s">
        <v>20</v>
      </c>
      <c r="I2326">
        <v>549.34</v>
      </c>
      <c r="J2326">
        <v>714.53</v>
      </c>
      <c r="K2326">
        <v>1136.28</v>
      </c>
      <c r="L2326">
        <v>532.22</v>
      </c>
      <c r="M2326">
        <v>2400.15</v>
      </c>
      <c r="N2326">
        <v>2932.37</v>
      </c>
    </row>
    <row r="2327" spans="1:14" x14ac:dyDescent="0.3">
      <c r="A2327" s="2">
        <v>44927</v>
      </c>
      <c r="B2327" t="s">
        <v>70</v>
      </c>
      <c r="C2327">
        <v>2023</v>
      </c>
      <c r="D2327">
        <v>1</v>
      </c>
      <c r="E2327" t="s">
        <v>58</v>
      </c>
      <c r="F2327" t="s">
        <v>34</v>
      </c>
      <c r="G2327">
        <v>29</v>
      </c>
      <c r="H2327" t="s">
        <v>20</v>
      </c>
      <c r="I2327">
        <v>2641.77</v>
      </c>
      <c r="J2327">
        <v>3282.91</v>
      </c>
      <c r="K2327">
        <v>4374.1499999999996</v>
      </c>
      <c r="L2327">
        <v>1023.19</v>
      </c>
      <c r="M2327">
        <v>10298.83</v>
      </c>
      <c r="N2327">
        <v>11322.02</v>
      </c>
    </row>
    <row r="2328" spans="1:14" x14ac:dyDescent="0.3">
      <c r="A2328" s="2">
        <v>44927</v>
      </c>
      <c r="B2328" t="s">
        <v>70</v>
      </c>
      <c r="C2328">
        <v>2023</v>
      </c>
      <c r="D2328">
        <v>1</v>
      </c>
      <c r="E2328" t="s">
        <v>58</v>
      </c>
      <c r="F2328" t="s">
        <v>35</v>
      </c>
      <c r="G2328">
        <v>32</v>
      </c>
      <c r="H2328" t="s">
        <v>20</v>
      </c>
      <c r="I2328">
        <v>879.32</v>
      </c>
      <c r="J2328">
        <v>1184.3499999999999</v>
      </c>
      <c r="K2328">
        <v>490.13</v>
      </c>
      <c r="L2328">
        <v>16.600000000000001</v>
      </c>
      <c r="M2328">
        <v>2553.8000000000002</v>
      </c>
      <c r="N2328">
        <v>2570.4</v>
      </c>
    </row>
    <row r="2329" spans="1:14" x14ac:dyDescent="0.3">
      <c r="A2329" s="2">
        <v>44927</v>
      </c>
      <c r="B2329" t="s">
        <v>70</v>
      </c>
      <c r="C2329">
        <v>2023</v>
      </c>
      <c r="D2329">
        <v>1</v>
      </c>
      <c r="E2329" t="s">
        <v>58</v>
      </c>
      <c r="F2329" t="s">
        <v>67</v>
      </c>
      <c r="G2329">
        <v>37</v>
      </c>
      <c r="H2329" t="s">
        <v>18</v>
      </c>
      <c r="I2329">
        <v>17.059999999999999</v>
      </c>
      <c r="J2329">
        <v>23.87</v>
      </c>
      <c r="K2329">
        <v>5.09</v>
      </c>
      <c r="L2329">
        <v>7.0000000000000007E-2</v>
      </c>
      <c r="M2329">
        <v>46.02</v>
      </c>
      <c r="N2329">
        <v>46.09</v>
      </c>
    </row>
    <row r="2330" spans="1:14" x14ac:dyDescent="0.3">
      <c r="A2330" s="2">
        <v>44927</v>
      </c>
      <c r="B2330" t="s">
        <v>70</v>
      </c>
      <c r="C2330">
        <v>2023</v>
      </c>
      <c r="D2330">
        <v>1</v>
      </c>
      <c r="E2330" t="s">
        <v>58</v>
      </c>
      <c r="F2330" t="s">
        <v>36</v>
      </c>
      <c r="G2330">
        <v>31</v>
      </c>
      <c r="H2330" t="s">
        <v>18</v>
      </c>
      <c r="I2330">
        <v>0.59</v>
      </c>
      <c r="J2330">
        <v>0.62</v>
      </c>
      <c r="K2330">
        <v>0.97</v>
      </c>
      <c r="L2330">
        <v>0</v>
      </c>
      <c r="M2330">
        <v>2.1800000000000002</v>
      </c>
      <c r="N2330">
        <v>2.1800000000000002</v>
      </c>
    </row>
    <row r="2331" spans="1:14" x14ac:dyDescent="0.3">
      <c r="A2331" s="2">
        <v>44927</v>
      </c>
      <c r="B2331" t="s">
        <v>70</v>
      </c>
      <c r="C2331">
        <v>2023</v>
      </c>
      <c r="D2331">
        <v>1</v>
      </c>
      <c r="E2331" t="s">
        <v>58</v>
      </c>
      <c r="F2331" t="s">
        <v>37</v>
      </c>
      <c r="G2331">
        <v>23</v>
      </c>
      <c r="H2331" t="s">
        <v>20</v>
      </c>
      <c r="I2331">
        <v>816.84</v>
      </c>
      <c r="J2331">
        <v>1029.33</v>
      </c>
      <c r="K2331">
        <v>907.28</v>
      </c>
      <c r="L2331">
        <v>594.30999999999995</v>
      </c>
      <c r="M2331">
        <v>2753.45</v>
      </c>
      <c r="N2331">
        <v>3347.76</v>
      </c>
    </row>
    <row r="2332" spans="1:14" x14ac:dyDescent="0.3">
      <c r="A2332" s="2">
        <v>44927</v>
      </c>
      <c r="B2332" t="s">
        <v>70</v>
      </c>
      <c r="C2332">
        <v>2023</v>
      </c>
      <c r="D2332">
        <v>1</v>
      </c>
      <c r="E2332" t="s">
        <v>58</v>
      </c>
      <c r="F2332" t="s">
        <v>38</v>
      </c>
      <c r="G2332">
        <v>27</v>
      </c>
      <c r="H2332" t="s">
        <v>20</v>
      </c>
      <c r="I2332">
        <v>6454.59</v>
      </c>
      <c r="J2332">
        <v>7420.48</v>
      </c>
      <c r="K2332">
        <v>8831.81</v>
      </c>
      <c r="L2332">
        <v>1805.72</v>
      </c>
      <c r="M2332">
        <v>22706.880000000001</v>
      </c>
      <c r="N2332">
        <v>24512.6</v>
      </c>
    </row>
    <row r="2333" spans="1:14" x14ac:dyDescent="0.3">
      <c r="A2333" s="2">
        <v>44927</v>
      </c>
      <c r="B2333" t="s">
        <v>70</v>
      </c>
      <c r="C2333">
        <v>2023</v>
      </c>
      <c r="D2333">
        <v>1</v>
      </c>
      <c r="E2333" t="s">
        <v>58</v>
      </c>
      <c r="F2333" t="s">
        <v>39</v>
      </c>
      <c r="G2333">
        <v>14</v>
      </c>
      <c r="H2333" t="s">
        <v>20</v>
      </c>
      <c r="I2333">
        <v>24.94</v>
      </c>
      <c r="J2333">
        <v>37.08</v>
      </c>
      <c r="K2333">
        <v>4.49</v>
      </c>
      <c r="L2333">
        <v>0.54</v>
      </c>
      <c r="M2333">
        <v>66.510000000000005</v>
      </c>
      <c r="N2333">
        <v>67.05</v>
      </c>
    </row>
    <row r="2334" spans="1:14" x14ac:dyDescent="0.3">
      <c r="A2334" s="2">
        <v>44927</v>
      </c>
      <c r="B2334" t="s">
        <v>70</v>
      </c>
      <c r="C2334">
        <v>2023</v>
      </c>
      <c r="D2334">
        <v>1</v>
      </c>
      <c r="E2334" t="s">
        <v>58</v>
      </c>
      <c r="F2334" t="s">
        <v>40</v>
      </c>
      <c r="G2334">
        <v>17</v>
      </c>
      <c r="H2334" t="s">
        <v>20</v>
      </c>
      <c r="I2334">
        <v>40.86</v>
      </c>
      <c r="J2334">
        <v>52.32</v>
      </c>
      <c r="K2334">
        <v>92.17</v>
      </c>
      <c r="L2334">
        <v>1.87</v>
      </c>
      <c r="M2334">
        <v>185.35</v>
      </c>
      <c r="N2334">
        <v>187.22</v>
      </c>
    </row>
    <row r="2335" spans="1:14" x14ac:dyDescent="0.3">
      <c r="A2335" s="2">
        <v>44927</v>
      </c>
      <c r="B2335" t="s">
        <v>70</v>
      </c>
      <c r="C2335">
        <v>2023</v>
      </c>
      <c r="D2335">
        <v>1</v>
      </c>
      <c r="E2335" t="s">
        <v>58</v>
      </c>
      <c r="F2335" t="s">
        <v>41</v>
      </c>
      <c r="G2335">
        <v>15</v>
      </c>
      <c r="H2335" t="s">
        <v>20</v>
      </c>
      <c r="I2335">
        <v>14.33</v>
      </c>
      <c r="J2335">
        <v>26.28</v>
      </c>
      <c r="K2335">
        <v>2.91</v>
      </c>
      <c r="L2335">
        <v>0.16</v>
      </c>
      <c r="M2335">
        <v>43.52</v>
      </c>
      <c r="N2335">
        <v>43.68</v>
      </c>
    </row>
    <row r="2336" spans="1:14" x14ac:dyDescent="0.3">
      <c r="A2336" s="2">
        <v>44927</v>
      </c>
      <c r="B2336" t="s">
        <v>70</v>
      </c>
      <c r="C2336">
        <v>2023</v>
      </c>
      <c r="D2336">
        <v>1</v>
      </c>
      <c r="E2336" t="s">
        <v>58</v>
      </c>
      <c r="F2336" t="s">
        <v>42</v>
      </c>
      <c r="G2336">
        <v>13</v>
      </c>
      <c r="H2336" t="s">
        <v>20</v>
      </c>
      <c r="I2336">
        <v>19.27</v>
      </c>
      <c r="J2336">
        <v>23.29</v>
      </c>
      <c r="K2336">
        <v>9.18</v>
      </c>
      <c r="L2336">
        <v>3.45</v>
      </c>
      <c r="M2336">
        <v>51.74</v>
      </c>
      <c r="N2336">
        <v>55.19</v>
      </c>
    </row>
    <row r="2337" spans="1:14" x14ac:dyDescent="0.3">
      <c r="A2337" s="2">
        <v>44927</v>
      </c>
      <c r="B2337" t="s">
        <v>70</v>
      </c>
      <c r="C2337">
        <v>2023</v>
      </c>
      <c r="D2337">
        <v>1</v>
      </c>
      <c r="E2337" t="s">
        <v>58</v>
      </c>
      <c r="F2337" t="s">
        <v>43</v>
      </c>
      <c r="G2337">
        <v>21</v>
      </c>
      <c r="H2337" t="s">
        <v>20</v>
      </c>
      <c r="I2337">
        <v>1056.42</v>
      </c>
      <c r="J2337">
        <v>1260.3399999999999</v>
      </c>
      <c r="K2337">
        <v>1163.6600000000001</v>
      </c>
      <c r="L2337">
        <v>775.17</v>
      </c>
      <c r="M2337">
        <v>3480.42</v>
      </c>
      <c r="N2337">
        <v>4255.59</v>
      </c>
    </row>
    <row r="2338" spans="1:14" x14ac:dyDescent="0.3">
      <c r="A2338" s="2">
        <v>44927</v>
      </c>
      <c r="B2338" t="s">
        <v>70</v>
      </c>
      <c r="C2338">
        <v>2023</v>
      </c>
      <c r="D2338">
        <v>1</v>
      </c>
      <c r="E2338" t="s">
        <v>58</v>
      </c>
      <c r="F2338" t="s">
        <v>44</v>
      </c>
      <c r="G2338">
        <v>34</v>
      </c>
      <c r="H2338" t="s">
        <v>18</v>
      </c>
      <c r="I2338">
        <v>26.99</v>
      </c>
      <c r="J2338">
        <v>42.24</v>
      </c>
      <c r="K2338">
        <v>148.15</v>
      </c>
      <c r="L2338">
        <v>2.82</v>
      </c>
      <c r="M2338">
        <v>217.38</v>
      </c>
      <c r="N2338">
        <v>220.2</v>
      </c>
    </row>
    <row r="2339" spans="1:14" x14ac:dyDescent="0.3">
      <c r="A2339" s="2">
        <v>44927</v>
      </c>
      <c r="B2339" t="s">
        <v>70</v>
      </c>
      <c r="C2339">
        <v>2023</v>
      </c>
      <c r="D2339">
        <v>1</v>
      </c>
      <c r="E2339" t="s">
        <v>58</v>
      </c>
      <c r="F2339" t="s">
        <v>45</v>
      </c>
      <c r="G2339">
        <v>3</v>
      </c>
      <c r="H2339" t="s">
        <v>20</v>
      </c>
      <c r="I2339">
        <v>440.95</v>
      </c>
      <c r="J2339">
        <v>714.18</v>
      </c>
      <c r="K2339">
        <v>612.46</v>
      </c>
      <c r="L2339">
        <v>28.1</v>
      </c>
      <c r="M2339">
        <v>1767.59</v>
      </c>
      <c r="N2339">
        <v>1795.69</v>
      </c>
    </row>
    <row r="2340" spans="1:14" x14ac:dyDescent="0.3">
      <c r="A2340" s="2">
        <v>44927</v>
      </c>
      <c r="B2340" t="s">
        <v>70</v>
      </c>
      <c r="C2340">
        <v>2023</v>
      </c>
      <c r="D2340">
        <v>1</v>
      </c>
      <c r="E2340" t="s">
        <v>58</v>
      </c>
      <c r="F2340" t="s">
        <v>46</v>
      </c>
      <c r="G2340">
        <v>8</v>
      </c>
      <c r="H2340" t="s">
        <v>20</v>
      </c>
      <c r="I2340">
        <v>1135.72</v>
      </c>
      <c r="J2340">
        <v>1483.88</v>
      </c>
      <c r="K2340">
        <v>1418.04</v>
      </c>
      <c r="L2340">
        <v>116.8</v>
      </c>
      <c r="M2340">
        <v>4037.64</v>
      </c>
      <c r="N2340">
        <v>4154.4399999999996</v>
      </c>
    </row>
    <row r="2341" spans="1:14" x14ac:dyDescent="0.3">
      <c r="A2341" s="2">
        <v>44927</v>
      </c>
      <c r="B2341" t="s">
        <v>70</v>
      </c>
      <c r="C2341">
        <v>2023</v>
      </c>
      <c r="D2341">
        <v>1</v>
      </c>
      <c r="E2341" t="s">
        <v>58</v>
      </c>
      <c r="F2341" t="s">
        <v>47</v>
      </c>
      <c r="G2341">
        <v>11</v>
      </c>
      <c r="H2341" t="s">
        <v>20</v>
      </c>
      <c r="I2341">
        <v>18.75</v>
      </c>
      <c r="J2341">
        <v>24.93</v>
      </c>
      <c r="K2341">
        <v>240.14</v>
      </c>
      <c r="L2341">
        <v>0.18</v>
      </c>
      <c r="M2341">
        <v>283.82</v>
      </c>
      <c r="N2341">
        <v>284</v>
      </c>
    </row>
    <row r="2342" spans="1:14" x14ac:dyDescent="0.3">
      <c r="A2342" s="2">
        <v>44927</v>
      </c>
      <c r="B2342" t="s">
        <v>70</v>
      </c>
      <c r="C2342">
        <v>2023</v>
      </c>
      <c r="D2342">
        <v>1</v>
      </c>
      <c r="E2342" t="s">
        <v>58</v>
      </c>
      <c r="F2342" t="s">
        <v>48</v>
      </c>
      <c r="G2342">
        <v>33</v>
      </c>
      <c r="H2342" t="s">
        <v>20</v>
      </c>
      <c r="I2342">
        <v>2365.1799999999998</v>
      </c>
      <c r="J2342">
        <v>3110.61</v>
      </c>
      <c r="K2342">
        <v>2755.18</v>
      </c>
      <c r="L2342">
        <v>578.23</v>
      </c>
      <c r="M2342">
        <v>8230.9699999999993</v>
      </c>
      <c r="N2342">
        <v>8809.2000000000007</v>
      </c>
    </row>
    <row r="2343" spans="1:14" x14ac:dyDescent="0.3">
      <c r="A2343" s="2">
        <v>44927</v>
      </c>
      <c r="B2343" t="s">
        <v>70</v>
      </c>
      <c r="C2343">
        <v>2023</v>
      </c>
      <c r="D2343">
        <v>1</v>
      </c>
      <c r="E2343" t="s">
        <v>58</v>
      </c>
      <c r="F2343" t="s">
        <v>49</v>
      </c>
      <c r="G2343">
        <v>36</v>
      </c>
      <c r="H2343" t="s">
        <v>20</v>
      </c>
      <c r="I2343">
        <v>1159.52</v>
      </c>
      <c r="J2343">
        <v>1576.56</v>
      </c>
      <c r="K2343">
        <v>1427.89</v>
      </c>
      <c r="L2343">
        <v>577.04</v>
      </c>
      <c r="M2343">
        <v>4163.97</v>
      </c>
      <c r="N2343">
        <v>4741.01</v>
      </c>
    </row>
    <row r="2344" spans="1:14" x14ac:dyDescent="0.3">
      <c r="A2344" s="2">
        <v>44927</v>
      </c>
      <c r="B2344" t="s">
        <v>70</v>
      </c>
      <c r="C2344">
        <v>2023</v>
      </c>
      <c r="D2344">
        <v>1</v>
      </c>
      <c r="E2344" t="s">
        <v>58</v>
      </c>
      <c r="F2344" t="s">
        <v>50</v>
      </c>
      <c r="G2344">
        <v>16</v>
      </c>
      <c r="H2344" t="s">
        <v>20</v>
      </c>
      <c r="I2344">
        <v>31.63</v>
      </c>
      <c r="J2344">
        <v>39.92</v>
      </c>
      <c r="K2344">
        <v>9.11</v>
      </c>
      <c r="L2344">
        <v>0.31</v>
      </c>
      <c r="M2344">
        <v>80.66</v>
      </c>
      <c r="N2344">
        <v>80.97</v>
      </c>
    </row>
    <row r="2345" spans="1:14" x14ac:dyDescent="0.3">
      <c r="A2345" s="2">
        <v>44927</v>
      </c>
      <c r="B2345" t="s">
        <v>70</v>
      </c>
      <c r="C2345">
        <v>2023</v>
      </c>
      <c r="D2345">
        <v>1</v>
      </c>
      <c r="E2345" t="s">
        <v>58</v>
      </c>
      <c r="F2345" t="s">
        <v>51</v>
      </c>
      <c r="G2345">
        <v>9</v>
      </c>
      <c r="H2345" t="s">
        <v>20</v>
      </c>
      <c r="I2345">
        <v>1802.4</v>
      </c>
      <c r="J2345">
        <v>2522.0100000000002</v>
      </c>
      <c r="K2345">
        <v>2339.7600000000002</v>
      </c>
      <c r="L2345">
        <v>1091.22</v>
      </c>
      <c r="M2345">
        <v>6664.17</v>
      </c>
      <c r="N2345">
        <v>7755.39</v>
      </c>
    </row>
    <row r="2346" spans="1:14" x14ac:dyDescent="0.3">
      <c r="A2346" s="2">
        <v>44927</v>
      </c>
      <c r="B2346" t="s">
        <v>70</v>
      </c>
      <c r="C2346">
        <v>2023</v>
      </c>
      <c r="D2346">
        <v>1</v>
      </c>
      <c r="E2346" t="s">
        <v>58</v>
      </c>
      <c r="F2346" t="s">
        <v>52</v>
      </c>
      <c r="G2346">
        <v>5</v>
      </c>
      <c r="H2346" t="s">
        <v>20</v>
      </c>
      <c r="I2346">
        <v>291.87</v>
      </c>
      <c r="J2346">
        <v>412.56</v>
      </c>
      <c r="K2346">
        <v>795.47</v>
      </c>
      <c r="L2346">
        <v>11.04</v>
      </c>
      <c r="M2346">
        <v>1499.9</v>
      </c>
      <c r="N2346">
        <v>1510.94</v>
      </c>
    </row>
    <row r="2347" spans="1:14" x14ac:dyDescent="0.3">
      <c r="A2347" s="2">
        <v>44927</v>
      </c>
      <c r="B2347" t="s">
        <v>70</v>
      </c>
      <c r="C2347">
        <v>2023</v>
      </c>
      <c r="D2347">
        <v>1</v>
      </c>
      <c r="E2347" t="s">
        <v>58</v>
      </c>
      <c r="F2347" t="s">
        <v>53</v>
      </c>
      <c r="G2347">
        <v>19</v>
      </c>
      <c r="H2347" t="s">
        <v>20</v>
      </c>
      <c r="I2347">
        <v>1527.82</v>
      </c>
      <c r="J2347">
        <v>1863.85</v>
      </c>
      <c r="K2347">
        <v>1239.4000000000001</v>
      </c>
      <c r="L2347">
        <v>343.61</v>
      </c>
      <c r="M2347">
        <v>4631.07</v>
      </c>
      <c r="N2347">
        <v>4974.68</v>
      </c>
    </row>
    <row r="2348" spans="1:14" x14ac:dyDescent="0.3">
      <c r="A2348" s="2">
        <v>44958</v>
      </c>
      <c r="B2348" t="s">
        <v>70</v>
      </c>
      <c r="C2348">
        <v>2023</v>
      </c>
      <c r="D2348">
        <v>2</v>
      </c>
      <c r="E2348" t="s">
        <v>59</v>
      </c>
      <c r="F2348" t="s">
        <v>17</v>
      </c>
      <c r="G2348">
        <v>35</v>
      </c>
      <c r="H2348" t="s">
        <v>18</v>
      </c>
      <c r="I2348">
        <v>11.23</v>
      </c>
      <c r="J2348">
        <v>15.35</v>
      </c>
      <c r="K2348">
        <v>3.99</v>
      </c>
      <c r="L2348">
        <v>0.12</v>
      </c>
      <c r="M2348">
        <v>30.57</v>
      </c>
      <c r="N2348">
        <v>30.69</v>
      </c>
    </row>
    <row r="2349" spans="1:14" x14ac:dyDescent="0.3">
      <c r="A2349" s="2">
        <v>44958</v>
      </c>
      <c r="B2349" t="s">
        <v>70</v>
      </c>
      <c r="C2349">
        <v>2023</v>
      </c>
      <c r="D2349">
        <v>2</v>
      </c>
      <c r="E2349" t="s">
        <v>59</v>
      </c>
      <c r="F2349" t="s">
        <v>19</v>
      </c>
      <c r="G2349">
        <v>28</v>
      </c>
      <c r="H2349" t="s">
        <v>20</v>
      </c>
      <c r="I2349">
        <v>792.12</v>
      </c>
      <c r="J2349">
        <v>1030.71</v>
      </c>
      <c r="K2349">
        <v>1249.3599999999999</v>
      </c>
      <c r="L2349">
        <v>485.15</v>
      </c>
      <c r="M2349">
        <v>3072.19</v>
      </c>
      <c r="N2349">
        <v>3557.34</v>
      </c>
    </row>
    <row r="2350" spans="1:14" x14ac:dyDescent="0.3">
      <c r="A2350" s="2">
        <v>44958</v>
      </c>
      <c r="B2350" t="s">
        <v>70</v>
      </c>
      <c r="C2350">
        <v>2023</v>
      </c>
      <c r="D2350">
        <v>2</v>
      </c>
      <c r="E2350" t="s">
        <v>59</v>
      </c>
      <c r="F2350" t="s">
        <v>21</v>
      </c>
      <c r="G2350">
        <v>12</v>
      </c>
      <c r="H2350" t="s">
        <v>20</v>
      </c>
      <c r="I2350">
        <v>29.07</v>
      </c>
      <c r="J2350">
        <v>39.71</v>
      </c>
      <c r="K2350">
        <v>9.09</v>
      </c>
      <c r="L2350">
        <v>0.15</v>
      </c>
      <c r="M2350">
        <v>77.87</v>
      </c>
      <c r="N2350">
        <v>78.02</v>
      </c>
    </row>
    <row r="2351" spans="1:14" x14ac:dyDescent="0.3">
      <c r="A2351" s="2">
        <v>44958</v>
      </c>
      <c r="B2351" t="s">
        <v>70</v>
      </c>
      <c r="C2351">
        <v>2023</v>
      </c>
      <c r="D2351">
        <v>2</v>
      </c>
      <c r="E2351" t="s">
        <v>59</v>
      </c>
      <c r="F2351" t="s">
        <v>22</v>
      </c>
      <c r="G2351">
        <v>18</v>
      </c>
      <c r="H2351" t="s">
        <v>20</v>
      </c>
      <c r="I2351">
        <v>334.16</v>
      </c>
      <c r="J2351">
        <v>424.74</v>
      </c>
      <c r="K2351">
        <v>283.85000000000002</v>
      </c>
      <c r="L2351">
        <v>67.78</v>
      </c>
      <c r="M2351">
        <v>1042.75</v>
      </c>
      <c r="N2351">
        <v>1110.53</v>
      </c>
    </row>
    <row r="2352" spans="1:14" x14ac:dyDescent="0.3">
      <c r="A2352" s="2">
        <v>44958</v>
      </c>
      <c r="B2352" t="s">
        <v>70</v>
      </c>
      <c r="C2352">
        <v>2023</v>
      </c>
      <c r="D2352">
        <v>2</v>
      </c>
      <c r="E2352" t="s">
        <v>59</v>
      </c>
      <c r="F2352" t="s">
        <v>23</v>
      </c>
      <c r="G2352">
        <v>10</v>
      </c>
      <c r="H2352" t="s">
        <v>20</v>
      </c>
      <c r="I2352">
        <v>444.99</v>
      </c>
      <c r="J2352">
        <v>668.09</v>
      </c>
      <c r="K2352">
        <v>191.3</v>
      </c>
      <c r="L2352">
        <v>194.94</v>
      </c>
      <c r="M2352">
        <v>1304.3800000000001</v>
      </c>
      <c r="N2352">
        <v>1499.32</v>
      </c>
    </row>
    <row r="2353" spans="1:14" x14ac:dyDescent="0.3">
      <c r="A2353" s="2">
        <v>44958</v>
      </c>
      <c r="B2353" t="s">
        <v>70</v>
      </c>
      <c r="C2353">
        <v>2023</v>
      </c>
      <c r="D2353">
        <v>2</v>
      </c>
      <c r="E2353" t="s">
        <v>59</v>
      </c>
      <c r="F2353" t="s">
        <v>24</v>
      </c>
      <c r="G2353">
        <v>4</v>
      </c>
      <c r="H2353" t="s">
        <v>18</v>
      </c>
      <c r="I2353">
        <v>39.159999999999997</v>
      </c>
      <c r="J2353">
        <v>50.81</v>
      </c>
      <c r="K2353">
        <v>97.32</v>
      </c>
      <c r="L2353">
        <v>0.44</v>
      </c>
      <c r="M2353">
        <v>187.29</v>
      </c>
      <c r="N2353">
        <v>187.73</v>
      </c>
    </row>
    <row r="2354" spans="1:14" x14ac:dyDescent="0.3">
      <c r="A2354" s="2">
        <v>44958</v>
      </c>
      <c r="B2354" t="s">
        <v>70</v>
      </c>
      <c r="C2354">
        <v>2023</v>
      </c>
      <c r="D2354">
        <v>2</v>
      </c>
      <c r="E2354" t="s">
        <v>59</v>
      </c>
      <c r="F2354" t="s">
        <v>25</v>
      </c>
      <c r="G2354">
        <v>22</v>
      </c>
      <c r="H2354" t="s">
        <v>20</v>
      </c>
      <c r="I2354">
        <v>539.96</v>
      </c>
      <c r="J2354">
        <v>657.77</v>
      </c>
      <c r="K2354">
        <v>1122.82</v>
      </c>
      <c r="L2354">
        <v>688.71</v>
      </c>
      <c r="M2354">
        <v>2320.5500000000002</v>
      </c>
      <c r="N2354">
        <v>3009.26</v>
      </c>
    </row>
    <row r="2355" spans="1:14" x14ac:dyDescent="0.3">
      <c r="A2355" s="2">
        <v>44958</v>
      </c>
      <c r="B2355" t="s">
        <v>70</v>
      </c>
      <c r="C2355">
        <v>2023</v>
      </c>
      <c r="D2355">
        <v>2</v>
      </c>
      <c r="E2355" t="s">
        <v>59</v>
      </c>
      <c r="F2355" t="s">
        <v>26</v>
      </c>
      <c r="G2355">
        <v>38</v>
      </c>
      <c r="H2355" t="s">
        <v>18</v>
      </c>
      <c r="I2355">
        <v>40.65</v>
      </c>
      <c r="J2355">
        <v>52.24</v>
      </c>
      <c r="K2355">
        <v>190.07</v>
      </c>
      <c r="L2355">
        <v>0.39</v>
      </c>
      <c r="M2355">
        <v>282.95999999999998</v>
      </c>
      <c r="N2355">
        <v>283.35000000000002</v>
      </c>
    </row>
    <row r="2356" spans="1:14" x14ac:dyDescent="0.3">
      <c r="A2356" s="2">
        <v>44958</v>
      </c>
      <c r="B2356" t="s">
        <v>70</v>
      </c>
      <c r="C2356">
        <v>2023</v>
      </c>
      <c r="D2356">
        <v>2</v>
      </c>
      <c r="E2356" t="s">
        <v>59</v>
      </c>
      <c r="F2356" t="s">
        <v>27</v>
      </c>
      <c r="G2356">
        <v>7</v>
      </c>
      <c r="H2356" t="s">
        <v>18</v>
      </c>
      <c r="I2356">
        <v>899.5</v>
      </c>
      <c r="J2356">
        <v>1088.49</v>
      </c>
      <c r="K2356">
        <v>2690.04</v>
      </c>
      <c r="L2356">
        <v>91.02</v>
      </c>
      <c r="M2356">
        <v>4678.03</v>
      </c>
      <c r="N2356">
        <v>4769.05</v>
      </c>
    </row>
    <row r="2357" spans="1:14" x14ac:dyDescent="0.3">
      <c r="A2357" s="2">
        <v>44958</v>
      </c>
      <c r="B2357" t="s">
        <v>70</v>
      </c>
      <c r="C2357">
        <v>2023</v>
      </c>
      <c r="D2357">
        <v>2</v>
      </c>
      <c r="E2357" t="s">
        <v>59</v>
      </c>
      <c r="F2357" t="s">
        <v>28</v>
      </c>
      <c r="G2357">
        <v>30</v>
      </c>
      <c r="H2357" t="s">
        <v>20</v>
      </c>
      <c r="I2357">
        <v>140.62</v>
      </c>
      <c r="J2357">
        <v>180.31</v>
      </c>
      <c r="K2357">
        <v>168.32</v>
      </c>
      <c r="L2357">
        <v>3.31</v>
      </c>
      <c r="M2357">
        <v>489.25</v>
      </c>
      <c r="N2357">
        <v>492.56</v>
      </c>
    </row>
    <row r="2358" spans="1:14" x14ac:dyDescent="0.3">
      <c r="A2358" s="2">
        <v>44958</v>
      </c>
      <c r="B2358" t="s">
        <v>70</v>
      </c>
      <c r="C2358">
        <v>2023</v>
      </c>
      <c r="D2358">
        <v>2</v>
      </c>
      <c r="E2358" t="s">
        <v>59</v>
      </c>
      <c r="F2358" t="s">
        <v>29</v>
      </c>
      <c r="G2358">
        <v>24</v>
      </c>
      <c r="H2358" t="s">
        <v>20</v>
      </c>
      <c r="I2358">
        <v>2658.26</v>
      </c>
      <c r="J2358">
        <v>3215.75</v>
      </c>
      <c r="K2358">
        <v>3034.4</v>
      </c>
      <c r="L2358">
        <v>665.87</v>
      </c>
      <c r="M2358">
        <v>8908.41</v>
      </c>
      <c r="N2358">
        <v>9574.2800000000007</v>
      </c>
    </row>
    <row r="2359" spans="1:14" x14ac:dyDescent="0.3">
      <c r="A2359" s="2">
        <v>44958</v>
      </c>
      <c r="B2359" t="s">
        <v>70</v>
      </c>
      <c r="C2359">
        <v>2023</v>
      </c>
      <c r="D2359">
        <v>2</v>
      </c>
      <c r="E2359" t="s">
        <v>59</v>
      </c>
      <c r="F2359" t="s">
        <v>30</v>
      </c>
      <c r="G2359">
        <v>6</v>
      </c>
      <c r="H2359" t="s">
        <v>20</v>
      </c>
      <c r="I2359">
        <v>1161.3800000000001</v>
      </c>
      <c r="J2359">
        <v>1564.05</v>
      </c>
      <c r="K2359">
        <v>4075.09</v>
      </c>
      <c r="L2359">
        <v>509.06</v>
      </c>
      <c r="M2359">
        <v>6800.52</v>
      </c>
      <c r="N2359">
        <v>7309.58</v>
      </c>
    </row>
    <row r="2360" spans="1:14" x14ac:dyDescent="0.3">
      <c r="A2360" s="2">
        <v>44958</v>
      </c>
      <c r="B2360" t="s">
        <v>70</v>
      </c>
      <c r="C2360">
        <v>2023</v>
      </c>
      <c r="D2360">
        <v>2</v>
      </c>
      <c r="E2360" t="s">
        <v>59</v>
      </c>
      <c r="F2360" t="s">
        <v>31</v>
      </c>
      <c r="G2360">
        <v>2</v>
      </c>
      <c r="H2360" t="s">
        <v>20</v>
      </c>
      <c r="I2360">
        <v>150.59</v>
      </c>
      <c r="J2360">
        <v>200.61</v>
      </c>
      <c r="K2360">
        <v>338.65</v>
      </c>
      <c r="L2360">
        <v>0.9</v>
      </c>
      <c r="M2360">
        <v>689.85</v>
      </c>
      <c r="N2360">
        <v>690.75</v>
      </c>
    </row>
    <row r="2361" spans="1:14" x14ac:dyDescent="0.3">
      <c r="A2361" s="2">
        <v>44958</v>
      </c>
      <c r="B2361" t="s">
        <v>70</v>
      </c>
      <c r="C2361">
        <v>2023</v>
      </c>
      <c r="D2361">
        <v>2</v>
      </c>
      <c r="E2361" t="s">
        <v>59</v>
      </c>
      <c r="F2361" t="s">
        <v>32</v>
      </c>
      <c r="G2361">
        <v>1</v>
      </c>
      <c r="H2361" t="s">
        <v>18</v>
      </c>
      <c r="I2361">
        <v>143.46</v>
      </c>
      <c r="J2361">
        <v>199.82</v>
      </c>
      <c r="K2361">
        <v>88.53</v>
      </c>
      <c r="L2361">
        <v>2.42</v>
      </c>
      <c r="M2361">
        <v>431.81</v>
      </c>
      <c r="N2361">
        <v>434.23</v>
      </c>
    </row>
    <row r="2362" spans="1:14" x14ac:dyDescent="0.3">
      <c r="A2362" s="2">
        <v>44958</v>
      </c>
      <c r="B2362" t="s">
        <v>70</v>
      </c>
      <c r="C2362">
        <v>2023</v>
      </c>
      <c r="D2362">
        <v>2</v>
      </c>
      <c r="E2362" t="s">
        <v>59</v>
      </c>
      <c r="F2362" t="s">
        <v>33</v>
      </c>
      <c r="G2362">
        <v>20</v>
      </c>
      <c r="H2362" t="s">
        <v>20</v>
      </c>
      <c r="I2362">
        <v>562.29999999999995</v>
      </c>
      <c r="J2362">
        <v>757.06</v>
      </c>
      <c r="K2362">
        <v>1098.22</v>
      </c>
      <c r="L2362">
        <v>544.22</v>
      </c>
      <c r="M2362">
        <v>2417.58</v>
      </c>
      <c r="N2362">
        <v>2961.8</v>
      </c>
    </row>
    <row r="2363" spans="1:14" x14ac:dyDescent="0.3">
      <c r="A2363" s="2">
        <v>44958</v>
      </c>
      <c r="B2363" t="s">
        <v>70</v>
      </c>
      <c r="C2363">
        <v>2023</v>
      </c>
      <c r="D2363">
        <v>2</v>
      </c>
      <c r="E2363" t="s">
        <v>59</v>
      </c>
      <c r="F2363" t="s">
        <v>34</v>
      </c>
      <c r="G2363">
        <v>29</v>
      </c>
      <c r="H2363" t="s">
        <v>20</v>
      </c>
      <c r="I2363">
        <v>2451.5500000000002</v>
      </c>
      <c r="J2363">
        <v>3042.81</v>
      </c>
      <c r="K2363">
        <v>3940.93</v>
      </c>
      <c r="L2363">
        <v>1373.87</v>
      </c>
      <c r="M2363">
        <v>9435.2900000000009</v>
      </c>
      <c r="N2363">
        <v>10809.16</v>
      </c>
    </row>
    <row r="2364" spans="1:14" x14ac:dyDescent="0.3">
      <c r="A2364" s="2">
        <v>44958</v>
      </c>
      <c r="B2364" t="s">
        <v>70</v>
      </c>
      <c r="C2364">
        <v>2023</v>
      </c>
      <c r="D2364">
        <v>2</v>
      </c>
      <c r="E2364" t="s">
        <v>59</v>
      </c>
      <c r="F2364" t="s">
        <v>35</v>
      </c>
      <c r="G2364">
        <v>32</v>
      </c>
      <c r="H2364" t="s">
        <v>20</v>
      </c>
      <c r="I2364">
        <v>807.48</v>
      </c>
      <c r="J2364">
        <v>1051.55</v>
      </c>
      <c r="K2364">
        <v>464.58</v>
      </c>
      <c r="L2364">
        <v>2.0699999999999998</v>
      </c>
      <c r="M2364">
        <v>2323.61</v>
      </c>
      <c r="N2364">
        <v>2325.6799999999998</v>
      </c>
    </row>
    <row r="2365" spans="1:14" x14ac:dyDescent="0.3">
      <c r="A2365" s="2">
        <v>44958</v>
      </c>
      <c r="B2365" t="s">
        <v>70</v>
      </c>
      <c r="C2365">
        <v>2023</v>
      </c>
      <c r="D2365">
        <v>2</v>
      </c>
      <c r="E2365" t="s">
        <v>59</v>
      </c>
      <c r="F2365" t="s">
        <v>67</v>
      </c>
      <c r="G2365">
        <v>37</v>
      </c>
      <c r="H2365" t="s">
        <v>18</v>
      </c>
      <c r="I2365">
        <v>9.7799999999999994</v>
      </c>
      <c r="J2365">
        <v>12.58</v>
      </c>
      <c r="K2365">
        <v>1.82</v>
      </c>
      <c r="L2365">
        <v>0.04</v>
      </c>
      <c r="M2365">
        <v>24.18</v>
      </c>
      <c r="N2365">
        <v>24.22</v>
      </c>
    </row>
    <row r="2366" spans="1:14" x14ac:dyDescent="0.3">
      <c r="A2366" s="2">
        <v>44958</v>
      </c>
      <c r="B2366" t="s">
        <v>70</v>
      </c>
      <c r="C2366">
        <v>2023</v>
      </c>
      <c r="D2366">
        <v>2</v>
      </c>
      <c r="E2366" t="s">
        <v>59</v>
      </c>
      <c r="F2366" t="s">
        <v>36</v>
      </c>
      <c r="G2366">
        <v>31</v>
      </c>
      <c r="H2366" t="s">
        <v>18</v>
      </c>
      <c r="I2366">
        <v>1.33</v>
      </c>
      <c r="J2366">
        <v>1.37</v>
      </c>
      <c r="K2366">
        <v>0.28999999999999998</v>
      </c>
      <c r="L2366">
        <v>0</v>
      </c>
      <c r="M2366">
        <v>2.99</v>
      </c>
      <c r="N2366">
        <v>2.99</v>
      </c>
    </row>
    <row r="2367" spans="1:14" x14ac:dyDescent="0.3">
      <c r="A2367" s="2">
        <v>44958</v>
      </c>
      <c r="B2367" t="s">
        <v>70</v>
      </c>
      <c r="C2367">
        <v>2023</v>
      </c>
      <c r="D2367">
        <v>2</v>
      </c>
      <c r="E2367" t="s">
        <v>59</v>
      </c>
      <c r="F2367" t="s">
        <v>37</v>
      </c>
      <c r="G2367">
        <v>23</v>
      </c>
      <c r="H2367" t="s">
        <v>20</v>
      </c>
      <c r="I2367">
        <v>792.85</v>
      </c>
      <c r="J2367">
        <v>973.62</v>
      </c>
      <c r="K2367">
        <v>818.25</v>
      </c>
      <c r="L2367">
        <v>649.82000000000005</v>
      </c>
      <c r="M2367">
        <v>2584.7199999999998</v>
      </c>
      <c r="N2367">
        <v>3234.54</v>
      </c>
    </row>
    <row r="2368" spans="1:14" x14ac:dyDescent="0.3">
      <c r="A2368" s="2">
        <v>44958</v>
      </c>
      <c r="B2368" t="s">
        <v>70</v>
      </c>
      <c r="C2368">
        <v>2023</v>
      </c>
      <c r="D2368">
        <v>2</v>
      </c>
      <c r="E2368" t="s">
        <v>59</v>
      </c>
      <c r="F2368" t="s">
        <v>38</v>
      </c>
      <c r="G2368">
        <v>27</v>
      </c>
      <c r="H2368" t="s">
        <v>20</v>
      </c>
      <c r="I2368">
        <v>6204.49</v>
      </c>
      <c r="J2368">
        <v>7319.61</v>
      </c>
      <c r="K2368">
        <v>7072</v>
      </c>
      <c r="L2368">
        <v>1753.31</v>
      </c>
      <c r="M2368">
        <v>20596.099999999999</v>
      </c>
      <c r="N2368">
        <v>22349.41</v>
      </c>
    </row>
    <row r="2369" spans="1:14" x14ac:dyDescent="0.3">
      <c r="A2369" s="2">
        <v>44958</v>
      </c>
      <c r="B2369" t="s">
        <v>70</v>
      </c>
      <c r="C2369">
        <v>2023</v>
      </c>
      <c r="D2369">
        <v>2</v>
      </c>
      <c r="E2369" t="s">
        <v>59</v>
      </c>
      <c r="F2369" t="s">
        <v>39</v>
      </c>
      <c r="G2369">
        <v>14</v>
      </c>
      <c r="H2369" t="s">
        <v>20</v>
      </c>
      <c r="I2369">
        <v>23.59</v>
      </c>
      <c r="J2369">
        <v>34.770000000000003</v>
      </c>
      <c r="K2369">
        <v>5.33</v>
      </c>
      <c r="L2369">
        <v>0.03</v>
      </c>
      <c r="M2369">
        <v>63.69</v>
      </c>
      <c r="N2369">
        <v>63.72</v>
      </c>
    </row>
    <row r="2370" spans="1:14" x14ac:dyDescent="0.3">
      <c r="A2370" s="2">
        <v>44958</v>
      </c>
      <c r="B2370" t="s">
        <v>70</v>
      </c>
      <c r="C2370">
        <v>2023</v>
      </c>
      <c r="D2370">
        <v>2</v>
      </c>
      <c r="E2370" t="s">
        <v>59</v>
      </c>
      <c r="F2370" t="s">
        <v>40</v>
      </c>
      <c r="G2370">
        <v>17</v>
      </c>
      <c r="H2370" t="s">
        <v>20</v>
      </c>
      <c r="I2370">
        <v>33.39</v>
      </c>
      <c r="J2370">
        <v>43.86</v>
      </c>
      <c r="K2370">
        <v>111.15</v>
      </c>
      <c r="L2370">
        <v>0.87</v>
      </c>
      <c r="M2370">
        <v>188.4</v>
      </c>
      <c r="N2370">
        <v>189.27</v>
      </c>
    </row>
    <row r="2371" spans="1:14" x14ac:dyDescent="0.3">
      <c r="A2371" s="2">
        <v>44958</v>
      </c>
      <c r="B2371" t="s">
        <v>70</v>
      </c>
      <c r="C2371">
        <v>2023</v>
      </c>
      <c r="D2371">
        <v>2</v>
      </c>
      <c r="E2371" t="s">
        <v>59</v>
      </c>
      <c r="F2371" t="s">
        <v>41</v>
      </c>
      <c r="G2371">
        <v>15</v>
      </c>
      <c r="H2371" t="s">
        <v>20</v>
      </c>
      <c r="I2371">
        <v>20.92</v>
      </c>
      <c r="J2371">
        <v>33.01</v>
      </c>
      <c r="K2371">
        <v>3.62</v>
      </c>
      <c r="L2371">
        <v>0.03</v>
      </c>
      <c r="M2371">
        <v>57.55</v>
      </c>
      <c r="N2371">
        <v>57.58</v>
      </c>
    </row>
    <row r="2372" spans="1:14" x14ac:dyDescent="0.3">
      <c r="A2372" s="2">
        <v>44958</v>
      </c>
      <c r="B2372" t="s">
        <v>70</v>
      </c>
      <c r="C2372">
        <v>2023</v>
      </c>
      <c r="D2372">
        <v>2</v>
      </c>
      <c r="E2372" t="s">
        <v>59</v>
      </c>
      <c r="F2372" t="s">
        <v>42</v>
      </c>
      <c r="G2372">
        <v>13</v>
      </c>
      <c r="H2372" t="s">
        <v>20</v>
      </c>
      <c r="I2372">
        <v>13.66</v>
      </c>
      <c r="J2372">
        <v>21.89</v>
      </c>
      <c r="K2372">
        <v>13.01</v>
      </c>
      <c r="L2372">
        <v>5.1100000000000003</v>
      </c>
      <c r="M2372">
        <v>48.56</v>
      </c>
      <c r="N2372">
        <v>53.67</v>
      </c>
    </row>
    <row r="2373" spans="1:14" x14ac:dyDescent="0.3">
      <c r="A2373" s="2">
        <v>44958</v>
      </c>
      <c r="B2373" t="s">
        <v>70</v>
      </c>
      <c r="C2373">
        <v>2023</v>
      </c>
      <c r="D2373">
        <v>2</v>
      </c>
      <c r="E2373" t="s">
        <v>59</v>
      </c>
      <c r="F2373" t="s">
        <v>43</v>
      </c>
      <c r="G2373">
        <v>21</v>
      </c>
      <c r="H2373" t="s">
        <v>20</v>
      </c>
      <c r="I2373">
        <v>1012.89</v>
      </c>
      <c r="J2373">
        <v>1205.8900000000001</v>
      </c>
      <c r="K2373">
        <v>1508.96</v>
      </c>
      <c r="L2373">
        <v>791.61</v>
      </c>
      <c r="M2373">
        <v>3727.74</v>
      </c>
      <c r="N2373">
        <v>4519.3500000000004</v>
      </c>
    </row>
    <row r="2374" spans="1:14" x14ac:dyDescent="0.3">
      <c r="A2374" s="2">
        <v>44958</v>
      </c>
      <c r="B2374" t="s">
        <v>70</v>
      </c>
      <c r="C2374">
        <v>2023</v>
      </c>
      <c r="D2374">
        <v>2</v>
      </c>
      <c r="E2374" t="s">
        <v>59</v>
      </c>
      <c r="F2374" t="s">
        <v>44</v>
      </c>
      <c r="G2374">
        <v>34</v>
      </c>
      <c r="H2374" t="s">
        <v>18</v>
      </c>
      <c r="I2374">
        <v>26.44</v>
      </c>
      <c r="J2374">
        <v>39.72</v>
      </c>
      <c r="K2374">
        <v>121.94</v>
      </c>
      <c r="L2374">
        <v>0.04</v>
      </c>
      <c r="M2374">
        <v>188.1</v>
      </c>
      <c r="N2374">
        <v>188.14</v>
      </c>
    </row>
    <row r="2375" spans="1:14" x14ac:dyDescent="0.3">
      <c r="A2375" s="2">
        <v>44958</v>
      </c>
      <c r="B2375" t="s">
        <v>70</v>
      </c>
      <c r="C2375">
        <v>2023</v>
      </c>
      <c r="D2375">
        <v>2</v>
      </c>
      <c r="E2375" t="s">
        <v>59</v>
      </c>
      <c r="F2375" t="s">
        <v>45</v>
      </c>
      <c r="G2375">
        <v>3</v>
      </c>
      <c r="H2375" t="s">
        <v>20</v>
      </c>
      <c r="I2375">
        <v>394.03</v>
      </c>
      <c r="J2375">
        <v>589.44000000000005</v>
      </c>
      <c r="K2375">
        <v>648.72</v>
      </c>
      <c r="L2375">
        <v>18.78</v>
      </c>
      <c r="M2375">
        <v>1632.19</v>
      </c>
      <c r="N2375">
        <v>1650.97</v>
      </c>
    </row>
    <row r="2376" spans="1:14" x14ac:dyDescent="0.3">
      <c r="A2376" s="2">
        <v>44958</v>
      </c>
      <c r="B2376" t="s">
        <v>70</v>
      </c>
      <c r="C2376">
        <v>2023</v>
      </c>
      <c r="D2376">
        <v>2</v>
      </c>
      <c r="E2376" t="s">
        <v>59</v>
      </c>
      <c r="F2376" t="s">
        <v>46</v>
      </c>
      <c r="G2376">
        <v>8</v>
      </c>
      <c r="H2376" t="s">
        <v>20</v>
      </c>
      <c r="I2376">
        <v>1019.07</v>
      </c>
      <c r="J2376">
        <v>1260.3</v>
      </c>
      <c r="K2376">
        <v>1559.16</v>
      </c>
      <c r="L2376">
        <v>101.99</v>
      </c>
      <c r="M2376">
        <v>3838.53</v>
      </c>
      <c r="N2376">
        <v>3940.52</v>
      </c>
    </row>
    <row r="2377" spans="1:14" x14ac:dyDescent="0.3">
      <c r="A2377" s="2">
        <v>44958</v>
      </c>
      <c r="B2377" t="s">
        <v>70</v>
      </c>
      <c r="C2377">
        <v>2023</v>
      </c>
      <c r="D2377">
        <v>2</v>
      </c>
      <c r="E2377" t="s">
        <v>59</v>
      </c>
      <c r="F2377" t="s">
        <v>47</v>
      </c>
      <c r="G2377">
        <v>11</v>
      </c>
      <c r="H2377" t="s">
        <v>20</v>
      </c>
      <c r="I2377">
        <v>21.61</v>
      </c>
      <c r="J2377">
        <v>27.33</v>
      </c>
      <c r="K2377">
        <v>216.04</v>
      </c>
      <c r="L2377">
        <v>0.06</v>
      </c>
      <c r="M2377">
        <v>264.98</v>
      </c>
      <c r="N2377">
        <v>265.04000000000002</v>
      </c>
    </row>
    <row r="2378" spans="1:14" x14ac:dyDescent="0.3">
      <c r="A2378" s="2">
        <v>44958</v>
      </c>
      <c r="B2378" t="s">
        <v>70</v>
      </c>
      <c r="C2378">
        <v>2023</v>
      </c>
      <c r="D2378">
        <v>2</v>
      </c>
      <c r="E2378" t="s">
        <v>59</v>
      </c>
      <c r="F2378" t="s">
        <v>48</v>
      </c>
      <c r="G2378">
        <v>33</v>
      </c>
      <c r="H2378" t="s">
        <v>20</v>
      </c>
      <c r="I2378">
        <v>2346.19</v>
      </c>
      <c r="J2378">
        <v>3161.86</v>
      </c>
      <c r="K2378">
        <v>2581.5</v>
      </c>
      <c r="L2378">
        <v>684.37</v>
      </c>
      <c r="M2378">
        <v>8089.55</v>
      </c>
      <c r="N2378">
        <v>8773.92</v>
      </c>
    </row>
    <row r="2379" spans="1:14" x14ac:dyDescent="0.3">
      <c r="A2379" s="2">
        <v>44958</v>
      </c>
      <c r="B2379" t="s">
        <v>70</v>
      </c>
      <c r="C2379">
        <v>2023</v>
      </c>
      <c r="D2379">
        <v>2</v>
      </c>
      <c r="E2379" t="s">
        <v>59</v>
      </c>
      <c r="F2379" t="s">
        <v>49</v>
      </c>
      <c r="G2379">
        <v>36</v>
      </c>
      <c r="H2379" t="s">
        <v>20</v>
      </c>
      <c r="I2379">
        <v>1088.6300000000001</v>
      </c>
      <c r="J2379">
        <v>1429.93</v>
      </c>
      <c r="K2379">
        <v>1306.8499999999999</v>
      </c>
      <c r="L2379">
        <v>598.52</v>
      </c>
      <c r="M2379">
        <v>3825.41</v>
      </c>
      <c r="N2379">
        <v>4423.93</v>
      </c>
    </row>
    <row r="2380" spans="1:14" x14ac:dyDescent="0.3">
      <c r="A2380" s="2">
        <v>44958</v>
      </c>
      <c r="B2380" t="s">
        <v>70</v>
      </c>
      <c r="C2380">
        <v>2023</v>
      </c>
      <c r="D2380">
        <v>2</v>
      </c>
      <c r="E2380" t="s">
        <v>59</v>
      </c>
      <c r="F2380" t="s">
        <v>50</v>
      </c>
      <c r="G2380">
        <v>16</v>
      </c>
      <c r="H2380" t="s">
        <v>20</v>
      </c>
      <c r="I2380">
        <v>30.22</v>
      </c>
      <c r="J2380">
        <v>39.200000000000003</v>
      </c>
      <c r="K2380">
        <v>9.74</v>
      </c>
      <c r="L2380">
        <v>0.15</v>
      </c>
      <c r="M2380">
        <v>79.16</v>
      </c>
      <c r="N2380">
        <v>79.31</v>
      </c>
    </row>
    <row r="2381" spans="1:14" x14ac:dyDescent="0.3">
      <c r="A2381" s="2">
        <v>44958</v>
      </c>
      <c r="B2381" t="s">
        <v>70</v>
      </c>
      <c r="C2381">
        <v>2023</v>
      </c>
      <c r="D2381">
        <v>2</v>
      </c>
      <c r="E2381" t="s">
        <v>59</v>
      </c>
      <c r="F2381" t="s">
        <v>51</v>
      </c>
      <c r="G2381">
        <v>9</v>
      </c>
      <c r="H2381" t="s">
        <v>20</v>
      </c>
      <c r="I2381">
        <v>1645.73</v>
      </c>
      <c r="J2381">
        <v>2280.25</v>
      </c>
      <c r="K2381">
        <v>2033.08</v>
      </c>
      <c r="L2381">
        <v>1471.94</v>
      </c>
      <c r="M2381">
        <v>5959.06</v>
      </c>
      <c r="N2381">
        <v>7431</v>
      </c>
    </row>
    <row r="2382" spans="1:14" x14ac:dyDescent="0.3">
      <c r="A2382" s="2">
        <v>44958</v>
      </c>
      <c r="B2382" t="s">
        <v>70</v>
      </c>
      <c r="C2382">
        <v>2023</v>
      </c>
      <c r="D2382">
        <v>2</v>
      </c>
      <c r="E2382" t="s">
        <v>59</v>
      </c>
      <c r="F2382" t="s">
        <v>52</v>
      </c>
      <c r="G2382">
        <v>5</v>
      </c>
      <c r="H2382" t="s">
        <v>20</v>
      </c>
      <c r="I2382">
        <v>261.42</v>
      </c>
      <c r="J2382">
        <v>384.24</v>
      </c>
      <c r="K2382">
        <v>749.66</v>
      </c>
      <c r="L2382">
        <v>10.039999999999999</v>
      </c>
      <c r="M2382">
        <v>1395.32</v>
      </c>
      <c r="N2382">
        <v>1405.36</v>
      </c>
    </row>
    <row r="2383" spans="1:14" x14ac:dyDescent="0.3">
      <c r="A2383" s="2">
        <v>44958</v>
      </c>
      <c r="B2383" t="s">
        <v>70</v>
      </c>
      <c r="C2383">
        <v>2023</v>
      </c>
      <c r="D2383">
        <v>2</v>
      </c>
      <c r="E2383" t="s">
        <v>59</v>
      </c>
      <c r="F2383" t="s">
        <v>53</v>
      </c>
      <c r="G2383">
        <v>19</v>
      </c>
      <c r="H2383" t="s">
        <v>20</v>
      </c>
      <c r="I2383">
        <v>1503.7</v>
      </c>
      <c r="J2383">
        <v>1803.19</v>
      </c>
      <c r="K2383">
        <v>1226.98</v>
      </c>
      <c r="L2383">
        <v>421.55</v>
      </c>
      <c r="M2383">
        <v>4533.87</v>
      </c>
      <c r="N2383">
        <v>4955.42</v>
      </c>
    </row>
    <row r="2384" spans="1:14" x14ac:dyDescent="0.3">
      <c r="A2384" s="2">
        <v>44986</v>
      </c>
      <c r="B2384" t="s">
        <v>70</v>
      </c>
      <c r="C2384">
        <v>2023</v>
      </c>
      <c r="D2384">
        <v>3</v>
      </c>
      <c r="E2384" t="s">
        <v>60</v>
      </c>
      <c r="F2384" t="s">
        <v>17</v>
      </c>
      <c r="G2384">
        <v>35</v>
      </c>
      <c r="H2384" t="s">
        <v>18</v>
      </c>
      <c r="I2384">
        <v>14.05</v>
      </c>
      <c r="J2384">
        <v>18.57</v>
      </c>
      <c r="K2384">
        <v>4.59</v>
      </c>
      <c r="L2384">
        <v>0.16</v>
      </c>
      <c r="M2384">
        <v>37.21</v>
      </c>
      <c r="N2384">
        <v>37.369999999999997</v>
      </c>
    </row>
    <row r="2385" spans="1:14" x14ac:dyDescent="0.3">
      <c r="A2385" s="2">
        <v>44986</v>
      </c>
      <c r="B2385" t="s">
        <v>70</v>
      </c>
      <c r="C2385">
        <v>2023</v>
      </c>
      <c r="D2385">
        <v>3</v>
      </c>
      <c r="E2385" t="s">
        <v>60</v>
      </c>
      <c r="F2385" t="s">
        <v>19</v>
      </c>
      <c r="G2385">
        <v>28</v>
      </c>
      <c r="H2385" t="s">
        <v>20</v>
      </c>
      <c r="I2385">
        <v>820.2</v>
      </c>
      <c r="J2385">
        <v>1080.18</v>
      </c>
      <c r="K2385">
        <v>1301.1500000000001</v>
      </c>
      <c r="L2385">
        <v>330.31</v>
      </c>
      <c r="M2385">
        <v>3201.53</v>
      </c>
      <c r="N2385">
        <v>3531.84</v>
      </c>
    </row>
    <row r="2386" spans="1:14" x14ac:dyDescent="0.3">
      <c r="A2386" s="2">
        <v>44986</v>
      </c>
      <c r="B2386" t="s">
        <v>70</v>
      </c>
      <c r="C2386">
        <v>2023</v>
      </c>
      <c r="D2386">
        <v>3</v>
      </c>
      <c r="E2386" t="s">
        <v>60</v>
      </c>
      <c r="F2386" t="s">
        <v>21</v>
      </c>
      <c r="G2386">
        <v>12</v>
      </c>
      <c r="H2386" t="s">
        <v>20</v>
      </c>
      <c r="I2386">
        <v>59.8</v>
      </c>
      <c r="J2386">
        <v>71.97</v>
      </c>
      <c r="K2386">
        <v>12.23</v>
      </c>
      <c r="L2386">
        <v>0.44</v>
      </c>
      <c r="M2386">
        <v>144</v>
      </c>
      <c r="N2386">
        <v>144.44</v>
      </c>
    </row>
    <row r="2387" spans="1:14" x14ac:dyDescent="0.3">
      <c r="A2387" s="2">
        <v>44986</v>
      </c>
      <c r="B2387" t="s">
        <v>70</v>
      </c>
      <c r="C2387">
        <v>2023</v>
      </c>
      <c r="D2387">
        <v>3</v>
      </c>
      <c r="E2387" t="s">
        <v>60</v>
      </c>
      <c r="F2387" t="s">
        <v>22</v>
      </c>
      <c r="G2387">
        <v>18</v>
      </c>
      <c r="H2387" t="s">
        <v>20</v>
      </c>
      <c r="I2387">
        <v>388.43</v>
      </c>
      <c r="J2387">
        <v>486.32</v>
      </c>
      <c r="K2387">
        <v>345.59</v>
      </c>
      <c r="L2387">
        <v>59.99</v>
      </c>
      <c r="M2387">
        <v>1220.3399999999999</v>
      </c>
      <c r="N2387">
        <v>1280.33</v>
      </c>
    </row>
    <row r="2388" spans="1:14" x14ac:dyDescent="0.3">
      <c r="A2388" s="2">
        <v>44986</v>
      </c>
      <c r="B2388" t="s">
        <v>70</v>
      </c>
      <c r="C2388">
        <v>2023</v>
      </c>
      <c r="D2388">
        <v>3</v>
      </c>
      <c r="E2388" t="s">
        <v>60</v>
      </c>
      <c r="F2388" t="s">
        <v>23</v>
      </c>
      <c r="G2388">
        <v>10</v>
      </c>
      <c r="H2388" t="s">
        <v>20</v>
      </c>
      <c r="I2388">
        <v>480.13</v>
      </c>
      <c r="J2388">
        <v>865.22</v>
      </c>
      <c r="K2388">
        <v>209.13</v>
      </c>
      <c r="L2388">
        <v>189.61</v>
      </c>
      <c r="M2388">
        <v>1554.48</v>
      </c>
      <c r="N2388">
        <v>1744.09</v>
      </c>
    </row>
    <row r="2389" spans="1:14" x14ac:dyDescent="0.3">
      <c r="A2389" s="2">
        <v>44986</v>
      </c>
      <c r="B2389" t="s">
        <v>70</v>
      </c>
      <c r="C2389">
        <v>2023</v>
      </c>
      <c r="D2389">
        <v>3</v>
      </c>
      <c r="E2389" t="s">
        <v>60</v>
      </c>
      <c r="F2389" t="s">
        <v>24</v>
      </c>
      <c r="G2389">
        <v>4</v>
      </c>
      <c r="H2389" t="s">
        <v>18</v>
      </c>
      <c r="I2389">
        <v>40.36</v>
      </c>
      <c r="J2389">
        <v>51.67</v>
      </c>
      <c r="K2389">
        <v>109.59</v>
      </c>
      <c r="L2389">
        <v>0.67</v>
      </c>
      <c r="M2389">
        <v>201.62</v>
      </c>
      <c r="N2389">
        <v>202.29</v>
      </c>
    </row>
    <row r="2390" spans="1:14" x14ac:dyDescent="0.3">
      <c r="A2390" s="2">
        <v>44986</v>
      </c>
      <c r="B2390" t="s">
        <v>70</v>
      </c>
      <c r="C2390">
        <v>2023</v>
      </c>
      <c r="D2390">
        <v>3</v>
      </c>
      <c r="E2390" t="s">
        <v>60</v>
      </c>
      <c r="F2390" t="s">
        <v>25</v>
      </c>
      <c r="G2390">
        <v>22</v>
      </c>
      <c r="H2390" t="s">
        <v>20</v>
      </c>
      <c r="I2390">
        <v>590.21</v>
      </c>
      <c r="J2390">
        <v>723.72</v>
      </c>
      <c r="K2390">
        <v>1066.31</v>
      </c>
      <c r="L2390">
        <v>636.47</v>
      </c>
      <c r="M2390">
        <v>2380.2399999999998</v>
      </c>
      <c r="N2390">
        <v>3016.71</v>
      </c>
    </row>
    <row r="2391" spans="1:14" x14ac:dyDescent="0.3">
      <c r="A2391" s="2">
        <v>44986</v>
      </c>
      <c r="B2391" t="s">
        <v>70</v>
      </c>
      <c r="C2391">
        <v>2023</v>
      </c>
      <c r="D2391">
        <v>3</v>
      </c>
      <c r="E2391" t="s">
        <v>60</v>
      </c>
      <c r="F2391" t="s">
        <v>26</v>
      </c>
      <c r="G2391">
        <v>38</v>
      </c>
      <c r="H2391" t="s">
        <v>18</v>
      </c>
      <c r="I2391">
        <v>44.18</v>
      </c>
      <c r="J2391">
        <v>56.66</v>
      </c>
      <c r="K2391">
        <v>207.91</v>
      </c>
      <c r="L2391">
        <v>0.34</v>
      </c>
      <c r="M2391">
        <v>308.75</v>
      </c>
      <c r="N2391">
        <v>309.08999999999997</v>
      </c>
    </row>
    <row r="2392" spans="1:14" x14ac:dyDescent="0.3">
      <c r="A2392" s="2">
        <v>44986</v>
      </c>
      <c r="B2392" t="s">
        <v>70</v>
      </c>
      <c r="C2392">
        <v>2023</v>
      </c>
      <c r="D2392">
        <v>3</v>
      </c>
      <c r="E2392" t="s">
        <v>60</v>
      </c>
      <c r="F2392" t="s">
        <v>27</v>
      </c>
      <c r="G2392">
        <v>7</v>
      </c>
      <c r="H2392" t="s">
        <v>18</v>
      </c>
      <c r="I2392">
        <v>935.59</v>
      </c>
      <c r="J2392">
        <v>1115.01</v>
      </c>
      <c r="K2392">
        <v>2686.29</v>
      </c>
      <c r="L2392">
        <v>103.31</v>
      </c>
      <c r="M2392">
        <v>4736.8900000000003</v>
      </c>
      <c r="N2392">
        <v>4840.2</v>
      </c>
    </row>
    <row r="2393" spans="1:14" x14ac:dyDescent="0.3">
      <c r="A2393" s="2">
        <v>44986</v>
      </c>
      <c r="B2393" t="s">
        <v>70</v>
      </c>
      <c r="C2393">
        <v>2023</v>
      </c>
      <c r="D2393">
        <v>3</v>
      </c>
      <c r="E2393" t="s">
        <v>60</v>
      </c>
      <c r="F2393" t="s">
        <v>28</v>
      </c>
      <c r="G2393">
        <v>30</v>
      </c>
      <c r="H2393" t="s">
        <v>20</v>
      </c>
      <c r="I2393">
        <v>143.75</v>
      </c>
      <c r="J2393">
        <v>188.93</v>
      </c>
      <c r="K2393">
        <v>178.56</v>
      </c>
      <c r="L2393">
        <v>3.35</v>
      </c>
      <c r="M2393">
        <v>511.24</v>
      </c>
      <c r="N2393">
        <v>514.59</v>
      </c>
    </row>
    <row r="2394" spans="1:14" x14ac:dyDescent="0.3">
      <c r="A2394" s="2">
        <v>44986</v>
      </c>
      <c r="B2394" t="s">
        <v>70</v>
      </c>
      <c r="C2394">
        <v>2023</v>
      </c>
      <c r="D2394">
        <v>3</v>
      </c>
      <c r="E2394" t="s">
        <v>60</v>
      </c>
      <c r="F2394" t="s">
        <v>29</v>
      </c>
      <c r="G2394">
        <v>24</v>
      </c>
      <c r="H2394" t="s">
        <v>20</v>
      </c>
      <c r="I2394">
        <v>2774.52</v>
      </c>
      <c r="J2394">
        <v>3437.6</v>
      </c>
      <c r="K2394">
        <v>3219.06</v>
      </c>
      <c r="L2394">
        <v>487.66</v>
      </c>
      <c r="M2394">
        <v>9431.18</v>
      </c>
      <c r="N2394">
        <v>9918.84</v>
      </c>
    </row>
    <row r="2395" spans="1:14" x14ac:dyDescent="0.3">
      <c r="A2395" s="2">
        <v>44986</v>
      </c>
      <c r="B2395" t="s">
        <v>70</v>
      </c>
      <c r="C2395">
        <v>2023</v>
      </c>
      <c r="D2395">
        <v>3</v>
      </c>
      <c r="E2395" t="s">
        <v>60</v>
      </c>
      <c r="F2395" t="s">
        <v>30</v>
      </c>
      <c r="G2395">
        <v>6</v>
      </c>
      <c r="H2395" t="s">
        <v>20</v>
      </c>
      <c r="I2395">
        <v>1229.6300000000001</v>
      </c>
      <c r="J2395">
        <v>1595.9</v>
      </c>
      <c r="K2395">
        <v>4498.75</v>
      </c>
      <c r="L2395">
        <v>455.84</v>
      </c>
      <c r="M2395">
        <v>7324.28</v>
      </c>
      <c r="N2395">
        <v>7780.12</v>
      </c>
    </row>
    <row r="2396" spans="1:14" x14ac:dyDescent="0.3">
      <c r="A2396" s="2">
        <v>44986</v>
      </c>
      <c r="B2396" t="s">
        <v>70</v>
      </c>
      <c r="C2396">
        <v>2023</v>
      </c>
      <c r="D2396">
        <v>3</v>
      </c>
      <c r="E2396" t="s">
        <v>60</v>
      </c>
      <c r="F2396" t="s">
        <v>31</v>
      </c>
      <c r="G2396">
        <v>2</v>
      </c>
      <c r="H2396" t="s">
        <v>20</v>
      </c>
      <c r="I2396">
        <v>151.27000000000001</v>
      </c>
      <c r="J2396">
        <v>196.33</v>
      </c>
      <c r="K2396">
        <v>390.6</v>
      </c>
      <c r="L2396">
        <v>1.17</v>
      </c>
      <c r="M2396">
        <v>738.2</v>
      </c>
      <c r="N2396">
        <v>739.37</v>
      </c>
    </row>
    <row r="2397" spans="1:14" x14ac:dyDescent="0.3">
      <c r="A2397" s="2">
        <v>44986</v>
      </c>
      <c r="B2397" t="s">
        <v>70</v>
      </c>
      <c r="C2397">
        <v>2023</v>
      </c>
      <c r="D2397">
        <v>3</v>
      </c>
      <c r="E2397" t="s">
        <v>60</v>
      </c>
      <c r="F2397" t="s">
        <v>32</v>
      </c>
      <c r="G2397">
        <v>1</v>
      </c>
      <c r="H2397" t="s">
        <v>18</v>
      </c>
      <c r="I2397">
        <v>157.21</v>
      </c>
      <c r="J2397">
        <v>216.7</v>
      </c>
      <c r="K2397">
        <v>97.93</v>
      </c>
      <c r="L2397">
        <v>4.95</v>
      </c>
      <c r="M2397">
        <v>471.84</v>
      </c>
      <c r="N2397">
        <v>476.79</v>
      </c>
    </row>
    <row r="2398" spans="1:14" x14ac:dyDescent="0.3">
      <c r="A2398" s="2">
        <v>44986</v>
      </c>
      <c r="B2398" t="s">
        <v>70</v>
      </c>
      <c r="C2398">
        <v>2023</v>
      </c>
      <c r="D2398">
        <v>3</v>
      </c>
      <c r="E2398" t="s">
        <v>60</v>
      </c>
      <c r="F2398" t="s">
        <v>33</v>
      </c>
      <c r="G2398">
        <v>20</v>
      </c>
      <c r="H2398" t="s">
        <v>20</v>
      </c>
      <c r="I2398">
        <v>588.13</v>
      </c>
      <c r="J2398">
        <v>779.68</v>
      </c>
      <c r="K2398">
        <v>1213.5</v>
      </c>
      <c r="L2398">
        <v>502.11</v>
      </c>
      <c r="M2398">
        <v>2581.31</v>
      </c>
      <c r="N2398">
        <v>3083.42</v>
      </c>
    </row>
    <row r="2399" spans="1:14" x14ac:dyDescent="0.3">
      <c r="A2399" s="2">
        <v>44986</v>
      </c>
      <c r="B2399" t="s">
        <v>70</v>
      </c>
      <c r="C2399">
        <v>2023</v>
      </c>
      <c r="D2399">
        <v>3</v>
      </c>
      <c r="E2399" t="s">
        <v>60</v>
      </c>
      <c r="F2399" t="s">
        <v>34</v>
      </c>
      <c r="G2399">
        <v>29</v>
      </c>
      <c r="H2399" t="s">
        <v>20</v>
      </c>
      <c r="I2399">
        <v>2594.1999999999998</v>
      </c>
      <c r="J2399">
        <v>3127.52</v>
      </c>
      <c r="K2399">
        <v>3562.23</v>
      </c>
      <c r="L2399">
        <v>1076.1400000000001</v>
      </c>
      <c r="M2399">
        <v>9283.9500000000007</v>
      </c>
      <c r="N2399">
        <v>10360.09</v>
      </c>
    </row>
    <row r="2400" spans="1:14" x14ac:dyDescent="0.3">
      <c r="A2400" s="2">
        <v>44986</v>
      </c>
      <c r="B2400" t="s">
        <v>70</v>
      </c>
      <c r="C2400">
        <v>2023</v>
      </c>
      <c r="D2400">
        <v>3</v>
      </c>
      <c r="E2400" t="s">
        <v>60</v>
      </c>
      <c r="F2400" t="s">
        <v>35</v>
      </c>
      <c r="G2400">
        <v>32</v>
      </c>
      <c r="H2400" t="s">
        <v>20</v>
      </c>
      <c r="I2400">
        <v>810.65</v>
      </c>
      <c r="J2400">
        <v>1064.1500000000001</v>
      </c>
      <c r="K2400">
        <v>476.1</v>
      </c>
      <c r="L2400">
        <v>3.01</v>
      </c>
      <c r="M2400">
        <v>2350.9</v>
      </c>
      <c r="N2400">
        <v>2353.91</v>
      </c>
    </row>
    <row r="2401" spans="1:14" x14ac:dyDescent="0.3">
      <c r="A2401" s="2">
        <v>44986</v>
      </c>
      <c r="B2401" t="s">
        <v>70</v>
      </c>
      <c r="C2401">
        <v>2023</v>
      </c>
      <c r="D2401">
        <v>3</v>
      </c>
      <c r="E2401" t="s">
        <v>60</v>
      </c>
      <c r="F2401" t="s">
        <v>67</v>
      </c>
      <c r="G2401">
        <v>37</v>
      </c>
      <c r="H2401" t="s">
        <v>18</v>
      </c>
      <c r="I2401">
        <v>8.68</v>
      </c>
      <c r="J2401">
        <v>11.49</v>
      </c>
      <c r="K2401">
        <v>2.36</v>
      </c>
      <c r="L2401">
        <v>0.09</v>
      </c>
      <c r="M2401">
        <v>22.53</v>
      </c>
      <c r="N2401">
        <v>22.62</v>
      </c>
    </row>
    <row r="2402" spans="1:14" x14ac:dyDescent="0.3">
      <c r="A2402" s="2">
        <v>44986</v>
      </c>
      <c r="B2402" t="s">
        <v>70</v>
      </c>
      <c r="C2402">
        <v>2023</v>
      </c>
      <c r="D2402">
        <v>3</v>
      </c>
      <c r="E2402" t="s">
        <v>60</v>
      </c>
      <c r="F2402" t="s">
        <v>36</v>
      </c>
      <c r="G2402">
        <v>31</v>
      </c>
      <c r="H2402" t="s">
        <v>18</v>
      </c>
      <c r="I2402">
        <v>1.22</v>
      </c>
      <c r="J2402">
        <v>1.27</v>
      </c>
      <c r="K2402">
        <v>0.22</v>
      </c>
      <c r="L2402">
        <v>0</v>
      </c>
      <c r="M2402">
        <v>2.71</v>
      </c>
      <c r="N2402">
        <v>2.71</v>
      </c>
    </row>
    <row r="2403" spans="1:14" x14ac:dyDescent="0.3">
      <c r="A2403" s="2">
        <v>44986</v>
      </c>
      <c r="B2403" t="s">
        <v>70</v>
      </c>
      <c r="C2403">
        <v>2023</v>
      </c>
      <c r="D2403">
        <v>3</v>
      </c>
      <c r="E2403" t="s">
        <v>60</v>
      </c>
      <c r="F2403" t="s">
        <v>37</v>
      </c>
      <c r="G2403">
        <v>23</v>
      </c>
      <c r="H2403" t="s">
        <v>20</v>
      </c>
      <c r="I2403">
        <v>830.32</v>
      </c>
      <c r="J2403">
        <v>1043.19</v>
      </c>
      <c r="K2403">
        <v>908.88</v>
      </c>
      <c r="L2403">
        <v>563.9</v>
      </c>
      <c r="M2403">
        <v>2782.39</v>
      </c>
      <c r="N2403">
        <v>3346.29</v>
      </c>
    </row>
    <row r="2404" spans="1:14" x14ac:dyDescent="0.3">
      <c r="A2404" s="2">
        <v>44986</v>
      </c>
      <c r="B2404" t="s">
        <v>70</v>
      </c>
      <c r="C2404">
        <v>2023</v>
      </c>
      <c r="D2404">
        <v>3</v>
      </c>
      <c r="E2404" t="s">
        <v>60</v>
      </c>
      <c r="F2404" t="s">
        <v>38</v>
      </c>
      <c r="G2404">
        <v>27</v>
      </c>
      <c r="H2404" t="s">
        <v>20</v>
      </c>
      <c r="I2404">
        <v>6486.49</v>
      </c>
      <c r="J2404">
        <v>7622.28</v>
      </c>
      <c r="K2404">
        <v>6952.14</v>
      </c>
      <c r="L2404">
        <v>1634</v>
      </c>
      <c r="M2404">
        <v>21060.91</v>
      </c>
      <c r="N2404">
        <v>22694.91</v>
      </c>
    </row>
    <row r="2405" spans="1:14" x14ac:dyDescent="0.3">
      <c r="A2405" s="2">
        <v>44986</v>
      </c>
      <c r="B2405" t="s">
        <v>70</v>
      </c>
      <c r="C2405">
        <v>2023</v>
      </c>
      <c r="D2405">
        <v>3</v>
      </c>
      <c r="E2405" t="s">
        <v>60</v>
      </c>
      <c r="F2405" t="s">
        <v>39</v>
      </c>
      <c r="G2405">
        <v>14</v>
      </c>
      <c r="H2405" t="s">
        <v>20</v>
      </c>
      <c r="I2405">
        <v>24.79</v>
      </c>
      <c r="J2405">
        <v>32.94</v>
      </c>
      <c r="K2405">
        <v>6.89</v>
      </c>
      <c r="L2405">
        <v>0.61</v>
      </c>
      <c r="M2405">
        <v>64.62</v>
      </c>
      <c r="N2405">
        <v>65.23</v>
      </c>
    </row>
    <row r="2406" spans="1:14" x14ac:dyDescent="0.3">
      <c r="A2406" s="2">
        <v>44986</v>
      </c>
      <c r="B2406" t="s">
        <v>70</v>
      </c>
      <c r="C2406">
        <v>2023</v>
      </c>
      <c r="D2406">
        <v>3</v>
      </c>
      <c r="E2406" t="s">
        <v>60</v>
      </c>
      <c r="F2406" t="s">
        <v>40</v>
      </c>
      <c r="G2406">
        <v>17</v>
      </c>
      <c r="H2406" t="s">
        <v>20</v>
      </c>
      <c r="I2406">
        <v>41.46</v>
      </c>
      <c r="J2406">
        <v>53.68</v>
      </c>
      <c r="K2406">
        <v>106.03</v>
      </c>
      <c r="L2406">
        <v>0.59</v>
      </c>
      <c r="M2406">
        <v>201.17</v>
      </c>
      <c r="N2406">
        <v>201.76</v>
      </c>
    </row>
    <row r="2407" spans="1:14" x14ac:dyDescent="0.3">
      <c r="A2407" s="2">
        <v>44986</v>
      </c>
      <c r="B2407" t="s">
        <v>70</v>
      </c>
      <c r="C2407">
        <v>2023</v>
      </c>
      <c r="D2407">
        <v>3</v>
      </c>
      <c r="E2407" t="s">
        <v>60</v>
      </c>
      <c r="F2407" t="s">
        <v>41</v>
      </c>
      <c r="G2407">
        <v>15</v>
      </c>
      <c r="H2407" t="s">
        <v>20</v>
      </c>
      <c r="I2407">
        <v>26.18</v>
      </c>
      <c r="J2407">
        <v>40.36</v>
      </c>
      <c r="K2407">
        <v>3.69</v>
      </c>
      <c r="L2407">
        <v>0.06</v>
      </c>
      <c r="M2407">
        <v>70.23</v>
      </c>
      <c r="N2407">
        <v>70.290000000000006</v>
      </c>
    </row>
    <row r="2408" spans="1:14" x14ac:dyDescent="0.3">
      <c r="A2408" s="2">
        <v>44986</v>
      </c>
      <c r="B2408" t="s">
        <v>70</v>
      </c>
      <c r="C2408">
        <v>2023</v>
      </c>
      <c r="D2408">
        <v>3</v>
      </c>
      <c r="E2408" t="s">
        <v>60</v>
      </c>
      <c r="F2408" t="s">
        <v>42</v>
      </c>
      <c r="G2408">
        <v>13</v>
      </c>
      <c r="H2408" t="s">
        <v>20</v>
      </c>
      <c r="I2408">
        <v>16.88</v>
      </c>
      <c r="J2408">
        <v>24.57</v>
      </c>
      <c r="K2408">
        <v>9.91</v>
      </c>
      <c r="L2408">
        <v>6.3</v>
      </c>
      <c r="M2408">
        <v>51.36</v>
      </c>
      <c r="N2408">
        <v>57.66</v>
      </c>
    </row>
    <row r="2409" spans="1:14" x14ac:dyDescent="0.3">
      <c r="A2409" s="2">
        <v>44986</v>
      </c>
      <c r="B2409" t="s">
        <v>70</v>
      </c>
      <c r="C2409">
        <v>2023</v>
      </c>
      <c r="D2409">
        <v>3</v>
      </c>
      <c r="E2409" t="s">
        <v>60</v>
      </c>
      <c r="F2409" t="s">
        <v>43</v>
      </c>
      <c r="G2409">
        <v>21</v>
      </c>
      <c r="H2409" t="s">
        <v>20</v>
      </c>
      <c r="I2409">
        <v>1146.1500000000001</v>
      </c>
      <c r="J2409">
        <v>1432.38</v>
      </c>
      <c r="K2409">
        <v>1447.91</v>
      </c>
      <c r="L2409">
        <v>722.58</v>
      </c>
      <c r="M2409">
        <v>4026.44</v>
      </c>
      <c r="N2409">
        <v>4749.0200000000004</v>
      </c>
    </row>
    <row r="2410" spans="1:14" x14ac:dyDescent="0.3">
      <c r="A2410" s="2">
        <v>44986</v>
      </c>
      <c r="B2410" t="s">
        <v>70</v>
      </c>
      <c r="C2410">
        <v>2023</v>
      </c>
      <c r="D2410">
        <v>3</v>
      </c>
      <c r="E2410" t="s">
        <v>60</v>
      </c>
      <c r="F2410" t="s">
        <v>44</v>
      </c>
      <c r="G2410">
        <v>34</v>
      </c>
      <c r="H2410" t="s">
        <v>18</v>
      </c>
      <c r="I2410">
        <v>25.14</v>
      </c>
      <c r="J2410">
        <v>36.840000000000003</v>
      </c>
      <c r="K2410">
        <v>140.66</v>
      </c>
      <c r="L2410">
        <v>1.19</v>
      </c>
      <c r="M2410">
        <v>202.64</v>
      </c>
      <c r="N2410">
        <v>203.83</v>
      </c>
    </row>
    <row r="2411" spans="1:14" x14ac:dyDescent="0.3">
      <c r="A2411" s="2">
        <v>44986</v>
      </c>
      <c r="B2411" t="s">
        <v>70</v>
      </c>
      <c r="C2411">
        <v>2023</v>
      </c>
      <c r="D2411">
        <v>3</v>
      </c>
      <c r="E2411" t="s">
        <v>60</v>
      </c>
      <c r="F2411" t="s">
        <v>45</v>
      </c>
      <c r="G2411">
        <v>3</v>
      </c>
      <c r="H2411" t="s">
        <v>20</v>
      </c>
      <c r="I2411">
        <v>435.12</v>
      </c>
      <c r="J2411">
        <v>637.58000000000004</v>
      </c>
      <c r="K2411">
        <v>629.09</v>
      </c>
      <c r="L2411">
        <v>33.049999999999997</v>
      </c>
      <c r="M2411">
        <v>1701.79</v>
      </c>
      <c r="N2411">
        <v>1734.84</v>
      </c>
    </row>
    <row r="2412" spans="1:14" x14ac:dyDescent="0.3">
      <c r="A2412" s="2">
        <v>44986</v>
      </c>
      <c r="B2412" t="s">
        <v>70</v>
      </c>
      <c r="C2412">
        <v>2023</v>
      </c>
      <c r="D2412">
        <v>3</v>
      </c>
      <c r="E2412" t="s">
        <v>60</v>
      </c>
      <c r="F2412" t="s">
        <v>46</v>
      </c>
      <c r="G2412">
        <v>8</v>
      </c>
      <c r="H2412" t="s">
        <v>20</v>
      </c>
      <c r="I2412">
        <v>1104.17</v>
      </c>
      <c r="J2412">
        <v>1409.02</v>
      </c>
      <c r="K2412">
        <v>1536.58</v>
      </c>
      <c r="L2412">
        <v>104.49</v>
      </c>
      <c r="M2412">
        <v>4049.77</v>
      </c>
      <c r="N2412">
        <v>4154.26</v>
      </c>
    </row>
    <row r="2413" spans="1:14" x14ac:dyDescent="0.3">
      <c r="A2413" s="2">
        <v>44986</v>
      </c>
      <c r="B2413" t="s">
        <v>70</v>
      </c>
      <c r="C2413">
        <v>2023</v>
      </c>
      <c r="D2413">
        <v>3</v>
      </c>
      <c r="E2413" t="s">
        <v>60</v>
      </c>
      <c r="F2413" t="s">
        <v>47</v>
      </c>
      <c r="G2413">
        <v>11</v>
      </c>
      <c r="H2413" t="s">
        <v>20</v>
      </c>
      <c r="I2413">
        <v>19.62</v>
      </c>
      <c r="J2413">
        <v>27.89</v>
      </c>
      <c r="K2413">
        <v>214.86</v>
      </c>
      <c r="L2413">
        <v>0.05</v>
      </c>
      <c r="M2413">
        <v>262.37</v>
      </c>
      <c r="N2413">
        <v>262.42</v>
      </c>
    </row>
    <row r="2414" spans="1:14" x14ac:dyDescent="0.3">
      <c r="A2414" s="2">
        <v>44986</v>
      </c>
      <c r="B2414" t="s">
        <v>70</v>
      </c>
      <c r="C2414">
        <v>2023</v>
      </c>
      <c r="D2414">
        <v>3</v>
      </c>
      <c r="E2414" t="s">
        <v>60</v>
      </c>
      <c r="F2414" t="s">
        <v>48</v>
      </c>
      <c r="G2414">
        <v>33</v>
      </c>
      <c r="H2414" t="s">
        <v>20</v>
      </c>
      <c r="I2414">
        <v>2467.7399999999998</v>
      </c>
      <c r="J2414">
        <v>3424.06</v>
      </c>
      <c r="K2414">
        <v>2779.24</v>
      </c>
      <c r="L2414">
        <v>574.12</v>
      </c>
      <c r="M2414">
        <v>8671.0400000000009</v>
      </c>
      <c r="N2414">
        <v>9245.16</v>
      </c>
    </row>
    <row r="2415" spans="1:14" x14ac:dyDescent="0.3">
      <c r="A2415" s="2">
        <v>44986</v>
      </c>
      <c r="B2415" t="s">
        <v>70</v>
      </c>
      <c r="C2415">
        <v>2023</v>
      </c>
      <c r="D2415">
        <v>3</v>
      </c>
      <c r="E2415" t="s">
        <v>60</v>
      </c>
      <c r="F2415" t="s">
        <v>49</v>
      </c>
      <c r="G2415">
        <v>36</v>
      </c>
      <c r="H2415" t="s">
        <v>20</v>
      </c>
      <c r="I2415">
        <v>1267.97</v>
      </c>
      <c r="J2415">
        <v>1583.09</v>
      </c>
      <c r="K2415">
        <v>1378.89</v>
      </c>
      <c r="L2415">
        <v>574.19000000000005</v>
      </c>
      <c r="M2415">
        <v>4229.95</v>
      </c>
      <c r="N2415">
        <v>4804.1400000000003</v>
      </c>
    </row>
    <row r="2416" spans="1:14" x14ac:dyDescent="0.3">
      <c r="A2416" s="2">
        <v>44986</v>
      </c>
      <c r="B2416" t="s">
        <v>70</v>
      </c>
      <c r="C2416">
        <v>2023</v>
      </c>
      <c r="D2416">
        <v>3</v>
      </c>
      <c r="E2416" t="s">
        <v>60</v>
      </c>
      <c r="F2416" t="s">
        <v>50</v>
      </c>
      <c r="G2416">
        <v>16</v>
      </c>
      <c r="H2416" t="s">
        <v>20</v>
      </c>
      <c r="I2416">
        <v>36.33</v>
      </c>
      <c r="J2416">
        <v>45.02</v>
      </c>
      <c r="K2416">
        <v>9.0299999999999994</v>
      </c>
      <c r="L2416">
        <v>0.05</v>
      </c>
      <c r="M2416">
        <v>90.38</v>
      </c>
      <c r="N2416">
        <v>90.43</v>
      </c>
    </row>
    <row r="2417" spans="1:14" x14ac:dyDescent="0.3">
      <c r="A2417" s="2">
        <v>44986</v>
      </c>
      <c r="B2417" t="s">
        <v>70</v>
      </c>
      <c r="C2417">
        <v>2023</v>
      </c>
      <c r="D2417">
        <v>3</v>
      </c>
      <c r="E2417" t="s">
        <v>60</v>
      </c>
      <c r="F2417" t="s">
        <v>51</v>
      </c>
      <c r="G2417">
        <v>9</v>
      </c>
      <c r="H2417" t="s">
        <v>20</v>
      </c>
      <c r="I2417">
        <v>1793.78</v>
      </c>
      <c r="J2417">
        <v>2465.8000000000002</v>
      </c>
      <c r="K2417">
        <v>2351.29</v>
      </c>
      <c r="L2417">
        <v>1002.59</v>
      </c>
      <c r="M2417">
        <v>6610.87</v>
      </c>
      <c r="N2417">
        <v>7613.46</v>
      </c>
    </row>
    <row r="2418" spans="1:14" x14ac:dyDescent="0.3">
      <c r="A2418" s="2">
        <v>44986</v>
      </c>
      <c r="B2418" t="s">
        <v>70</v>
      </c>
      <c r="C2418">
        <v>2023</v>
      </c>
      <c r="D2418">
        <v>3</v>
      </c>
      <c r="E2418" t="s">
        <v>60</v>
      </c>
      <c r="F2418" t="s">
        <v>52</v>
      </c>
      <c r="G2418">
        <v>5</v>
      </c>
      <c r="H2418" t="s">
        <v>20</v>
      </c>
      <c r="I2418">
        <v>314.95999999999998</v>
      </c>
      <c r="J2418">
        <v>422.11</v>
      </c>
      <c r="K2418">
        <v>774.12</v>
      </c>
      <c r="L2418">
        <v>11.99</v>
      </c>
      <c r="M2418">
        <v>1511.19</v>
      </c>
      <c r="N2418">
        <v>1523.18</v>
      </c>
    </row>
    <row r="2419" spans="1:14" x14ac:dyDescent="0.3">
      <c r="A2419" s="2">
        <v>44986</v>
      </c>
      <c r="B2419" t="s">
        <v>70</v>
      </c>
      <c r="C2419">
        <v>2023</v>
      </c>
      <c r="D2419">
        <v>3</v>
      </c>
      <c r="E2419" t="s">
        <v>60</v>
      </c>
      <c r="F2419" t="s">
        <v>53</v>
      </c>
      <c r="G2419">
        <v>19</v>
      </c>
      <c r="H2419" t="s">
        <v>20</v>
      </c>
      <c r="I2419">
        <v>1651.82</v>
      </c>
      <c r="J2419">
        <v>1888.56</v>
      </c>
      <c r="K2419">
        <v>1242.3599999999999</v>
      </c>
      <c r="L2419">
        <v>309.64</v>
      </c>
      <c r="M2419">
        <v>4782.74</v>
      </c>
      <c r="N2419">
        <v>5092.38</v>
      </c>
    </row>
    <row r="2420" spans="1:14" x14ac:dyDescent="0.3">
      <c r="A2420" s="2">
        <v>45017</v>
      </c>
      <c r="B2420" t="s">
        <v>71</v>
      </c>
      <c r="C2420">
        <v>2023</v>
      </c>
      <c r="D2420">
        <v>4</v>
      </c>
      <c r="E2420" t="s">
        <v>62</v>
      </c>
      <c r="F2420" t="s">
        <v>17</v>
      </c>
      <c r="G2420">
        <v>35</v>
      </c>
      <c r="H2420" t="s">
        <v>18</v>
      </c>
      <c r="I2420">
        <v>39.409999999999997</v>
      </c>
      <c r="J2420">
        <v>46.41</v>
      </c>
      <c r="K2420">
        <v>6.02</v>
      </c>
      <c r="L2420">
        <v>0.09</v>
      </c>
      <c r="M2420">
        <v>91.84</v>
      </c>
      <c r="N2420">
        <v>91.93</v>
      </c>
    </row>
    <row r="2421" spans="1:14" x14ac:dyDescent="0.3">
      <c r="A2421" s="2">
        <v>45017</v>
      </c>
      <c r="B2421" t="s">
        <v>71</v>
      </c>
      <c r="C2421">
        <v>2023</v>
      </c>
      <c r="D2421">
        <v>4</v>
      </c>
      <c r="E2421" t="s">
        <v>62</v>
      </c>
      <c r="F2421" t="s">
        <v>19</v>
      </c>
      <c r="G2421">
        <v>28</v>
      </c>
      <c r="H2421" t="s">
        <v>20</v>
      </c>
      <c r="I2421">
        <v>1059.28</v>
      </c>
      <c r="J2421">
        <v>1348.09</v>
      </c>
      <c r="K2421">
        <v>1667.68</v>
      </c>
      <c r="L2421">
        <v>254.33</v>
      </c>
      <c r="M2421">
        <v>4075.05</v>
      </c>
      <c r="N2421">
        <v>4329.38</v>
      </c>
    </row>
    <row r="2422" spans="1:14" x14ac:dyDescent="0.3">
      <c r="A2422" s="2">
        <v>45017</v>
      </c>
      <c r="B2422" t="s">
        <v>71</v>
      </c>
      <c r="C2422">
        <v>2023</v>
      </c>
      <c r="D2422">
        <v>4</v>
      </c>
      <c r="E2422" t="s">
        <v>62</v>
      </c>
      <c r="F2422" t="s">
        <v>21</v>
      </c>
      <c r="G2422">
        <v>12</v>
      </c>
      <c r="H2422" t="s">
        <v>20</v>
      </c>
      <c r="I2422">
        <v>100.84</v>
      </c>
      <c r="J2422">
        <v>122.08</v>
      </c>
      <c r="K2422">
        <v>15.12</v>
      </c>
      <c r="L2422">
        <v>0.33</v>
      </c>
      <c r="M2422">
        <v>238.04</v>
      </c>
      <c r="N2422">
        <v>238.37</v>
      </c>
    </row>
    <row r="2423" spans="1:14" x14ac:dyDescent="0.3">
      <c r="A2423" s="2">
        <v>45017</v>
      </c>
      <c r="B2423" t="s">
        <v>71</v>
      </c>
      <c r="C2423">
        <v>2023</v>
      </c>
      <c r="D2423">
        <v>4</v>
      </c>
      <c r="E2423" t="s">
        <v>62</v>
      </c>
      <c r="F2423" t="s">
        <v>22</v>
      </c>
      <c r="G2423">
        <v>18</v>
      </c>
      <c r="H2423" t="s">
        <v>20</v>
      </c>
      <c r="I2423">
        <v>480.53</v>
      </c>
      <c r="J2423">
        <v>607.72</v>
      </c>
      <c r="K2423">
        <v>360.27</v>
      </c>
      <c r="L2423">
        <v>64.290000000000006</v>
      </c>
      <c r="M2423">
        <v>1448.52</v>
      </c>
      <c r="N2423">
        <v>1512.81</v>
      </c>
    </row>
    <row r="2424" spans="1:14" x14ac:dyDescent="0.3">
      <c r="A2424" s="2">
        <v>45017</v>
      </c>
      <c r="B2424" t="s">
        <v>71</v>
      </c>
      <c r="C2424">
        <v>2023</v>
      </c>
      <c r="D2424">
        <v>4</v>
      </c>
      <c r="E2424" t="s">
        <v>62</v>
      </c>
      <c r="F2424" t="s">
        <v>23</v>
      </c>
      <c r="G2424">
        <v>10</v>
      </c>
      <c r="H2424" t="s">
        <v>20</v>
      </c>
      <c r="I2424">
        <v>495.98</v>
      </c>
      <c r="J2424">
        <v>796.14</v>
      </c>
      <c r="K2424">
        <v>209.28</v>
      </c>
      <c r="L2424">
        <v>123.81</v>
      </c>
      <c r="M2424">
        <v>1501.4</v>
      </c>
      <c r="N2424">
        <v>1625.21</v>
      </c>
    </row>
    <row r="2425" spans="1:14" x14ac:dyDescent="0.3">
      <c r="A2425" s="2">
        <v>45017</v>
      </c>
      <c r="B2425" t="s">
        <v>71</v>
      </c>
      <c r="C2425">
        <v>2023</v>
      </c>
      <c r="D2425">
        <v>4</v>
      </c>
      <c r="E2425" t="s">
        <v>62</v>
      </c>
      <c r="F2425" t="s">
        <v>24</v>
      </c>
      <c r="G2425">
        <v>4</v>
      </c>
      <c r="H2425" t="s">
        <v>18</v>
      </c>
      <c r="I2425">
        <v>46.5</v>
      </c>
      <c r="J2425">
        <v>62.83</v>
      </c>
      <c r="K2425">
        <v>143.44</v>
      </c>
      <c r="L2425">
        <v>1.83</v>
      </c>
      <c r="M2425">
        <v>252.77</v>
      </c>
      <c r="N2425">
        <v>254.6</v>
      </c>
    </row>
    <row r="2426" spans="1:14" x14ac:dyDescent="0.3">
      <c r="A2426" s="2">
        <v>45017</v>
      </c>
      <c r="B2426" t="s">
        <v>71</v>
      </c>
      <c r="C2426">
        <v>2023</v>
      </c>
      <c r="D2426">
        <v>4</v>
      </c>
      <c r="E2426" t="s">
        <v>62</v>
      </c>
      <c r="F2426" t="s">
        <v>25</v>
      </c>
      <c r="G2426">
        <v>22</v>
      </c>
      <c r="H2426" t="s">
        <v>20</v>
      </c>
      <c r="I2426">
        <v>757.91</v>
      </c>
      <c r="J2426">
        <v>879.53</v>
      </c>
      <c r="K2426">
        <v>1183.1400000000001</v>
      </c>
      <c r="L2426">
        <v>687.46</v>
      </c>
      <c r="M2426">
        <v>2820.58</v>
      </c>
      <c r="N2426">
        <v>3508.04</v>
      </c>
    </row>
    <row r="2427" spans="1:14" x14ac:dyDescent="0.3">
      <c r="A2427" s="2">
        <v>45017</v>
      </c>
      <c r="B2427" t="s">
        <v>71</v>
      </c>
      <c r="C2427">
        <v>2023</v>
      </c>
      <c r="D2427">
        <v>4</v>
      </c>
      <c r="E2427" t="s">
        <v>62</v>
      </c>
      <c r="F2427" t="s">
        <v>26</v>
      </c>
      <c r="G2427">
        <v>38</v>
      </c>
      <c r="H2427" t="s">
        <v>18</v>
      </c>
      <c r="I2427">
        <v>46</v>
      </c>
      <c r="J2427">
        <v>61.59</v>
      </c>
      <c r="K2427">
        <v>290.42</v>
      </c>
      <c r="L2427">
        <v>0.86</v>
      </c>
      <c r="M2427">
        <v>398.01</v>
      </c>
      <c r="N2427">
        <v>398.87</v>
      </c>
    </row>
    <row r="2428" spans="1:14" x14ac:dyDescent="0.3">
      <c r="A2428" s="2">
        <v>45017</v>
      </c>
      <c r="B2428" t="s">
        <v>71</v>
      </c>
      <c r="C2428">
        <v>2023</v>
      </c>
      <c r="D2428">
        <v>4</v>
      </c>
      <c r="E2428" t="s">
        <v>62</v>
      </c>
      <c r="F2428" t="s">
        <v>27</v>
      </c>
      <c r="G2428">
        <v>7</v>
      </c>
      <c r="H2428" t="s">
        <v>18</v>
      </c>
      <c r="I2428">
        <v>1358.48</v>
      </c>
      <c r="J2428">
        <v>1637.88</v>
      </c>
      <c r="K2428">
        <v>3240.97</v>
      </c>
      <c r="L2428">
        <v>83.05</v>
      </c>
      <c r="M2428">
        <v>6237.33</v>
      </c>
      <c r="N2428">
        <v>6320.38</v>
      </c>
    </row>
    <row r="2429" spans="1:14" x14ac:dyDescent="0.3">
      <c r="A2429" s="2">
        <v>45017</v>
      </c>
      <c r="B2429" t="s">
        <v>71</v>
      </c>
      <c r="C2429">
        <v>2023</v>
      </c>
      <c r="D2429">
        <v>4</v>
      </c>
      <c r="E2429" t="s">
        <v>62</v>
      </c>
      <c r="F2429" t="s">
        <v>28</v>
      </c>
      <c r="G2429">
        <v>30</v>
      </c>
      <c r="H2429" t="s">
        <v>20</v>
      </c>
      <c r="I2429">
        <v>177.24</v>
      </c>
      <c r="J2429">
        <v>236.84</v>
      </c>
      <c r="K2429">
        <v>201.01</v>
      </c>
      <c r="L2429">
        <v>4.51</v>
      </c>
      <c r="M2429">
        <v>615.09</v>
      </c>
      <c r="N2429">
        <v>619.6</v>
      </c>
    </row>
    <row r="2430" spans="1:14" x14ac:dyDescent="0.3">
      <c r="A2430" s="2">
        <v>45017</v>
      </c>
      <c r="B2430" t="s">
        <v>71</v>
      </c>
      <c r="C2430">
        <v>2023</v>
      </c>
      <c r="D2430">
        <v>4</v>
      </c>
      <c r="E2430" t="s">
        <v>62</v>
      </c>
      <c r="F2430" t="s">
        <v>29</v>
      </c>
      <c r="G2430">
        <v>24</v>
      </c>
      <c r="H2430" t="s">
        <v>20</v>
      </c>
      <c r="I2430">
        <v>3436.53</v>
      </c>
      <c r="J2430">
        <v>4064.5</v>
      </c>
      <c r="K2430">
        <v>3555.91</v>
      </c>
      <c r="L2430">
        <v>664.43</v>
      </c>
      <c r="M2430">
        <v>11056.94</v>
      </c>
      <c r="N2430">
        <v>11721.37</v>
      </c>
    </row>
    <row r="2431" spans="1:14" x14ac:dyDescent="0.3">
      <c r="A2431" s="2">
        <v>45017</v>
      </c>
      <c r="B2431" t="s">
        <v>71</v>
      </c>
      <c r="C2431">
        <v>2023</v>
      </c>
      <c r="D2431">
        <v>4</v>
      </c>
      <c r="E2431" t="s">
        <v>62</v>
      </c>
      <c r="F2431" t="s">
        <v>30</v>
      </c>
      <c r="G2431">
        <v>6</v>
      </c>
      <c r="H2431" t="s">
        <v>20</v>
      </c>
      <c r="I2431">
        <v>1424.32</v>
      </c>
      <c r="J2431">
        <v>1871.45</v>
      </c>
      <c r="K2431">
        <v>6228.45</v>
      </c>
      <c r="L2431">
        <v>511.19</v>
      </c>
      <c r="M2431">
        <v>9524.2199999999993</v>
      </c>
      <c r="N2431">
        <v>10035.41</v>
      </c>
    </row>
    <row r="2432" spans="1:14" x14ac:dyDescent="0.3">
      <c r="A2432" s="2">
        <v>45017</v>
      </c>
      <c r="B2432" t="s">
        <v>71</v>
      </c>
      <c r="C2432">
        <v>2023</v>
      </c>
      <c r="D2432">
        <v>4</v>
      </c>
      <c r="E2432" t="s">
        <v>62</v>
      </c>
      <c r="F2432" t="s">
        <v>31</v>
      </c>
      <c r="G2432">
        <v>2</v>
      </c>
      <c r="H2432" t="s">
        <v>20</v>
      </c>
      <c r="I2432">
        <v>213.6</v>
      </c>
      <c r="J2432">
        <v>301.06</v>
      </c>
      <c r="K2432">
        <v>439.84</v>
      </c>
      <c r="L2432">
        <v>2.2400000000000002</v>
      </c>
      <c r="M2432">
        <v>954.5</v>
      </c>
      <c r="N2432">
        <v>956.74</v>
      </c>
    </row>
    <row r="2433" spans="1:14" x14ac:dyDescent="0.3">
      <c r="A2433" s="2">
        <v>45017</v>
      </c>
      <c r="B2433" t="s">
        <v>71</v>
      </c>
      <c r="C2433">
        <v>2023</v>
      </c>
      <c r="D2433">
        <v>4</v>
      </c>
      <c r="E2433" t="s">
        <v>62</v>
      </c>
      <c r="F2433" t="s">
        <v>32</v>
      </c>
      <c r="G2433">
        <v>1</v>
      </c>
      <c r="H2433" t="s">
        <v>18</v>
      </c>
      <c r="I2433">
        <v>285.02</v>
      </c>
      <c r="J2433">
        <v>394.05</v>
      </c>
      <c r="K2433">
        <v>116.08</v>
      </c>
      <c r="L2433">
        <v>8.33</v>
      </c>
      <c r="M2433">
        <v>795.15</v>
      </c>
      <c r="N2433">
        <v>803.48</v>
      </c>
    </row>
    <row r="2434" spans="1:14" x14ac:dyDescent="0.3">
      <c r="A2434" s="2">
        <v>45017</v>
      </c>
      <c r="B2434" t="s">
        <v>71</v>
      </c>
      <c r="C2434">
        <v>2023</v>
      </c>
      <c r="D2434">
        <v>4</v>
      </c>
      <c r="E2434" t="s">
        <v>62</v>
      </c>
      <c r="F2434" t="s">
        <v>33</v>
      </c>
      <c r="G2434">
        <v>20</v>
      </c>
      <c r="H2434" t="s">
        <v>20</v>
      </c>
      <c r="I2434">
        <v>707.01</v>
      </c>
      <c r="J2434">
        <v>951.5</v>
      </c>
      <c r="K2434">
        <v>1450.81</v>
      </c>
      <c r="L2434">
        <v>591.91</v>
      </c>
      <c r="M2434">
        <v>3109.32</v>
      </c>
      <c r="N2434">
        <v>3701.23</v>
      </c>
    </row>
    <row r="2435" spans="1:14" x14ac:dyDescent="0.3">
      <c r="A2435" s="2">
        <v>45017</v>
      </c>
      <c r="B2435" t="s">
        <v>71</v>
      </c>
      <c r="C2435">
        <v>2023</v>
      </c>
      <c r="D2435">
        <v>4</v>
      </c>
      <c r="E2435" t="s">
        <v>62</v>
      </c>
      <c r="F2435" t="s">
        <v>34</v>
      </c>
      <c r="G2435">
        <v>29</v>
      </c>
      <c r="H2435" t="s">
        <v>20</v>
      </c>
      <c r="I2435">
        <v>3578.49</v>
      </c>
      <c r="J2435">
        <v>4298.32</v>
      </c>
      <c r="K2435">
        <v>5277.34</v>
      </c>
      <c r="L2435">
        <v>1439.14</v>
      </c>
      <c r="M2435">
        <v>13154.15</v>
      </c>
      <c r="N2435">
        <v>14593.29</v>
      </c>
    </row>
    <row r="2436" spans="1:14" x14ac:dyDescent="0.3">
      <c r="A2436" s="2">
        <v>45017</v>
      </c>
      <c r="B2436" t="s">
        <v>71</v>
      </c>
      <c r="C2436">
        <v>2023</v>
      </c>
      <c r="D2436">
        <v>4</v>
      </c>
      <c r="E2436" t="s">
        <v>62</v>
      </c>
      <c r="F2436" t="s">
        <v>35</v>
      </c>
      <c r="G2436">
        <v>32</v>
      </c>
      <c r="H2436" t="s">
        <v>20</v>
      </c>
      <c r="I2436">
        <v>1023.57</v>
      </c>
      <c r="J2436">
        <v>1365.59</v>
      </c>
      <c r="K2436">
        <v>607.29</v>
      </c>
      <c r="L2436">
        <v>13.57</v>
      </c>
      <c r="M2436">
        <v>2996.45</v>
      </c>
      <c r="N2436">
        <v>3010.02</v>
      </c>
    </row>
    <row r="2437" spans="1:14" x14ac:dyDescent="0.3">
      <c r="A2437" s="2">
        <v>45017</v>
      </c>
      <c r="B2437" t="s">
        <v>71</v>
      </c>
      <c r="C2437">
        <v>2023</v>
      </c>
      <c r="D2437">
        <v>4</v>
      </c>
      <c r="E2437" t="s">
        <v>62</v>
      </c>
      <c r="F2437" t="s">
        <v>67</v>
      </c>
      <c r="G2437">
        <v>37</v>
      </c>
      <c r="H2437" t="s">
        <v>18</v>
      </c>
      <c r="I2437">
        <v>28.26</v>
      </c>
      <c r="J2437">
        <v>33.51</v>
      </c>
      <c r="K2437">
        <v>5.81</v>
      </c>
      <c r="L2437">
        <v>0.04</v>
      </c>
      <c r="M2437">
        <v>67.58</v>
      </c>
      <c r="N2437">
        <v>67.62</v>
      </c>
    </row>
    <row r="2438" spans="1:14" x14ac:dyDescent="0.3">
      <c r="A2438" s="2">
        <v>45017</v>
      </c>
      <c r="B2438" t="s">
        <v>71</v>
      </c>
      <c r="C2438">
        <v>2023</v>
      </c>
      <c r="D2438">
        <v>4</v>
      </c>
      <c r="E2438" t="s">
        <v>62</v>
      </c>
      <c r="F2438" t="s">
        <v>36</v>
      </c>
      <c r="G2438">
        <v>31</v>
      </c>
      <c r="H2438" t="s">
        <v>18</v>
      </c>
      <c r="I2438">
        <v>0.91</v>
      </c>
      <c r="J2438">
        <v>1.07</v>
      </c>
      <c r="K2438">
        <v>0.84</v>
      </c>
      <c r="L2438">
        <v>0</v>
      </c>
      <c r="M2438">
        <v>2.82</v>
      </c>
      <c r="N2438">
        <v>2.82</v>
      </c>
    </row>
    <row r="2439" spans="1:14" x14ac:dyDescent="0.3">
      <c r="A2439" s="2">
        <v>45017</v>
      </c>
      <c r="B2439" t="s">
        <v>71</v>
      </c>
      <c r="C2439">
        <v>2023</v>
      </c>
      <c r="D2439">
        <v>4</v>
      </c>
      <c r="E2439" t="s">
        <v>62</v>
      </c>
      <c r="F2439" t="s">
        <v>37</v>
      </c>
      <c r="G2439">
        <v>23</v>
      </c>
      <c r="H2439" t="s">
        <v>20</v>
      </c>
      <c r="I2439">
        <v>1004.45</v>
      </c>
      <c r="J2439">
        <v>1286.6199999999999</v>
      </c>
      <c r="K2439">
        <v>1322.22</v>
      </c>
      <c r="L2439">
        <v>653.75</v>
      </c>
      <c r="M2439">
        <v>3613.29</v>
      </c>
      <c r="N2439">
        <v>4267.04</v>
      </c>
    </row>
    <row r="2440" spans="1:14" x14ac:dyDescent="0.3">
      <c r="A2440" s="2">
        <v>45017</v>
      </c>
      <c r="B2440" t="s">
        <v>71</v>
      </c>
      <c r="C2440">
        <v>2023</v>
      </c>
      <c r="D2440">
        <v>4</v>
      </c>
      <c r="E2440" t="s">
        <v>62</v>
      </c>
      <c r="F2440" t="s">
        <v>38</v>
      </c>
      <c r="G2440">
        <v>27</v>
      </c>
      <c r="H2440" t="s">
        <v>20</v>
      </c>
      <c r="I2440">
        <v>9002.02</v>
      </c>
      <c r="J2440">
        <v>10391.91</v>
      </c>
      <c r="K2440">
        <v>11917.68</v>
      </c>
      <c r="L2440">
        <v>1884.15</v>
      </c>
      <c r="M2440">
        <v>31311.61</v>
      </c>
      <c r="N2440">
        <v>33195.760000000002</v>
      </c>
    </row>
    <row r="2441" spans="1:14" x14ac:dyDescent="0.3">
      <c r="A2441" s="2">
        <v>45017</v>
      </c>
      <c r="B2441" t="s">
        <v>71</v>
      </c>
      <c r="C2441">
        <v>2023</v>
      </c>
      <c r="D2441">
        <v>4</v>
      </c>
      <c r="E2441" t="s">
        <v>62</v>
      </c>
      <c r="F2441" t="s">
        <v>39</v>
      </c>
      <c r="G2441">
        <v>14</v>
      </c>
      <c r="H2441" t="s">
        <v>20</v>
      </c>
      <c r="I2441">
        <v>34.270000000000003</v>
      </c>
      <c r="J2441">
        <v>49.85</v>
      </c>
      <c r="K2441">
        <v>6.32</v>
      </c>
      <c r="L2441">
        <v>0.28000000000000003</v>
      </c>
      <c r="M2441">
        <v>90.44</v>
      </c>
      <c r="N2441">
        <v>90.72</v>
      </c>
    </row>
    <row r="2442" spans="1:14" x14ac:dyDescent="0.3">
      <c r="A2442" s="2">
        <v>45017</v>
      </c>
      <c r="B2442" t="s">
        <v>71</v>
      </c>
      <c r="C2442">
        <v>2023</v>
      </c>
      <c r="D2442">
        <v>4</v>
      </c>
      <c r="E2442" t="s">
        <v>62</v>
      </c>
      <c r="F2442" t="s">
        <v>40</v>
      </c>
      <c r="G2442">
        <v>17</v>
      </c>
      <c r="H2442" t="s">
        <v>20</v>
      </c>
      <c r="I2442">
        <v>51.14</v>
      </c>
      <c r="J2442">
        <v>69.48</v>
      </c>
      <c r="K2442">
        <v>116.72</v>
      </c>
      <c r="L2442">
        <v>2.08</v>
      </c>
      <c r="M2442">
        <v>237.34</v>
      </c>
      <c r="N2442">
        <v>239.42</v>
      </c>
    </row>
    <row r="2443" spans="1:14" x14ac:dyDescent="0.3">
      <c r="A2443" s="2">
        <v>45017</v>
      </c>
      <c r="B2443" t="s">
        <v>71</v>
      </c>
      <c r="C2443">
        <v>2023</v>
      </c>
      <c r="D2443">
        <v>4</v>
      </c>
      <c r="E2443" t="s">
        <v>62</v>
      </c>
      <c r="F2443" t="s">
        <v>41</v>
      </c>
      <c r="G2443">
        <v>15</v>
      </c>
      <c r="H2443" t="s">
        <v>20</v>
      </c>
      <c r="I2443">
        <v>25.38</v>
      </c>
      <c r="J2443">
        <v>40.78</v>
      </c>
      <c r="K2443">
        <v>4.7</v>
      </c>
      <c r="L2443">
        <v>7.0000000000000007E-2</v>
      </c>
      <c r="M2443">
        <v>70.86</v>
      </c>
      <c r="N2443">
        <v>70.930000000000007</v>
      </c>
    </row>
    <row r="2444" spans="1:14" x14ac:dyDescent="0.3">
      <c r="A2444" s="2">
        <v>45017</v>
      </c>
      <c r="B2444" t="s">
        <v>71</v>
      </c>
      <c r="C2444">
        <v>2023</v>
      </c>
      <c r="D2444">
        <v>4</v>
      </c>
      <c r="E2444" t="s">
        <v>62</v>
      </c>
      <c r="F2444" t="s">
        <v>42</v>
      </c>
      <c r="G2444">
        <v>13</v>
      </c>
      <c r="H2444" t="s">
        <v>20</v>
      </c>
      <c r="I2444">
        <v>27.97</v>
      </c>
      <c r="J2444">
        <v>35.65</v>
      </c>
      <c r="K2444">
        <v>15.33</v>
      </c>
      <c r="L2444">
        <v>9.15</v>
      </c>
      <c r="M2444">
        <v>78.95</v>
      </c>
      <c r="N2444">
        <v>88.1</v>
      </c>
    </row>
    <row r="2445" spans="1:14" x14ac:dyDescent="0.3">
      <c r="A2445" s="2">
        <v>45017</v>
      </c>
      <c r="B2445" t="s">
        <v>71</v>
      </c>
      <c r="C2445">
        <v>2023</v>
      </c>
      <c r="D2445">
        <v>4</v>
      </c>
      <c r="E2445" t="s">
        <v>62</v>
      </c>
      <c r="F2445" t="s">
        <v>43</v>
      </c>
      <c r="G2445">
        <v>21</v>
      </c>
      <c r="H2445" t="s">
        <v>20</v>
      </c>
      <c r="I2445">
        <v>1400.05</v>
      </c>
      <c r="J2445">
        <v>1659.57</v>
      </c>
      <c r="K2445">
        <v>1195.53</v>
      </c>
      <c r="L2445">
        <v>780.59</v>
      </c>
      <c r="M2445">
        <v>4255.1499999999996</v>
      </c>
      <c r="N2445">
        <v>5035.74</v>
      </c>
    </row>
    <row r="2446" spans="1:14" x14ac:dyDescent="0.3">
      <c r="A2446" s="2">
        <v>45017</v>
      </c>
      <c r="B2446" t="s">
        <v>71</v>
      </c>
      <c r="C2446">
        <v>2023</v>
      </c>
      <c r="D2446">
        <v>4</v>
      </c>
      <c r="E2446" t="s">
        <v>62</v>
      </c>
      <c r="F2446" t="s">
        <v>44</v>
      </c>
      <c r="G2446">
        <v>34</v>
      </c>
      <c r="H2446" t="s">
        <v>18</v>
      </c>
      <c r="I2446">
        <v>28.07</v>
      </c>
      <c r="J2446">
        <v>42.41</v>
      </c>
      <c r="K2446">
        <v>147.32</v>
      </c>
      <c r="L2446">
        <v>0.19</v>
      </c>
      <c r="M2446">
        <v>217.8</v>
      </c>
      <c r="N2446">
        <v>217.99</v>
      </c>
    </row>
    <row r="2447" spans="1:14" x14ac:dyDescent="0.3">
      <c r="A2447" s="2">
        <v>45017</v>
      </c>
      <c r="B2447" t="s">
        <v>71</v>
      </c>
      <c r="C2447">
        <v>2023</v>
      </c>
      <c r="D2447">
        <v>4</v>
      </c>
      <c r="E2447" t="s">
        <v>62</v>
      </c>
      <c r="F2447" t="s">
        <v>45</v>
      </c>
      <c r="G2447">
        <v>3</v>
      </c>
      <c r="H2447" t="s">
        <v>20</v>
      </c>
      <c r="I2447">
        <v>594.65</v>
      </c>
      <c r="J2447">
        <v>860.42</v>
      </c>
      <c r="K2447">
        <v>816.16</v>
      </c>
      <c r="L2447">
        <v>45.02</v>
      </c>
      <c r="M2447">
        <v>2271.23</v>
      </c>
      <c r="N2447">
        <v>2316.25</v>
      </c>
    </row>
    <row r="2448" spans="1:14" x14ac:dyDescent="0.3">
      <c r="A2448" s="2">
        <v>45017</v>
      </c>
      <c r="B2448" t="s">
        <v>71</v>
      </c>
      <c r="C2448">
        <v>2023</v>
      </c>
      <c r="D2448">
        <v>4</v>
      </c>
      <c r="E2448" t="s">
        <v>62</v>
      </c>
      <c r="F2448" t="s">
        <v>46</v>
      </c>
      <c r="G2448">
        <v>8</v>
      </c>
      <c r="H2448" t="s">
        <v>20</v>
      </c>
      <c r="I2448">
        <v>1372.32</v>
      </c>
      <c r="J2448">
        <v>1741.02</v>
      </c>
      <c r="K2448">
        <v>1525.78</v>
      </c>
      <c r="L2448">
        <v>146.22999999999999</v>
      </c>
      <c r="M2448">
        <v>4639.12</v>
      </c>
      <c r="N2448">
        <v>4785.3500000000004</v>
      </c>
    </row>
    <row r="2449" spans="1:14" x14ac:dyDescent="0.3">
      <c r="A2449" s="2">
        <v>45017</v>
      </c>
      <c r="B2449" t="s">
        <v>71</v>
      </c>
      <c r="C2449">
        <v>2023</v>
      </c>
      <c r="D2449">
        <v>4</v>
      </c>
      <c r="E2449" t="s">
        <v>62</v>
      </c>
      <c r="F2449" t="s">
        <v>47</v>
      </c>
      <c r="G2449">
        <v>11</v>
      </c>
      <c r="H2449" t="s">
        <v>20</v>
      </c>
      <c r="I2449">
        <v>78.760000000000005</v>
      </c>
      <c r="J2449">
        <v>110.17</v>
      </c>
      <c r="K2449">
        <v>236.94</v>
      </c>
      <c r="L2449">
        <v>0.12</v>
      </c>
      <c r="M2449">
        <v>425.87</v>
      </c>
      <c r="N2449">
        <v>425.99</v>
      </c>
    </row>
    <row r="2450" spans="1:14" x14ac:dyDescent="0.3">
      <c r="A2450" s="2">
        <v>45017</v>
      </c>
      <c r="B2450" t="s">
        <v>71</v>
      </c>
      <c r="C2450">
        <v>2023</v>
      </c>
      <c r="D2450">
        <v>4</v>
      </c>
      <c r="E2450" t="s">
        <v>62</v>
      </c>
      <c r="F2450" t="s">
        <v>48</v>
      </c>
      <c r="G2450">
        <v>33</v>
      </c>
      <c r="H2450" t="s">
        <v>20</v>
      </c>
      <c r="I2450">
        <v>3157.72</v>
      </c>
      <c r="J2450">
        <v>3682.12</v>
      </c>
      <c r="K2450">
        <v>3821.2</v>
      </c>
      <c r="L2450">
        <v>897.78</v>
      </c>
      <c r="M2450">
        <v>10661.04</v>
      </c>
      <c r="N2450">
        <v>11558.82</v>
      </c>
    </row>
    <row r="2451" spans="1:14" x14ac:dyDescent="0.3">
      <c r="A2451" s="2">
        <v>45017</v>
      </c>
      <c r="B2451" t="s">
        <v>71</v>
      </c>
      <c r="C2451">
        <v>2023</v>
      </c>
      <c r="D2451">
        <v>4</v>
      </c>
      <c r="E2451" t="s">
        <v>62</v>
      </c>
      <c r="F2451" t="s">
        <v>49</v>
      </c>
      <c r="G2451">
        <v>36</v>
      </c>
      <c r="H2451" t="s">
        <v>20</v>
      </c>
      <c r="I2451">
        <v>1417.89</v>
      </c>
      <c r="J2451">
        <v>1822.98</v>
      </c>
      <c r="K2451">
        <v>1838.37</v>
      </c>
      <c r="L2451">
        <v>543.14</v>
      </c>
      <c r="M2451">
        <v>5079.24</v>
      </c>
      <c r="N2451">
        <v>5622.38</v>
      </c>
    </row>
    <row r="2452" spans="1:14" x14ac:dyDescent="0.3">
      <c r="A2452" s="2">
        <v>45017</v>
      </c>
      <c r="B2452" t="s">
        <v>71</v>
      </c>
      <c r="C2452">
        <v>2023</v>
      </c>
      <c r="D2452">
        <v>4</v>
      </c>
      <c r="E2452" t="s">
        <v>62</v>
      </c>
      <c r="F2452" t="s">
        <v>50</v>
      </c>
      <c r="G2452">
        <v>16</v>
      </c>
      <c r="H2452" t="s">
        <v>20</v>
      </c>
      <c r="I2452">
        <v>49.43</v>
      </c>
      <c r="J2452">
        <v>69.95</v>
      </c>
      <c r="K2452">
        <v>13.53</v>
      </c>
      <c r="L2452">
        <v>0.47</v>
      </c>
      <c r="M2452">
        <v>132.91</v>
      </c>
      <c r="N2452">
        <v>133.38</v>
      </c>
    </row>
    <row r="2453" spans="1:14" x14ac:dyDescent="0.3">
      <c r="A2453" s="2">
        <v>45017</v>
      </c>
      <c r="B2453" t="s">
        <v>71</v>
      </c>
      <c r="C2453">
        <v>2023</v>
      </c>
      <c r="D2453">
        <v>4</v>
      </c>
      <c r="E2453" t="s">
        <v>62</v>
      </c>
      <c r="F2453" t="s">
        <v>51</v>
      </c>
      <c r="G2453">
        <v>9</v>
      </c>
      <c r="H2453" t="s">
        <v>20</v>
      </c>
      <c r="I2453">
        <v>2586.6799999999998</v>
      </c>
      <c r="J2453">
        <v>3476.02</v>
      </c>
      <c r="K2453">
        <v>2987.57</v>
      </c>
      <c r="L2453">
        <v>1270.18</v>
      </c>
      <c r="M2453">
        <v>9050.27</v>
      </c>
      <c r="N2453">
        <v>10320.450000000001</v>
      </c>
    </row>
    <row r="2454" spans="1:14" x14ac:dyDescent="0.3">
      <c r="A2454" s="2">
        <v>45017</v>
      </c>
      <c r="B2454" t="s">
        <v>71</v>
      </c>
      <c r="C2454">
        <v>2023</v>
      </c>
      <c r="D2454">
        <v>4</v>
      </c>
      <c r="E2454" t="s">
        <v>62</v>
      </c>
      <c r="F2454" t="s">
        <v>52</v>
      </c>
      <c r="G2454">
        <v>5</v>
      </c>
      <c r="H2454" t="s">
        <v>20</v>
      </c>
      <c r="I2454">
        <v>387.32</v>
      </c>
      <c r="J2454">
        <v>554.33000000000004</v>
      </c>
      <c r="K2454">
        <v>1191.8399999999999</v>
      </c>
      <c r="L2454">
        <v>14.94</v>
      </c>
      <c r="M2454">
        <v>2133.4899999999998</v>
      </c>
      <c r="N2454">
        <v>2148.4299999999998</v>
      </c>
    </row>
    <row r="2455" spans="1:14" x14ac:dyDescent="0.3">
      <c r="A2455" s="2">
        <v>45017</v>
      </c>
      <c r="B2455" t="s">
        <v>71</v>
      </c>
      <c r="C2455">
        <v>2023</v>
      </c>
      <c r="D2455">
        <v>4</v>
      </c>
      <c r="E2455" t="s">
        <v>62</v>
      </c>
      <c r="F2455" t="s">
        <v>53</v>
      </c>
      <c r="G2455">
        <v>19</v>
      </c>
      <c r="H2455" t="s">
        <v>20</v>
      </c>
      <c r="I2455">
        <v>1949.47</v>
      </c>
      <c r="J2455">
        <v>2416.36</v>
      </c>
      <c r="K2455">
        <v>1657.01</v>
      </c>
      <c r="L2455">
        <v>424.4</v>
      </c>
      <c r="M2455">
        <v>6022.84</v>
      </c>
      <c r="N2455">
        <v>6447.24</v>
      </c>
    </row>
    <row r="2456" spans="1:14" x14ac:dyDescent="0.3">
      <c r="A2456" s="2">
        <v>45047</v>
      </c>
      <c r="B2456" t="s">
        <v>71</v>
      </c>
      <c r="C2456">
        <v>2023</v>
      </c>
      <c r="D2456">
        <v>5</v>
      </c>
      <c r="E2456" t="s">
        <v>63</v>
      </c>
      <c r="F2456" t="s">
        <v>17</v>
      </c>
      <c r="G2456">
        <v>35</v>
      </c>
      <c r="H2456" t="s">
        <v>18</v>
      </c>
      <c r="I2456">
        <v>11.82</v>
      </c>
      <c r="J2456">
        <v>15.15</v>
      </c>
      <c r="K2456">
        <v>3.3</v>
      </c>
      <c r="L2456">
        <v>0.64</v>
      </c>
      <c r="M2456">
        <v>30.27</v>
      </c>
      <c r="N2456">
        <v>30.91</v>
      </c>
    </row>
    <row r="2457" spans="1:14" x14ac:dyDescent="0.3">
      <c r="A2457" s="2">
        <v>45047</v>
      </c>
      <c r="B2457" t="s">
        <v>71</v>
      </c>
      <c r="C2457">
        <v>2023</v>
      </c>
      <c r="D2457">
        <v>5</v>
      </c>
      <c r="E2457" t="s">
        <v>63</v>
      </c>
      <c r="F2457" t="s">
        <v>19</v>
      </c>
      <c r="G2457">
        <v>28</v>
      </c>
      <c r="H2457" t="s">
        <v>20</v>
      </c>
      <c r="I2457">
        <v>801.16</v>
      </c>
      <c r="J2457">
        <v>1048.17</v>
      </c>
      <c r="K2457">
        <v>1210.76</v>
      </c>
      <c r="L2457">
        <v>313.11</v>
      </c>
      <c r="M2457">
        <v>3060.09</v>
      </c>
      <c r="N2457">
        <v>3373.2</v>
      </c>
    </row>
    <row r="2458" spans="1:14" x14ac:dyDescent="0.3">
      <c r="A2458" s="2">
        <v>45047</v>
      </c>
      <c r="B2458" t="s">
        <v>71</v>
      </c>
      <c r="C2458">
        <v>2023</v>
      </c>
      <c r="D2458">
        <v>5</v>
      </c>
      <c r="E2458" t="s">
        <v>63</v>
      </c>
      <c r="F2458" t="s">
        <v>21</v>
      </c>
      <c r="G2458">
        <v>12</v>
      </c>
      <c r="H2458" t="s">
        <v>20</v>
      </c>
      <c r="I2458">
        <v>49.56</v>
      </c>
      <c r="J2458">
        <v>60.13</v>
      </c>
      <c r="K2458">
        <v>10.36</v>
      </c>
      <c r="L2458">
        <v>0.24</v>
      </c>
      <c r="M2458">
        <v>120.05</v>
      </c>
      <c r="N2458">
        <v>120.29</v>
      </c>
    </row>
    <row r="2459" spans="1:14" x14ac:dyDescent="0.3">
      <c r="A2459" s="2">
        <v>45047</v>
      </c>
      <c r="B2459" t="s">
        <v>71</v>
      </c>
      <c r="C2459">
        <v>2023</v>
      </c>
      <c r="D2459">
        <v>5</v>
      </c>
      <c r="E2459" t="s">
        <v>63</v>
      </c>
      <c r="F2459" t="s">
        <v>22</v>
      </c>
      <c r="G2459">
        <v>18</v>
      </c>
      <c r="H2459" t="s">
        <v>20</v>
      </c>
      <c r="I2459">
        <v>356.19</v>
      </c>
      <c r="J2459">
        <v>487.5</v>
      </c>
      <c r="K2459">
        <v>322.41000000000003</v>
      </c>
      <c r="L2459">
        <v>51.05</v>
      </c>
      <c r="M2459">
        <v>1166.0999999999999</v>
      </c>
      <c r="N2459">
        <v>1217.1500000000001</v>
      </c>
    </row>
    <row r="2460" spans="1:14" x14ac:dyDescent="0.3">
      <c r="A2460" s="2">
        <v>45047</v>
      </c>
      <c r="B2460" t="s">
        <v>71</v>
      </c>
      <c r="C2460">
        <v>2023</v>
      </c>
      <c r="D2460">
        <v>5</v>
      </c>
      <c r="E2460" t="s">
        <v>63</v>
      </c>
      <c r="F2460" t="s">
        <v>23</v>
      </c>
      <c r="G2460">
        <v>10</v>
      </c>
      <c r="H2460" t="s">
        <v>20</v>
      </c>
      <c r="I2460">
        <v>365.17</v>
      </c>
      <c r="J2460">
        <v>623.01</v>
      </c>
      <c r="K2460">
        <v>175.35</v>
      </c>
      <c r="L2460">
        <v>202.36</v>
      </c>
      <c r="M2460">
        <v>1163.53</v>
      </c>
      <c r="N2460">
        <v>1365.89</v>
      </c>
    </row>
    <row r="2461" spans="1:14" x14ac:dyDescent="0.3">
      <c r="A2461" s="2">
        <v>45047</v>
      </c>
      <c r="B2461" t="s">
        <v>71</v>
      </c>
      <c r="C2461">
        <v>2023</v>
      </c>
      <c r="D2461">
        <v>5</v>
      </c>
      <c r="E2461" t="s">
        <v>63</v>
      </c>
      <c r="F2461" t="s">
        <v>24</v>
      </c>
      <c r="G2461">
        <v>4</v>
      </c>
      <c r="H2461" t="s">
        <v>18</v>
      </c>
      <c r="I2461">
        <v>36.950000000000003</v>
      </c>
      <c r="J2461">
        <v>48.26</v>
      </c>
      <c r="K2461">
        <v>171.78</v>
      </c>
      <c r="L2461">
        <v>2.37</v>
      </c>
      <c r="M2461">
        <v>256.99</v>
      </c>
      <c r="N2461">
        <v>259.36</v>
      </c>
    </row>
    <row r="2462" spans="1:14" x14ac:dyDescent="0.3">
      <c r="A2462" s="2">
        <v>45047</v>
      </c>
      <c r="B2462" t="s">
        <v>71</v>
      </c>
      <c r="C2462">
        <v>2023</v>
      </c>
      <c r="D2462">
        <v>5</v>
      </c>
      <c r="E2462" t="s">
        <v>63</v>
      </c>
      <c r="F2462" t="s">
        <v>25</v>
      </c>
      <c r="G2462">
        <v>22</v>
      </c>
      <c r="H2462" t="s">
        <v>20</v>
      </c>
      <c r="I2462">
        <v>471.03</v>
      </c>
      <c r="J2462">
        <v>582.57000000000005</v>
      </c>
      <c r="K2462">
        <v>821.4</v>
      </c>
      <c r="L2462">
        <v>649.79</v>
      </c>
      <c r="M2462">
        <v>1875</v>
      </c>
      <c r="N2462">
        <v>2524.79</v>
      </c>
    </row>
    <row r="2463" spans="1:14" x14ac:dyDescent="0.3">
      <c r="A2463" s="2">
        <v>45047</v>
      </c>
      <c r="B2463" t="s">
        <v>71</v>
      </c>
      <c r="C2463">
        <v>2023</v>
      </c>
      <c r="D2463">
        <v>5</v>
      </c>
      <c r="E2463" t="s">
        <v>63</v>
      </c>
      <c r="F2463" t="s">
        <v>26</v>
      </c>
      <c r="G2463">
        <v>38</v>
      </c>
      <c r="H2463" t="s">
        <v>18</v>
      </c>
      <c r="I2463">
        <v>35.85</v>
      </c>
      <c r="J2463">
        <v>47.04</v>
      </c>
      <c r="K2463">
        <v>239.82</v>
      </c>
      <c r="L2463">
        <v>1.3</v>
      </c>
      <c r="M2463">
        <v>322.70999999999998</v>
      </c>
      <c r="N2463">
        <v>324.01</v>
      </c>
    </row>
    <row r="2464" spans="1:14" x14ac:dyDescent="0.3">
      <c r="A2464" s="2">
        <v>45047</v>
      </c>
      <c r="B2464" t="s">
        <v>71</v>
      </c>
      <c r="C2464">
        <v>2023</v>
      </c>
      <c r="D2464">
        <v>5</v>
      </c>
      <c r="E2464" t="s">
        <v>63</v>
      </c>
      <c r="F2464" t="s">
        <v>27</v>
      </c>
      <c r="G2464">
        <v>7</v>
      </c>
      <c r="H2464" t="s">
        <v>18</v>
      </c>
      <c r="I2464">
        <v>1117.48</v>
      </c>
      <c r="J2464">
        <v>1295.06</v>
      </c>
      <c r="K2464">
        <v>2622.68</v>
      </c>
      <c r="L2464">
        <v>112.22</v>
      </c>
      <c r="M2464">
        <v>5035.22</v>
      </c>
      <c r="N2464">
        <v>5147.4399999999996</v>
      </c>
    </row>
    <row r="2465" spans="1:14" x14ac:dyDescent="0.3">
      <c r="A2465" s="2">
        <v>45047</v>
      </c>
      <c r="B2465" t="s">
        <v>71</v>
      </c>
      <c r="C2465">
        <v>2023</v>
      </c>
      <c r="D2465">
        <v>5</v>
      </c>
      <c r="E2465" t="s">
        <v>63</v>
      </c>
      <c r="F2465" t="s">
        <v>28</v>
      </c>
      <c r="G2465">
        <v>30</v>
      </c>
      <c r="H2465" t="s">
        <v>20</v>
      </c>
      <c r="I2465">
        <v>136.32</v>
      </c>
      <c r="J2465">
        <v>182.47</v>
      </c>
      <c r="K2465">
        <v>200.55</v>
      </c>
      <c r="L2465">
        <v>3.49</v>
      </c>
      <c r="M2465">
        <v>519.34</v>
      </c>
      <c r="N2465">
        <v>522.83000000000004</v>
      </c>
    </row>
    <row r="2466" spans="1:14" x14ac:dyDescent="0.3">
      <c r="A2466" s="2">
        <v>45047</v>
      </c>
      <c r="B2466" t="s">
        <v>71</v>
      </c>
      <c r="C2466">
        <v>2023</v>
      </c>
      <c r="D2466">
        <v>5</v>
      </c>
      <c r="E2466" t="s">
        <v>63</v>
      </c>
      <c r="F2466" t="s">
        <v>29</v>
      </c>
      <c r="G2466">
        <v>24</v>
      </c>
      <c r="H2466" t="s">
        <v>20</v>
      </c>
      <c r="I2466">
        <v>2729.13</v>
      </c>
      <c r="J2466">
        <v>3371.18</v>
      </c>
      <c r="K2466">
        <v>3025.07</v>
      </c>
      <c r="L2466">
        <v>674.5</v>
      </c>
      <c r="M2466">
        <v>9125.3799999999992</v>
      </c>
      <c r="N2466">
        <v>9799.8799999999992</v>
      </c>
    </row>
    <row r="2467" spans="1:14" x14ac:dyDescent="0.3">
      <c r="A2467" s="2">
        <v>45047</v>
      </c>
      <c r="B2467" t="s">
        <v>71</v>
      </c>
      <c r="C2467">
        <v>2023</v>
      </c>
      <c r="D2467">
        <v>5</v>
      </c>
      <c r="E2467" t="s">
        <v>63</v>
      </c>
      <c r="F2467" t="s">
        <v>30</v>
      </c>
      <c r="G2467">
        <v>6</v>
      </c>
      <c r="H2467" t="s">
        <v>20</v>
      </c>
      <c r="I2467">
        <v>1227.5</v>
      </c>
      <c r="J2467">
        <v>1543.74</v>
      </c>
      <c r="K2467">
        <v>4053.2</v>
      </c>
      <c r="L2467">
        <v>425.5</v>
      </c>
      <c r="M2467">
        <v>6824.44</v>
      </c>
      <c r="N2467">
        <v>7249.94</v>
      </c>
    </row>
    <row r="2468" spans="1:14" x14ac:dyDescent="0.3">
      <c r="A2468" s="2">
        <v>45047</v>
      </c>
      <c r="B2468" t="s">
        <v>71</v>
      </c>
      <c r="C2468">
        <v>2023</v>
      </c>
      <c r="D2468">
        <v>5</v>
      </c>
      <c r="E2468" t="s">
        <v>63</v>
      </c>
      <c r="F2468" t="s">
        <v>31</v>
      </c>
      <c r="G2468">
        <v>2</v>
      </c>
      <c r="H2468" t="s">
        <v>20</v>
      </c>
      <c r="I2468">
        <v>138.72</v>
      </c>
      <c r="J2468">
        <v>188.75</v>
      </c>
      <c r="K2468">
        <v>499.13</v>
      </c>
      <c r="L2468">
        <v>1.85</v>
      </c>
      <c r="M2468">
        <v>826.6</v>
      </c>
      <c r="N2468">
        <v>828.45</v>
      </c>
    </row>
    <row r="2469" spans="1:14" x14ac:dyDescent="0.3">
      <c r="A2469" s="2">
        <v>45047</v>
      </c>
      <c r="B2469" t="s">
        <v>71</v>
      </c>
      <c r="C2469">
        <v>2023</v>
      </c>
      <c r="D2469">
        <v>5</v>
      </c>
      <c r="E2469" t="s">
        <v>63</v>
      </c>
      <c r="F2469" t="s">
        <v>32</v>
      </c>
      <c r="G2469">
        <v>1</v>
      </c>
      <c r="H2469" t="s">
        <v>18</v>
      </c>
      <c r="I2469">
        <v>114.27</v>
      </c>
      <c r="J2469">
        <v>178.17</v>
      </c>
      <c r="K2469">
        <v>119.75</v>
      </c>
      <c r="L2469">
        <v>9.65</v>
      </c>
      <c r="M2469">
        <v>412.19</v>
      </c>
      <c r="N2469">
        <v>421.84</v>
      </c>
    </row>
    <row r="2470" spans="1:14" x14ac:dyDescent="0.3">
      <c r="A2470" s="2">
        <v>45047</v>
      </c>
      <c r="B2470" t="s">
        <v>71</v>
      </c>
      <c r="C2470">
        <v>2023</v>
      </c>
      <c r="D2470">
        <v>5</v>
      </c>
      <c r="E2470" t="s">
        <v>63</v>
      </c>
      <c r="F2470" t="s">
        <v>33</v>
      </c>
      <c r="G2470">
        <v>20</v>
      </c>
      <c r="H2470" t="s">
        <v>20</v>
      </c>
      <c r="I2470">
        <v>434.03</v>
      </c>
      <c r="J2470">
        <v>653.44000000000005</v>
      </c>
      <c r="K2470">
        <v>904.45</v>
      </c>
      <c r="L2470">
        <v>592.44000000000005</v>
      </c>
      <c r="M2470">
        <v>1991.92</v>
      </c>
      <c r="N2470">
        <v>2584.36</v>
      </c>
    </row>
    <row r="2471" spans="1:14" x14ac:dyDescent="0.3">
      <c r="A2471" s="2">
        <v>45047</v>
      </c>
      <c r="B2471" t="s">
        <v>71</v>
      </c>
      <c r="C2471">
        <v>2023</v>
      </c>
      <c r="D2471">
        <v>5</v>
      </c>
      <c r="E2471" t="s">
        <v>63</v>
      </c>
      <c r="F2471" t="s">
        <v>34</v>
      </c>
      <c r="G2471">
        <v>29</v>
      </c>
      <c r="H2471" t="s">
        <v>20</v>
      </c>
      <c r="I2471">
        <v>2462.85</v>
      </c>
      <c r="J2471">
        <v>3022.24</v>
      </c>
      <c r="K2471">
        <v>3582.08</v>
      </c>
      <c r="L2471">
        <v>1249.57</v>
      </c>
      <c r="M2471">
        <v>9067.17</v>
      </c>
      <c r="N2471">
        <v>10316.74</v>
      </c>
    </row>
    <row r="2472" spans="1:14" x14ac:dyDescent="0.3">
      <c r="A2472" s="2">
        <v>45047</v>
      </c>
      <c r="B2472" t="s">
        <v>71</v>
      </c>
      <c r="C2472">
        <v>2023</v>
      </c>
      <c r="D2472">
        <v>5</v>
      </c>
      <c r="E2472" t="s">
        <v>63</v>
      </c>
      <c r="F2472" t="s">
        <v>35</v>
      </c>
      <c r="G2472">
        <v>32</v>
      </c>
      <c r="H2472" t="s">
        <v>20</v>
      </c>
      <c r="I2472">
        <v>802.24</v>
      </c>
      <c r="J2472">
        <v>1040.19</v>
      </c>
      <c r="K2472">
        <v>451.68</v>
      </c>
      <c r="L2472">
        <v>3.32</v>
      </c>
      <c r="M2472">
        <v>2294.11</v>
      </c>
      <c r="N2472">
        <v>2297.4299999999998</v>
      </c>
    </row>
    <row r="2473" spans="1:14" x14ac:dyDescent="0.3">
      <c r="A2473" s="2">
        <v>45047</v>
      </c>
      <c r="B2473" t="s">
        <v>71</v>
      </c>
      <c r="C2473">
        <v>2023</v>
      </c>
      <c r="D2473">
        <v>5</v>
      </c>
      <c r="E2473" t="s">
        <v>63</v>
      </c>
      <c r="F2473" t="s">
        <v>67</v>
      </c>
      <c r="G2473">
        <v>37</v>
      </c>
      <c r="H2473" t="s">
        <v>18</v>
      </c>
      <c r="I2473">
        <v>11.12</v>
      </c>
      <c r="J2473">
        <v>13.72</v>
      </c>
      <c r="K2473">
        <v>1.53</v>
      </c>
      <c r="L2473">
        <v>0.05</v>
      </c>
      <c r="M2473">
        <v>26.37</v>
      </c>
      <c r="N2473">
        <v>26.42</v>
      </c>
    </row>
    <row r="2474" spans="1:14" x14ac:dyDescent="0.3">
      <c r="A2474" s="2">
        <v>45047</v>
      </c>
      <c r="B2474" t="s">
        <v>71</v>
      </c>
      <c r="C2474">
        <v>2023</v>
      </c>
      <c r="D2474">
        <v>5</v>
      </c>
      <c r="E2474" t="s">
        <v>63</v>
      </c>
      <c r="F2474" t="s">
        <v>36</v>
      </c>
      <c r="G2474">
        <v>31</v>
      </c>
      <c r="H2474" t="s">
        <v>18</v>
      </c>
      <c r="I2474">
        <v>7.0000000000000007E-2</v>
      </c>
      <c r="J2474">
        <v>0.09</v>
      </c>
      <c r="K2474">
        <v>1.92</v>
      </c>
      <c r="L2474">
        <v>0</v>
      </c>
      <c r="M2474">
        <v>2.08</v>
      </c>
      <c r="N2474">
        <v>2.08</v>
      </c>
    </row>
    <row r="2475" spans="1:14" x14ac:dyDescent="0.3">
      <c r="A2475" s="2">
        <v>45047</v>
      </c>
      <c r="B2475" t="s">
        <v>71</v>
      </c>
      <c r="C2475">
        <v>2023</v>
      </c>
      <c r="D2475">
        <v>5</v>
      </c>
      <c r="E2475" t="s">
        <v>63</v>
      </c>
      <c r="F2475" t="s">
        <v>37</v>
      </c>
      <c r="G2475">
        <v>23</v>
      </c>
      <c r="H2475" t="s">
        <v>20</v>
      </c>
      <c r="I2475">
        <v>764.11</v>
      </c>
      <c r="J2475">
        <v>987.45</v>
      </c>
      <c r="K2475">
        <v>947.92</v>
      </c>
      <c r="L2475">
        <v>681.89</v>
      </c>
      <c r="M2475">
        <v>2699.48</v>
      </c>
      <c r="N2475">
        <v>3381.37</v>
      </c>
    </row>
    <row r="2476" spans="1:14" x14ac:dyDescent="0.3">
      <c r="A2476" s="2">
        <v>45047</v>
      </c>
      <c r="B2476" t="s">
        <v>71</v>
      </c>
      <c r="C2476">
        <v>2023</v>
      </c>
      <c r="D2476">
        <v>5</v>
      </c>
      <c r="E2476" t="s">
        <v>63</v>
      </c>
      <c r="F2476" t="s">
        <v>38</v>
      </c>
      <c r="G2476">
        <v>27</v>
      </c>
      <c r="H2476" t="s">
        <v>20</v>
      </c>
      <c r="I2476">
        <v>6480.71</v>
      </c>
      <c r="J2476">
        <v>7620.58</v>
      </c>
      <c r="K2476">
        <v>7620.23</v>
      </c>
      <c r="L2476">
        <v>1814.91</v>
      </c>
      <c r="M2476">
        <v>21721.52</v>
      </c>
      <c r="N2476">
        <v>23536.43</v>
      </c>
    </row>
    <row r="2477" spans="1:14" x14ac:dyDescent="0.3">
      <c r="A2477" s="2">
        <v>45047</v>
      </c>
      <c r="B2477" t="s">
        <v>71</v>
      </c>
      <c r="C2477">
        <v>2023</v>
      </c>
      <c r="D2477">
        <v>5</v>
      </c>
      <c r="E2477" t="s">
        <v>63</v>
      </c>
      <c r="F2477" t="s">
        <v>39</v>
      </c>
      <c r="G2477">
        <v>14</v>
      </c>
      <c r="H2477" t="s">
        <v>20</v>
      </c>
      <c r="I2477">
        <v>13.33</v>
      </c>
      <c r="J2477">
        <v>23.45</v>
      </c>
      <c r="K2477">
        <v>2.4500000000000002</v>
      </c>
      <c r="L2477">
        <v>0.2</v>
      </c>
      <c r="M2477">
        <v>39.229999999999997</v>
      </c>
      <c r="N2477">
        <v>39.43</v>
      </c>
    </row>
    <row r="2478" spans="1:14" x14ac:dyDescent="0.3">
      <c r="A2478" s="2">
        <v>45047</v>
      </c>
      <c r="B2478" t="s">
        <v>71</v>
      </c>
      <c r="C2478">
        <v>2023</v>
      </c>
      <c r="D2478">
        <v>5</v>
      </c>
      <c r="E2478" t="s">
        <v>63</v>
      </c>
      <c r="F2478" t="s">
        <v>40</v>
      </c>
      <c r="G2478">
        <v>17</v>
      </c>
      <c r="H2478" t="s">
        <v>20</v>
      </c>
      <c r="I2478">
        <v>42.55</v>
      </c>
      <c r="J2478">
        <v>55.6</v>
      </c>
      <c r="K2478">
        <v>113.41</v>
      </c>
      <c r="L2478">
        <v>2.74</v>
      </c>
      <c r="M2478">
        <v>211.56</v>
      </c>
      <c r="N2478">
        <v>214.3</v>
      </c>
    </row>
    <row r="2479" spans="1:14" x14ac:dyDescent="0.3">
      <c r="A2479" s="2">
        <v>45047</v>
      </c>
      <c r="B2479" t="s">
        <v>71</v>
      </c>
      <c r="C2479">
        <v>2023</v>
      </c>
      <c r="D2479">
        <v>5</v>
      </c>
      <c r="E2479" t="s">
        <v>63</v>
      </c>
      <c r="F2479" t="s">
        <v>41</v>
      </c>
      <c r="G2479">
        <v>15</v>
      </c>
      <c r="H2479" t="s">
        <v>20</v>
      </c>
      <c r="I2479">
        <v>13.72</v>
      </c>
      <c r="J2479">
        <v>20.89</v>
      </c>
      <c r="K2479">
        <v>3.38</v>
      </c>
      <c r="L2479">
        <v>0.03</v>
      </c>
      <c r="M2479">
        <v>37.99</v>
      </c>
      <c r="N2479">
        <v>38.020000000000003</v>
      </c>
    </row>
    <row r="2480" spans="1:14" x14ac:dyDescent="0.3">
      <c r="A2480" s="2">
        <v>45047</v>
      </c>
      <c r="B2480" t="s">
        <v>71</v>
      </c>
      <c r="C2480">
        <v>2023</v>
      </c>
      <c r="D2480">
        <v>5</v>
      </c>
      <c r="E2480" t="s">
        <v>63</v>
      </c>
      <c r="F2480" t="s">
        <v>42</v>
      </c>
      <c r="G2480">
        <v>13</v>
      </c>
      <c r="H2480" t="s">
        <v>20</v>
      </c>
      <c r="I2480">
        <v>15.44</v>
      </c>
      <c r="J2480">
        <v>21.15</v>
      </c>
      <c r="K2480">
        <v>10.76</v>
      </c>
      <c r="L2480">
        <v>4.6399999999999997</v>
      </c>
      <c r="M2480">
        <v>47.35</v>
      </c>
      <c r="N2480">
        <v>51.99</v>
      </c>
    </row>
    <row r="2481" spans="1:14" x14ac:dyDescent="0.3">
      <c r="A2481" s="2">
        <v>45047</v>
      </c>
      <c r="B2481" t="s">
        <v>71</v>
      </c>
      <c r="C2481">
        <v>2023</v>
      </c>
      <c r="D2481">
        <v>5</v>
      </c>
      <c r="E2481" t="s">
        <v>63</v>
      </c>
      <c r="F2481" t="s">
        <v>43</v>
      </c>
      <c r="G2481">
        <v>21</v>
      </c>
      <c r="H2481" t="s">
        <v>20</v>
      </c>
      <c r="I2481">
        <v>1029.25</v>
      </c>
      <c r="J2481">
        <v>1254.92</v>
      </c>
      <c r="K2481">
        <v>1337.55</v>
      </c>
      <c r="L2481">
        <v>776.01</v>
      </c>
      <c r="M2481">
        <v>3621.72</v>
      </c>
      <c r="N2481">
        <v>4397.7299999999996</v>
      </c>
    </row>
    <row r="2482" spans="1:14" x14ac:dyDescent="0.3">
      <c r="A2482" s="2">
        <v>45047</v>
      </c>
      <c r="B2482" t="s">
        <v>71</v>
      </c>
      <c r="C2482">
        <v>2023</v>
      </c>
      <c r="D2482">
        <v>5</v>
      </c>
      <c r="E2482" t="s">
        <v>63</v>
      </c>
      <c r="F2482" t="s">
        <v>44</v>
      </c>
      <c r="G2482">
        <v>34</v>
      </c>
      <c r="H2482" t="s">
        <v>18</v>
      </c>
      <c r="I2482">
        <v>23.75</v>
      </c>
      <c r="J2482">
        <v>36.04</v>
      </c>
      <c r="K2482">
        <v>142.41</v>
      </c>
      <c r="L2482">
        <v>0.1</v>
      </c>
      <c r="M2482">
        <v>202.2</v>
      </c>
      <c r="N2482">
        <v>202.3</v>
      </c>
    </row>
    <row r="2483" spans="1:14" x14ac:dyDescent="0.3">
      <c r="A2483" s="2">
        <v>45047</v>
      </c>
      <c r="B2483" t="s">
        <v>71</v>
      </c>
      <c r="C2483">
        <v>2023</v>
      </c>
      <c r="D2483">
        <v>5</v>
      </c>
      <c r="E2483" t="s">
        <v>63</v>
      </c>
      <c r="F2483" t="s">
        <v>45</v>
      </c>
      <c r="G2483">
        <v>3</v>
      </c>
      <c r="H2483" t="s">
        <v>20</v>
      </c>
      <c r="I2483">
        <v>406.31</v>
      </c>
      <c r="J2483">
        <v>638.02</v>
      </c>
      <c r="K2483">
        <v>663.11</v>
      </c>
      <c r="L2483">
        <v>37.04</v>
      </c>
      <c r="M2483">
        <v>1707.44</v>
      </c>
      <c r="N2483">
        <v>1744.48</v>
      </c>
    </row>
    <row r="2484" spans="1:14" x14ac:dyDescent="0.3">
      <c r="A2484" s="2">
        <v>45047</v>
      </c>
      <c r="B2484" t="s">
        <v>71</v>
      </c>
      <c r="C2484">
        <v>2023</v>
      </c>
      <c r="D2484">
        <v>5</v>
      </c>
      <c r="E2484" t="s">
        <v>63</v>
      </c>
      <c r="F2484" t="s">
        <v>46</v>
      </c>
      <c r="G2484">
        <v>8</v>
      </c>
      <c r="H2484" t="s">
        <v>20</v>
      </c>
      <c r="I2484">
        <v>1077.56</v>
      </c>
      <c r="J2484">
        <v>1385.88</v>
      </c>
      <c r="K2484">
        <v>1337.91</v>
      </c>
      <c r="L2484">
        <v>122.23</v>
      </c>
      <c r="M2484">
        <v>3801.35</v>
      </c>
      <c r="N2484">
        <v>3923.58</v>
      </c>
    </row>
    <row r="2485" spans="1:14" x14ac:dyDescent="0.3">
      <c r="A2485" s="2">
        <v>45047</v>
      </c>
      <c r="B2485" t="s">
        <v>71</v>
      </c>
      <c r="C2485">
        <v>2023</v>
      </c>
      <c r="D2485">
        <v>5</v>
      </c>
      <c r="E2485" t="s">
        <v>63</v>
      </c>
      <c r="F2485" t="s">
        <v>47</v>
      </c>
      <c r="G2485">
        <v>11</v>
      </c>
      <c r="H2485" t="s">
        <v>20</v>
      </c>
      <c r="I2485">
        <v>25.83</v>
      </c>
      <c r="J2485">
        <v>30.59</v>
      </c>
      <c r="K2485">
        <v>277.95999999999998</v>
      </c>
      <c r="L2485">
        <v>0.04</v>
      </c>
      <c r="M2485">
        <v>334.38</v>
      </c>
      <c r="N2485">
        <v>334.42</v>
      </c>
    </row>
    <row r="2486" spans="1:14" x14ac:dyDescent="0.3">
      <c r="A2486" s="2">
        <v>45047</v>
      </c>
      <c r="B2486" t="s">
        <v>71</v>
      </c>
      <c r="C2486">
        <v>2023</v>
      </c>
      <c r="D2486">
        <v>5</v>
      </c>
      <c r="E2486" t="s">
        <v>63</v>
      </c>
      <c r="F2486" t="s">
        <v>48</v>
      </c>
      <c r="G2486">
        <v>33</v>
      </c>
      <c r="H2486" t="s">
        <v>20</v>
      </c>
      <c r="I2486">
        <v>2398.4899999999998</v>
      </c>
      <c r="J2486">
        <v>3101.15</v>
      </c>
      <c r="K2486">
        <v>2783.83</v>
      </c>
      <c r="L2486">
        <v>669.3</v>
      </c>
      <c r="M2486">
        <v>8283.4699999999993</v>
      </c>
      <c r="N2486">
        <v>8952.77</v>
      </c>
    </row>
    <row r="2487" spans="1:14" x14ac:dyDescent="0.3">
      <c r="A2487" s="2">
        <v>45047</v>
      </c>
      <c r="B2487" t="s">
        <v>71</v>
      </c>
      <c r="C2487">
        <v>2023</v>
      </c>
      <c r="D2487">
        <v>5</v>
      </c>
      <c r="E2487" t="s">
        <v>63</v>
      </c>
      <c r="F2487" t="s">
        <v>49</v>
      </c>
      <c r="G2487">
        <v>36</v>
      </c>
      <c r="H2487" t="s">
        <v>20</v>
      </c>
      <c r="I2487">
        <v>1104.21</v>
      </c>
      <c r="J2487">
        <v>1448.15</v>
      </c>
      <c r="K2487">
        <v>1391.22</v>
      </c>
      <c r="L2487">
        <v>563.02</v>
      </c>
      <c r="M2487">
        <v>3943.58</v>
      </c>
      <c r="N2487">
        <v>4506.6000000000004</v>
      </c>
    </row>
    <row r="2488" spans="1:14" x14ac:dyDescent="0.3">
      <c r="A2488" s="2">
        <v>45047</v>
      </c>
      <c r="B2488" t="s">
        <v>71</v>
      </c>
      <c r="C2488">
        <v>2023</v>
      </c>
      <c r="D2488">
        <v>5</v>
      </c>
      <c r="E2488" t="s">
        <v>63</v>
      </c>
      <c r="F2488" t="s">
        <v>50</v>
      </c>
      <c r="G2488">
        <v>16</v>
      </c>
      <c r="H2488" t="s">
        <v>20</v>
      </c>
      <c r="I2488">
        <v>27.76</v>
      </c>
      <c r="J2488">
        <v>39.549999999999997</v>
      </c>
      <c r="K2488">
        <v>7.04</v>
      </c>
      <c r="L2488">
        <v>0.32</v>
      </c>
      <c r="M2488">
        <v>74.349999999999994</v>
      </c>
      <c r="N2488">
        <v>74.67</v>
      </c>
    </row>
    <row r="2489" spans="1:14" x14ac:dyDescent="0.3">
      <c r="A2489" s="2">
        <v>45047</v>
      </c>
      <c r="B2489" t="s">
        <v>71</v>
      </c>
      <c r="C2489">
        <v>2023</v>
      </c>
      <c r="D2489">
        <v>5</v>
      </c>
      <c r="E2489" t="s">
        <v>63</v>
      </c>
      <c r="F2489" t="s">
        <v>51</v>
      </c>
      <c r="G2489">
        <v>9</v>
      </c>
      <c r="H2489" t="s">
        <v>20</v>
      </c>
      <c r="I2489">
        <v>1744.59</v>
      </c>
      <c r="J2489">
        <v>2383.89</v>
      </c>
      <c r="K2489">
        <v>2270.8000000000002</v>
      </c>
      <c r="L2489">
        <v>1069.08</v>
      </c>
      <c r="M2489">
        <v>6399.28</v>
      </c>
      <c r="N2489">
        <v>7468.36</v>
      </c>
    </row>
    <row r="2490" spans="1:14" x14ac:dyDescent="0.3">
      <c r="A2490" s="2">
        <v>45047</v>
      </c>
      <c r="B2490" t="s">
        <v>71</v>
      </c>
      <c r="C2490">
        <v>2023</v>
      </c>
      <c r="D2490">
        <v>5</v>
      </c>
      <c r="E2490" t="s">
        <v>63</v>
      </c>
      <c r="F2490" t="s">
        <v>52</v>
      </c>
      <c r="G2490">
        <v>5</v>
      </c>
      <c r="H2490" t="s">
        <v>20</v>
      </c>
      <c r="I2490">
        <v>307.39999999999998</v>
      </c>
      <c r="J2490">
        <v>411.49</v>
      </c>
      <c r="K2490">
        <v>702.97</v>
      </c>
      <c r="L2490">
        <v>9.32</v>
      </c>
      <c r="M2490">
        <v>1421.86</v>
      </c>
      <c r="N2490">
        <v>1431.18</v>
      </c>
    </row>
    <row r="2491" spans="1:14" x14ac:dyDescent="0.3">
      <c r="A2491" s="2">
        <v>45047</v>
      </c>
      <c r="B2491" t="s">
        <v>71</v>
      </c>
      <c r="C2491">
        <v>2023</v>
      </c>
      <c r="D2491">
        <v>5</v>
      </c>
      <c r="E2491" t="s">
        <v>63</v>
      </c>
      <c r="F2491" t="s">
        <v>53</v>
      </c>
      <c r="G2491">
        <v>19</v>
      </c>
      <c r="H2491" t="s">
        <v>20</v>
      </c>
      <c r="I2491">
        <v>1625.34</v>
      </c>
      <c r="J2491">
        <v>1952.4</v>
      </c>
      <c r="K2491">
        <v>1197.47</v>
      </c>
      <c r="L2491">
        <v>387.08</v>
      </c>
      <c r="M2491">
        <v>4775.21</v>
      </c>
      <c r="N2491">
        <v>5162.29</v>
      </c>
    </row>
    <row r="2492" spans="1:14" x14ac:dyDescent="0.3">
      <c r="A2492" s="2">
        <v>45078</v>
      </c>
      <c r="B2492" t="s">
        <v>71</v>
      </c>
      <c r="C2492">
        <v>2023</v>
      </c>
      <c r="D2492">
        <v>6</v>
      </c>
      <c r="E2492" t="s">
        <v>64</v>
      </c>
      <c r="F2492" t="s">
        <v>17</v>
      </c>
      <c r="G2492">
        <v>35</v>
      </c>
      <c r="H2492" t="s">
        <v>18</v>
      </c>
      <c r="I2492">
        <v>11.49</v>
      </c>
      <c r="J2492">
        <v>16.21</v>
      </c>
      <c r="K2492">
        <v>8.15</v>
      </c>
      <c r="L2492">
        <v>0.13</v>
      </c>
      <c r="M2492">
        <v>35.85</v>
      </c>
      <c r="N2492">
        <v>35.979999999999997</v>
      </c>
    </row>
    <row r="2493" spans="1:14" x14ac:dyDescent="0.3">
      <c r="A2493" s="2">
        <v>45078</v>
      </c>
      <c r="B2493" t="s">
        <v>71</v>
      </c>
      <c r="C2493">
        <v>2023</v>
      </c>
      <c r="D2493">
        <v>6</v>
      </c>
      <c r="E2493" t="s">
        <v>64</v>
      </c>
      <c r="F2493" t="s">
        <v>19</v>
      </c>
      <c r="G2493">
        <v>28</v>
      </c>
      <c r="H2493" t="s">
        <v>20</v>
      </c>
      <c r="I2493">
        <v>943.38</v>
      </c>
      <c r="J2493">
        <v>1187.6400000000001</v>
      </c>
      <c r="K2493">
        <v>1120.49</v>
      </c>
      <c r="L2493">
        <v>225.91</v>
      </c>
      <c r="M2493">
        <v>3251.51</v>
      </c>
      <c r="N2493">
        <v>3477.42</v>
      </c>
    </row>
    <row r="2494" spans="1:14" x14ac:dyDescent="0.3">
      <c r="A2494" s="2">
        <v>45078</v>
      </c>
      <c r="B2494" t="s">
        <v>71</v>
      </c>
      <c r="C2494">
        <v>2023</v>
      </c>
      <c r="D2494">
        <v>6</v>
      </c>
      <c r="E2494" t="s">
        <v>64</v>
      </c>
      <c r="F2494" t="s">
        <v>21</v>
      </c>
      <c r="G2494">
        <v>12</v>
      </c>
      <c r="H2494" t="s">
        <v>20</v>
      </c>
      <c r="I2494">
        <v>35.46</v>
      </c>
      <c r="J2494">
        <v>46.61</v>
      </c>
      <c r="K2494">
        <v>8.49</v>
      </c>
      <c r="L2494">
        <v>0.05</v>
      </c>
      <c r="M2494">
        <v>90.56</v>
      </c>
      <c r="N2494">
        <v>90.61</v>
      </c>
    </row>
    <row r="2495" spans="1:14" x14ac:dyDescent="0.3">
      <c r="A2495" s="2">
        <v>45078</v>
      </c>
      <c r="B2495" t="s">
        <v>71</v>
      </c>
      <c r="C2495">
        <v>2023</v>
      </c>
      <c r="D2495">
        <v>6</v>
      </c>
      <c r="E2495" t="s">
        <v>64</v>
      </c>
      <c r="F2495" t="s">
        <v>22</v>
      </c>
      <c r="G2495">
        <v>18</v>
      </c>
      <c r="H2495" t="s">
        <v>20</v>
      </c>
      <c r="I2495">
        <v>390.44</v>
      </c>
      <c r="J2495">
        <v>471.72</v>
      </c>
      <c r="K2495">
        <v>294.57</v>
      </c>
      <c r="L2495">
        <v>56.32</v>
      </c>
      <c r="M2495">
        <v>1156.73</v>
      </c>
      <c r="N2495">
        <v>1213.05</v>
      </c>
    </row>
    <row r="2496" spans="1:14" x14ac:dyDescent="0.3">
      <c r="A2496" s="2">
        <v>45078</v>
      </c>
      <c r="B2496" t="s">
        <v>71</v>
      </c>
      <c r="C2496">
        <v>2023</v>
      </c>
      <c r="D2496">
        <v>6</v>
      </c>
      <c r="E2496" t="s">
        <v>64</v>
      </c>
      <c r="F2496" t="s">
        <v>23</v>
      </c>
      <c r="G2496">
        <v>10</v>
      </c>
      <c r="H2496" t="s">
        <v>20</v>
      </c>
      <c r="I2496">
        <v>419.22</v>
      </c>
      <c r="J2496">
        <v>653.73</v>
      </c>
      <c r="K2496">
        <v>179.64</v>
      </c>
      <c r="L2496">
        <v>184.47</v>
      </c>
      <c r="M2496">
        <v>1252.5899999999999</v>
      </c>
      <c r="N2496">
        <v>1437.06</v>
      </c>
    </row>
    <row r="2497" spans="1:14" x14ac:dyDescent="0.3">
      <c r="A2497" s="2">
        <v>45078</v>
      </c>
      <c r="B2497" t="s">
        <v>71</v>
      </c>
      <c r="C2497">
        <v>2023</v>
      </c>
      <c r="D2497">
        <v>6</v>
      </c>
      <c r="E2497" t="s">
        <v>64</v>
      </c>
      <c r="F2497" t="s">
        <v>24</v>
      </c>
      <c r="G2497">
        <v>4</v>
      </c>
      <c r="H2497" t="s">
        <v>18</v>
      </c>
      <c r="I2497">
        <v>50.51</v>
      </c>
      <c r="J2497">
        <v>64.25</v>
      </c>
      <c r="K2497">
        <v>111.55</v>
      </c>
      <c r="L2497">
        <v>0.76</v>
      </c>
      <c r="M2497">
        <v>226.31</v>
      </c>
      <c r="N2497">
        <v>227.07</v>
      </c>
    </row>
    <row r="2498" spans="1:14" x14ac:dyDescent="0.3">
      <c r="A2498" s="2">
        <v>45078</v>
      </c>
      <c r="B2498" t="s">
        <v>71</v>
      </c>
      <c r="C2498">
        <v>2023</v>
      </c>
      <c r="D2498">
        <v>6</v>
      </c>
      <c r="E2498" t="s">
        <v>64</v>
      </c>
      <c r="F2498" t="s">
        <v>25</v>
      </c>
      <c r="G2498">
        <v>22</v>
      </c>
      <c r="H2498" t="s">
        <v>20</v>
      </c>
      <c r="I2498">
        <v>606.54999999999995</v>
      </c>
      <c r="J2498">
        <v>706.2</v>
      </c>
      <c r="K2498">
        <v>1030.82</v>
      </c>
      <c r="L2498">
        <v>668.47</v>
      </c>
      <c r="M2498">
        <v>2343.5700000000002</v>
      </c>
      <c r="N2498">
        <v>3012.04</v>
      </c>
    </row>
    <row r="2499" spans="1:14" x14ac:dyDescent="0.3">
      <c r="A2499" s="2">
        <v>45078</v>
      </c>
      <c r="B2499" t="s">
        <v>71</v>
      </c>
      <c r="C2499">
        <v>2023</v>
      </c>
      <c r="D2499">
        <v>6</v>
      </c>
      <c r="E2499" t="s">
        <v>64</v>
      </c>
      <c r="F2499" t="s">
        <v>26</v>
      </c>
      <c r="G2499">
        <v>38</v>
      </c>
      <c r="H2499" t="s">
        <v>18</v>
      </c>
      <c r="I2499">
        <v>41.21</v>
      </c>
      <c r="J2499">
        <v>52.59</v>
      </c>
      <c r="K2499">
        <v>245.16</v>
      </c>
      <c r="L2499">
        <v>1.06</v>
      </c>
      <c r="M2499">
        <v>338.96</v>
      </c>
      <c r="N2499">
        <v>340.02</v>
      </c>
    </row>
    <row r="2500" spans="1:14" x14ac:dyDescent="0.3">
      <c r="A2500" s="2">
        <v>45078</v>
      </c>
      <c r="B2500" t="s">
        <v>71</v>
      </c>
      <c r="C2500">
        <v>2023</v>
      </c>
      <c r="D2500">
        <v>6</v>
      </c>
      <c r="E2500" t="s">
        <v>64</v>
      </c>
      <c r="F2500" t="s">
        <v>27</v>
      </c>
      <c r="G2500">
        <v>7</v>
      </c>
      <c r="H2500" t="s">
        <v>18</v>
      </c>
      <c r="I2500">
        <v>990.07</v>
      </c>
      <c r="J2500">
        <v>1161.8599999999999</v>
      </c>
      <c r="K2500">
        <v>2489.6799999999998</v>
      </c>
      <c r="L2500">
        <v>102.51</v>
      </c>
      <c r="M2500">
        <v>4641.6099999999997</v>
      </c>
      <c r="N2500">
        <v>4744.12</v>
      </c>
    </row>
    <row r="2501" spans="1:14" x14ac:dyDescent="0.3">
      <c r="A2501" s="2">
        <v>45078</v>
      </c>
      <c r="B2501" t="s">
        <v>71</v>
      </c>
      <c r="C2501">
        <v>2023</v>
      </c>
      <c r="D2501">
        <v>6</v>
      </c>
      <c r="E2501" t="s">
        <v>64</v>
      </c>
      <c r="F2501" t="s">
        <v>28</v>
      </c>
      <c r="G2501">
        <v>30</v>
      </c>
      <c r="H2501" t="s">
        <v>20</v>
      </c>
      <c r="I2501">
        <v>139.11000000000001</v>
      </c>
      <c r="J2501">
        <v>178.46</v>
      </c>
      <c r="K2501">
        <v>158.63</v>
      </c>
      <c r="L2501">
        <v>4.24</v>
      </c>
      <c r="M2501">
        <v>476.2</v>
      </c>
      <c r="N2501">
        <v>480.44</v>
      </c>
    </row>
    <row r="2502" spans="1:14" x14ac:dyDescent="0.3">
      <c r="A2502" s="2">
        <v>45078</v>
      </c>
      <c r="B2502" t="s">
        <v>71</v>
      </c>
      <c r="C2502">
        <v>2023</v>
      </c>
      <c r="D2502">
        <v>6</v>
      </c>
      <c r="E2502" t="s">
        <v>64</v>
      </c>
      <c r="F2502" t="s">
        <v>29</v>
      </c>
      <c r="G2502">
        <v>24</v>
      </c>
      <c r="H2502" t="s">
        <v>20</v>
      </c>
      <c r="I2502">
        <v>2808.4</v>
      </c>
      <c r="J2502">
        <v>3500.3</v>
      </c>
      <c r="K2502">
        <v>3134.63</v>
      </c>
      <c r="L2502">
        <v>676.38</v>
      </c>
      <c r="M2502">
        <v>9443.33</v>
      </c>
      <c r="N2502">
        <v>10119.709999999999</v>
      </c>
    </row>
    <row r="2503" spans="1:14" x14ac:dyDescent="0.3">
      <c r="A2503" s="2">
        <v>45078</v>
      </c>
      <c r="B2503" t="s">
        <v>71</v>
      </c>
      <c r="C2503">
        <v>2023</v>
      </c>
      <c r="D2503">
        <v>6</v>
      </c>
      <c r="E2503" t="s">
        <v>64</v>
      </c>
      <c r="F2503" t="s">
        <v>30</v>
      </c>
      <c r="G2503">
        <v>6</v>
      </c>
      <c r="H2503" t="s">
        <v>20</v>
      </c>
      <c r="I2503">
        <v>1329.12</v>
      </c>
      <c r="J2503">
        <v>1694.81</v>
      </c>
      <c r="K2503">
        <v>4427.96</v>
      </c>
      <c r="L2503">
        <v>536.29999999999995</v>
      </c>
      <c r="M2503">
        <v>7451.89</v>
      </c>
      <c r="N2503">
        <v>7988.19</v>
      </c>
    </row>
    <row r="2504" spans="1:14" x14ac:dyDescent="0.3">
      <c r="A2504" s="2">
        <v>45078</v>
      </c>
      <c r="B2504" t="s">
        <v>71</v>
      </c>
      <c r="C2504">
        <v>2023</v>
      </c>
      <c r="D2504">
        <v>6</v>
      </c>
      <c r="E2504" t="s">
        <v>64</v>
      </c>
      <c r="F2504" t="s">
        <v>31</v>
      </c>
      <c r="G2504">
        <v>2</v>
      </c>
      <c r="H2504" t="s">
        <v>20</v>
      </c>
      <c r="I2504">
        <v>165.04</v>
      </c>
      <c r="J2504">
        <v>225.72</v>
      </c>
      <c r="K2504">
        <v>446.91</v>
      </c>
      <c r="L2504">
        <v>2.94</v>
      </c>
      <c r="M2504">
        <v>837.67</v>
      </c>
      <c r="N2504">
        <v>840.61</v>
      </c>
    </row>
    <row r="2505" spans="1:14" x14ac:dyDescent="0.3">
      <c r="A2505" s="2">
        <v>45078</v>
      </c>
      <c r="B2505" t="s">
        <v>71</v>
      </c>
      <c r="C2505">
        <v>2023</v>
      </c>
      <c r="D2505">
        <v>6</v>
      </c>
      <c r="E2505" t="s">
        <v>64</v>
      </c>
      <c r="F2505" t="s">
        <v>32</v>
      </c>
      <c r="G2505">
        <v>1</v>
      </c>
      <c r="H2505" t="s">
        <v>18</v>
      </c>
      <c r="I2505">
        <v>194.37</v>
      </c>
      <c r="J2505">
        <v>256.92</v>
      </c>
      <c r="K2505">
        <v>125.42</v>
      </c>
      <c r="L2505">
        <v>11.97</v>
      </c>
      <c r="M2505">
        <v>576.71</v>
      </c>
      <c r="N2505">
        <v>588.67999999999995</v>
      </c>
    </row>
    <row r="2506" spans="1:14" x14ac:dyDescent="0.3">
      <c r="A2506" s="2">
        <v>45078</v>
      </c>
      <c r="B2506" t="s">
        <v>71</v>
      </c>
      <c r="C2506">
        <v>2023</v>
      </c>
      <c r="D2506">
        <v>6</v>
      </c>
      <c r="E2506" t="s">
        <v>64</v>
      </c>
      <c r="F2506" t="s">
        <v>33</v>
      </c>
      <c r="G2506">
        <v>20</v>
      </c>
      <c r="H2506" t="s">
        <v>20</v>
      </c>
      <c r="I2506">
        <v>524.08000000000004</v>
      </c>
      <c r="J2506">
        <v>696.62</v>
      </c>
      <c r="K2506">
        <v>1036.28</v>
      </c>
      <c r="L2506">
        <v>573.23</v>
      </c>
      <c r="M2506">
        <v>2256.98</v>
      </c>
      <c r="N2506">
        <v>2830.21</v>
      </c>
    </row>
    <row r="2507" spans="1:14" x14ac:dyDescent="0.3">
      <c r="A2507" s="2">
        <v>45078</v>
      </c>
      <c r="B2507" t="s">
        <v>71</v>
      </c>
      <c r="C2507">
        <v>2023</v>
      </c>
      <c r="D2507">
        <v>6</v>
      </c>
      <c r="E2507" t="s">
        <v>64</v>
      </c>
      <c r="F2507" t="s">
        <v>34</v>
      </c>
      <c r="G2507">
        <v>29</v>
      </c>
      <c r="H2507" t="s">
        <v>20</v>
      </c>
      <c r="I2507">
        <v>2568.52</v>
      </c>
      <c r="J2507">
        <v>3098.19</v>
      </c>
      <c r="K2507">
        <v>4143.6000000000004</v>
      </c>
      <c r="L2507">
        <v>1382.89</v>
      </c>
      <c r="M2507">
        <v>9810.31</v>
      </c>
      <c r="N2507">
        <v>11193.2</v>
      </c>
    </row>
    <row r="2508" spans="1:14" x14ac:dyDescent="0.3">
      <c r="A2508" s="2">
        <v>45078</v>
      </c>
      <c r="B2508" t="s">
        <v>71</v>
      </c>
      <c r="C2508">
        <v>2023</v>
      </c>
      <c r="D2508">
        <v>6</v>
      </c>
      <c r="E2508" t="s">
        <v>64</v>
      </c>
      <c r="F2508" t="s">
        <v>35</v>
      </c>
      <c r="G2508">
        <v>32</v>
      </c>
      <c r="H2508" t="s">
        <v>20</v>
      </c>
      <c r="I2508">
        <v>1029.68</v>
      </c>
      <c r="J2508">
        <v>1284.25</v>
      </c>
      <c r="K2508">
        <v>407.81</v>
      </c>
      <c r="L2508">
        <v>3.35</v>
      </c>
      <c r="M2508">
        <v>2721.74</v>
      </c>
      <c r="N2508">
        <v>2725.09</v>
      </c>
    </row>
    <row r="2509" spans="1:14" x14ac:dyDescent="0.3">
      <c r="A2509" s="2">
        <v>45078</v>
      </c>
      <c r="B2509" t="s">
        <v>71</v>
      </c>
      <c r="C2509">
        <v>2023</v>
      </c>
      <c r="D2509">
        <v>6</v>
      </c>
      <c r="E2509" t="s">
        <v>64</v>
      </c>
      <c r="F2509" t="s">
        <v>67</v>
      </c>
      <c r="G2509">
        <v>37</v>
      </c>
      <c r="H2509" t="s">
        <v>18</v>
      </c>
      <c r="I2509">
        <v>5.5</v>
      </c>
      <c r="J2509">
        <v>6.72</v>
      </c>
      <c r="K2509">
        <v>2.34</v>
      </c>
      <c r="L2509">
        <v>0</v>
      </c>
      <c r="M2509">
        <v>14.56</v>
      </c>
      <c r="N2509">
        <v>14.56</v>
      </c>
    </row>
    <row r="2510" spans="1:14" x14ac:dyDescent="0.3">
      <c r="A2510" s="2">
        <v>45078</v>
      </c>
      <c r="B2510" t="s">
        <v>71</v>
      </c>
      <c r="C2510">
        <v>2023</v>
      </c>
      <c r="D2510">
        <v>6</v>
      </c>
      <c r="E2510" t="s">
        <v>64</v>
      </c>
      <c r="F2510" t="s">
        <v>36</v>
      </c>
      <c r="G2510">
        <v>31</v>
      </c>
      <c r="H2510" t="s">
        <v>18</v>
      </c>
      <c r="I2510">
        <v>10.51</v>
      </c>
      <c r="J2510">
        <v>10.59</v>
      </c>
      <c r="K2510">
        <v>0.76</v>
      </c>
      <c r="L2510">
        <v>0</v>
      </c>
      <c r="M2510">
        <v>21.86</v>
      </c>
      <c r="N2510">
        <v>21.86</v>
      </c>
    </row>
    <row r="2511" spans="1:14" x14ac:dyDescent="0.3">
      <c r="A2511" s="2">
        <v>45078</v>
      </c>
      <c r="B2511" t="s">
        <v>71</v>
      </c>
      <c r="C2511">
        <v>2023</v>
      </c>
      <c r="D2511">
        <v>6</v>
      </c>
      <c r="E2511" t="s">
        <v>64</v>
      </c>
      <c r="F2511" t="s">
        <v>37</v>
      </c>
      <c r="G2511">
        <v>23</v>
      </c>
      <c r="H2511" t="s">
        <v>20</v>
      </c>
      <c r="I2511">
        <v>820.65</v>
      </c>
      <c r="J2511">
        <v>1037.27</v>
      </c>
      <c r="K2511">
        <v>889.85</v>
      </c>
      <c r="L2511">
        <v>637.44000000000005</v>
      </c>
      <c r="M2511">
        <v>2747.77</v>
      </c>
      <c r="N2511">
        <v>3385.21</v>
      </c>
    </row>
    <row r="2512" spans="1:14" x14ac:dyDescent="0.3">
      <c r="A2512" s="2">
        <v>45078</v>
      </c>
      <c r="B2512" t="s">
        <v>71</v>
      </c>
      <c r="C2512">
        <v>2023</v>
      </c>
      <c r="D2512">
        <v>6</v>
      </c>
      <c r="E2512" t="s">
        <v>64</v>
      </c>
      <c r="F2512" t="s">
        <v>38</v>
      </c>
      <c r="G2512">
        <v>27</v>
      </c>
      <c r="H2512" t="s">
        <v>20</v>
      </c>
      <c r="I2512">
        <v>7381.73</v>
      </c>
      <c r="J2512">
        <v>8453.56</v>
      </c>
      <c r="K2512">
        <v>8436.17</v>
      </c>
      <c r="L2512">
        <v>1827.32</v>
      </c>
      <c r="M2512">
        <v>24271.46</v>
      </c>
      <c r="N2512">
        <v>26098.78</v>
      </c>
    </row>
    <row r="2513" spans="1:14" x14ac:dyDescent="0.3">
      <c r="A2513" s="2">
        <v>45078</v>
      </c>
      <c r="B2513" t="s">
        <v>71</v>
      </c>
      <c r="C2513">
        <v>2023</v>
      </c>
      <c r="D2513">
        <v>6</v>
      </c>
      <c r="E2513" t="s">
        <v>64</v>
      </c>
      <c r="F2513" t="s">
        <v>39</v>
      </c>
      <c r="G2513">
        <v>14</v>
      </c>
      <c r="H2513" t="s">
        <v>20</v>
      </c>
      <c r="I2513">
        <v>25</v>
      </c>
      <c r="J2513">
        <v>31.53</v>
      </c>
      <c r="K2513">
        <v>3.83</v>
      </c>
      <c r="L2513">
        <v>0</v>
      </c>
      <c r="M2513">
        <v>60.36</v>
      </c>
      <c r="N2513">
        <v>60.36</v>
      </c>
    </row>
    <row r="2514" spans="1:14" x14ac:dyDescent="0.3">
      <c r="A2514" s="2">
        <v>45078</v>
      </c>
      <c r="B2514" t="s">
        <v>71</v>
      </c>
      <c r="C2514">
        <v>2023</v>
      </c>
      <c r="D2514">
        <v>6</v>
      </c>
      <c r="E2514" t="s">
        <v>64</v>
      </c>
      <c r="F2514" t="s">
        <v>40</v>
      </c>
      <c r="G2514">
        <v>17</v>
      </c>
      <c r="H2514" t="s">
        <v>20</v>
      </c>
      <c r="I2514">
        <v>36.79</v>
      </c>
      <c r="J2514">
        <v>44.02</v>
      </c>
      <c r="K2514">
        <v>111.31</v>
      </c>
      <c r="L2514">
        <v>2.0299999999999998</v>
      </c>
      <c r="M2514">
        <v>192.12</v>
      </c>
      <c r="N2514">
        <v>194.15</v>
      </c>
    </row>
    <row r="2515" spans="1:14" x14ac:dyDescent="0.3">
      <c r="A2515" s="2">
        <v>45078</v>
      </c>
      <c r="B2515" t="s">
        <v>71</v>
      </c>
      <c r="C2515">
        <v>2023</v>
      </c>
      <c r="D2515">
        <v>6</v>
      </c>
      <c r="E2515" t="s">
        <v>64</v>
      </c>
      <c r="F2515" t="s">
        <v>41</v>
      </c>
      <c r="G2515">
        <v>15</v>
      </c>
      <c r="H2515" t="s">
        <v>20</v>
      </c>
      <c r="I2515">
        <v>19.64</v>
      </c>
      <c r="J2515">
        <v>31.45</v>
      </c>
      <c r="K2515">
        <v>4.2300000000000004</v>
      </c>
      <c r="L2515">
        <v>0.05</v>
      </c>
      <c r="M2515">
        <v>55.32</v>
      </c>
      <c r="N2515">
        <v>55.37</v>
      </c>
    </row>
    <row r="2516" spans="1:14" x14ac:dyDescent="0.3">
      <c r="A2516" s="2">
        <v>45078</v>
      </c>
      <c r="B2516" t="s">
        <v>71</v>
      </c>
      <c r="C2516">
        <v>2023</v>
      </c>
      <c r="D2516">
        <v>6</v>
      </c>
      <c r="E2516" t="s">
        <v>64</v>
      </c>
      <c r="F2516" t="s">
        <v>42</v>
      </c>
      <c r="G2516">
        <v>13</v>
      </c>
      <c r="H2516" t="s">
        <v>20</v>
      </c>
      <c r="I2516">
        <v>30.69</v>
      </c>
      <c r="J2516">
        <v>33.840000000000003</v>
      </c>
      <c r="K2516">
        <v>10.47</v>
      </c>
      <c r="L2516">
        <v>4.2</v>
      </c>
      <c r="M2516">
        <v>75</v>
      </c>
      <c r="N2516">
        <v>79.2</v>
      </c>
    </row>
    <row r="2517" spans="1:14" x14ac:dyDescent="0.3">
      <c r="A2517" s="2">
        <v>45078</v>
      </c>
      <c r="B2517" t="s">
        <v>71</v>
      </c>
      <c r="C2517">
        <v>2023</v>
      </c>
      <c r="D2517">
        <v>6</v>
      </c>
      <c r="E2517" t="s">
        <v>64</v>
      </c>
      <c r="F2517" t="s">
        <v>43</v>
      </c>
      <c r="G2517">
        <v>21</v>
      </c>
      <c r="H2517" t="s">
        <v>20</v>
      </c>
      <c r="I2517">
        <v>1130.1400000000001</v>
      </c>
      <c r="J2517">
        <v>1322.65</v>
      </c>
      <c r="K2517">
        <v>1122.3900000000001</v>
      </c>
      <c r="L2517">
        <v>804.79</v>
      </c>
      <c r="M2517">
        <v>3575.18</v>
      </c>
      <c r="N2517">
        <v>4379.97</v>
      </c>
    </row>
    <row r="2518" spans="1:14" x14ac:dyDescent="0.3">
      <c r="A2518" s="2">
        <v>45078</v>
      </c>
      <c r="B2518" t="s">
        <v>71</v>
      </c>
      <c r="C2518">
        <v>2023</v>
      </c>
      <c r="D2518">
        <v>6</v>
      </c>
      <c r="E2518" t="s">
        <v>64</v>
      </c>
      <c r="F2518" t="s">
        <v>44</v>
      </c>
      <c r="G2518">
        <v>34</v>
      </c>
      <c r="H2518" t="s">
        <v>18</v>
      </c>
      <c r="I2518">
        <v>25.96</v>
      </c>
      <c r="J2518">
        <v>41.11</v>
      </c>
      <c r="K2518">
        <v>143.1</v>
      </c>
      <c r="L2518">
        <v>0.21</v>
      </c>
      <c r="M2518">
        <v>210.17</v>
      </c>
      <c r="N2518">
        <v>210.38</v>
      </c>
    </row>
    <row r="2519" spans="1:14" x14ac:dyDescent="0.3">
      <c r="A2519" s="2">
        <v>45078</v>
      </c>
      <c r="B2519" t="s">
        <v>71</v>
      </c>
      <c r="C2519">
        <v>2023</v>
      </c>
      <c r="D2519">
        <v>6</v>
      </c>
      <c r="E2519" t="s">
        <v>64</v>
      </c>
      <c r="F2519" t="s">
        <v>45</v>
      </c>
      <c r="G2519">
        <v>3</v>
      </c>
      <c r="H2519" t="s">
        <v>20</v>
      </c>
      <c r="I2519">
        <v>505.12</v>
      </c>
      <c r="J2519">
        <v>726.45</v>
      </c>
      <c r="K2519">
        <v>694.14</v>
      </c>
      <c r="L2519">
        <v>40.22</v>
      </c>
      <c r="M2519">
        <v>1925.71</v>
      </c>
      <c r="N2519">
        <v>1965.93</v>
      </c>
    </row>
    <row r="2520" spans="1:14" x14ac:dyDescent="0.3">
      <c r="A2520" s="2">
        <v>45078</v>
      </c>
      <c r="B2520" t="s">
        <v>71</v>
      </c>
      <c r="C2520">
        <v>2023</v>
      </c>
      <c r="D2520">
        <v>6</v>
      </c>
      <c r="E2520" t="s">
        <v>64</v>
      </c>
      <c r="F2520" t="s">
        <v>46</v>
      </c>
      <c r="G2520">
        <v>8</v>
      </c>
      <c r="H2520" t="s">
        <v>20</v>
      </c>
      <c r="I2520">
        <v>1100.47</v>
      </c>
      <c r="J2520">
        <v>1394.85</v>
      </c>
      <c r="K2520">
        <v>1271.81</v>
      </c>
      <c r="L2520">
        <v>124.87</v>
      </c>
      <c r="M2520">
        <v>3767.13</v>
      </c>
      <c r="N2520">
        <v>3892</v>
      </c>
    </row>
    <row r="2521" spans="1:14" x14ac:dyDescent="0.3">
      <c r="A2521" s="2">
        <v>45078</v>
      </c>
      <c r="B2521" t="s">
        <v>71</v>
      </c>
      <c r="C2521">
        <v>2023</v>
      </c>
      <c r="D2521">
        <v>6</v>
      </c>
      <c r="E2521" t="s">
        <v>64</v>
      </c>
      <c r="F2521" t="s">
        <v>47</v>
      </c>
      <c r="G2521">
        <v>11</v>
      </c>
      <c r="H2521" t="s">
        <v>20</v>
      </c>
      <c r="I2521">
        <v>20.7</v>
      </c>
      <c r="J2521">
        <v>25.27</v>
      </c>
      <c r="K2521">
        <v>241.49</v>
      </c>
      <c r="L2521">
        <v>0.05</v>
      </c>
      <c r="M2521">
        <v>287.45999999999998</v>
      </c>
      <c r="N2521">
        <v>287.51</v>
      </c>
    </row>
    <row r="2522" spans="1:14" x14ac:dyDescent="0.3">
      <c r="A2522" s="2">
        <v>45078</v>
      </c>
      <c r="B2522" t="s">
        <v>71</v>
      </c>
      <c r="C2522">
        <v>2023</v>
      </c>
      <c r="D2522">
        <v>6</v>
      </c>
      <c r="E2522" t="s">
        <v>64</v>
      </c>
      <c r="F2522" t="s">
        <v>48</v>
      </c>
      <c r="G2522">
        <v>33</v>
      </c>
      <c r="H2522" t="s">
        <v>20</v>
      </c>
      <c r="I2522">
        <v>2574.6</v>
      </c>
      <c r="J2522">
        <v>3253.75</v>
      </c>
      <c r="K2522">
        <v>3052.98</v>
      </c>
      <c r="L2522">
        <v>719.31</v>
      </c>
      <c r="M2522">
        <v>8881.33</v>
      </c>
      <c r="N2522">
        <v>9600.64</v>
      </c>
    </row>
    <row r="2523" spans="1:14" x14ac:dyDescent="0.3">
      <c r="A2523" s="2">
        <v>45078</v>
      </c>
      <c r="B2523" t="s">
        <v>71</v>
      </c>
      <c r="C2523">
        <v>2023</v>
      </c>
      <c r="D2523">
        <v>6</v>
      </c>
      <c r="E2523" t="s">
        <v>64</v>
      </c>
      <c r="F2523" t="s">
        <v>49</v>
      </c>
      <c r="G2523">
        <v>36</v>
      </c>
      <c r="H2523" t="s">
        <v>20</v>
      </c>
      <c r="I2523">
        <v>1242.1199999999999</v>
      </c>
      <c r="J2523">
        <v>1575.13</v>
      </c>
      <c r="K2523">
        <v>1326.67</v>
      </c>
      <c r="L2523">
        <v>537.47</v>
      </c>
      <c r="M2523">
        <v>4143.92</v>
      </c>
      <c r="N2523">
        <v>4681.3900000000003</v>
      </c>
    </row>
    <row r="2524" spans="1:14" x14ac:dyDescent="0.3">
      <c r="A2524" s="2">
        <v>45078</v>
      </c>
      <c r="B2524" t="s">
        <v>71</v>
      </c>
      <c r="C2524">
        <v>2023</v>
      </c>
      <c r="D2524">
        <v>6</v>
      </c>
      <c r="E2524" t="s">
        <v>64</v>
      </c>
      <c r="F2524" t="s">
        <v>50</v>
      </c>
      <c r="G2524">
        <v>16</v>
      </c>
      <c r="H2524" t="s">
        <v>20</v>
      </c>
      <c r="I2524">
        <v>29.19</v>
      </c>
      <c r="J2524">
        <v>38.54</v>
      </c>
      <c r="K2524">
        <v>7.35</v>
      </c>
      <c r="L2524">
        <v>0.08</v>
      </c>
      <c r="M2524">
        <v>75.08</v>
      </c>
      <c r="N2524">
        <v>75.16</v>
      </c>
    </row>
    <row r="2525" spans="1:14" x14ac:dyDescent="0.3">
      <c r="A2525" s="2">
        <v>45078</v>
      </c>
      <c r="B2525" t="s">
        <v>71</v>
      </c>
      <c r="C2525">
        <v>2023</v>
      </c>
      <c r="D2525">
        <v>6</v>
      </c>
      <c r="E2525" t="s">
        <v>64</v>
      </c>
      <c r="F2525" t="s">
        <v>51</v>
      </c>
      <c r="G2525">
        <v>9</v>
      </c>
      <c r="H2525" t="s">
        <v>20</v>
      </c>
      <c r="I2525">
        <v>1869.7</v>
      </c>
      <c r="J2525">
        <v>2562.73</v>
      </c>
      <c r="K2525">
        <v>2308.25</v>
      </c>
      <c r="L2525">
        <v>1363.47</v>
      </c>
      <c r="M2525">
        <v>6740.68</v>
      </c>
      <c r="N2525">
        <v>8104.15</v>
      </c>
    </row>
    <row r="2526" spans="1:14" x14ac:dyDescent="0.3">
      <c r="A2526" s="2">
        <v>45078</v>
      </c>
      <c r="B2526" t="s">
        <v>71</v>
      </c>
      <c r="C2526">
        <v>2023</v>
      </c>
      <c r="D2526">
        <v>6</v>
      </c>
      <c r="E2526" t="s">
        <v>64</v>
      </c>
      <c r="F2526" t="s">
        <v>52</v>
      </c>
      <c r="G2526">
        <v>5</v>
      </c>
      <c r="H2526" t="s">
        <v>20</v>
      </c>
      <c r="I2526">
        <v>327.37</v>
      </c>
      <c r="J2526">
        <v>438.6</v>
      </c>
      <c r="K2526">
        <v>745.08</v>
      </c>
      <c r="L2526">
        <v>11.5</v>
      </c>
      <c r="M2526">
        <v>1511.05</v>
      </c>
      <c r="N2526">
        <v>1522.55</v>
      </c>
    </row>
    <row r="2527" spans="1:14" x14ac:dyDescent="0.3">
      <c r="A2527" s="2">
        <v>45078</v>
      </c>
      <c r="B2527" t="s">
        <v>71</v>
      </c>
      <c r="C2527">
        <v>2023</v>
      </c>
      <c r="D2527">
        <v>6</v>
      </c>
      <c r="E2527" t="s">
        <v>64</v>
      </c>
      <c r="F2527" t="s">
        <v>53</v>
      </c>
      <c r="G2527">
        <v>19</v>
      </c>
      <c r="H2527" t="s">
        <v>20</v>
      </c>
      <c r="I2527">
        <v>1594.03</v>
      </c>
      <c r="J2527">
        <v>1943.64</v>
      </c>
      <c r="K2527">
        <v>1148.19</v>
      </c>
      <c r="L2527">
        <v>368.01</v>
      </c>
      <c r="M2527">
        <v>4685.8599999999997</v>
      </c>
      <c r="N2527">
        <v>5053.87</v>
      </c>
    </row>
    <row r="2528" spans="1:14" x14ac:dyDescent="0.3">
      <c r="A2528" s="2">
        <v>45108</v>
      </c>
      <c r="B2528" t="s">
        <v>71</v>
      </c>
      <c r="C2528">
        <v>2023</v>
      </c>
      <c r="D2528">
        <v>7</v>
      </c>
      <c r="E2528" t="s">
        <v>65</v>
      </c>
      <c r="F2528" t="s">
        <v>17</v>
      </c>
      <c r="G2528">
        <v>35</v>
      </c>
      <c r="H2528" t="s">
        <v>18</v>
      </c>
      <c r="I2528">
        <v>7.41</v>
      </c>
      <c r="J2528">
        <v>11.18</v>
      </c>
      <c r="K2528">
        <v>12.11</v>
      </c>
      <c r="L2528">
        <v>0.1</v>
      </c>
      <c r="M2528">
        <v>30.7</v>
      </c>
      <c r="N2528">
        <v>30.8</v>
      </c>
    </row>
    <row r="2529" spans="1:14" x14ac:dyDescent="0.3">
      <c r="A2529" s="2">
        <v>45108</v>
      </c>
      <c r="B2529" t="s">
        <v>71</v>
      </c>
      <c r="C2529">
        <v>2023</v>
      </c>
      <c r="D2529">
        <v>7</v>
      </c>
      <c r="E2529" t="s">
        <v>65</v>
      </c>
      <c r="F2529" t="s">
        <v>19</v>
      </c>
      <c r="G2529">
        <v>28</v>
      </c>
      <c r="H2529" t="s">
        <v>20</v>
      </c>
      <c r="I2529">
        <v>899.4</v>
      </c>
      <c r="J2529">
        <v>1198.6099999999999</v>
      </c>
      <c r="K2529">
        <v>1254.72</v>
      </c>
      <c r="L2529">
        <v>240.68</v>
      </c>
      <c r="M2529">
        <v>3352.73</v>
      </c>
      <c r="N2529">
        <v>3593.41</v>
      </c>
    </row>
    <row r="2530" spans="1:14" x14ac:dyDescent="0.3">
      <c r="A2530" s="2">
        <v>45108</v>
      </c>
      <c r="B2530" t="s">
        <v>71</v>
      </c>
      <c r="C2530">
        <v>2023</v>
      </c>
      <c r="D2530">
        <v>7</v>
      </c>
      <c r="E2530" t="s">
        <v>65</v>
      </c>
      <c r="F2530" t="s">
        <v>21</v>
      </c>
      <c r="G2530">
        <v>12</v>
      </c>
      <c r="H2530" t="s">
        <v>20</v>
      </c>
      <c r="I2530">
        <v>28.3</v>
      </c>
      <c r="J2530">
        <v>37.08</v>
      </c>
      <c r="K2530">
        <v>8.25</v>
      </c>
      <c r="L2530">
        <v>0.06</v>
      </c>
      <c r="M2530">
        <v>73.63</v>
      </c>
      <c r="N2530">
        <v>73.69</v>
      </c>
    </row>
    <row r="2531" spans="1:14" x14ac:dyDescent="0.3">
      <c r="A2531" s="2">
        <v>45108</v>
      </c>
      <c r="B2531" t="s">
        <v>71</v>
      </c>
      <c r="C2531">
        <v>2023</v>
      </c>
      <c r="D2531">
        <v>7</v>
      </c>
      <c r="E2531" t="s">
        <v>65</v>
      </c>
      <c r="F2531" t="s">
        <v>22</v>
      </c>
      <c r="G2531">
        <v>18</v>
      </c>
      <c r="H2531" t="s">
        <v>20</v>
      </c>
      <c r="I2531">
        <v>360.69</v>
      </c>
      <c r="J2531">
        <v>450.52</v>
      </c>
      <c r="K2531">
        <v>299.64999999999998</v>
      </c>
      <c r="L2531">
        <v>71.900000000000006</v>
      </c>
      <c r="M2531">
        <v>1110.8599999999999</v>
      </c>
      <c r="N2531">
        <v>1182.76</v>
      </c>
    </row>
    <row r="2532" spans="1:14" x14ac:dyDescent="0.3">
      <c r="A2532" s="2">
        <v>45108</v>
      </c>
      <c r="B2532" t="s">
        <v>71</v>
      </c>
      <c r="C2532">
        <v>2023</v>
      </c>
      <c r="D2532">
        <v>7</v>
      </c>
      <c r="E2532" t="s">
        <v>65</v>
      </c>
      <c r="F2532" t="s">
        <v>23</v>
      </c>
      <c r="G2532">
        <v>10</v>
      </c>
      <c r="H2532" t="s">
        <v>20</v>
      </c>
      <c r="I2532">
        <v>410.38</v>
      </c>
      <c r="J2532">
        <v>717.86</v>
      </c>
      <c r="K2532">
        <v>181.51</v>
      </c>
      <c r="L2532">
        <v>178.06</v>
      </c>
      <c r="M2532">
        <v>1309.75</v>
      </c>
      <c r="N2532">
        <v>1487.81</v>
      </c>
    </row>
    <row r="2533" spans="1:14" x14ac:dyDescent="0.3">
      <c r="A2533" s="2">
        <v>45108</v>
      </c>
      <c r="B2533" t="s">
        <v>71</v>
      </c>
      <c r="C2533">
        <v>2023</v>
      </c>
      <c r="D2533">
        <v>7</v>
      </c>
      <c r="E2533" t="s">
        <v>65</v>
      </c>
      <c r="F2533" t="s">
        <v>24</v>
      </c>
      <c r="G2533">
        <v>4</v>
      </c>
      <c r="H2533" t="s">
        <v>18</v>
      </c>
      <c r="I2533">
        <v>41.23</v>
      </c>
      <c r="J2533">
        <v>56.72</v>
      </c>
      <c r="K2533">
        <v>118.26</v>
      </c>
      <c r="L2533">
        <v>0.86</v>
      </c>
      <c r="M2533">
        <v>216.21</v>
      </c>
      <c r="N2533">
        <v>217.07</v>
      </c>
    </row>
    <row r="2534" spans="1:14" x14ac:dyDescent="0.3">
      <c r="A2534" s="2">
        <v>45108</v>
      </c>
      <c r="B2534" t="s">
        <v>71</v>
      </c>
      <c r="C2534">
        <v>2023</v>
      </c>
      <c r="D2534">
        <v>7</v>
      </c>
      <c r="E2534" t="s">
        <v>65</v>
      </c>
      <c r="F2534" t="s">
        <v>25</v>
      </c>
      <c r="G2534">
        <v>22</v>
      </c>
      <c r="H2534" t="s">
        <v>20</v>
      </c>
      <c r="I2534">
        <v>516</v>
      </c>
      <c r="J2534">
        <v>627.30999999999995</v>
      </c>
      <c r="K2534">
        <v>1017.76</v>
      </c>
      <c r="L2534">
        <v>643.51</v>
      </c>
      <c r="M2534">
        <v>2161.0700000000002</v>
      </c>
      <c r="N2534">
        <v>2804.58</v>
      </c>
    </row>
    <row r="2535" spans="1:14" x14ac:dyDescent="0.3">
      <c r="A2535" s="2">
        <v>45108</v>
      </c>
      <c r="B2535" t="s">
        <v>71</v>
      </c>
      <c r="C2535">
        <v>2023</v>
      </c>
      <c r="D2535">
        <v>7</v>
      </c>
      <c r="E2535" t="s">
        <v>65</v>
      </c>
      <c r="F2535" t="s">
        <v>26</v>
      </c>
      <c r="G2535">
        <v>38</v>
      </c>
      <c r="H2535" t="s">
        <v>18</v>
      </c>
      <c r="I2535">
        <v>44.48</v>
      </c>
      <c r="J2535">
        <v>56.17</v>
      </c>
      <c r="K2535">
        <v>253.21</v>
      </c>
      <c r="L2535">
        <v>0.28000000000000003</v>
      </c>
      <c r="M2535">
        <v>353.86</v>
      </c>
      <c r="N2535">
        <v>354.14</v>
      </c>
    </row>
    <row r="2536" spans="1:14" x14ac:dyDescent="0.3">
      <c r="A2536" s="2">
        <v>45108</v>
      </c>
      <c r="B2536" t="s">
        <v>71</v>
      </c>
      <c r="C2536">
        <v>2023</v>
      </c>
      <c r="D2536">
        <v>7</v>
      </c>
      <c r="E2536" t="s">
        <v>65</v>
      </c>
      <c r="F2536" t="s">
        <v>27</v>
      </c>
      <c r="G2536">
        <v>7</v>
      </c>
      <c r="H2536" t="s">
        <v>18</v>
      </c>
      <c r="I2536">
        <v>1029.98</v>
      </c>
      <c r="J2536">
        <v>1221.42</v>
      </c>
      <c r="K2536">
        <v>3053.18</v>
      </c>
      <c r="L2536">
        <v>100.8</v>
      </c>
      <c r="M2536">
        <v>5304.58</v>
      </c>
      <c r="N2536">
        <v>5405.38</v>
      </c>
    </row>
    <row r="2537" spans="1:14" x14ac:dyDescent="0.3">
      <c r="A2537" s="2">
        <v>45108</v>
      </c>
      <c r="B2537" t="s">
        <v>71</v>
      </c>
      <c r="C2537">
        <v>2023</v>
      </c>
      <c r="D2537">
        <v>7</v>
      </c>
      <c r="E2537" t="s">
        <v>65</v>
      </c>
      <c r="F2537" t="s">
        <v>28</v>
      </c>
      <c r="G2537">
        <v>30</v>
      </c>
      <c r="H2537" t="s">
        <v>20</v>
      </c>
      <c r="I2537">
        <v>131.03</v>
      </c>
      <c r="J2537">
        <v>173.21</v>
      </c>
      <c r="K2537">
        <v>219.81</v>
      </c>
      <c r="L2537">
        <v>3.68</v>
      </c>
      <c r="M2537">
        <v>524.04999999999995</v>
      </c>
      <c r="N2537">
        <v>527.73</v>
      </c>
    </row>
    <row r="2538" spans="1:14" x14ac:dyDescent="0.3">
      <c r="A2538" s="2">
        <v>45108</v>
      </c>
      <c r="B2538" t="s">
        <v>71</v>
      </c>
      <c r="C2538">
        <v>2023</v>
      </c>
      <c r="D2538">
        <v>7</v>
      </c>
      <c r="E2538" t="s">
        <v>65</v>
      </c>
      <c r="F2538" t="s">
        <v>29</v>
      </c>
      <c r="G2538">
        <v>24</v>
      </c>
      <c r="H2538" t="s">
        <v>20</v>
      </c>
      <c r="I2538">
        <v>2679.04</v>
      </c>
      <c r="J2538">
        <v>3292.7</v>
      </c>
      <c r="K2538">
        <v>3184.55</v>
      </c>
      <c r="L2538">
        <v>631.04</v>
      </c>
      <c r="M2538">
        <v>9156.2900000000009</v>
      </c>
      <c r="N2538">
        <v>9787.33</v>
      </c>
    </row>
    <row r="2539" spans="1:14" x14ac:dyDescent="0.3">
      <c r="A2539" s="2">
        <v>45108</v>
      </c>
      <c r="B2539" t="s">
        <v>71</v>
      </c>
      <c r="C2539">
        <v>2023</v>
      </c>
      <c r="D2539">
        <v>7</v>
      </c>
      <c r="E2539" t="s">
        <v>65</v>
      </c>
      <c r="F2539" t="s">
        <v>30</v>
      </c>
      <c r="G2539">
        <v>6</v>
      </c>
      <c r="H2539" t="s">
        <v>20</v>
      </c>
      <c r="I2539">
        <v>1222.74</v>
      </c>
      <c r="J2539">
        <v>1609.86</v>
      </c>
      <c r="K2539">
        <v>4571.32</v>
      </c>
      <c r="L2539">
        <v>549.03</v>
      </c>
      <c r="M2539">
        <v>7403.92</v>
      </c>
      <c r="N2539">
        <v>7952.95</v>
      </c>
    </row>
    <row r="2540" spans="1:14" x14ac:dyDescent="0.3">
      <c r="A2540" s="2">
        <v>45108</v>
      </c>
      <c r="B2540" t="s">
        <v>71</v>
      </c>
      <c r="C2540">
        <v>2023</v>
      </c>
      <c r="D2540">
        <v>7</v>
      </c>
      <c r="E2540" t="s">
        <v>65</v>
      </c>
      <c r="F2540" t="s">
        <v>31</v>
      </c>
      <c r="G2540">
        <v>2</v>
      </c>
      <c r="H2540" t="s">
        <v>20</v>
      </c>
      <c r="I2540">
        <v>162.58000000000001</v>
      </c>
      <c r="J2540">
        <v>232.94</v>
      </c>
      <c r="K2540">
        <v>518.77</v>
      </c>
      <c r="L2540">
        <v>2.56</v>
      </c>
      <c r="M2540">
        <v>914.29</v>
      </c>
      <c r="N2540">
        <v>916.85</v>
      </c>
    </row>
    <row r="2541" spans="1:14" x14ac:dyDescent="0.3">
      <c r="A2541" s="2">
        <v>45108</v>
      </c>
      <c r="B2541" t="s">
        <v>71</v>
      </c>
      <c r="C2541">
        <v>2023</v>
      </c>
      <c r="D2541">
        <v>7</v>
      </c>
      <c r="E2541" t="s">
        <v>65</v>
      </c>
      <c r="F2541" t="s">
        <v>32</v>
      </c>
      <c r="G2541">
        <v>1</v>
      </c>
      <c r="H2541" t="s">
        <v>18</v>
      </c>
      <c r="I2541">
        <v>162.69</v>
      </c>
      <c r="J2541">
        <v>234</v>
      </c>
      <c r="K2541">
        <v>141.35</v>
      </c>
      <c r="L2541">
        <v>10.98</v>
      </c>
      <c r="M2541">
        <v>538.04</v>
      </c>
      <c r="N2541">
        <v>549.02</v>
      </c>
    </row>
    <row r="2542" spans="1:14" x14ac:dyDescent="0.3">
      <c r="A2542" s="2">
        <v>45108</v>
      </c>
      <c r="B2542" t="s">
        <v>71</v>
      </c>
      <c r="C2542">
        <v>2023</v>
      </c>
      <c r="D2542">
        <v>7</v>
      </c>
      <c r="E2542" t="s">
        <v>65</v>
      </c>
      <c r="F2542" t="s">
        <v>33</v>
      </c>
      <c r="G2542">
        <v>20</v>
      </c>
      <c r="H2542" t="s">
        <v>20</v>
      </c>
      <c r="I2542">
        <v>538.84</v>
      </c>
      <c r="J2542">
        <v>721.04</v>
      </c>
      <c r="K2542">
        <v>1016.77</v>
      </c>
      <c r="L2542">
        <v>581.9</v>
      </c>
      <c r="M2542">
        <v>2276.65</v>
      </c>
      <c r="N2542">
        <v>2858.55</v>
      </c>
    </row>
    <row r="2543" spans="1:14" x14ac:dyDescent="0.3">
      <c r="A2543" s="2">
        <v>45108</v>
      </c>
      <c r="B2543" t="s">
        <v>71</v>
      </c>
      <c r="C2543">
        <v>2023</v>
      </c>
      <c r="D2543">
        <v>7</v>
      </c>
      <c r="E2543" t="s">
        <v>65</v>
      </c>
      <c r="F2543" t="s">
        <v>34</v>
      </c>
      <c r="G2543">
        <v>29</v>
      </c>
      <c r="H2543" t="s">
        <v>20</v>
      </c>
      <c r="I2543">
        <v>2574.96</v>
      </c>
      <c r="J2543">
        <v>3181.08</v>
      </c>
      <c r="K2543">
        <v>4300.3</v>
      </c>
      <c r="L2543">
        <v>1449.12</v>
      </c>
      <c r="M2543">
        <v>10056.34</v>
      </c>
      <c r="N2543">
        <v>11505.46</v>
      </c>
    </row>
    <row r="2544" spans="1:14" x14ac:dyDescent="0.3">
      <c r="A2544" s="2">
        <v>45108</v>
      </c>
      <c r="B2544" t="s">
        <v>71</v>
      </c>
      <c r="C2544">
        <v>2023</v>
      </c>
      <c r="D2544">
        <v>7</v>
      </c>
      <c r="E2544" t="s">
        <v>65</v>
      </c>
      <c r="F2544" t="s">
        <v>35</v>
      </c>
      <c r="G2544">
        <v>32</v>
      </c>
      <c r="H2544" t="s">
        <v>20</v>
      </c>
      <c r="I2544">
        <v>846.91</v>
      </c>
      <c r="J2544">
        <v>1093.31</v>
      </c>
      <c r="K2544">
        <v>438.67</v>
      </c>
      <c r="L2544">
        <v>2.34</v>
      </c>
      <c r="M2544">
        <v>2378.89</v>
      </c>
      <c r="N2544">
        <v>2381.23</v>
      </c>
    </row>
    <row r="2545" spans="1:14" x14ac:dyDescent="0.3">
      <c r="A2545" s="2">
        <v>45108</v>
      </c>
      <c r="B2545" t="s">
        <v>71</v>
      </c>
      <c r="C2545">
        <v>2023</v>
      </c>
      <c r="D2545">
        <v>7</v>
      </c>
      <c r="E2545" t="s">
        <v>65</v>
      </c>
      <c r="F2545" t="s">
        <v>67</v>
      </c>
      <c r="G2545">
        <v>37</v>
      </c>
      <c r="H2545" t="s">
        <v>18</v>
      </c>
      <c r="I2545">
        <v>8.4700000000000006</v>
      </c>
      <c r="J2545">
        <v>11</v>
      </c>
      <c r="K2545">
        <v>3.1</v>
      </c>
      <c r="L2545">
        <v>0.03</v>
      </c>
      <c r="M2545">
        <v>22.57</v>
      </c>
      <c r="N2545">
        <v>22.6</v>
      </c>
    </row>
    <row r="2546" spans="1:14" x14ac:dyDescent="0.3">
      <c r="A2546" s="2">
        <v>45108</v>
      </c>
      <c r="B2546" t="s">
        <v>71</v>
      </c>
      <c r="C2546">
        <v>2023</v>
      </c>
      <c r="D2546">
        <v>7</v>
      </c>
      <c r="E2546" t="s">
        <v>65</v>
      </c>
      <c r="F2546" t="s">
        <v>36</v>
      </c>
      <c r="G2546">
        <v>31</v>
      </c>
      <c r="H2546" t="s">
        <v>18</v>
      </c>
      <c r="I2546">
        <v>0.67</v>
      </c>
      <c r="J2546">
        <v>1.5</v>
      </c>
      <c r="K2546">
        <v>0.18</v>
      </c>
      <c r="L2546">
        <v>0</v>
      </c>
      <c r="M2546">
        <v>2.35</v>
      </c>
      <c r="N2546">
        <v>2.35</v>
      </c>
    </row>
    <row r="2547" spans="1:14" x14ac:dyDescent="0.3">
      <c r="A2547" s="2">
        <v>45108</v>
      </c>
      <c r="B2547" t="s">
        <v>71</v>
      </c>
      <c r="C2547">
        <v>2023</v>
      </c>
      <c r="D2547">
        <v>7</v>
      </c>
      <c r="E2547" t="s">
        <v>65</v>
      </c>
      <c r="F2547" t="s">
        <v>37</v>
      </c>
      <c r="G2547">
        <v>23</v>
      </c>
      <c r="H2547" t="s">
        <v>20</v>
      </c>
      <c r="I2547">
        <v>794.89</v>
      </c>
      <c r="J2547">
        <v>1044.94</v>
      </c>
      <c r="K2547">
        <v>900.37</v>
      </c>
      <c r="L2547">
        <v>584.85</v>
      </c>
      <c r="M2547">
        <v>2740.2</v>
      </c>
      <c r="N2547">
        <v>3325.05</v>
      </c>
    </row>
    <row r="2548" spans="1:14" x14ac:dyDescent="0.3">
      <c r="A2548" s="2">
        <v>45108</v>
      </c>
      <c r="B2548" t="s">
        <v>71</v>
      </c>
      <c r="C2548">
        <v>2023</v>
      </c>
      <c r="D2548">
        <v>7</v>
      </c>
      <c r="E2548" t="s">
        <v>65</v>
      </c>
      <c r="F2548" t="s">
        <v>38</v>
      </c>
      <c r="G2548">
        <v>27</v>
      </c>
      <c r="H2548" t="s">
        <v>20</v>
      </c>
      <c r="I2548">
        <v>6795.84</v>
      </c>
      <c r="J2548">
        <v>7957.64</v>
      </c>
      <c r="K2548">
        <v>9499.49</v>
      </c>
      <c r="L2548">
        <v>1811.06</v>
      </c>
      <c r="M2548">
        <v>24252.97</v>
      </c>
      <c r="N2548">
        <v>26064.03</v>
      </c>
    </row>
    <row r="2549" spans="1:14" x14ac:dyDescent="0.3">
      <c r="A2549" s="2">
        <v>45108</v>
      </c>
      <c r="B2549" t="s">
        <v>71</v>
      </c>
      <c r="C2549">
        <v>2023</v>
      </c>
      <c r="D2549">
        <v>7</v>
      </c>
      <c r="E2549" t="s">
        <v>65</v>
      </c>
      <c r="F2549" t="s">
        <v>39</v>
      </c>
      <c r="G2549">
        <v>14</v>
      </c>
      <c r="H2549" t="s">
        <v>20</v>
      </c>
      <c r="I2549">
        <v>15.65</v>
      </c>
      <c r="J2549">
        <v>22.53</v>
      </c>
      <c r="K2549">
        <v>3.82</v>
      </c>
      <c r="L2549">
        <v>0.04</v>
      </c>
      <c r="M2549">
        <v>42</v>
      </c>
      <c r="N2549">
        <v>42.04</v>
      </c>
    </row>
    <row r="2550" spans="1:14" x14ac:dyDescent="0.3">
      <c r="A2550" s="2">
        <v>45108</v>
      </c>
      <c r="B2550" t="s">
        <v>71</v>
      </c>
      <c r="C2550">
        <v>2023</v>
      </c>
      <c r="D2550">
        <v>7</v>
      </c>
      <c r="E2550" t="s">
        <v>65</v>
      </c>
      <c r="F2550" t="s">
        <v>40</v>
      </c>
      <c r="G2550">
        <v>17</v>
      </c>
      <c r="H2550" t="s">
        <v>20</v>
      </c>
      <c r="I2550">
        <v>44.42</v>
      </c>
      <c r="J2550">
        <v>50.42</v>
      </c>
      <c r="K2550">
        <v>80.23</v>
      </c>
      <c r="L2550">
        <v>0.28999999999999998</v>
      </c>
      <c r="M2550">
        <v>175.07</v>
      </c>
      <c r="N2550">
        <v>175.36</v>
      </c>
    </row>
    <row r="2551" spans="1:14" x14ac:dyDescent="0.3">
      <c r="A2551" s="2">
        <v>45108</v>
      </c>
      <c r="B2551" t="s">
        <v>71</v>
      </c>
      <c r="C2551">
        <v>2023</v>
      </c>
      <c r="D2551">
        <v>7</v>
      </c>
      <c r="E2551" t="s">
        <v>65</v>
      </c>
      <c r="F2551" t="s">
        <v>41</v>
      </c>
      <c r="G2551">
        <v>15</v>
      </c>
      <c r="H2551" t="s">
        <v>20</v>
      </c>
      <c r="I2551">
        <v>14.07</v>
      </c>
      <c r="J2551">
        <v>22.03</v>
      </c>
      <c r="K2551">
        <v>2.97</v>
      </c>
      <c r="L2551">
        <v>7.0000000000000007E-2</v>
      </c>
      <c r="M2551">
        <v>39.07</v>
      </c>
      <c r="N2551">
        <v>39.14</v>
      </c>
    </row>
    <row r="2552" spans="1:14" x14ac:dyDescent="0.3">
      <c r="A2552" s="2">
        <v>45108</v>
      </c>
      <c r="B2552" t="s">
        <v>71</v>
      </c>
      <c r="C2552">
        <v>2023</v>
      </c>
      <c r="D2552">
        <v>7</v>
      </c>
      <c r="E2552" t="s">
        <v>65</v>
      </c>
      <c r="F2552" t="s">
        <v>42</v>
      </c>
      <c r="G2552">
        <v>13</v>
      </c>
      <c r="H2552" t="s">
        <v>20</v>
      </c>
      <c r="I2552">
        <v>13.83</v>
      </c>
      <c r="J2552">
        <v>18.190000000000001</v>
      </c>
      <c r="K2552">
        <v>7.99</v>
      </c>
      <c r="L2552">
        <v>2.94</v>
      </c>
      <c r="M2552">
        <v>40.01</v>
      </c>
      <c r="N2552">
        <v>42.95</v>
      </c>
    </row>
    <row r="2553" spans="1:14" x14ac:dyDescent="0.3">
      <c r="A2553" s="2">
        <v>45108</v>
      </c>
      <c r="B2553" t="s">
        <v>71</v>
      </c>
      <c r="C2553">
        <v>2023</v>
      </c>
      <c r="D2553">
        <v>7</v>
      </c>
      <c r="E2553" t="s">
        <v>65</v>
      </c>
      <c r="F2553" t="s">
        <v>43</v>
      </c>
      <c r="G2553">
        <v>21</v>
      </c>
      <c r="H2553" t="s">
        <v>20</v>
      </c>
      <c r="I2553">
        <v>1096.55</v>
      </c>
      <c r="J2553">
        <v>1300.33</v>
      </c>
      <c r="K2553">
        <v>1094.5899999999999</v>
      </c>
      <c r="L2553">
        <v>753.93</v>
      </c>
      <c r="M2553">
        <v>3491.47</v>
      </c>
      <c r="N2553">
        <v>4245.3999999999996</v>
      </c>
    </row>
    <row r="2554" spans="1:14" x14ac:dyDescent="0.3">
      <c r="A2554" s="2">
        <v>45108</v>
      </c>
      <c r="B2554" t="s">
        <v>71</v>
      </c>
      <c r="C2554">
        <v>2023</v>
      </c>
      <c r="D2554">
        <v>7</v>
      </c>
      <c r="E2554" t="s">
        <v>65</v>
      </c>
      <c r="F2554" t="s">
        <v>44</v>
      </c>
      <c r="G2554">
        <v>34</v>
      </c>
      <c r="H2554" t="s">
        <v>18</v>
      </c>
      <c r="I2554">
        <v>27.18</v>
      </c>
      <c r="J2554">
        <v>41.35</v>
      </c>
      <c r="K2554">
        <v>146.75</v>
      </c>
      <c r="L2554">
        <v>0.27</v>
      </c>
      <c r="M2554">
        <v>215.28</v>
      </c>
      <c r="N2554">
        <v>215.55</v>
      </c>
    </row>
    <row r="2555" spans="1:14" x14ac:dyDescent="0.3">
      <c r="A2555" s="2">
        <v>45108</v>
      </c>
      <c r="B2555" t="s">
        <v>71</v>
      </c>
      <c r="C2555">
        <v>2023</v>
      </c>
      <c r="D2555">
        <v>7</v>
      </c>
      <c r="E2555" t="s">
        <v>65</v>
      </c>
      <c r="F2555" t="s">
        <v>45</v>
      </c>
      <c r="G2555">
        <v>3</v>
      </c>
      <c r="H2555" t="s">
        <v>20</v>
      </c>
      <c r="I2555">
        <v>489.38</v>
      </c>
      <c r="J2555">
        <v>727.31</v>
      </c>
      <c r="K2555">
        <v>739.82</v>
      </c>
      <c r="L2555">
        <v>43.9</v>
      </c>
      <c r="M2555">
        <v>1956.51</v>
      </c>
      <c r="N2555">
        <v>2000.41</v>
      </c>
    </row>
    <row r="2556" spans="1:14" x14ac:dyDescent="0.3">
      <c r="A2556" s="2">
        <v>45108</v>
      </c>
      <c r="B2556" t="s">
        <v>71</v>
      </c>
      <c r="C2556">
        <v>2023</v>
      </c>
      <c r="D2556">
        <v>7</v>
      </c>
      <c r="E2556" t="s">
        <v>65</v>
      </c>
      <c r="F2556" t="s">
        <v>46</v>
      </c>
      <c r="G2556">
        <v>8</v>
      </c>
      <c r="H2556" t="s">
        <v>20</v>
      </c>
      <c r="I2556">
        <v>1088.6300000000001</v>
      </c>
      <c r="J2556">
        <v>1380.13</v>
      </c>
      <c r="K2556">
        <v>1408.09</v>
      </c>
      <c r="L2556">
        <v>111.14</v>
      </c>
      <c r="M2556">
        <v>3876.85</v>
      </c>
      <c r="N2556">
        <v>3987.99</v>
      </c>
    </row>
    <row r="2557" spans="1:14" x14ac:dyDescent="0.3">
      <c r="A2557" s="2">
        <v>45108</v>
      </c>
      <c r="B2557" t="s">
        <v>71</v>
      </c>
      <c r="C2557">
        <v>2023</v>
      </c>
      <c r="D2557">
        <v>7</v>
      </c>
      <c r="E2557" t="s">
        <v>65</v>
      </c>
      <c r="F2557" t="s">
        <v>47</v>
      </c>
      <c r="G2557">
        <v>11</v>
      </c>
      <c r="H2557" t="s">
        <v>20</v>
      </c>
      <c r="I2557">
        <v>21.94</v>
      </c>
      <c r="J2557">
        <v>29.51</v>
      </c>
      <c r="K2557">
        <v>262.42</v>
      </c>
      <c r="L2557">
        <v>0.1</v>
      </c>
      <c r="M2557">
        <v>313.87</v>
      </c>
      <c r="N2557">
        <v>313.97000000000003</v>
      </c>
    </row>
    <row r="2558" spans="1:14" x14ac:dyDescent="0.3">
      <c r="A2558" s="2">
        <v>45108</v>
      </c>
      <c r="B2558" t="s">
        <v>71</v>
      </c>
      <c r="C2558">
        <v>2023</v>
      </c>
      <c r="D2558">
        <v>7</v>
      </c>
      <c r="E2558" t="s">
        <v>65</v>
      </c>
      <c r="F2558" t="s">
        <v>48</v>
      </c>
      <c r="G2558">
        <v>33</v>
      </c>
      <c r="H2558" t="s">
        <v>20</v>
      </c>
      <c r="I2558">
        <v>2568.41</v>
      </c>
      <c r="J2558">
        <v>3300</v>
      </c>
      <c r="K2558">
        <v>3377.73</v>
      </c>
      <c r="L2558">
        <v>775.72</v>
      </c>
      <c r="M2558">
        <v>9246.14</v>
      </c>
      <c r="N2558">
        <v>10021.86</v>
      </c>
    </row>
    <row r="2559" spans="1:14" x14ac:dyDescent="0.3">
      <c r="A2559" s="2">
        <v>45108</v>
      </c>
      <c r="B2559" t="s">
        <v>71</v>
      </c>
      <c r="C2559">
        <v>2023</v>
      </c>
      <c r="D2559">
        <v>7</v>
      </c>
      <c r="E2559" t="s">
        <v>65</v>
      </c>
      <c r="F2559" t="s">
        <v>49</v>
      </c>
      <c r="G2559">
        <v>36</v>
      </c>
      <c r="H2559" t="s">
        <v>20</v>
      </c>
      <c r="I2559">
        <v>1210.5</v>
      </c>
      <c r="J2559">
        <v>1623.48</v>
      </c>
      <c r="K2559">
        <v>1453.15</v>
      </c>
      <c r="L2559">
        <v>561.91</v>
      </c>
      <c r="M2559">
        <v>4287.13</v>
      </c>
      <c r="N2559">
        <v>4849.04</v>
      </c>
    </row>
    <row r="2560" spans="1:14" x14ac:dyDescent="0.3">
      <c r="A2560" s="2">
        <v>45108</v>
      </c>
      <c r="B2560" t="s">
        <v>71</v>
      </c>
      <c r="C2560">
        <v>2023</v>
      </c>
      <c r="D2560">
        <v>7</v>
      </c>
      <c r="E2560" t="s">
        <v>65</v>
      </c>
      <c r="F2560" t="s">
        <v>50</v>
      </c>
      <c r="G2560">
        <v>16</v>
      </c>
      <c r="H2560" t="s">
        <v>20</v>
      </c>
      <c r="I2560">
        <v>31.03</v>
      </c>
      <c r="J2560">
        <v>39.53</v>
      </c>
      <c r="K2560">
        <v>6.97</v>
      </c>
      <c r="L2560">
        <v>0.56999999999999995</v>
      </c>
      <c r="M2560">
        <v>77.53</v>
      </c>
      <c r="N2560">
        <v>78.099999999999994</v>
      </c>
    </row>
    <row r="2561" spans="1:14" x14ac:dyDescent="0.3">
      <c r="A2561" s="2">
        <v>45108</v>
      </c>
      <c r="B2561" t="s">
        <v>71</v>
      </c>
      <c r="C2561">
        <v>2023</v>
      </c>
      <c r="D2561">
        <v>7</v>
      </c>
      <c r="E2561" t="s">
        <v>65</v>
      </c>
      <c r="F2561" t="s">
        <v>51</v>
      </c>
      <c r="G2561">
        <v>9</v>
      </c>
      <c r="H2561" t="s">
        <v>20</v>
      </c>
      <c r="I2561">
        <v>1995.75</v>
      </c>
      <c r="J2561">
        <v>2750.54</v>
      </c>
      <c r="K2561">
        <v>2608.52</v>
      </c>
      <c r="L2561">
        <v>1447.22</v>
      </c>
      <c r="M2561">
        <v>7354.81</v>
      </c>
      <c r="N2561">
        <v>8802.0300000000007</v>
      </c>
    </row>
    <row r="2562" spans="1:14" x14ac:dyDescent="0.3">
      <c r="A2562" s="2">
        <v>45108</v>
      </c>
      <c r="B2562" t="s">
        <v>71</v>
      </c>
      <c r="C2562">
        <v>2023</v>
      </c>
      <c r="D2562">
        <v>7</v>
      </c>
      <c r="E2562" t="s">
        <v>65</v>
      </c>
      <c r="F2562" t="s">
        <v>52</v>
      </c>
      <c r="G2562">
        <v>5</v>
      </c>
      <c r="H2562" t="s">
        <v>20</v>
      </c>
      <c r="I2562">
        <v>318.27999999999997</v>
      </c>
      <c r="J2562">
        <v>415.18</v>
      </c>
      <c r="K2562">
        <v>863.17</v>
      </c>
      <c r="L2562">
        <v>10.49</v>
      </c>
      <c r="M2562">
        <v>1596.63</v>
      </c>
      <c r="N2562">
        <v>1607.12</v>
      </c>
    </row>
    <row r="2563" spans="1:14" x14ac:dyDescent="0.3">
      <c r="A2563" s="2">
        <v>45108</v>
      </c>
      <c r="B2563" t="s">
        <v>71</v>
      </c>
      <c r="C2563">
        <v>2023</v>
      </c>
      <c r="D2563">
        <v>7</v>
      </c>
      <c r="E2563" t="s">
        <v>65</v>
      </c>
      <c r="F2563" t="s">
        <v>53</v>
      </c>
      <c r="G2563">
        <v>19</v>
      </c>
      <c r="H2563" t="s">
        <v>20</v>
      </c>
      <c r="I2563">
        <v>1570.54</v>
      </c>
      <c r="J2563">
        <v>1952.69</v>
      </c>
      <c r="K2563">
        <v>1236.96</v>
      </c>
      <c r="L2563">
        <v>367.65</v>
      </c>
      <c r="M2563">
        <v>4760.1899999999996</v>
      </c>
      <c r="N2563">
        <v>5127.84</v>
      </c>
    </row>
    <row r="2564" spans="1:14" x14ac:dyDescent="0.3">
      <c r="A2564" s="2">
        <v>45139</v>
      </c>
      <c r="B2564" t="s">
        <v>71</v>
      </c>
      <c r="C2564">
        <v>2023</v>
      </c>
      <c r="D2564">
        <v>8</v>
      </c>
      <c r="E2564" t="s">
        <v>16</v>
      </c>
      <c r="F2564" t="s">
        <v>17</v>
      </c>
      <c r="G2564">
        <v>35</v>
      </c>
      <c r="H2564" t="s">
        <v>18</v>
      </c>
      <c r="I2564">
        <v>6.9</v>
      </c>
      <c r="J2564">
        <v>10.18</v>
      </c>
      <c r="K2564">
        <v>4.12</v>
      </c>
      <c r="L2564">
        <v>0.03</v>
      </c>
      <c r="M2564">
        <v>21.2</v>
      </c>
      <c r="N2564">
        <v>21.23</v>
      </c>
    </row>
    <row r="2565" spans="1:14" x14ac:dyDescent="0.3">
      <c r="A2565" s="2">
        <v>45139</v>
      </c>
      <c r="B2565" t="s">
        <v>71</v>
      </c>
      <c r="C2565">
        <v>2023</v>
      </c>
      <c r="D2565">
        <v>8</v>
      </c>
      <c r="E2565" t="s">
        <v>16</v>
      </c>
      <c r="F2565" t="s">
        <v>19</v>
      </c>
      <c r="G2565">
        <v>28</v>
      </c>
      <c r="H2565" t="s">
        <v>20</v>
      </c>
      <c r="I2565">
        <v>860.78</v>
      </c>
      <c r="J2565">
        <v>1122.3</v>
      </c>
      <c r="K2565">
        <v>1196.49</v>
      </c>
      <c r="L2565">
        <v>299.14999999999998</v>
      </c>
      <c r="M2565">
        <v>3179.57</v>
      </c>
      <c r="N2565">
        <v>3478.72</v>
      </c>
    </row>
    <row r="2566" spans="1:14" x14ac:dyDescent="0.3">
      <c r="A2566" s="2">
        <v>45139</v>
      </c>
      <c r="B2566" t="s">
        <v>71</v>
      </c>
      <c r="C2566">
        <v>2023</v>
      </c>
      <c r="D2566">
        <v>8</v>
      </c>
      <c r="E2566" t="s">
        <v>16</v>
      </c>
      <c r="F2566" t="s">
        <v>21</v>
      </c>
      <c r="G2566">
        <v>12</v>
      </c>
      <c r="H2566" t="s">
        <v>20</v>
      </c>
      <c r="I2566">
        <v>30.8</v>
      </c>
      <c r="J2566">
        <v>39.700000000000003</v>
      </c>
      <c r="K2566">
        <v>11.88</v>
      </c>
      <c r="L2566">
        <v>0.04</v>
      </c>
      <c r="M2566">
        <v>82.38</v>
      </c>
      <c r="N2566">
        <v>82.42</v>
      </c>
    </row>
    <row r="2567" spans="1:14" x14ac:dyDescent="0.3">
      <c r="A2567" s="2">
        <v>45139</v>
      </c>
      <c r="B2567" t="s">
        <v>71</v>
      </c>
      <c r="C2567">
        <v>2023</v>
      </c>
      <c r="D2567">
        <v>8</v>
      </c>
      <c r="E2567" t="s">
        <v>16</v>
      </c>
      <c r="F2567" t="s">
        <v>22</v>
      </c>
      <c r="G2567">
        <v>18</v>
      </c>
      <c r="H2567" t="s">
        <v>20</v>
      </c>
      <c r="I2567">
        <v>350.41</v>
      </c>
      <c r="J2567">
        <v>440.19</v>
      </c>
      <c r="K2567">
        <v>305.5</v>
      </c>
      <c r="L2567">
        <v>51.43</v>
      </c>
      <c r="M2567">
        <v>1096.0999999999999</v>
      </c>
      <c r="N2567">
        <v>1147.53</v>
      </c>
    </row>
    <row r="2568" spans="1:14" x14ac:dyDescent="0.3">
      <c r="A2568" s="2">
        <v>45139</v>
      </c>
      <c r="B2568" t="s">
        <v>71</v>
      </c>
      <c r="C2568">
        <v>2023</v>
      </c>
      <c r="D2568">
        <v>8</v>
      </c>
      <c r="E2568" t="s">
        <v>16</v>
      </c>
      <c r="F2568" t="s">
        <v>23</v>
      </c>
      <c r="G2568">
        <v>10</v>
      </c>
      <c r="H2568" t="s">
        <v>20</v>
      </c>
      <c r="I2568">
        <v>395.43</v>
      </c>
      <c r="J2568">
        <v>653.58000000000004</v>
      </c>
      <c r="K2568">
        <v>175.97</v>
      </c>
      <c r="L2568">
        <v>153.80000000000001</v>
      </c>
      <c r="M2568">
        <v>1224.98</v>
      </c>
      <c r="N2568">
        <v>1378.78</v>
      </c>
    </row>
    <row r="2569" spans="1:14" x14ac:dyDescent="0.3">
      <c r="A2569" s="2">
        <v>45139</v>
      </c>
      <c r="B2569" t="s">
        <v>71</v>
      </c>
      <c r="C2569">
        <v>2023</v>
      </c>
      <c r="D2569">
        <v>8</v>
      </c>
      <c r="E2569" t="s">
        <v>16</v>
      </c>
      <c r="F2569" t="s">
        <v>24</v>
      </c>
      <c r="G2569">
        <v>4</v>
      </c>
      <c r="H2569" t="s">
        <v>18</v>
      </c>
      <c r="I2569">
        <v>37.83</v>
      </c>
      <c r="J2569">
        <v>51.46</v>
      </c>
      <c r="K2569">
        <v>101.76</v>
      </c>
      <c r="L2569">
        <v>1.36</v>
      </c>
      <c r="M2569">
        <v>191.05</v>
      </c>
      <c r="N2569">
        <v>192.41</v>
      </c>
    </row>
    <row r="2570" spans="1:14" x14ac:dyDescent="0.3">
      <c r="A2570" s="2">
        <v>45139</v>
      </c>
      <c r="B2570" t="s">
        <v>71</v>
      </c>
      <c r="C2570">
        <v>2023</v>
      </c>
      <c r="D2570">
        <v>8</v>
      </c>
      <c r="E2570" t="s">
        <v>16</v>
      </c>
      <c r="F2570" t="s">
        <v>25</v>
      </c>
      <c r="G2570">
        <v>22</v>
      </c>
      <c r="H2570" t="s">
        <v>20</v>
      </c>
      <c r="I2570">
        <v>604.91</v>
      </c>
      <c r="J2570">
        <v>709.86</v>
      </c>
      <c r="K2570">
        <v>938.64</v>
      </c>
      <c r="L2570">
        <v>642.49</v>
      </c>
      <c r="M2570">
        <v>2253.41</v>
      </c>
      <c r="N2570">
        <v>2895.9</v>
      </c>
    </row>
    <row r="2571" spans="1:14" x14ac:dyDescent="0.3">
      <c r="A2571" s="2">
        <v>45139</v>
      </c>
      <c r="B2571" t="s">
        <v>71</v>
      </c>
      <c r="C2571">
        <v>2023</v>
      </c>
      <c r="D2571">
        <v>8</v>
      </c>
      <c r="E2571" t="s">
        <v>16</v>
      </c>
      <c r="F2571" t="s">
        <v>26</v>
      </c>
      <c r="G2571">
        <v>38</v>
      </c>
      <c r="H2571" t="s">
        <v>18</v>
      </c>
      <c r="I2571">
        <v>39.19</v>
      </c>
      <c r="J2571">
        <v>50.75</v>
      </c>
      <c r="K2571">
        <v>233.03</v>
      </c>
      <c r="L2571">
        <v>1.56</v>
      </c>
      <c r="M2571">
        <v>322.97000000000003</v>
      </c>
      <c r="N2571">
        <v>324.52999999999997</v>
      </c>
    </row>
    <row r="2572" spans="1:14" x14ac:dyDescent="0.3">
      <c r="A2572" s="2">
        <v>45139</v>
      </c>
      <c r="B2572" t="s">
        <v>71</v>
      </c>
      <c r="C2572">
        <v>2023</v>
      </c>
      <c r="D2572">
        <v>8</v>
      </c>
      <c r="E2572" t="s">
        <v>16</v>
      </c>
      <c r="F2572" t="s">
        <v>27</v>
      </c>
      <c r="G2572">
        <v>7</v>
      </c>
      <c r="H2572" t="s">
        <v>18</v>
      </c>
      <c r="I2572">
        <v>939.32</v>
      </c>
      <c r="J2572">
        <v>1113.4000000000001</v>
      </c>
      <c r="K2572">
        <v>2471.29</v>
      </c>
      <c r="L2572">
        <v>95.49</v>
      </c>
      <c r="M2572">
        <v>4524.01</v>
      </c>
      <c r="N2572">
        <v>4619.5</v>
      </c>
    </row>
    <row r="2573" spans="1:14" x14ac:dyDescent="0.3">
      <c r="A2573" s="2">
        <v>45139</v>
      </c>
      <c r="B2573" t="s">
        <v>71</v>
      </c>
      <c r="C2573">
        <v>2023</v>
      </c>
      <c r="D2573">
        <v>8</v>
      </c>
      <c r="E2573" t="s">
        <v>16</v>
      </c>
      <c r="F2573" t="s">
        <v>28</v>
      </c>
      <c r="G2573">
        <v>30</v>
      </c>
      <c r="H2573" t="s">
        <v>20</v>
      </c>
      <c r="I2573">
        <v>137.74</v>
      </c>
      <c r="J2573">
        <v>173.71</v>
      </c>
      <c r="K2573">
        <v>195.88</v>
      </c>
      <c r="L2573">
        <v>1.69</v>
      </c>
      <c r="M2573">
        <v>507.33</v>
      </c>
      <c r="N2573">
        <v>509.02</v>
      </c>
    </row>
    <row r="2574" spans="1:14" x14ac:dyDescent="0.3">
      <c r="A2574" s="2">
        <v>45139</v>
      </c>
      <c r="B2574" t="s">
        <v>71</v>
      </c>
      <c r="C2574">
        <v>2023</v>
      </c>
      <c r="D2574">
        <v>8</v>
      </c>
      <c r="E2574" t="s">
        <v>16</v>
      </c>
      <c r="F2574" t="s">
        <v>29</v>
      </c>
      <c r="G2574">
        <v>24</v>
      </c>
      <c r="H2574" t="s">
        <v>20</v>
      </c>
      <c r="I2574">
        <v>2617.37</v>
      </c>
      <c r="J2574">
        <v>3210.74</v>
      </c>
      <c r="K2574">
        <v>3288.57</v>
      </c>
      <c r="L2574">
        <v>648.08000000000004</v>
      </c>
      <c r="M2574">
        <v>9116.68</v>
      </c>
      <c r="N2574">
        <v>9764.76</v>
      </c>
    </row>
    <row r="2575" spans="1:14" x14ac:dyDescent="0.3">
      <c r="A2575" s="2">
        <v>45139</v>
      </c>
      <c r="B2575" t="s">
        <v>71</v>
      </c>
      <c r="C2575">
        <v>2023</v>
      </c>
      <c r="D2575">
        <v>8</v>
      </c>
      <c r="E2575" t="s">
        <v>16</v>
      </c>
      <c r="F2575" t="s">
        <v>30</v>
      </c>
      <c r="G2575">
        <v>6</v>
      </c>
      <c r="H2575" t="s">
        <v>20</v>
      </c>
      <c r="I2575">
        <v>1209.92</v>
      </c>
      <c r="J2575">
        <v>1584.52</v>
      </c>
      <c r="K2575">
        <v>4199.0200000000004</v>
      </c>
      <c r="L2575">
        <v>672.05</v>
      </c>
      <c r="M2575">
        <v>6993.46</v>
      </c>
      <c r="N2575">
        <v>7665.51</v>
      </c>
    </row>
    <row r="2576" spans="1:14" x14ac:dyDescent="0.3">
      <c r="A2576" s="2">
        <v>45139</v>
      </c>
      <c r="B2576" t="s">
        <v>71</v>
      </c>
      <c r="C2576">
        <v>2023</v>
      </c>
      <c r="D2576">
        <v>8</v>
      </c>
      <c r="E2576" t="s">
        <v>16</v>
      </c>
      <c r="F2576" t="s">
        <v>31</v>
      </c>
      <c r="G2576">
        <v>2</v>
      </c>
      <c r="H2576" t="s">
        <v>20</v>
      </c>
      <c r="I2576">
        <v>132.33000000000001</v>
      </c>
      <c r="J2576">
        <v>181.75</v>
      </c>
      <c r="K2576">
        <v>409.73</v>
      </c>
      <c r="L2576">
        <v>1.35</v>
      </c>
      <c r="M2576">
        <v>723.81</v>
      </c>
      <c r="N2576">
        <v>725.16</v>
      </c>
    </row>
    <row r="2577" spans="1:14" x14ac:dyDescent="0.3">
      <c r="A2577" s="2">
        <v>45139</v>
      </c>
      <c r="B2577" t="s">
        <v>71</v>
      </c>
      <c r="C2577">
        <v>2023</v>
      </c>
      <c r="D2577">
        <v>8</v>
      </c>
      <c r="E2577" t="s">
        <v>16</v>
      </c>
      <c r="F2577" t="s">
        <v>32</v>
      </c>
      <c r="G2577">
        <v>1</v>
      </c>
      <c r="H2577" t="s">
        <v>18</v>
      </c>
      <c r="I2577">
        <v>146.52000000000001</v>
      </c>
      <c r="J2577">
        <v>220.48</v>
      </c>
      <c r="K2577">
        <v>146.06</v>
      </c>
      <c r="L2577">
        <v>10.029999999999999</v>
      </c>
      <c r="M2577">
        <v>513.05999999999995</v>
      </c>
      <c r="N2577">
        <v>523.09</v>
      </c>
    </row>
    <row r="2578" spans="1:14" x14ac:dyDescent="0.3">
      <c r="A2578" s="2">
        <v>45139</v>
      </c>
      <c r="B2578" t="s">
        <v>71</v>
      </c>
      <c r="C2578">
        <v>2023</v>
      </c>
      <c r="D2578">
        <v>8</v>
      </c>
      <c r="E2578" t="s">
        <v>16</v>
      </c>
      <c r="F2578" t="s">
        <v>33</v>
      </c>
      <c r="G2578">
        <v>20</v>
      </c>
      <c r="H2578" t="s">
        <v>20</v>
      </c>
      <c r="I2578">
        <v>523.4</v>
      </c>
      <c r="J2578">
        <v>801.7</v>
      </c>
      <c r="K2578">
        <v>829</v>
      </c>
      <c r="L2578">
        <v>566.73</v>
      </c>
      <c r="M2578">
        <v>2154.1</v>
      </c>
      <c r="N2578">
        <v>2720.83</v>
      </c>
    </row>
    <row r="2579" spans="1:14" x14ac:dyDescent="0.3">
      <c r="A2579" s="2">
        <v>45139</v>
      </c>
      <c r="B2579" t="s">
        <v>71</v>
      </c>
      <c r="C2579">
        <v>2023</v>
      </c>
      <c r="D2579">
        <v>8</v>
      </c>
      <c r="E2579" t="s">
        <v>16</v>
      </c>
      <c r="F2579" t="s">
        <v>34</v>
      </c>
      <c r="G2579">
        <v>29</v>
      </c>
      <c r="H2579" t="s">
        <v>20</v>
      </c>
      <c r="I2579">
        <v>2479.8000000000002</v>
      </c>
      <c r="J2579">
        <v>3028.57</v>
      </c>
      <c r="K2579">
        <v>4193.21</v>
      </c>
      <c r="L2579">
        <v>1414.19</v>
      </c>
      <c r="M2579">
        <v>9701.58</v>
      </c>
      <c r="N2579">
        <v>11115.77</v>
      </c>
    </row>
    <row r="2580" spans="1:14" x14ac:dyDescent="0.3">
      <c r="A2580" s="2">
        <v>45139</v>
      </c>
      <c r="B2580" t="s">
        <v>71</v>
      </c>
      <c r="C2580">
        <v>2023</v>
      </c>
      <c r="D2580">
        <v>8</v>
      </c>
      <c r="E2580" t="s">
        <v>16</v>
      </c>
      <c r="F2580" t="s">
        <v>35</v>
      </c>
      <c r="G2580">
        <v>32</v>
      </c>
      <c r="H2580" t="s">
        <v>20</v>
      </c>
      <c r="I2580">
        <v>825.5</v>
      </c>
      <c r="J2580">
        <v>1035.4000000000001</v>
      </c>
      <c r="K2580">
        <v>443</v>
      </c>
      <c r="L2580">
        <v>2.0699999999999998</v>
      </c>
      <c r="M2580">
        <v>2303.9</v>
      </c>
      <c r="N2580">
        <v>2305.9699999999998</v>
      </c>
    </row>
    <row r="2581" spans="1:14" x14ac:dyDescent="0.3">
      <c r="A2581" s="2">
        <v>45139</v>
      </c>
      <c r="B2581" t="s">
        <v>71</v>
      </c>
      <c r="C2581">
        <v>2023</v>
      </c>
      <c r="D2581">
        <v>8</v>
      </c>
      <c r="E2581" t="s">
        <v>16</v>
      </c>
      <c r="F2581" t="s">
        <v>67</v>
      </c>
      <c r="G2581">
        <v>37</v>
      </c>
      <c r="H2581" t="s">
        <v>18</v>
      </c>
      <c r="I2581">
        <v>9.6</v>
      </c>
      <c r="J2581">
        <v>14.35</v>
      </c>
      <c r="K2581">
        <v>2.67</v>
      </c>
      <c r="L2581">
        <v>0.05</v>
      </c>
      <c r="M2581">
        <v>26.62</v>
      </c>
      <c r="N2581">
        <v>26.67</v>
      </c>
    </row>
    <row r="2582" spans="1:14" x14ac:dyDescent="0.3">
      <c r="A2582" s="2">
        <v>45139</v>
      </c>
      <c r="B2582" t="s">
        <v>71</v>
      </c>
      <c r="C2582">
        <v>2023</v>
      </c>
      <c r="D2582">
        <v>8</v>
      </c>
      <c r="E2582" t="s">
        <v>16</v>
      </c>
      <c r="F2582" t="s">
        <v>36</v>
      </c>
      <c r="G2582">
        <v>31</v>
      </c>
      <c r="H2582" t="s">
        <v>18</v>
      </c>
      <c r="I2582">
        <v>0.5</v>
      </c>
      <c r="J2582">
        <v>0.45</v>
      </c>
      <c r="K2582">
        <v>2.4900000000000002</v>
      </c>
      <c r="L2582">
        <v>0</v>
      </c>
      <c r="M2582">
        <v>3.44</v>
      </c>
      <c r="N2582">
        <v>3.44</v>
      </c>
    </row>
    <row r="2583" spans="1:14" x14ac:dyDescent="0.3">
      <c r="A2583" s="2">
        <v>45139</v>
      </c>
      <c r="B2583" t="s">
        <v>71</v>
      </c>
      <c r="C2583">
        <v>2023</v>
      </c>
      <c r="D2583">
        <v>8</v>
      </c>
      <c r="E2583" t="s">
        <v>16</v>
      </c>
      <c r="F2583" t="s">
        <v>37</v>
      </c>
      <c r="G2583">
        <v>23</v>
      </c>
      <c r="H2583" t="s">
        <v>20</v>
      </c>
      <c r="I2583">
        <v>765.04</v>
      </c>
      <c r="J2583">
        <v>978.04</v>
      </c>
      <c r="K2583">
        <v>734.06</v>
      </c>
      <c r="L2583">
        <v>586.74</v>
      </c>
      <c r="M2583">
        <v>2477.14</v>
      </c>
      <c r="N2583">
        <v>3063.88</v>
      </c>
    </row>
    <row r="2584" spans="1:14" x14ac:dyDescent="0.3">
      <c r="A2584" s="2">
        <v>45139</v>
      </c>
      <c r="B2584" t="s">
        <v>71</v>
      </c>
      <c r="C2584">
        <v>2023</v>
      </c>
      <c r="D2584">
        <v>8</v>
      </c>
      <c r="E2584" t="s">
        <v>16</v>
      </c>
      <c r="F2584" t="s">
        <v>38</v>
      </c>
      <c r="G2584">
        <v>27</v>
      </c>
      <c r="H2584" t="s">
        <v>20</v>
      </c>
      <c r="I2584">
        <v>6236.95</v>
      </c>
      <c r="J2584">
        <v>7629.5</v>
      </c>
      <c r="K2584">
        <v>7580.58</v>
      </c>
      <c r="L2584">
        <v>1835.44</v>
      </c>
      <c r="M2584">
        <v>21447.03</v>
      </c>
      <c r="N2584">
        <v>23282.47</v>
      </c>
    </row>
    <row r="2585" spans="1:14" x14ac:dyDescent="0.3">
      <c r="A2585" s="2">
        <v>45139</v>
      </c>
      <c r="B2585" t="s">
        <v>71</v>
      </c>
      <c r="C2585">
        <v>2023</v>
      </c>
      <c r="D2585">
        <v>8</v>
      </c>
      <c r="E2585" t="s">
        <v>16</v>
      </c>
      <c r="F2585" t="s">
        <v>39</v>
      </c>
      <c r="G2585">
        <v>14</v>
      </c>
      <c r="H2585" t="s">
        <v>20</v>
      </c>
      <c r="I2585">
        <v>13.97</v>
      </c>
      <c r="J2585">
        <v>20.64</v>
      </c>
      <c r="K2585">
        <v>5.2</v>
      </c>
      <c r="L2585">
        <v>0.53</v>
      </c>
      <c r="M2585">
        <v>39.81</v>
      </c>
      <c r="N2585">
        <v>40.340000000000003</v>
      </c>
    </row>
    <row r="2586" spans="1:14" x14ac:dyDescent="0.3">
      <c r="A2586" s="2">
        <v>45139</v>
      </c>
      <c r="B2586" t="s">
        <v>71</v>
      </c>
      <c r="C2586">
        <v>2023</v>
      </c>
      <c r="D2586">
        <v>8</v>
      </c>
      <c r="E2586" t="s">
        <v>16</v>
      </c>
      <c r="F2586" t="s">
        <v>40</v>
      </c>
      <c r="G2586">
        <v>17</v>
      </c>
      <c r="H2586" t="s">
        <v>20</v>
      </c>
      <c r="I2586">
        <v>42.84</v>
      </c>
      <c r="J2586">
        <v>49.95</v>
      </c>
      <c r="K2586">
        <v>88.45</v>
      </c>
      <c r="L2586">
        <v>7.43</v>
      </c>
      <c r="M2586">
        <v>181.24</v>
      </c>
      <c r="N2586">
        <v>188.67</v>
      </c>
    </row>
    <row r="2587" spans="1:14" x14ac:dyDescent="0.3">
      <c r="A2587" s="2">
        <v>45139</v>
      </c>
      <c r="B2587" t="s">
        <v>71</v>
      </c>
      <c r="C2587">
        <v>2023</v>
      </c>
      <c r="D2587">
        <v>8</v>
      </c>
      <c r="E2587" t="s">
        <v>16</v>
      </c>
      <c r="F2587" t="s">
        <v>41</v>
      </c>
      <c r="G2587">
        <v>15</v>
      </c>
      <c r="H2587" t="s">
        <v>20</v>
      </c>
      <c r="I2587">
        <v>11.67</v>
      </c>
      <c r="J2587">
        <v>17.28</v>
      </c>
      <c r="K2587">
        <v>2.91</v>
      </c>
      <c r="L2587">
        <v>0.05</v>
      </c>
      <c r="M2587">
        <v>31.86</v>
      </c>
      <c r="N2587">
        <v>31.91</v>
      </c>
    </row>
    <row r="2588" spans="1:14" x14ac:dyDescent="0.3">
      <c r="A2588" s="2">
        <v>45139</v>
      </c>
      <c r="B2588" t="s">
        <v>71</v>
      </c>
      <c r="C2588">
        <v>2023</v>
      </c>
      <c r="D2588">
        <v>8</v>
      </c>
      <c r="E2588" t="s">
        <v>16</v>
      </c>
      <c r="F2588" t="s">
        <v>42</v>
      </c>
      <c r="G2588">
        <v>13</v>
      </c>
      <c r="H2588" t="s">
        <v>20</v>
      </c>
      <c r="I2588">
        <v>18.899999999999999</v>
      </c>
      <c r="J2588">
        <v>22.62</v>
      </c>
      <c r="K2588">
        <v>7.65</v>
      </c>
      <c r="L2588">
        <v>2.3199999999999998</v>
      </c>
      <c r="M2588">
        <v>49.17</v>
      </c>
      <c r="N2588">
        <v>51.49</v>
      </c>
    </row>
    <row r="2589" spans="1:14" x14ac:dyDescent="0.3">
      <c r="A2589" s="2">
        <v>45139</v>
      </c>
      <c r="B2589" t="s">
        <v>71</v>
      </c>
      <c r="C2589">
        <v>2023</v>
      </c>
      <c r="D2589">
        <v>8</v>
      </c>
      <c r="E2589" t="s">
        <v>16</v>
      </c>
      <c r="F2589" t="s">
        <v>43</v>
      </c>
      <c r="G2589">
        <v>21</v>
      </c>
      <c r="H2589" t="s">
        <v>20</v>
      </c>
      <c r="I2589">
        <v>1153.31</v>
      </c>
      <c r="J2589">
        <v>1332.99</v>
      </c>
      <c r="K2589">
        <v>1205.2</v>
      </c>
      <c r="L2589">
        <v>716.77</v>
      </c>
      <c r="M2589">
        <v>3691.5</v>
      </c>
      <c r="N2589">
        <v>4408.2700000000004</v>
      </c>
    </row>
    <row r="2590" spans="1:14" x14ac:dyDescent="0.3">
      <c r="A2590" s="2">
        <v>45139</v>
      </c>
      <c r="B2590" t="s">
        <v>71</v>
      </c>
      <c r="C2590">
        <v>2023</v>
      </c>
      <c r="D2590">
        <v>8</v>
      </c>
      <c r="E2590" t="s">
        <v>16</v>
      </c>
      <c r="F2590" t="s">
        <v>44</v>
      </c>
      <c r="G2590">
        <v>34</v>
      </c>
      <c r="H2590" t="s">
        <v>18</v>
      </c>
      <c r="I2590">
        <v>27.67</v>
      </c>
      <c r="J2590">
        <v>43.35</v>
      </c>
      <c r="K2590">
        <v>159.9</v>
      </c>
      <c r="L2590">
        <v>0.33</v>
      </c>
      <c r="M2590">
        <v>230.92</v>
      </c>
      <c r="N2590">
        <v>231.25</v>
      </c>
    </row>
    <row r="2591" spans="1:14" x14ac:dyDescent="0.3">
      <c r="A2591" s="2">
        <v>45139</v>
      </c>
      <c r="B2591" t="s">
        <v>71</v>
      </c>
      <c r="C2591">
        <v>2023</v>
      </c>
      <c r="D2591">
        <v>8</v>
      </c>
      <c r="E2591" t="s">
        <v>16</v>
      </c>
      <c r="F2591" t="s">
        <v>45</v>
      </c>
      <c r="G2591">
        <v>3</v>
      </c>
      <c r="H2591" t="s">
        <v>20</v>
      </c>
      <c r="I2591">
        <v>419.86</v>
      </c>
      <c r="J2591">
        <v>602.96</v>
      </c>
      <c r="K2591">
        <v>758.99</v>
      </c>
      <c r="L2591">
        <v>30.95</v>
      </c>
      <c r="M2591">
        <v>1781.81</v>
      </c>
      <c r="N2591">
        <v>1812.76</v>
      </c>
    </row>
    <row r="2592" spans="1:14" x14ac:dyDescent="0.3">
      <c r="A2592" s="2">
        <v>45139</v>
      </c>
      <c r="B2592" t="s">
        <v>71</v>
      </c>
      <c r="C2592">
        <v>2023</v>
      </c>
      <c r="D2592">
        <v>8</v>
      </c>
      <c r="E2592" t="s">
        <v>16</v>
      </c>
      <c r="F2592" t="s">
        <v>46</v>
      </c>
      <c r="G2592">
        <v>8</v>
      </c>
      <c r="H2592" t="s">
        <v>20</v>
      </c>
      <c r="I2592">
        <v>1011.96</v>
      </c>
      <c r="J2592">
        <v>1264.81</v>
      </c>
      <c r="K2592">
        <v>1250.22</v>
      </c>
      <c r="L2592">
        <v>99.33</v>
      </c>
      <c r="M2592">
        <v>3526.99</v>
      </c>
      <c r="N2592">
        <v>3626.32</v>
      </c>
    </row>
    <row r="2593" spans="1:14" x14ac:dyDescent="0.3">
      <c r="A2593" s="2">
        <v>45139</v>
      </c>
      <c r="B2593" t="s">
        <v>71</v>
      </c>
      <c r="C2593">
        <v>2023</v>
      </c>
      <c r="D2593">
        <v>8</v>
      </c>
      <c r="E2593" t="s">
        <v>16</v>
      </c>
      <c r="F2593" t="s">
        <v>47</v>
      </c>
      <c r="G2593">
        <v>11</v>
      </c>
      <c r="H2593" t="s">
        <v>20</v>
      </c>
      <c r="I2593">
        <v>25.52</v>
      </c>
      <c r="J2593">
        <v>41.79</v>
      </c>
      <c r="K2593">
        <v>252.16</v>
      </c>
      <c r="L2593">
        <v>0.02</v>
      </c>
      <c r="M2593">
        <v>319.47000000000003</v>
      </c>
      <c r="N2593">
        <v>319.49</v>
      </c>
    </row>
    <row r="2594" spans="1:14" x14ac:dyDescent="0.3">
      <c r="A2594" s="2">
        <v>45139</v>
      </c>
      <c r="B2594" t="s">
        <v>71</v>
      </c>
      <c r="C2594">
        <v>2023</v>
      </c>
      <c r="D2594">
        <v>8</v>
      </c>
      <c r="E2594" t="s">
        <v>16</v>
      </c>
      <c r="F2594" t="s">
        <v>48</v>
      </c>
      <c r="G2594">
        <v>33</v>
      </c>
      <c r="H2594" t="s">
        <v>20</v>
      </c>
      <c r="I2594">
        <v>2564.81</v>
      </c>
      <c r="J2594">
        <v>3300.84</v>
      </c>
      <c r="K2594">
        <v>2887.98</v>
      </c>
      <c r="L2594">
        <v>721.1</v>
      </c>
      <c r="M2594">
        <v>8753.6299999999992</v>
      </c>
      <c r="N2594">
        <v>9474.73</v>
      </c>
    </row>
    <row r="2595" spans="1:14" x14ac:dyDescent="0.3">
      <c r="A2595" s="2">
        <v>45139</v>
      </c>
      <c r="B2595" t="s">
        <v>71</v>
      </c>
      <c r="C2595">
        <v>2023</v>
      </c>
      <c r="D2595">
        <v>8</v>
      </c>
      <c r="E2595" t="s">
        <v>16</v>
      </c>
      <c r="F2595" t="s">
        <v>49</v>
      </c>
      <c r="G2595">
        <v>36</v>
      </c>
      <c r="H2595" t="s">
        <v>20</v>
      </c>
      <c r="I2595">
        <v>1108.72</v>
      </c>
      <c r="J2595">
        <v>1439.46</v>
      </c>
      <c r="K2595">
        <v>1369</v>
      </c>
      <c r="L2595">
        <v>475.56</v>
      </c>
      <c r="M2595">
        <v>3917.18</v>
      </c>
      <c r="N2595">
        <v>4392.74</v>
      </c>
    </row>
    <row r="2596" spans="1:14" x14ac:dyDescent="0.3">
      <c r="A2596" s="2">
        <v>45139</v>
      </c>
      <c r="B2596" t="s">
        <v>71</v>
      </c>
      <c r="C2596">
        <v>2023</v>
      </c>
      <c r="D2596">
        <v>8</v>
      </c>
      <c r="E2596" t="s">
        <v>16</v>
      </c>
      <c r="F2596" t="s">
        <v>50</v>
      </c>
      <c r="G2596">
        <v>16</v>
      </c>
      <c r="H2596" t="s">
        <v>20</v>
      </c>
      <c r="I2596">
        <v>26.99</v>
      </c>
      <c r="J2596">
        <v>35.840000000000003</v>
      </c>
      <c r="K2596">
        <v>15.37</v>
      </c>
      <c r="L2596">
        <v>0.04</v>
      </c>
      <c r="M2596">
        <v>78.2</v>
      </c>
      <c r="N2596">
        <v>78.239999999999995</v>
      </c>
    </row>
    <row r="2597" spans="1:14" x14ac:dyDescent="0.3">
      <c r="A2597" s="2">
        <v>45139</v>
      </c>
      <c r="B2597" t="s">
        <v>71</v>
      </c>
      <c r="C2597">
        <v>2023</v>
      </c>
      <c r="D2597">
        <v>8</v>
      </c>
      <c r="E2597" t="s">
        <v>16</v>
      </c>
      <c r="F2597" t="s">
        <v>51</v>
      </c>
      <c r="G2597">
        <v>9</v>
      </c>
      <c r="H2597" t="s">
        <v>20</v>
      </c>
      <c r="I2597">
        <v>1765.56</v>
      </c>
      <c r="J2597">
        <v>2378.42</v>
      </c>
      <c r="K2597">
        <v>2059.48</v>
      </c>
      <c r="L2597">
        <v>1265.01</v>
      </c>
      <c r="M2597">
        <v>6203.46</v>
      </c>
      <c r="N2597">
        <v>7468.47</v>
      </c>
    </row>
    <row r="2598" spans="1:14" x14ac:dyDescent="0.3">
      <c r="A2598" s="2">
        <v>45139</v>
      </c>
      <c r="B2598" t="s">
        <v>71</v>
      </c>
      <c r="C2598">
        <v>2023</v>
      </c>
      <c r="D2598">
        <v>8</v>
      </c>
      <c r="E2598" t="s">
        <v>16</v>
      </c>
      <c r="F2598" t="s">
        <v>52</v>
      </c>
      <c r="G2598">
        <v>5</v>
      </c>
      <c r="H2598" t="s">
        <v>20</v>
      </c>
      <c r="I2598">
        <v>309.16000000000003</v>
      </c>
      <c r="J2598">
        <v>382.06</v>
      </c>
      <c r="K2598">
        <v>653.02</v>
      </c>
      <c r="L2598">
        <v>8.68</v>
      </c>
      <c r="M2598">
        <v>1344.24</v>
      </c>
      <c r="N2598">
        <v>1352.92</v>
      </c>
    </row>
    <row r="2599" spans="1:14" x14ac:dyDescent="0.3">
      <c r="A2599" s="2">
        <v>45139</v>
      </c>
      <c r="B2599" t="s">
        <v>71</v>
      </c>
      <c r="C2599">
        <v>2023</v>
      </c>
      <c r="D2599">
        <v>8</v>
      </c>
      <c r="E2599" t="s">
        <v>16</v>
      </c>
      <c r="F2599" t="s">
        <v>53</v>
      </c>
      <c r="G2599">
        <v>19</v>
      </c>
      <c r="H2599" t="s">
        <v>20</v>
      </c>
      <c r="I2599">
        <v>1468.83</v>
      </c>
      <c r="J2599">
        <v>1797.06</v>
      </c>
      <c r="K2599">
        <v>1166.79</v>
      </c>
      <c r="L2599">
        <v>367.33</v>
      </c>
      <c r="M2599">
        <v>4432.68</v>
      </c>
      <c r="N2599">
        <v>4800.01</v>
      </c>
    </row>
    <row r="2600" spans="1:14" x14ac:dyDescent="0.3">
      <c r="A2600" s="2">
        <v>45170</v>
      </c>
      <c r="B2600" t="s">
        <v>71</v>
      </c>
      <c r="C2600">
        <v>2023</v>
      </c>
      <c r="D2600">
        <v>9</v>
      </c>
      <c r="E2600" t="s">
        <v>54</v>
      </c>
      <c r="F2600" t="s">
        <v>17</v>
      </c>
      <c r="G2600">
        <v>35</v>
      </c>
      <c r="H2600" t="s">
        <v>18</v>
      </c>
      <c r="I2600">
        <v>7.6</v>
      </c>
      <c r="J2600">
        <v>12.02</v>
      </c>
      <c r="K2600">
        <v>3.52</v>
      </c>
      <c r="L2600">
        <v>0.2</v>
      </c>
      <c r="M2600">
        <v>23.14</v>
      </c>
      <c r="N2600">
        <v>23.34</v>
      </c>
    </row>
    <row r="2601" spans="1:14" x14ac:dyDescent="0.3">
      <c r="A2601" s="2">
        <v>45170</v>
      </c>
      <c r="B2601" t="s">
        <v>71</v>
      </c>
      <c r="C2601">
        <v>2023</v>
      </c>
      <c r="D2601">
        <v>9</v>
      </c>
      <c r="E2601" t="s">
        <v>54</v>
      </c>
      <c r="F2601" t="s">
        <v>19</v>
      </c>
      <c r="G2601">
        <v>28</v>
      </c>
      <c r="H2601" t="s">
        <v>20</v>
      </c>
      <c r="I2601">
        <v>864.83</v>
      </c>
      <c r="J2601">
        <v>1123.06</v>
      </c>
      <c r="K2601">
        <v>1357.77</v>
      </c>
      <c r="L2601">
        <v>312.19</v>
      </c>
      <c r="M2601">
        <v>3345.66</v>
      </c>
      <c r="N2601">
        <v>3657.85</v>
      </c>
    </row>
    <row r="2602" spans="1:14" x14ac:dyDescent="0.3">
      <c r="A2602" s="2">
        <v>45170</v>
      </c>
      <c r="B2602" t="s">
        <v>71</v>
      </c>
      <c r="C2602">
        <v>2023</v>
      </c>
      <c r="D2602">
        <v>9</v>
      </c>
      <c r="E2602" t="s">
        <v>54</v>
      </c>
      <c r="F2602" t="s">
        <v>21</v>
      </c>
      <c r="G2602">
        <v>12</v>
      </c>
      <c r="H2602" t="s">
        <v>20</v>
      </c>
      <c r="I2602">
        <v>30.56</v>
      </c>
      <c r="J2602">
        <v>37.01</v>
      </c>
      <c r="K2602">
        <v>13.56</v>
      </c>
      <c r="L2602">
        <v>0.04</v>
      </c>
      <c r="M2602">
        <v>81.13</v>
      </c>
      <c r="N2602">
        <v>81.17</v>
      </c>
    </row>
    <row r="2603" spans="1:14" x14ac:dyDescent="0.3">
      <c r="A2603" s="2">
        <v>45170</v>
      </c>
      <c r="B2603" t="s">
        <v>71</v>
      </c>
      <c r="C2603">
        <v>2023</v>
      </c>
      <c r="D2603">
        <v>9</v>
      </c>
      <c r="E2603" t="s">
        <v>54</v>
      </c>
      <c r="F2603" t="s">
        <v>22</v>
      </c>
      <c r="G2603">
        <v>18</v>
      </c>
      <c r="H2603" t="s">
        <v>20</v>
      </c>
      <c r="I2603">
        <v>361.25</v>
      </c>
      <c r="J2603">
        <v>448.69</v>
      </c>
      <c r="K2603">
        <v>311.43</v>
      </c>
      <c r="L2603">
        <v>53.42</v>
      </c>
      <c r="M2603">
        <v>1121.3699999999999</v>
      </c>
      <c r="N2603">
        <v>1174.79</v>
      </c>
    </row>
    <row r="2604" spans="1:14" x14ac:dyDescent="0.3">
      <c r="A2604" s="2">
        <v>45170</v>
      </c>
      <c r="B2604" t="s">
        <v>71</v>
      </c>
      <c r="C2604">
        <v>2023</v>
      </c>
      <c r="D2604">
        <v>9</v>
      </c>
      <c r="E2604" t="s">
        <v>54</v>
      </c>
      <c r="F2604" t="s">
        <v>23</v>
      </c>
      <c r="G2604">
        <v>10</v>
      </c>
      <c r="H2604" t="s">
        <v>20</v>
      </c>
      <c r="I2604">
        <v>383.83</v>
      </c>
      <c r="J2604">
        <v>647.26</v>
      </c>
      <c r="K2604">
        <v>175.88</v>
      </c>
      <c r="L2604">
        <v>189.69</v>
      </c>
      <c r="M2604">
        <v>1206.97</v>
      </c>
      <c r="N2604">
        <v>1396.66</v>
      </c>
    </row>
    <row r="2605" spans="1:14" x14ac:dyDescent="0.3">
      <c r="A2605" s="2">
        <v>45170</v>
      </c>
      <c r="B2605" t="s">
        <v>71</v>
      </c>
      <c r="C2605">
        <v>2023</v>
      </c>
      <c r="D2605">
        <v>9</v>
      </c>
      <c r="E2605" t="s">
        <v>54</v>
      </c>
      <c r="F2605" t="s">
        <v>24</v>
      </c>
      <c r="G2605">
        <v>4</v>
      </c>
      <c r="H2605" t="s">
        <v>18</v>
      </c>
      <c r="I2605">
        <v>41.25</v>
      </c>
      <c r="J2605">
        <v>51.74</v>
      </c>
      <c r="K2605">
        <v>124.82</v>
      </c>
      <c r="L2605">
        <v>1.25</v>
      </c>
      <c r="M2605">
        <v>217.81</v>
      </c>
      <c r="N2605">
        <v>219.06</v>
      </c>
    </row>
    <row r="2606" spans="1:14" x14ac:dyDescent="0.3">
      <c r="A2606" s="2">
        <v>45170</v>
      </c>
      <c r="B2606" t="s">
        <v>71</v>
      </c>
      <c r="C2606">
        <v>2023</v>
      </c>
      <c r="D2606">
        <v>9</v>
      </c>
      <c r="E2606" t="s">
        <v>54</v>
      </c>
      <c r="F2606" t="s">
        <v>25</v>
      </c>
      <c r="G2606">
        <v>22</v>
      </c>
      <c r="H2606" t="s">
        <v>20</v>
      </c>
      <c r="I2606">
        <v>540.97</v>
      </c>
      <c r="J2606">
        <v>630.91</v>
      </c>
      <c r="K2606">
        <v>916.16</v>
      </c>
      <c r="L2606">
        <v>595.63</v>
      </c>
      <c r="M2606">
        <v>2088.04</v>
      </c>
      <c r="N2606">
        <v>2683.67</v>
      </c>
    </row>
    <row r="2607" spans="1:14" x14ac:dyDescent="0.3">
      <c r="A2607" s="2">
        <v>45170</v>
      </c>
      <c r="B2607" t="s">
        <v>71</v>
      </c>
      <c r="C2607">
        <v>2023</v>
      </c>
      <c r="D2607">
        <v>9</v>
      </c>
      <c r="E2607" t="s">
        <v>54</v>
      </c>
      <c r="F2607" t="s">
        <v>26</v>
      </c>
      <c r="G2607">
        <v>38</v>
      </c>
      <c r="H2607" t="s">
        <v>18</v>
      </c>
      <c r="I2607">
        <v>37.340000000000003</v>
      </c>
      <c r="J2607">
        <v>46.81</v>
      </c>
      <c r="K2607">
        <v>265.35000000000002</v>
      </c>
      <c r="L2607">
        <v>0.64</v>
      </c>
      <c r="M2607">
        <v>349.5</v>
      </c>
      <c r="N2607">
        <v>350.14</v>
      </c>
    </row>
    <row r="2608" spans="1:14" x14ac:dyDescent="0.3">
      <c r="A2608" s="2">
        <v>45170</v>
      </c>
      <c r="B2608" t="s">
        <v>71</v>
      </c>
      <c r="C2608">
        <v>2023</v>
      </c>
      <c r="D2608">
        <v>9</v>
      </c>
      <c r="E2608" t="s">
        <v>54</v>
      </c>
      <c r="F2608" t="s">
        <v>27</v>
      </c>
      <c r="G2608">
        <v>7</v>
      </c>
      <c r="H2608" t="s">
        <v>18</v>
      </c>
      <c r="I2608">
        <v>1040.6099999999999</v>
      </c>
      <c r="J2608">
        <v>1209.07</v>
      </c>
      <c r="K2608">
        <v>2490.1999999999998</v>
      </c>
      <c r="L2608">
        <v>108.67</v>
      </c>
      <c r="M2608">
        <v>4739.88</v>
      </c>
      <c r="N2608">
        <v>4848.55</v>
      </c>
    </row>
    <row r="2609" spans="1:14" x14ac:dyDescent="0.3">
      <c r="A2609" s="2">
        <v>45170</v>
      </c>
      <c r="B2609" t="s">
        <v>71</v>
      </c>
      <c r="C2609">
        <v>2023</v>
      </c>
      <c r="D2609">
        <v>9</v>
      </c>
      <c r="E2609" t="s">
        <v>54</v>
      </c>
      <c r="F2609" t="s">
        <v>28</v>
      </c>
      <c r="G2609">
        <v>30</v>
      </c>
      <c r="H2609" t="s">
        <v>20</v>
      </c>
      <c r="I2609">
        <v>127.65</v>
      </c>
      <c r="J2609">
        <v>164.59</v>
      </c>
      <c r="K2609">
        <v>201.73</v>
      </c>
      <c r="L2609">
        <v>2.97</v>
      </c>
      <c r="M2609">
        <v>493.97</v>
      </c>
      <c r="N2609">
        <v>496.94</v>
      </c>
    </row>
    <row r="2610" spans="1:14" x14ac:dyDescent="0.3">
      <c r="A2610" s="2">
        <v>45170</v>
      </c>
      <c r="B2610" t="s">
        <v>71</v>
      </c>
      <c r="C2610">
        <v>2023</v>
      </c>
      <c r="D2610">
        <v>9</v>
      </c>
      <c r="E2610" t="s">
        <v>54</v>
      </c>
      <c r="F2610" t="s">
        <v>29</v>
      </c>
      <c r="G2610">
        <v>24</v>
      </c>
      <c r="H2610" t="s">
        <v>20</v>
      </c>
      <c r="I2610">
        <v>2735.32</v>
      </c>
      <c r="J2610">
        <v>3399.91</v>
      </c>
      <c r="K2610">
        <v>3296.54</v>
      </c>
      <c r="L2610">
        <v>697.27</v>
      </c>
      <c r="M2610">
        <v>9431.77</v>
      </c>
      <c r="N2610">
        <v>10129.040000000001</v>
      </c>
    </row>
    <row r="2611" spans="1:14" x14ac:dyDescent="0.3">
      <c r="A2611" s="2">
        <v>45170</v>
      </c>
      <c r="B2611" t="s">
        <v>71</v>
      </c>
      <c r="C2611">
        <v>2023</v>
      </c>
      <c r="D2611">
        <v>9</v>
      </c>
      <c r="E2611" t="s">
        <v>54</v>
      </c>
      <c r="F2611" t="s">
        <v>30</v>
      </c>
      <c r="G2611">
        <v>6</v>
      </c>
      <c r="H2611" t="s">
        <v>20</v>
      </c>
      <c r="I2611">
        <v>1187.6300000000001</v>
      </c>
      <c r="J2611">
        <v>1559.34</v>
      </c>
      <c r="K2611">
        <v>4645.4799999999996</v>
      </c>
      <c r="L2611">
        <v>616.53</v>
      </c>
      <c r="M2611">
        <v>7392.45</v>
      </c>
      <c r="N2611">
        <v>8008.98</v>
      </c>
    </row>
    <row r="2612" spans="1:14" x14ac:dyDescent="0.3">
      <c r="A2612" s="2">
        <v>45170</v>
      </c>
      <c r="B2612" t="s">
        <v>71</v>
      </c>
      <c r="C2612">
        <v>2023</v>
      </c>
      <c r="D2612">
        <v>9</v>
      </c>
      <c r="E2612" t="s">
        <v>54</v>
      </c>
      <c r="F2612" t="s">
        <v>31</v>
      </c>
      <c r="G2612">
        <v>2</v>
      </c>
      <c r="H2612" t="s">
        <v>20</v>
      </c>
      <c r="I2612">
        <v>136.28</v>
      </c>
      <c r="J2612">
        <v>183.62</v>
      </c>
      <c r="K2612">
        <v>461.66</v>
      </c>
      <c r="L2612">
        <v>2.0099999999999998</v>
      </c>
      <c r="M2612">
        <v>781.56</v>
      </c>
      <c r="N2612">
        <v>783.57</v>
      </c>
    </row>
    <row r="2613" spans="1:14" x14ac:dyDescent="0.3">
      <c r="A2613" s="2">
        <v>45170</v>
      </c>
      <c r="B2613" t="s">
        <v>71</v>
      </c>
      <c r="C2613">
        <v>2023</v>
      </c>
      <c r="D2613">
        <v>9</v>
      </c>
      <c r="E2613" t="s">
        <v>54</v>
      </c>
      <c r="F2613" t="s">
        <v>32</v>
      </c>
      <c r="G2613">
        <v>1</v>
      </c>
      <c r="H2613" t="s">
        <v>18</v>
      </c>
      <c r="I2613">
        <v>162.28</v>
      </c>
      <c r="J2613">
        <v>231.32</v>
      </c>
      <c r="K2613">
        <v>161.05000000000001</v>
      </c>
      <c r="L2613">
        <v>8.73</v>
      </c>
      <c r="M2613">
        <v>554.65</v>
      </c>
      <c r="N2613">
        <v>563.38</v>
      </c>
    </row>
    <row r="2614" spans="1:14" x14ac:dyDescent="0.3">
      <c r="A2614" s="2">
        <v>45170</v>
      </c>
      <c r="B2614" t="s">
        <v>71</v>
      </c>
      <c r="C2614">
        <v>2023</v>
      </c>
      <c r="D2614">
        <v>9</v>
      </c>
      <c r="E2614" t="s">
        <v>54</v>
      </c>
      <c r="F2614" t="s">
        <v>33</v>
      </c>
      <c r="G2614">
        <v>20</v>
      </c>
      <c r="H2614" t="s">
        <v>20</v>
      </c>
      <c r="I2614">
        <v>452.34</v>
      </c>
      <c r="J2614">
        <v>637.25</v>
      </c>
      <c r="K2614">
        <v>985.7</v>
      </c>
      <c r="L2614">
        <v>548.15</v>
      </c>
      <c r="M2614">
        <v>2075.29</v>
      </c>
      <c r="N2614">
        <v>2623.44</v>
      </c>
    </row>
    <row r="2615" spans="1:14" x14ac:dyDescent="0.3">
      <c r="A2615" s="2">
        <v>45170</v>
      </c>
      <c r="B2615" t="s">
        <v>71</v>
      </c>
      <c r="C2615">
        <v>2023</v>
      </c>
      <c r="D2615">
        <v>9</v>
      </c>
      <c r="E2615" t="s">
        <v>54</v>
      </c>
      <c r="F2615" t="s">
        <v>34</v>
      </c>
      <c r="G2615">
        <v>29</v>
      </c>
      <c r="H2615" t="s">
        <v>20</v>
      </c>
      <c r="I2615">
        <v>2613.67</v>
      </c>
      <c r="J2615">
        <v>3468.48</v>
      </c>
      <c r="K2615">
        <v>4322.8999999999996</v>
      </c>
      <c r="L2615">
        <v>1288.02</v>
      </c>
      <c r="M2615">
        <v>10405.049999999999</v>
      </c>
      <c r="N2615">
        <v>11693.07</v>
      </c>
    </row>
    <row r="2616" spans="1:14" x14ac:dyDescent="0.3">
      <c r="A2616" s="2">
        <v>45170</v>
      </c>
      <c r="B2616" t="s">
        <v>71</v>
      </c>
      <c r="C2616">
        <v>2023</v>
      </c>
      <c r="D2616">
        <v>9</v>
      </c>
      <c r="E2616" t="s">
        <v>54</v>
      </c>
      <c r="F2616" t="s">
        <v>35</v>
      </c>
      <c r="G2616">
        <v>32</v>
      </c>
      <c r="H2616" t="s">
        <v>20</v>
      </c>
      <c r="I2616">
        <v>873.38</v>
      </c>
      <c r="J2616">
        <v>1167.48</v>
      </c>
      <c r="K2616">
        <v>460.94</v>
      </c>
      <c r="L2616">
        <v>3.21</v>
      </c>
      <c r="M2616">
        <v>2501.8000000000002</v>
      </c>
      <c r="N2616">
        <v>2505.0100000000002</v>
      </c>
    </row>
    <row r="2617" spans="1:14" x14ac:dyDescent="0.3">
      <c r="A2617" s="2">
        <v>45170</v>
      </c>
      <c r="B2617" t="s">
        <v>71</v>
      </c>
      <c r="C2617">
        <v>2023</v>
      </c>
      <c r="D2617">
        <v>9</v>
      </c>
      <c r="E2617" t="s">
        <v>54</v>
      </c>
      <c r="F2617" t="s">
        <v>67</v>
      </c>
      <c r="G2617">
        <v>37</v>
      </c>
      <c r="H2617" t="s">
        <v>18</v>
      </c>
      <c r="I2617">
        <v>13.1</v>
      </c>
      <c r="J2617">
        <v>18.39</v>
      </c>
      <c r="K2617">
        <v>3.38</v>
      </c>
      <c r="L2617">
        <v>0.11</v>
      </c>
      <c r="M2617">
        <v>34.869999999999997</v>
      </c>
      <c r="N2617">
        <v>34.979999999999997</v>
      </c>
    </row>
    <row r="2618" spans="1:14" x14ac:dyDescent="0.3">
      <c r="A2618" s="2">
        <v>45170</v>
      </c>
      <c r="B2618" t="s">
        <v>71</v>
      </c>
      <c r="C2618">
        <v>2023</v>
      </c>
      <c r="D2618">
        <v>9</v>
      </c>
      <c r="E2618" t="s">
        <v>54</v>
      </c>
      <c r="F2618" t="s">
        <v>36</v>
      </c>
      <c r="G2618">
        <v>31</v>
      </c>
      <c r="H2618" t="s">
        <v>18</v>
      </c>
      <c r="I2618">
        <v>0.65</v>
      </c>
      <c r="J2618">
        <v>0.78</v>
      </c>
      <c r="K2618">
        <v>0.17</v>
      </c>
      <c r="L2618">
        <v>0</v>
      </c>
      <c r="M2618">
        <v>1.6</v>
      </c>
      <c r="N2618">
        <v>1.6</v>
      </c>
    </row>
    <row r="2619" spans="1:14" x14ac:dyDescent="0.3">
      <c r="A2619" s="2">
        <v>45170</v>
      </c>
      <c r="B2619" t="s">
        <v>71</v>
      </c>
      <c r="C2619">
        <v>2023</v>
      </c>
      <c r="D2619">
        <v>9</v>
      </c>
      <c r="E2619" t="s">
        <v>54</v>
      </c>
      <c r="F2619" t="s">
        <v>37</v>
      </c>
      <c r="G2619">
        <v>23</v>
      </c>
      <c r="H2619" t="s">
        <v>20</v>
      </c>
      <c r="I2619">
        <v>788.13</v>
      </c>
      <c r="J2619">
        <v>989.23</v>
      </c>
      <c r="K2619">
        <v>722.77</v>
      </c>
      <c r="L2619">
        <v>617.54</v>
      </c>
      <c r="M2619">
        <v>2500.13</v>
      </c>
      <c r="N2619">
        <v>3117.67</v>
      </c>
    </row>
    <row r="2620" spans="1:14" x14ac:dyDescent="0.3">
      <c r="A2620" s="2">
        <v>45170</v>
      </c>
      <c r="B2620" t="s">
        <v>71</v>
      </c>
      <c r="C2620">
        <v>2023</v>
      </c>
      <c r="D2620">
        <v>9</v>
      </c>
      <c r="E2620" t="s">
        <v>54</v>
      </c>
      <c r="F2620" t="s">
        <v>38</v>
      </c>
      <c r="G2620">
        <v>27</v>
      </c>
      <c r="H2620" t="s">
        <v>20</v>
      </c>
      <c r="I2620">
        <v>6841.3</v>
      </c>
      <c r="J2620">
        <v>8008.83</v>
      </c>
      <c r="K2620">
        <v>8479.33</v>
      </c>
      <c r="L2620">
        <v>1807.11</v>
      </c>
      <c r="M2620">
        <v>23329.46</v>
      </c>
      <c r="N2620">
        <v>25136.57</v>
      </c>
    </row>
    <row r="2621" spans="1:14" x14ac:dyDescent="0.3">
      <c r="A2621" s="2">
        <v>45170</v>
      </c>
      <c r="B2621" t="s">
        <v>71</v>
      </c>
      <c r="C2621">
        <v>2023</v>
      </c>
      <c r="D2621">
        <v>9</v>
      </c>
      <c r="E2621" t="s">
        <v>54</v>
      </c>
      <c r="F2621" t="s">
        <v>39</v>
      </c>
      <c r="G2621">
        <v>14</v>
      </c>
      <c r="H2621" t="s">
        <v>20</v>
      </c>
      <c r="I2621">
        <v>23.47</v>
      </c>
      <c r="J2621">
        <v>29.23</v>
      </c>
      <c r="K2621">
        <v>3.57</v>
      </c>
      <c r="L2621">
        <v>0.13</v>
      </c>
      <c r="M2621">
        <v>56.27</v>
      </c>
      <c r="N2621">
        <v>56.4</v>
      </c>
    </row>
    <row r="2622" spans="1:14" x14ac:dyDescent="0.3">
      <c r="A2622" s="2">
        <v>45170</v>
      </c>
      <c r="B2622" t="s">
        <v>71</v>
      </c>
      <c r="C2622">
        <v>2023</v>
      </c>
      <c r="D2622">
        <v>9</v>
      </c>
      <c r="E2622" t="s">
        <v>54</v>
      </c>
      <c r="F2622" t="s">
        <v>40</v>
      </c>
      <c r="G2622">
        <v>17</v>
      </c>
      <c r="H2622" t="s">
        <v>20</v>
      </c>
      <c r="I2622">
        <v>34.909999999999997</v>
      </c>
      <c r="J2622">
        <v>41.48</v>
      </c>
      <c r="K2622">
        <v>85.48</v>
      </c>
      <c r="L2622">
        <v>2.9</v>
      </c>
      <c r="M2622">
        <v>161.87</v>
      </c>
      <c r="N2622">
        <v>164.77</v>
      </c>
    </row>
    <row r="2623" spans="1:14" x14ac:dyDescent="0.3">
      <c r="A2623" s="2">
        <v>45170</v>
      </c>
      <c r="B2623" t="s">
        <v>71</v>
      </c>
      <c r="C2623">
        <v>2023</v>
      </c>
      <c r="D2623">
        <v>9</v>
      </c>
      <c r="E2623" t="s">
        <v>54</v>
      </c>
      <c r="F2623" t="s">
        <v>41</v>
      </c>
      <c r="G2623">
        <v>15</v>
      </c>
      <c r="H2623" t="s">
        <v>20</v>
      </c>
      <c r="I2623">
        <v>9.89</v>
      </c>
      <c r="J2623">
        <v>14.78</v>
      </c>
      <c r="K2623">
        <v>2.69</v>
      </c>
      <c r="L2623">
        <v>0.03</v>
      </c>
      <c r="M2623">
        <v>27.36</v>
      </c>
      <c r="N2623">
        <v>27.39</v>
      </c>
    </row>
    <row r="2624" spans="1:14" x14ac:dyDescent="0.3">
      <c r="A2624" s="2">
        <v>45170</v>
      </c>
      <c r="B2624" t="s">
        <v>71</v>
      </c>
      <c r="C2624">
        <v>2023</v>
      </c>
      <c r="D2624">
        <v>9</v>
      </c>
      <c r="E2624" t="s">
        <v>54</v>
      </c>
      <c r="F2624" t="s">
        <v>42</v>
      </c>
      <c r="G2624">
        <v>13</v>
      </c>
      <c r="H2624" t="s">
        <v>20</v>
      </c>
      <c r="I2624">
        <v>15.06</v>
      </c>
      <c r="J2624">
        <v>23.26</v>
      </c>
      <c r="K2624">
        <v>9.51</v>
      </c>
      <c r="L2624">
        <v>3.75</v>
      </c>
      <c r="M2624">
        <v>47.83</v>
      </c>
      <c r="N2624">
        <v>51.58</v>
      </c>
    </row>
    <row r="2625" spans="1:14" x14ac:dyDescent="0.3">
      <c r="A2625" s="2">
        <v>45170</v>
      </c>
      <c r="B2625" t="s">
        <v>71</v>
      </c>
      <c r="C2625">
        <v>2023</v>
      </c>
      <c r="D2625">
        <v>9</v>
      </c>
      <c r="E2625" t="s">
        <v>54</v>
      </c>
      <c r="F2625" t="s">
        <v>43</v>
      </c>
      <c r="G2625">
        <v>21</v>
      </c>
      <c r="H2625" t="s">
        <v>20</v>
      </c>
      <c r="I2625">
        <v>1010.47</v>
      </c>
      <c r="J2625">
        <v>1197.3699999999999</v>
      </c>
      <c r="K2625">
        <v>1301.31</v>
      </c>
      <c r="L2625">
        <v>739.97</v>
      </c>
      <c r="M2625">
        <v>3509.15</v>
      </c>
      <c r="N2625">
        <v>4249.12</v>
      </c>
    </row>
    <row r="2626" spans="1:14" x14ac:dyDescent="0.3">
      <c r="A2626" s="2">
        <v>45170</v>
      </c>
      <c r="B2626" t="s">
        <v>71</v>
      </c>
      <c r="C2626">
        <v>2023</v>
      </c>
      <c r="D2626">
        <v>9</v>
      </c>
      <c r="E2626" t="s">
        <v>54</v>
      </c>
      <c r="F2626" t="s">
        <v>44</v>
      </c>
      <c r="G2626">
        <v>34</v>
      </c>
      <c r="H2626" t="s">
        <v>18</v>
      </c>
      <c r="I2626">
        <v>26.26</v>
      </c>
      <c r="J2626">
        <v>41.32</v>
      </c>
      <c r="K2626">
        <v>127.97</v>
      </c>
      <c r="L2626">
        <v>1.87</v>
      </c>
      <c r="M2626">
        <v>195.55</v>
      </c>
      <c r="N2626">
        <v>197.42</v>
      </c>
    </row>
    <row r="2627" spans="1:14" x14ac:dyDescent="0.3">
      <c r="A2627" s="2">
        <v>45170</v>
      </c>
      <c r="B2627" t="s">
        <v>71</v>
      </c>
      <c r="C2627">
        <v>2023</v>
      </c>
      <c r="D2627">
        <v>9</v>
      </c>
      <c r="E2627" t="s">
        <v>54</v>
      </c>
      <c r="F2627" t="s">
        <v>45</v>
      </c>
      <c r="G2627">
        <v>3</v>
      </c>
      <c r="H2627" t="s">
        <v>20</v>
      </c>
      <c r="I2627">
        <v>444.81</v>
      </c>
      <c r="J2627">
        <v>661.17</v>
      </c>
      <c r="K2627">
        <v>725.66</v>
      </c>
      <c r="L2627">
        <v>33.92</v>
      </c>
      <c r="M2627">
        <v>1831.64</v>
      </c>
      <c r="N2627">
        <v>1865.56</v>
      </c>
    </row>
    <row r="2628" spans="1:14" x14ac:dyDescent="0.3">
      <c r="A2628" s="2">
        <v>45170</v>
      </c>
      <c r="B2628" t="s">
        <v>71</v>
      </c>
      <c r="C2628">
        <v>2023</v>
      </c>
      <c r="D2628">
        <v>9</v>
      </c>
      <c r="E2628" t="s">
        <v>54</v>
      </c>
      <c r="F2628" t="s">
        <v>46</v>
      </c>
      <c r="G2628">
        <v>8</v>
      </c>
      <c r="H2628" t="s">
        <v>20</v>
      </c>
      <c r="I2628">
        <v>1046.2</v>
      </c>
      <c r="J2628">
        <v>1321.4</v>
      </c>
      <c r="K2628">
        <v>1346.26</v>
      </c>
      <c r="L2628">
        <v>155.27000000000001</v>
      </c>
      <c r="M2628">
        <v>3713.86</v>
      </c>
      <c r="N2628">
        <v>3869.13</v>
      </c>
    </row>
    <row r="2629" spans="1:14" x14ac:dyDescent="0.3">
      <c r="A2629" s="2">
        <v>45170</v>
      </c>
      <c r="B2629" t="s">
        <v>71</v>
      </c>
      <c r="C2629">
        <v>2023</v>
      </c>
      <c r="D2629">
        <v>9</v>
      </c>
      <c r="E2629" t="s">
        <v>54</v>
      </c>
      <c r="F2629" t="s">
        <v>47</v>
      </c>
      <c r="G2629">
        <v>11</v>
      </c>
      <c r="H2629" t="s">
        <v>20</v>
      </c>
      <c r="I2629">
        <v>25.05</v>
      </c>
      <c r="J2629">
        <v>29.34</v>
      </c>
      <c r="K2629">
        <v>260.3</v>
      </c>
      <c r="L2629">
        <v>0.03</v>
      </c>
      <c r="M2629">
        <v>314.69</v>
      </c>
      <c r="N2629">
        <v>314.72000000000003</v>
      </c>
    </row>
    <row r="2630" spans="1:14" x14ac:dyDescent="0.3">
      <c r="A2630" s="2">
        <v>45170</v>
      </c>
      <c r="B2630" t="s">
        <v>71</v>
      </c>
      <c r="C2630">
        <v>2023</v>
      </c>
      <c r="D2630">
        <v>9</v>
      </c>
      <c r="E2630" t="s">
        <v>54</v>
      </c>
      <c r="F2630" t="s">
        <v>48</v>
      </c>
      <c r="G2630">
        <v>33</v>
      </c>
      <c r="H2630" t="s">
        <v>20</v>
      </c>
      <c r="I2630">
        <v>2689.9</v>
      </c>
      <c r="J2630">
        <v>3520.58</v>
      </c>
      <c r="K2630">
        <v>3486.41</v>
      </c>
      <c r="L2630">
        <v>784.57</v>
      </c>
      <c r="M2630">
        <v>9696.89</v>
      </c>
      <c r="N2630">
        <v>10481.459999999999</v>
      </c>
    </row>
    <row r="2631" spans="1:14" x14ac:dyDescent="0.3">
      <c r="A2631" s="2">
        <v>45170</v>
      </c>
      <c r="B2631" t="s">
        <v>71</v>
      </c>
      <c r="C2631">
        <v>2023</v>
      </c>
      <c r="D2631">
        <v>9</v>
      </c>
      <c r="E2631" t="s">
        <v>54</v>
      </c>
      <c r="F2631" t="s">
        <v>49</v>
      </c>
      <c r="G2631">
        <v>36</v>
      </c>
      <c r="H2631" t="s">
        <v>20</v>
      </c>
      <c r="I2631">
        <v>1503.13</v>
      </c>
      <c r="J2631">
        <v>1880.52</v>
      </c>
      <c r="K2631">
        <v>1330.61</v>
      </c>
      <c r="L2631">
        <v>511.5</v>
      </c>
      <c r="M2631">
        <v>4714.26</v>
      </c>
      <c r="N2631">
        <v>5225.76</v>
      </c>
    </row>
    <row r="2632" spans="1:14" x14ac:dyDescent="0.3">
      <c r="A2632" s="2">
        <v>45170</v>
      </c>
      <c r="B2632" t="s">
        <v>71</v>
      </c>
      <c r="C2632">
        <v>2023</v>
      </c>
      <c r="D2632">
        <v>9</v>
      </c>
      <c r="E2632" t="s">
        <v>54</v>
      </c>
      <c r="F2632" t="s">
        <v>50</v>
      </c>
      <c r="G2632">
        <v>16</v>
      </c>
      <c r="H2632" t="s">
        <v>20</v>
      </c>
      <c r="I2632">
        <v>26.96</v>
      </c>
      <c r="J2632">
        <v>34.770000000000003</v>
      </c>
      <c r="K2632">
        <v>11.24</v>
      </c>
      <c r="L2632">
        <v>0.33</v>
      </c>
      <c r="M2632">
        <v>72.97</v>
      </c>
      <c r="N2632">
        <v>73.3</v>
      </c>
    </row>
    <row r="2633" spans="1:14" x14ac:dyDescent="0.3">
      <c r="A2633" s="2">
        <v>45170</v>
      </c>
      <c r="B2633" t="s">
        <v>71</v>
      </c>
      <c r="C2633">
        <v>2023</v>
      </c>
      <c r="D2633">
        <v>9</v>
      </c>
      <c r="E2633" t="s">
        <v>54</v>
      </c>
      <c r="F2633" t="s">
        <v>51</v>
      </c>
      <c r="G2633">
        <v>9</v>
      </c>
      <c r="H2633" t="s">
        <v>20</v>
      </c>
      <c r="I2633">
        <v>1862.38</v>
      </c>
      <c r="J2633">
        <v>2517.5500000000002</v>
      </c>
      <c r="K2633">
        <v>2143.0300000000002</v>
      </c>
      <c r="L2633">
        <v>1321.48</v>
      </c>
      <c r="M2633">
        <v>6522.96</v>
      </c>
      <c r="N2633">
        <v>7844.44</v>
      </c>
    </row>
    <row r="2634" spans="1:14" x14ac:dyDescent="0.3">
      <c r="A2634" s="2">
        <v>45170</v>
      </c>
      <c r="B2634" t="s">
        <v>71</v>
      </c>
      <c r="C2634">
        <v>2023</v>
      </c>
      <c r="D2634">
        <v>9</v>
      </c>
      <c r="E2634" t="s">
        <v>54</v>
      </c>
      <c r="F2634" t="s">
        <v>52</v>
      </c>
      <c r="G2634">
        <v>5</v>
      </c>
      <c r="H2634" t="s">
        <v>20</v>
      </c>
      <c r="I2634">
        <v>268.33999999999997</v>
      </c>
      <c r="J2634">
        <v>387.27</v>
      </c>
      <c r="K2634">
        <v>725.58</v>
      </c>
      <c r="L2634">
        <v>11.17</v>
      </c>
      <c r="M2634">
        <v>1381.19</v>
      </c>
      <c r="N2634">
        <v>1392.36</v>
      </c>
    </row>
    <row r="2635" spans="1:14" x14ac:dyDescent="0.3">
      <c r="A2635" s="2">
        <v>45170</v>
      </c>
      <c r="B2635" t="s">
        <v>71</v>
      </c>
      <c r="C2635">
        <v>2023</v>
      </c>
      <c r="D2635">
        <v>9</v>
      </c>
      <c r="E2635" t="s">
        <v>54</v>
      </c>
      <c r="F2635" t="s">
        <v>53</v>
      </c>
      <c r="G2635">
        <v>19</v>
      </c>
      <c r="H2635" t="s">
        <v>20</v>
      </c>
      <c r="I2635">
        <v>1572.17</v>
      </c>
      <c r="J2635">
        <v>1897.96</v>
      </c>
      <c r="K2635">
        <v>1157.8499999999999</v>
      </c>
      <c r="L2635">
        <v>312.49</v>
      </c>
      <c r="M2635">
        <v>4627.9799999999996</v>
      </c>
      <c r="N2635">
        <v>4940.47</v>
      </c>
    </row>
    <row r="2636" spans="1:14" x14ac:dyDescent="0.3">
      <c r="A2636" s="2">
        <v>45200</v>
      </c>
      <c r="B2636" t="s">
        <v>71</v>
      </c>
      <c r="C2636">
        <v>2023</v>
      </c>
      <c r="D2636">
        <v>10</v>
      </c>
      <c r="E2636" t="s">
        <v>55</v>
      </c>
      <c r="F2636" t="s">
        <v>17</v>
      </c>
      <c r="G2636">
        <v>35</v>
      </c>
      <c r="H2636" t="s">
        <v>18</v>
      </c>
      <c r="I2636">
        <v>10.65</v>
      </c>
      <c r="J2636">
        <v>13.83</v>
      </c>
      <c r="K2636">
        <v>4.12</v>
      </c>
      <c r="L2636">
        <v>0.04</v>
      </c>
      <c r="M2636">
        <v>28.6</v>
      </c>
      <c r="N2636">
        <v>28.64</v>
      </c>
    </row>
    <row r="2637" spans="1:14" x14ac:dyDescent="0.3">
      <c r="A2637" s="2">
        <v>45200</v>
      </c>
      <c r="B2637" t="s">
        <v>71</v>
      </c>
      <c r="C2637">
        <v>2023</v>
      </c>
      <c r="D2637">
        <v>10</v>
      </c>
      <c r="E2637" t="s">
        <v>55</v>
      </c>
      <c r="F2637" t="s">
        <v>19</v>
      </c>
      <c r="G2637">
        <v>28</v>
      </c>
      <c r="H2637" t="s">
        <v>20</v>
      </c>
      <c r="I2637">
        <v>812.35</v>
      </c>
      <c r="J2637">
        <v>1099.69</v>
      </c>
      <c r="K2637">
        <v>1178.76</v>
      </c>
      <c r="L2637">
        <v>312.45999999999998</v>
      </c>
      <c r="M2637">
        <v>3090.8</v>
      </c>
      <c r="N2637">
        <v>3403.26</v>
      </c>
    </row>
    <row r="2638" spans="1:14" x14ac:dyDescent="0.3">
      <c r="A2638" s="2">
        <v>45200</v>
      </c>
      <c r="B2638" t="s">
        <v>71</v>
      </c>
      <c r="C2638">
        <v>2023</v>
      </c>
      <c r="D2638">
        <v>10</v>
      </c>
      <c r="E2638" t="s">
        <v>55</v>
      </c>
      <c r="F2638" t="s">
        <v>21</v>
      </c>
      <c r="G2638">
        <v>12</v>
      </c>
      <c r="H2638" t="s">
        <v>20</v>
      </c>
      <c r="I2638">
        <v>28.01</v>
      </c>
      <c r="J2638">
        <v>35.869999999999997</v>
      </c>
      <c r="K2638">
        <v>22.53</v>
      </c>
      <c r="L2638">
        <v>0.1</v>
      </c>
      <c r="M2638">
        <v>86.41</v>
      </c>
      <c r="N2638">
        <v>86.51</v>
      </c>
    </row>
    <row r="2639" spans="1:14" x14ac:dyDescent="0.3">
      <c r="A2639" s="2">
        <v>45200</v>
      </c>
      <c r="B2639" t="s">
        <v>71</v>
      </c>
      <c r="C2639">
        <v>2023</v>
      </c>
      <c r="D2639">
        <v>10</v>
      </c>
      <c r="E2639" t="s">
        <v>55</v>
      </c>
      <c r="F2639" t="s">
        <v>22</v>
      </c>
      <c r="G2639">
        <v>18</v>
      </c>
      <c r="H2639" t="s">
        <v>20</v>
      </c>
      <c r="I2639">
        <v>409.08</v>
      </c>
      <c r="J2639">
        <v>521.61</v>
      </c>
      <c r="K2639">
        <v>316.86</v>
      </c>
      <c r="L2639">
        <v>65.37</v>
      </c>
      <c r="M2639">
        <v>1247.55</v>
      </c>
      <c r="N2639">
        <v>1312.92</v>
      </c>
    </row>
    <row r="2640" spans="1:14" x14ac:dyDescent="0.3">
      <c r="A2640" s="2">
        <v>45200</v>
      </c>
      <c r="B2640" t="s">
        <v>71</v>
      </c>
      <c r="C2640">
        <v>2023</v>
      </c>
      <c r="D2640">
        <v>10</v>
      </c>
      <c r="E2640" t="s">
        <v>55</v>
      </c>
      <c r="F2640" t="s">
        <v>23</v>
      </c>
      <c r="G2640">
        <v>10</v>
      </c>
      <c r="H2640" t="s">
        <v>20</v>
      </c>
      <c r="I2640">
        <v>380.28</v>
      </c>
      <c r="J2640">
        <v>639.26</v>
      </c>
      <c r="K2640">
        <v>190.9</v>
      </c>
      <c r="L2640">
        <v>195.87</v>
      </c>
      <c r="M2640">
        <v>1210.44</v>
      </c>
      <c r="N2640">
        <v>1406.31</v>
      </c>
    </row>
    <row r="2641" spans="1:14" x14ac:dyDescent="0.3">
      <c r="A2641" s="2">
        <v>45200</v>
      </c>
      <c r="B2641" t="s">
        <v>71</v>
      </c>
      <c r="C2641">
        <v>2023</v>
      </c>
      <c r="D2641">
        <v>10</v>
      </c>
      <c r="E2641" t="s">
        <v>55</v>
      </c>
      <c r="F2641" t="s">
        <v>24</v>
      </c>
      <c r="G2641">
        <v>4</v>
      </c>
      <c r="H2641" t="s">
        <v>18</v>
      </c>
      <c r="I2641">
        <v>42.45</v>
      </c>
      <c r="J2641">
        <v>53.7</v>
      </c>
      <c r="K2641">
        <v>112.06</v>
      </c>
      <c r="L2641">
        <v>1.66</v>
      </c>
      <c r="M2641">
        <v>208.21</v>
      </c>
      <c r="N2641">
        <v>209.87</v>
      </c>
    </row>
    <row r="2642" spans="1:14" x14ac:dyDescent="0.3">
      <c r="A2642" s="2">
        <v>45200</v>
      </c>
      <c r="B2642" t="s">
        <v>71</v>
      </c>
      <c r="C2642">
        <v>2023</v>
      </c>
      <c r="D2642">
        <v>10</v>
      </c>
      <c r="E2642" t="s">
        <v>55</v>
      </c>
      <c r="F2642" t="s">
        <v>25</v>
      </c>
      <c r="G2642">
        <v>22</v>
      </c>
      <c r="H2642" t="s">
        <v>20</v>
      </c>
      <c r="I2642">
        <v>531.34</v>
      </c>
      <c r="J2642">
        <v>636.66</v>
      </c>
      <c r="K2642">
        <v>966.89</v>
      </c>
      <c r="L2642">
        <v>546.48</v>
      </c>
      <c r="M2642">
        <v>2134.89</v>
      </c>
      <c r="N2642">
        <v>2681.37</v>
      </c>
    </row>
    <row r="2643" spans="1:14" x14ac:dyDescent="0.3">
      <c r="A2643" s="2">
        <v>45200</v>
      </c>
      <c r="B2643" t="s">
        <v>71</v>
      </c>
      <c r="C2643">
        <v>2023</v>
      </c>
      <c r="D2643">
        <v>10</v>
      </c>
      <c r="E2643" t="s">
        <v>55</v>
      </c>
      <c r="F2643" t="s">
        <v>26</v>
      </c>
      <c r="G2643">
        <v>38</v>
      </c>
      <c r="H2643" t="s">
        <v>18</v>
      </c>
      <c r="I2643">
        <v>42.55</v>
      </c>
      <c r="J2643">
        <v>56.56</v>
      </c>
      <c r="K2643">
        <v>273.85000000000002</v>
      </c>
      <c r="L2643">
        <v>0.28000000000000003</v>
      </c>
      <c r="M2643">
        <v>372.96</v>
      </c>
      <c r="N2643">
        <v>373.24</v>
      </c>
    </row>
    <row r="2644" spans="1:14" x14ac:dyDescent="0.3">
      <c r="A2644" s="2">
        <v>45200</v>
      </c>
      <c r="B2644" t="s">
        <v>71</v>
      </c>
      <c r="C2644">
        <v>2023</v>
      </c>
      <c r="D2644">
        <v>10</v>
      </c>
      <c r="E2644" t="s">
        <v>55</v>
      </c>
      <c r="F2644" t="s">
        <v>27</v>
      </c>
      <c r="G2644">
        <v>7</v>
      </c>
      <c r="H2644" t="s">
        <v>18</v>
      </c>
      <c r="I2644">
        <v>1209.78</v>
      </c>
      <c r="J2644">
        <v>1425.11</v>
      </c>
      <c r="K2644">
        <v>5006.97</v>
      </c>
      <c r="L2644">
        <v>111.68</v>
      </c>
      <c r="M2644">
        <v>7641.86</v>
      </c>
      <c r="N2644">
        <v>7753.54</v>
      </c>
    </row>
    <row r="2645" spans="1:14" x14ac:dyDescent="0.3">
      <c r="A2645" s="2">
        <v>45200</v>
      </c>
      <c r="B2645" t="s">
        <v>71</v>
      </c>
      <c r="C2645">
        <v>2023</v>
      </c>
      <c r="D2645">
        <v>10</v>
      </c>
      <c r="E2645" t="s">
        <v>55</v>
      </c>
      <c r="F2645" t="s">
        <v>28</v>
      </c>
      <c r="G2645">
        <v>30</v>
      </c>
      <c r="H2645" t="s">
        <v>20</v>
      </c>
      <c r="I2645">
        <v>156.24</v>
      </c>
      <c r="J2645">
        <v>197.55</v>
      </c>
      <c r="K2645">
        <v>172.67</v>
      </c>
      <c r="L2645">
        <v>3.47</v>
      </c>
      <c r="M2645">
        <v>526.46</v>
      </c>
      <c r="N2645">
        <v>529.92999999999995</v>
      </c>
    </row>
    <row r="2646" spans="1:14" x14ac:dyDescent="0.3">
      <c r="A2646" s="2">
        <v>45200</v>
      </c>
      <c r="B2646" t="s">
        <v>71</v>
      </c>
      <c r="C2646">
        <v>2023</v>
      </c>
      <c r="D2646">
        <v>10</v>
      </c>
      <c r="E2646" t="s">
        <v>55</v>
      </c>
      <c r="F2646" t="s">
        <v>29</v>
      </c>
      <c r="G2646">
        <v>24</v>
      </c>
      <c r="H2646" t="s">
        <v>20</v>
      </c>
      <c r="I2646">
        <v>2616.16</v>
      </c>
      <c r="J2646">
        <v>3165.53</v>
      </c>
      <c r="K2646">
        <v>3289.85</v>
      </c>
      <c r="L2646">
        <v>658.64</v>
      </c>
      <c r="M2646">
        <v>9071.5400000000009</v>
      </c>
      <c r="N2646">
        <v>9730.18</v>
      </c>
    </row>
    <row r="2647" spans="1:14" x14ac:dyDescent="0.3">
      <c r="A2647" s="2">
        <v>45200</v>
      </c>
      <c r="B2647" t="s">
        <v>71</v>
      </c>
      <c r="C2647">
        <v>2023</v>
      </c>
      <c r="D2647">
        <v>10</v>
      </c>
      <c r="E2647" t="s">
        <v>55</v>
      </c>
      <c r="F2647" t="s">
        <v>30</v>
      </c>
      <c r="G2647">
        <v>6</v>
      </c>
      <c r="H2647" t="s">
        <v>20</v>
      </c>
      <c r="I2647">
        <v>1338.39</v>
      </c>
      <c r="J2647">
        <v>1772.88</v>
      </c>
      <c r="K2647">
        <v>4907.34</v>
      </c>
      <c r="L2647">
        <v>697.23</v>
      </c>
      <c r="M2647">
        <v>8018.61</v>
      </c>
      <c r="N2647">
        <v>8715.84</v>
      </c>
    </row>
    <row r="2648" spans="1:14" x14ac:dyDescent="0.3">
      <c r="A2648" s="2">
        <v>45200</v>
      </c>
      <c r="B2648" t="s">
        <v>71</v>
      </c>
      <c r="C2648">
        <v>2023</v>
      </c>
      <c r="D2648">
        <v>10</v>
      </c>
      <c r="E2648" t="s">
        <v>55</v>
      </c>
      <c r="F2648" t="s">
        <v>31</v>
      </c>
      <c r="G2648">
        <v>2</v>
      </c>
      <c r="H2648" t="s">
        <v>20</v>
      </c>
      <c r="I2648">
        <v>176.15</v>
      </c>
      <c r="J2648">
        <v>231.7</v>
      </c>
      <c r="K2648">
        <v>476.15</v>
      </c>
      <c r="L2648">
        <v>1.25</v>
      </c>
      <c r="M2648">
        <v>884</v>
      </c>
      <c r="N2648">
        <v>885.25</v>
      </c>
    </row>
    <row r="2649" spans="1:14" x14ac:dyDescent="0.3">
      <c r="A2649" s="2">
        <v>45200</v>
      </c>
      <c r="B2649" t="s">
        <v>71</v>
      </c>
      <c r="C2649">
        <v>2023</v>
      </c>
      <c r="D2649">
        <v>10</v>
      </c>
      <c r="E2649" t="s">
        <v>55</v>
      </c>
      <c r="F2649" t="s">
        <v>32</v>
      </c>
      <c r="G2649">
        <v>1</v>
      </c>
      <c r="H2649" t="s">
        <v>18</v>
      </c>
      <c r="I2649">
        <v>167.86</v>
      </c>
      <c r="J2649">
        <v>246.67</v>
      </c>
      <c r="K2649">
        <v>171.27</v>
      </c>
      <c r="L2649">
        <v>7.35</v>
      </c>
      <c r="M2649">
        <v>585.79999999999995</v>
      </c>
      <c r="N2649">
        <v>593.15</v>
      </c>
    </row>
    <row r="2650" spans="1:14" x14ac:dyDescent="0.3">
      <c r="A2650" s="2">
        <v>45200</v>
      </c>
      <c r="B2650" t="s">
        <v>71</v>
      </c>
      <c r="C2650">
        <v>2023</v>
      </c>
      <c r="D2650">
        <v>10</v>
      </c>
      <c r="E2650" t="s">
        <v>55</v>
      </c>
      <c r="F2650" t="s">
        <v>33</v>
      </c>
      <c r="G2650">
        <v>20</v>
      </c>
      <c r="H2650" t="s">
        <v>20</v>
      </c>
      <c r="I2650">
        <v>512.96</v>
      </c>
      <c r="J2650">
        <v>690.15</v>
      </c>
      <c r="K2650">
        <v>1164.68</v>
      </c>
      <c r="L2650">
        <v>518.38</v>
      </c>
      <c r="M2650">
        <v>2367.79</v>
      </c>
      <c r="N2650">
        <v>2886.17</v>
      </c>
    </row>
    <row r="2651" spans="1:14" x14ac:dyDescent="0.3">
      <c r="A2651" s="2">
        <v>45200</v>
      </c>
      <c r="B2651" t="s">
        <v>71</v>
      </c>
      <c r="C2651">
        <v>2023</v>
      </c>
      <c r="D2651">
        <v>10</v>
      </c>
      <c r="E2651" t="s">
        <v>55</v>
      </c>
      <c r="F2651" t="s">
        <v>34</v>
      </c>
      <c r="G2651">
        <v>29</v>
      </c>
      <c r="H2651" t="s">
        <v>20</v>
      </c>
      <c r="I2651">
        <v>2611.7800000000002</v>
      </c>
      <c r="J2651">
        <v>3302.93</v>
      </c>
      <c r="K2651">
        <v>4559.28</v>
      </c>
      <c r="L2651">
        <v>1496.61</v>
      </c>
      <c r="M2651">
        <v>10473.99</v>
      </c>
      <c r="N2651">
        <v>11970.6</v>
      </c>
    </row>
    <row r="2652" spans="1:14" x14ac:dyDescent="0.3">
      <c r="A2652" s="2">
        <v>45200</v>
      </c>
      <c r="B2652" t="s">
        <v>71</v>
      </c>
      <c r="C2652">
        <v>2023</v>
      </c>
      <c r="D2652">
        <v>10</v>
      </c>
      <c r="E2652" t="s">
        <v>55</v>
      </c>
      <c r="F2652" t="s">
        <v>35</v>
      </c>
      <c r="G2652">
        <v>32</v>
      </c>
      <c r="H2652" t="s">
        <v>20</v>
      </c>
      <c r="I2652">
        <v>836.91</v>
      </c>
      <c r="J2652">
        <v>1095.8399999999999</v>
      </c>
      <c r="K2652">
        <v>481.72</v>
      </c>
      <c r="L2652">
        <v>3.64</v>
      </c>
      <c r="M2652">
        <v>2414.4699999999998</v>
      </c>
      <c r="N2652">
        <v>2418.11</v>
      </c>
    </row>
    <row r="2653" spans="1:14" x14ac:dyDescent="0.3">
      <c r="A2653" s="2">
        <v>45200</v>
      </c>
      <c r="B2653" t="s">
        <v>71</v>
      </c>
      <c r="C2653">
        <v>2023</v>
      </c>
      <c r="D2653">
        <v>10</v>
      </c>
      <c r="E2653" t="s">
        <v>55</v>
      </c>
      <c r="F2653" t="s">
        <v>67</v>
      </c>
      <c r="G2653">
        <v>37</v>
      </c>
      <c r="H2653" t="s">
        <v>18</v>
      </c>
      <c r="I2653">
        <v>14.29</v>
      </c>
      <c r="J2653">
        <v>23.19</v>
      </c>
      <c r="K2653">
        <v>5.43</v>
      </c>
      <c r="L2653">
        <v>0.42</v>
      </c>
      <c r="M2653">
        <v>42.91</v>
      </c>
      <c r="N2653">
        <v>43.33</v>
      </c>
    </row>
    <row r="2654" spans="1:14" x14ac:dyDescent="0.3">
      <c r="A2654" s="2">
        <v>45200</v>
      </c>
      <c r="B2654" t="s">
        <v>71</v>
      </c>
      <c r="C2654">
        <v>2023</v>
      </c>
      <c r="D2654">
        <v>10</v>
      </c>
      <c r="E2654" t="s">
        <v>55</v>
      </c>
      <c r="F2654" t="s">
        <v>36</v>
      </c>
      <c r="G2654">
        <v>31</v>
      </c>
      <c r="H2654" t="s">
        <v>18</v>
      </c>
      <c r="I2654">
        <v>0.08</v>
      </c>
      <c r="J2654">
        <v>1.25</v>
      </c>
      <c r="K2654">
        <v>0.16</v>
      </c>
      <c r="L2654">
        <v>0</v>
      </c>
      <c r="M2654">
        <v>1.49</v>
      </c>
      <c r="N2654">
        <v>1.49</v>
      </c>
    </row>
    <row r="2655" spans="1:14" x14ac:dyDescent="0.3">
      <c r="A2655" s="2">
        <v>45200</v>
      </c>
      <c r="B2655" t="s">
        <v>71</v>
      </c>
      <c r="C2655">
        <v>2023</v>
      </c>
      <c r="D2655">
        <v>10</v>
      </c>
      <c r="E2655" t="s">
        <v>55</v>
      </c>
      <c r="F2655" t="s">
        <v>37</v>
      </c>
      <c r="G2655">
        <v>23</v>
      </c>
      <c r="H2655" t="s">
        <v>20</v>
      </c>
      <c r="I2655">
        <v>828.75</v>
      </c>
      <c r="J2655">
        <v>1060</v>
      </c>
      <c r="K2655">
        <v>827.69</v>
      </c>
      <c r="L2655">
        <v>609.05999999999995</v>
      </c>
      <c r="M2655">
        <v>2716.44</v>
      </c>
      <c r="N2655">
        <v>3325.5</v>
      </c>
    </row>
    <row r="2656" spans="1:14" x14ac:dyDescent="0.3">
      <c r="A2656" s="2">
        <v>45200</v>
      </c>
      <c r="B2656" t="s">
        <v>71</v>
      </c>
      <c r="C2656">
        <v>2023</v>
      </c>
      <c r="D2656">
        <v>10</v>
      </c>
      <c r="E2656" t="s">
        <v>55</v>
      </c>
      <c r="F2656" t="s">
        <v>38</v>
      </c>
      <c r="G2656">
        <v>27</v>
      </c>
      <c r="H2656" t="s">
        <v>20</v>
      </c>
      <c r="I2656">
        <v>6817.12</v>
      </c>
      <c r="J2656">
        <v>7994.85</v>
      </c>
      <c r="K2656">
        <v>10610.6</v>
      </c>
      <c r="L2656">
        <v>1886.6</v>
      </c>
      <c r="M2656">
        <v>25422.57</v>
      </c>
      <c r="N2656">
        <v>27309.17</v>
      </c>
    </row>
    <row r="2657" spans="1:14" x14ac:dyDescent="0.3">
      <c r="A2657" s="2">
        <v>45200</v>
      </c>
      <c r="B2657" t="s">
        <v>71</v>
      </c>
      <c r="C2657">
        <v>2023</v>
      </c>
      <c r="D2657">
        <v>10</v>
      </c>
      <c r="E2657" t="s">
        <v>55</v>
      </c>
      <c r="F2657" t="s">
        <v>39</v>
      </c>
      <c r="G2657">
        <v>14</v>
      </c>
      <c r="H2657" t="s">
        <v>20</v>
      </c>
      <c r="I2657">
        <v>28.98</v>
      </c>
      <c r="J2657">
        <v>32.630000000000003</v>
      </c>
      <c r="K2657">
        <v>7.63</v>
      </c>
      <c r="L2657">
        <v>0.57999999999999996</v>
      </c>
      <c r="M2657">
        <v>69.239999999999995</v>
      </c>
      <c r="N2657">
        <v>69.819999999999993</v>
      </c>
    </row>
    <row r="2658" spans="1:14" x14ac:dyDescent="0.3">
      <c r="A2658" s="2">
        <v>45200</v>
      </c>
      <c r="B2658" t="s">
        <v>71</v>
      </c>
      <c r="C2658">
        <v>2023</v>
      </c>
      <c r="D2658">
        <v>10</v>
      </c>
      <c r="E2658" t="s">
        <v>55</v>
      </c>
      <c r="F2658" t="s">
        <v>40</v>
      </c>
      <c r="G2658">
        <v>17</v>
      </c>
      <c r="H2658" t="s">
        <v>20</v>
      </c>
      <c r="I2658">
        <v>34.229999999999997</v>
      </c>
      <c r="J2658">
        <v>41.88</v>
      </c>
      <c r="K2658">
        <v>65.94</v>
      </c>
      <c r="L2658">
        <v>0.26</v>
      </c>
      <c r="M2658">
        <v>142.05000000000001</v>
      </c>
      <c r="N2658">
        <v>142.31</v>
      </c>
    </row>
    <row r="2659" spans="1:14" x14ac:dyDescent="0.3">
      <c r="A2659" s="2">
        <v>45200</v>
      </c>
      <c r="B2659" t="s">
        <v>71</v>
      </c>
      <c r="C2659">
        <v>2023</v>
      </c>
      <c r="D2659">
        <v>10</v>
      </c>
      <c r="E2659" t="s">
        <v>55</v>
      </c>
      <c r="F2659" t="s">
        <v>41</v>
      </c>
      <c r="G2659">
        <v>15</v>
      </c>
      <c r="H2659" t="s">
        <v>20</v>
      </c>
      <c r="I2659">
        <v>14.87</v>
      </c>
      <c r="J2659">
        <v>20.98</v>
      </c>
      <c r="K2659">
        <v>3.53</v>
      </c>
      <c r="L2659">
        <v>0.06</v>
      </c>
      <c r="M2659">
        <v>39.380000000000003</v>
      </c>
      <c r="N2659">
        <v>39.44</v>
      </c>
    </row>
    <row r="2660" spans="1:14" x14ac:dyDescent="0.3">
      <c r="A2660" s="2">
        <v>45200</v>
      </c>
      <c r="B2660" t="s">
        <v>71</v>
      </c>
      <c r="C2660">
        <v>2023</v>
      </c>
      <c r="D2660">
        <v>10</v>
      </c>
      <c r="E2660" t="s">
        <v>55</v>
      </c>
      <c r="F2660" t="s">
        <v>42</v>
      </c>
      <c r="G2660">
        <v>13</v>
      </c>
      <c r="H2660" t="s">
        <v>20</v>
      </c>
      <c r="I2660">
        <v>17.989999999999998</v>
      </c>
      <c r="J2660">
        <v>21.91</v>
      </c>
      <c r="K2660">
        <v>6.94</v>
      </c>
      <c r="L2660">
        <v>2.17</v>
      </c>
      <c r="M2660">
        <v>46.84</v>
      </c>
      <c r="N2660">
        <v>49.01</v>
      </c>
    </row>
    <row r="2661" spans="1:14" x14ac:dyDescent="0.3">
      <c r="A2661" s="2">
        <v>45200</v>
      </c>
      <c r="B2661" t="s">
        <v>71</v>
      </c>
      <c r="C2661">
        <v>2023</v>
      </c>
      <c r="D2661">
        <v>10</v>
      </c>
      <c r="E2661" t="s">
        <v>55</v>
      </c>
      <c r="F2661" t="s">
        <v>43</v>
      </c>
      <c r="G2661">
        <v>21</v>
      </c>
      <c r="H2661" t="s">
        <v>20</v>
      </c>
      <c r="I2661">
        <v>1051.33</v>
      </c>
      <c r="J2661">
        <v>1306.47</v>
      </c>
      <c r="K2661">
        <v>1121.7</v>
      </c>
      <c r="L2661">
        <v>697.44</v>
      </c>
      <c r="M2661">
        <v>3479.5</v>
      </c>
      <c r="N2661">
        <v>4176.9399999999996</v>
      </c>
    </row>
    <row r="2662" spans="1:14" x14ac:dyDescent="0.3">
      <c r="A2662" s="2">
        <v>45200</v>
      </c>
      <c r="B2662" t="s">
        <v>71</v>
      </c>
      <c r="C2662">
        <v>2023</v>
      </c>
      <c r="D2662">
        <v>10</v>
      </c>
      <c r="E2662" t="s">
        <v>55</v>
      </c>
      <c r="F2662" t="s">
        <v>44</v>
      </c>
      <c r="G2662">
        <v>34</v>
      </c>
      <c r="H2662" t="s">
        <v>18</v>
      </c>
      <c r="I2662">
        <v>29</v>
      </c>
      <c r="J2662">
        <v>41.93</v>
      </c>
      <c r="K2662">
        <v>139.51</v>
      </c>
      <c r="L2662">
        <v>1.1299999999999999</v>
      </c>
      <c r="M2662">
        <v>210.44</v>
      </c>
      <c r="N2662">
        <v>211.57</v>
      </c>
    </row>
    <row r="2663" spans="1:14" x14ac:dyDescent="0.3">
      <c r="A2663" s="2">
        <v>45200</v>
      </c>
      <c r="B2663" t="s">
        <v>71</v>
      </c>
      <c r="C2663">
        <v>2023</v>
      </c>
      <c r="D2663">
        <v>10</v>
      </c>
      <c r="E2663" t="s">
        <v>55</v>
      </c>
      <c r="F2663" t="s">
        <v>45</v>
      </c>
      <c r="G2663">
        <v>3</v>
      </c>
      <c r="H2663" t="s">
        <v>20</v>
      </c>
      <c r="I2663">
        <v>470.96</v>
      </c>
      <c r="J2663">
        <v>686.86</v>
      </c>
      <c r="K2663">
        <v>791.37</v>
      </c>
      <c r="L2663">
        <v>32.08</v>
      </c>
      <c r="M2663">
        <v>1949.19</v>
      </c>
      <c r="N2663">
        <v>1981.27</v>
      </c>
    </row>
    <row r="2664" spans="1:14" x14ac:dyDescent="0.3">
      <c r="A2664" s="2">
        <v>45200</v>
      </c>
      <c r="B2664" t="s">
        <v>71</v>
      </c>
      <c r="C2664">
        <v>2023</v>
      </c>
      <c r="D2664">
        <v>10</v>
      </c>
      <c r="E2664" t="s">
        <v>55</v>
      </c>
      <c r="F2664" t="s">
        <v>46</v>
      </c>
      <c r="G2664">
        <v>8</v>
      </c>
      <c r="H2664" t="s">
        <v>20</v>
      </c>
      <c r="I2664">
        <v>1075.0999999999999</v>
      </c>
      <c r="J2664">
        <v>1370.52</v>
      </c>
      <c r="K2664">
        <v>1407.04</v>
      </c>
      <c r="L2664">
        <v>193.11</v>
      </c>
      <c r="M2664">
        <v>3852.66</v>
      </c>
      <c r="N2664">
        <v>4045.77</v>
      </c>
    </row>
    <row r="2665" spans="1:14" x14ac:dyDescent="0.3">
      <c r="A2665" s="2">
        <v>45200</v>
      </c>
      <c r="B2665" t="s">
        <v>71</v>
      </c>
      <c r="C2665">
        <v>2023</v>
      </c>
      <c r="D2665">
        <v>10</v>
      </c>
      <c r="E2665" t="s">
        <v>55</v>
      </c>
      <c r="F2665" t="s">
        <v>47</v>
      </c>
      <c r="G2665">
        <v>11</v>
      </c>
      <c r="H2665" t="s">
        <v>20</v>
      </c>
      <c r="I2665">
        <v>21.97</v>
      </c>
      <c r="J2665">
        <v>30.75</v>
      </c>
      <c r="K2665">
        <v>273.35000000000002</v>
      </c>
      <c r="L2665">
        <v>0.03</v>
      </c>
      <c r="M2665">
        <v>326.07</v>
      </c>
      <c r="N2665">
        <v>326.10000000000002</v>
      </c>
    </row>
    <row r="2666" spans="1:14" x14ac:dyDescent="0.3">
      <c r="A2666" s="2">
        <v>45200</v>
      </c>
      <c r="B2666" t="s">
        <v>71</v>
      </c>
      <c r="C2666">
        <v>2023</v>
      </c>
      <c r="D2666">
        <v>10</v>
      </c>
      <c r="E2666" t="s">
        <v>55</v>
      </c>
      <c r="F2666" t="s">
        <v>48</v>
      </c>
      <c r="G2666">
        <v>33</v>
      </c>
      <c r="H2666" t="s">
        <v>20</v>
      </c>
      <c r="I2666">
        <v>2633.13</v>
      </c>
      <c r="J2666">
        <v>3502.19</v>
      </c>
      <c r="K2666">
        <v>3844.5</v>
      </c>
      <c r="L2666">
        <v>781.05</v>
      </c>
      <c r="M2666">
        <v>9979.82</v>
      </c>
      <c r="N2666">
        <v>10760.87</v>
      </c>
    </row>
    <row r="2667" spans="1:14" x14ac:dyDescent="0.3">
      <c r="A2667" s="2">
        <v>45200</v>
      </c>
      <c r="B2667" t="s">
        <v>71</v>
      </c>
      <c r="C2667">
        <v>2023</v>
      </c>
      <c r="D2667">
        <v>10</v>
      </c>
      <c r="E2667" t="s">
        <v>55</v>
      </c>
      <c r="F2667" t="s">
        <v>49</v>
      </c>
      <c r="G2667">
        <v>36</v>
      </c>
      <c r="H2667" t="s">
        <v>20</v>
      </c>
      <c r="I2667">
        <v>1213.17</v>
      </c>
      <c r="J2667">
        <v>1587.59</v>
      </c>
      <c r="K2667">
        <v>1525.41</v>
      </c>
      <c r="L2667">
        <v>541.47</v>
      </c>
      <c r="M2667">
        <v>4326.17</v>
      </c>
      <c r="N2667">
        <v>4867.6400000000003</v>
      </c>
    </row>
    <row r="2668" spans="1:14" x14ac:dyDescent="0.3">
      <c r="A2668" s="2">
        <v>45200</v>
      </c>
      <c r="B2668" t="s">
        <v>71</v>
      </c>
      <c r="C2668">
        <v>2023</v>
      </c>
      <c r="D2668">
        <v>10</v>
      </c>
      <c r="E2668" t="s">
        <v>55</v>
      </c>
      <c r="F2668" t="s">
        <v>50</v>
      </c>
      <c r="G2668">
        <v>16</v>
      </c>
      <c r="H2668" t="s">
        <v>20</v>
      </c>
      <c r="I2668">
        <v>30.68</v>
      </c>
      <c r="J2668">
        <v>40.82</v>
      </c>
      <c r="K2668">
        <v>19.78</v>
      </c>
      <c r="L2668">
        <v>0.05</v>
      </c>
      <c r="M2668">
        <v>91.28</v>
      </c>
      <c r="N2668">
        <v>91.33</v>
      </c>
    </row>
    <row r="2669" spans="1:14" x14ac:dyDescent="0.3">
      <c r="A2669" s="2">
        <v>45200</v>
      </c>
      <c r="B2669" t="s">
        <v>71</v>
      </c>
      <c r="C2669">
        <v>2023</v>
      </c>
      <c r="D2669">
        <v>10</v>
      </c>
      <c r="E2669" t="s">
        <v>55</v>
      </c>
      <c r="F2669" t="s">
        <v>51</v>
      </c>
      <c r="G2669">
        <v>9</v>
      </c>
      <c r="H2669" t="s">
        <v>20</v>
      </c>
      <c r="I2669">
        <v>2052.3200000000002</v>
      </c>
      <c r="J2669">
        <v>2811.1</v>
      </c>
      <c r="K2669">
        <v>2677.14</v>
      </c>
      <c r="L2669">
        <v>1423.89</v>
      </c>
      <c r="M2669">
        <v>7540.56</v>
      </c>
      <c r="N2669">
        <v>8964.4500000000007</v>
      </c>
    </row>
    <row r="2670" spans="1:14" x14ac:dyDescent="0.3">
      <c r="A2670" s="2">
        <v>45200</v>
      </c>
      <c r="B2670" t="s">
        <v>71</v>
      </c>
      <c r="C2670">
        <v>2023</v>
      </c>
      <c r="D2670">
        <v>10</v>
      </c>
      <c r="E2670" t="s">
        <v>55</v>
      </c>
      <c r="F2670" t="s">
        <v>52</v>
      </c>
      <c r="G2670">
        <v>5</v>
      </c>
      <c r="H2670" t="s">
        <v>20</v>
      </c>
      <c r="I2670">
        <v>379.42</v>
      </c>
      <c r="J2670">
        <v>550.34</v>
      </c>
      <c r="K2670">
        <v>894.56</v>
      </c>
      <c r="L2670">
        <v>10.1</v>
      </c>
      <c r="M2670">
        <v>1824.32</v>
      </c>
      <c r="N2670">
        <v>1834.42</v>
      </c>
    </row>
    <row r="2671" spans="1:14" x14ac:dyDescent="0.3">
      <c r="A2671" s="2">
        <v>45200</v>
      </c>
      <c r="B2671" t="s">
        <v>71</v>
      </c>
      <c r="C2671">
        <v>2023</v>
      </c>
      <c r="D2671">
        <v>10</v>
      </c>
      <c r="E2671" t="s">
        <v>55</v>
      </c>
      <c r="F2671" t="s">
        <v>53</v>
      </c>
      <c r="G2671">
        <v>19</v>
      </c>
      <c r="H2671" t="s">
        <v>20</v>
      </c>
      <c r="I2671">
        <v>1451.71</v>
      </c>
      <c r="J2671">
        <v>1839.21</v>
      </c>
      <c r="K2671">
        <v>1200.77</v>
      </c>
      <c r="L2671">
        <v>361.59</v>
      </c>
      <c r="M2671">
        <v>4491.6899999999996</v>
      </c>
      <c r="N2671">
        <v>4853.28</v>
      </c>
    </row>
    <row r="2672" spans="1:14" x14ac:dyDescent="0.3">
      <c r="A2672" s="2">
        <v>45231</v>
      </c>
      <c r="B2672" t="s">
        <v>71</v>
      </c>
      <c r="C2672">
        <v>2023</v>
      </c>
      <c r="D2672">
        <v>11</v>
      </c>
      <c r="E2672" t="s">
        <v>56</v>
      </c>
      <c r="F2672" t="s">
        <v>17</v>
      </c>
      <c r="G2672">
        <v>35</v>
      </c>
      <c r="H2672" t="s">
        <v>18</v>
      </c>
      <c r="I2672">
        <v>11</v>
      </c>
      <c r="J2672">
        <v>15.31</v>
      </c>
      <c r="K2672">
        <v>4.58</v>
      </c>
      <c r="L2672">
        <v>0.14000000000000001</v>
      </c>
      <c r="M2672">
        <v>30.89</v>
      </c>
      <c r="N2672">
        <v>31.03</v>
      </c>
    </row>
    <row r="2673" spans="1:14" x14ac:dyDescent="0.3">
      <c r="A2673" s="2">
        <v>45231</v>
      </c>
      <c r="B2673" t="s">
        <v>71</v>
      </c>
      <c r="C2673">
        <v>2023</v>
      </c>
      <c r="D2673">
        <v>11</v>
      </c>
      <c r="E2673" t="s">
        <v>56</v>
      </c>
      <c r="F2673" t="s">
        <v>19</v>
      </c>
      <c r="G2673">
        <v>28</v>
      </c>
      <c r="H2673" t="s">
        <v>20</v>
      </c>
      <c r="I2673">
        <v>830.31</v>
      </c>
      <c r="J2673">
        <v>1163.05</v>
      </c>
      <c r="K2673">
        <v>1731.79</v>
      </c>
      <c r="L2673">
        <v>367.97</v>
      </c>
      <c r="M2673">
        <v>3725.15</v>
      </c>
      <c r="N2673">
        <v>4093.12</v>
      </c>
    </row>
    <row r="2674" spans="1:14" x14ac:dyDescent="0.3">
      <c r="A2674" s="2">
        <v>45231</v>
      </c>
      <c r="B2674" t="s">
        <v>71</v>
      </c>
      <c r="C2674">
        <v>2023</v>
      </c>
      <c r="D2674">
        <v>11</v>
      </c>
      <c r="E2674" t="s">
        <v>56</v>
      </c>
      <c r="F2674" t="s">
        <v>21</v>
      </c>
      <c r="G2674">
        <v>12</v>
      </c>
      <c r="H2674" t="s">
        <v>20</v>
      </c>
      <c r="I2674">
        <v>32.409999999999997</v>
      </c>
      <c r="J2674">
        <v>39.56</v>
      </c>
      <c r="K2674">
        <v>19.760000000000002</v>
      </c>
      <c r="L2674">
        <v>0.5</v>
      </c>
      <c r="M2674">
        <v>91.73</v>
      </c>
      <c r="N2674">
        <v>92.23</v>
      </c>
    </row>
    <row r="2675" spans="1:14" x14ac:dyDescent="0.3">
      <c r="A2675" s="2">
        <v>45231</v>
      </c>
      <c r="B2675" t="s">
        <v>71</v>
      </c>
      <c r="C2675">
        <v>2023</v>
      </c>
      <c r="D2675">
        <v>11</v>
      </c>
      <c r="E2675" t="s">
        <v>56</v>
      </c>
      <c r="F2675" t="s">
        <v>22</v>
      </c>
      <c r="G2675">
        <v>18</v>
      </c>
      <c r="H2675" t="s">
        <v>20</v>
      </c>
      <c r="I2675">
        <v>365.92</v>
      </c>
      <c r="J2675">
        <v>457.44</v>
      </c>
      <c r="K2675">
        <v>331.15</v>
      </c>
      <c r="L2675">
        <v>77.37</v>
      </c>
      <c r="M2675">
        <v>1154.51</v>
      </c>
      <c r="N2675">
        <v>1231.8800000000001</v>
      </c>
    </row>
    <row r="2676" spans="1:14" x14ac:dyDescent="0.3">
      <c r="A2676" s="2">
        <v>45231</v>
      </c>
      <c r="B2676" t="s">
        <v>71</v>
      </c>
      <c r="C2676">
        <v>2023</v>
      </c>
      <c r="D2676">
        <v>11</v>
      </c>
      <c r="E2676" t="s">
        <v>56</v>
      </c>
      <c r="F2676" t="s">
        <v>23</v>
      </c>
      <c r="G2676">
        <v>10</v>
      </c>
      <c r="H2676" t="s">
        <v>20</v>
      </c>
      <c r="I2676">
        <v>395.98</v>
      </c>
      <c r="J2676">
        <v>645.71</v>
      </c>
      <c r="K2676">
        <v>211.57</v>
      </c>
      <c r="L2676">
        <v>135.16</v>
      </c>
      <c r="M2676">
        <v>1253.26</v>
      </c>
      <c r="N2676">
        <v>1388.42</v>
      </c>
    </row>
    <row r="2677" spans="1:14" x14ac:dyDescent="0.3">
      <c r="A2677" s="2">
        <v>45231</v>
      </c>
      <c r="B2677" t="s">
        <v>71</v>
      </c>
      <c r="C2677">
        <v>2023</v>
      </c>
      <c r="D2677">
        <v>11</v>
      </c>
      <c r="E2677" t="s">
        <v>56</v>
      </c>
      <c r="F2677" t="s">
        <v>24</v>
      </c>
      <c r="G2677">
        <v>4</v>
      </c>
      <c r="H2677" t="s">
        <v>18</v>
      </c>
      <c r="I2677">
        <v>40.08</v>
      </c>
      <c r="J2677">
        <v>49.67</v>
      </c>
      <c r="K2677">
        <v>120.1</v>
      </c>
      <c r="L2677">
        <v>0.45</v>
      </c>
      <c r="M2677">
        <v>209.85</v>
      </c>
      <c r="N2677">
        <v>210.3</v>
      </c>
    </row>
    <row r="2678" spans="1:14" x14ac:dyDescent="0.3">
      <c r="A2678" s="2">
        <v>45231</v>
      </c>
      <c r="B2678" t="s">
        <v>71</v>
      </c>
      <c r="C2678">
        <v>2023</v>
      </c>
      <c r="D2678">
        <v>11</v>
      </c>
      <c r="E2678" t="s">
        <v>56</v>
      </c>
      <c r="F2678" t="s">
        <v>25</v>
      </c>
      <c r="G2678">
        <v>22</v>
      </c>
      <c r="H2678" t="s">
        <v>20</v>
      </c>
      <c r="I2678">
        <v>536.25</v>
      </c>
      <c r="J2678">
        <v>625.23</v>
      </c>
      <c r="K2678">
        <v>1124.17</v>
      </c>
      <c r="L2678">
        <v>650.05999999999995</v>
      </c>
      <c r="M2678">
        <v>2285.65</v>
      </c>
      <c r="N2678">
        <v>2935.71</v>
      </c>
    </row>
    <row r="2679" spans="1:14" x14ac:dyDescent="0.3">
      <c r="A2679" s="2">
        <v>45231</v>
      </c>
      <c r="B2679" t="s">
        <v>71</v>
      </c>
      <c r="C2679">
        <v>2023</v>
      </c>
      <c r="D2679">
        <v>11</v>
      </c>
      <c r="E2679" t="s">
        <v>56</v>
      </c>
      <c r="F2679" t="s">
        <v>26</v>
      </c>
      <c r="G2679">
        <v>38</v>
      </c>
      <c r="H2679" t="s">
        <v>18</v>
      </c>
      <c r="I2679">
        <v>41.49</v>
      </c>
      <c r="J2679">
        <v>54.6</v>
      </c>
      <c r="K2679">
        <v>236.41</v>
      </c>
      <c r="L2679">
        <v>0.15</v>
      </c>
      <c r="M2679">
        <v>332.5</v>
      </c>
      <c r="N2679">
        <v>332.65</v>
      </c>
    </row>
    <row r="2680" spans="1:14" x14ac:dyDescent="0.3">
      <c r="A2680" s="2">
        <v>45231</v>
      </c>
      <c r="B2680" t="s">
        <v>71</v>
      </c>
      <c r="C2680">
        <v>2023</v>
      </c>
      <c r="D2680">
        <v>11</v>
      </c>
      <c r="E2680" t="s">
        <v>56</v>
      </c>
      <c r="F2680" t="s">
        <v>27</v>
      </c>
      <c r="G2680">
        <v>7</v>
      </c>
      <c r="H2680" t="s">
        <v>18</v>
      </c>
      <c r="I2680">
        <v>1081.54</v>
      </c>
      <c r="J2680">
        <v>1275.82</v>
      </c>
      <c r="K2680">
        <v>2880.33</v>
      </c>
      <c r="L2680">
        <v>109.38</v>
      </c>
      <c r="M2680">
        <v>5237.6899999999996</v>
      </c>
      <c r="N2680">
        <v>5347.07</v>
      </c>
    </row>
    <row r="2681" spans="1:14" x14ac:dyDescent="0.3">
      <c r="A2681" s="2">
        <v>45231</v>
      </c>
      <c r="B2681" t="s">
        <v>71</v>
      </c>
      <c r="C2681">
        <v>2023</v>
      </c>
      <c r="D2681">
        <v>11</v>
      </c>
      <c r="E2681" t="s">
        <v>56</v>
      </c>
      <c r="F2681" t="s">
        <v>28</v>
      </c>
      <c r="G2681">
        <v>30</v>
      </c>
      <c r="H2681" t="s">
        <v>20</v>
      </c>
      <c r="I2681">
        <v>140.26</v>
      </c>
      <c r="J2681">
        <v>180.03</v>
      </c>
      <c r="K2681">
        <v>180.11</v>
      </c>
      <c r="L2681">
        <v>2.69</v>
      </c>
      <c r="M2681">
        <v>500.4</v>
      </c>
      <c r="N2681">
        <v>503.09</v>
      </c>
    </row>
    <row r="2682" spans="1:14" x14ac:dyDescent="0.3">
      <c r="A2682" s="2">
        <v>45231</v>
      </c>
      <c r="B2682" t="s">
        <v>71</v>
      </c>
      <c r="C2682">
        <v>2023</v>
      </c>
      <c r="D2682">
        <v>11</v>
      </c>
      <c r="E2682" t="s">
        <v>56</v>
      </c>
      <c r="F2682" t="s">
        <v>29</v>
      </c>
      <c r="G2682">
        <v>24</v>
      </c>
      <c r="H2682" t="s">
        <v>20</v>
      </c>
      <c r="I2682">
        <v>2981.72</v>
      </c>
      <c r="J2682">
        <v>3665.77</v>
      </c>
      <c r="K2682">
        <v>3475.42</v>
      </c>
      <c r="L2682">
        <v>730.35</v>
      </c>
      <c r="M2682">
        <v>10122.91</v>
      </c>
      <c r="N2682">
        <v>10853.26</v>
      </c>
    </row>
    <row r="2683" spans="1:14" x14ac:dyDescent="0.3">
      <c r="A2683" s="2">
        <v>45231</v>
      </c>
      <c r="B2683" t="s">
        <v>71</v>
      </c>
      <c r="C2683">
        <v>2023</v>
      </c>
      <c r="D2683">
        <v>11</v>
      </c>
      <c r="E2683" t="s">
        <v>56</v>
      </c>
      <c r="F2683" t="s">
        <v>30</v>
      </c>
      <c r="G2683">
        <v>6</v>
      </c>
      <c r="H2683" t="s">
        <v>20</v>
      </c>
      <c r="I2683">
        <v>1415.4</v>
      </c>
      <c r="J2683">
        <v>1778.52</v>
      </c>
      <c r="K2683">
        <v>5868.5</v>
      </c>
      <c r="L2683">
        <v>669.6</v>
      </c>
      <c r="M2683">
        <v>9062.42</v>
      </c>
      <c r="N2683">
        <v>9732.02</v>
      </c>
    </row>
    <row r="2684" spans="1:14" x14ac:dyDescent="0.3">
      <c r="A2684" s="2">
        <v>45231</v>
      </c>
      <c r="B2684" t="s">
        <v>71</v>
      </c>
      <c r="C2684">
        <v>2023</v>
      </c>
      <c r="D2684">
        <v>11</v>
      </c>
      <c r="E2684" t="s">
        <v>56</v>
      </c>
      <c r="F2684" t="s">
        <v>31</v>
      </c>
      <c r="G2684">
        <v>2</v>
      </c>
      <c r="H2684" t="s">
        <v>20</v>
      </c>
      <c r="I2684">
        <v>128.63999999999999</v>
      </c>
      <c r="J2684">
        <v>185.23</v>
      </c>
      <c r="K2684">
        <v>487.01</v>
      </c>
      <c r="L2684">
        <v>1.1499999999999999</v>
      </c>
      <c r="M2684">
        <v>800.88</v>
      </c>
      <c r="N2684">
        <v>802.03</v>
      </c>
    </row>
    <row r="2685" spans="1:14" x14ac:dyDescent="0.3">
      <c r="A2685" s="2">
        <v>45231</v>
      </c>
      <c r="B2685" t="s">
        <v>71</v>
      </c>
      <c r="C2685">
        <v>2023</v>
      </c>
      <c r="D2685">
        <v>11</v>
      </c>
      <c r="E2685" t="s">
        <v>56</v>
      </c>
      <c r="F2685" t="s">
        <v>32</v>
      </c>
      <c r="G2685">
        <v>1</v>
      </c>
      <c r="H2685" t="s">
        <v>18</v>
      </c>
      <c r="I2685">
        <v>132.65</v>
      </c>
      <c r="J2685">
        <v>198.39</v>
      </c>
      <c r="K2685">
        <v>134.83000000000001</v>
      </c>
      <c r="L2685">
        <v>3.39</v>
      </c>
      <c r="M2685">
        <v>465.87</v>
      </c>
      <c r="N2685">
        <v>469.26</v>
      </c>
    </row>
    <row r="2686" spans="1:14" x14ac:dyDescent="0.3">
      <c r="A2686" s="2">
        <v>45231</v>
      </c>
      <c r="B2686" t="s">
        <v>71</v>
      </c>
      <c r="C2686">
        <v>2023</v>
      </c>
      <c r="D2686">
        <v>11</v>
      </c>
      <c r="E2686" t="s">
        <v>56</v>
      </c>
      <c r="F2686" t="s">
        <v>33</v>
      </c>
      <c r="G2686">
        <v>20</v>
      </c>
      <c r="H2686" t="s">
        <v>20</v>
      </c>
      <c r="I2686">
        <v>510.25</v>
      </c>
      <c r="J2686">
        <v>714.13</v>
      </c>
      <c r="K2686">
        <v>933.25</v>
      </c>
      <c r="L2686">
        <v>475.07</v>
      </c>
      <c r="M2686">
        <v>2157.63</v>
      </c>
      <c r="N2686">
        <v>2632.7</v>
      </c>
    </row>
    <row r="2687" spans="1:14" x14ac:dyDescent="0.3">
      <c r="A2687" s="2">
        <v>45231</v>
      </c>
      <c r="B2687" t="s">
        <v>71</v>
      </c>
      <c r="C2687">
        <v>2023</v>
      </c>
      <c r="D2687">
        <v>11</v>
      </c>
      <c r="E2687" t="s">
        <v>56</v>
      </c>
      <c r="F2687" t="s">
        <v>34</v>
      </c>
      <c r="G2687">
        <v>29</v>
      </c>
      <c r="H2687" t="s">
        <v>20</v>
      </c>
      <c r="I2687">
        <v>2745.92</v>
      </c>
      <c r="J2687">
        <v>3312.81</v>
      </c>
      <c r="K2687">
        <v>4551.3900000000003</v>
      </c>
      <c r="L2687">
        <v>1360.03</v>
      </c>
      <c r="M2687">
        <v>10610.12</v>
      </c>
      <c r="N2687">
        <v>11970.15</v>
      </c>
    </row>
    <row r="2688" spans="1:14" x14ac:dyDescent="0.3">
      <c r="A2688" s="2">
        <v>45231</v>
      </c>
      <c r="B2688" t="s">
        <v>71</v>
      </c>
      <c r="C2688">
        <v>2023</v>
      </c>
      <c r="D2688">
        <v>11</v>
      </c>
      <c r="E2688" t="s">
        <v>56</v>
      </c>
      <c r="F2688" t="s">
        <v>35</v>
      </c>
      <c r="G2688">
        <v>32</v>
      </c>
      <c r="H2688" t="s">
        <v>20</v>
      </c>
      <c r="I2688">
        <v>873.74</v>
      </c>
      <c r="J2688">
        <v>1089.1500000000001</v>
      </c>
      <c r="K2688">
        <v>547.94000000000005</v>
      </c>
      <c r="L2688">
        <v>3.9</v>
      </c>
      <c r="M2688">
        <v>2510.83</v>
      </c>
      <c r="N2688">
        <v>2514.73</v>
      </c>
    </row>
    <row r="2689" spans="1:14" x14ac:dyDescent="0.3">
      <c r="A2689" s="2">
        <v>45231</v>
      </c>
      <c r="B2689" t="s">
        <v>71</v>
      </c>
      <c r="C2689">
        <v>2023</v>
      </c>
      <c r="D2689">
        <v>11</v>
      </c>
      <c r="E2689" t="s">
        <v>56</v>
      </c>
      <c r="F2689" t="s">
        <v>67</v>
      </c>
      <c r="G2689">
        <v>37</v>
      </c>
      <c r="H2689" t="s">
        <v>18</v>
      </c>
      <c r="I2689">
        <v>24.54</v>
      </c>
      <c r="J2689">
        <v>34.06</v>
      </c>
      <c r="K2689">
        <v>3.67</v>
      </c>
      <c r="L2689">
        <v>0</v>
      </c>
      <c r="M2689">
        <v>62.27</v>
      </c>
      <c r="N2689">
        <v>62.27</v>
      </c>
    </row>
    <row r="2690" spans="1:14" x14ac:dyDescent="0.3">
      <c r="A2690" s="2">
        <v>45231</v>
      </c>
      <c r="B2690" t="s">
        <v>71</v>
      </c>
      <c r="C2690">
        <v>2023</v>
      </c>
      <c r="D2690">
        <v>11</v>
      </c>
      <c r="E2690" t="s">
        <v>56</v>
      </c>
      <c r="F2690" t="s">
        <v>36</v>
      </c>
      <c r="G2690">
        <v>31</v>
      </c>
      <c r="H2690" t="s">
        <v>18</v>
      </c>
      <c r="I2690">
        <v>0.12</v>
      </c>
      <c r="J2690">
        <v>0.13</v>
      </c>
      <c r="K2690">
        <v>0.16</v>
      </c>
      <c r="L2690">
        <v>0</v>
      </c>
      <c r="M2690">
        <v>0.41</v>
      </c>
      <c r="N2690">
        <v>0.41</v>
      </c>
    </row>
    <row r="2691" spans="1:14" x14ac:dyDescent="0.3">
      <c r="A2691" s="2">
        <v>45231</v>
      </c>
      <c r="B2691" t="s">
        <v>71</v>
      </c>
      <c r="C2691">
        <v>2023</v>
      </c>
      <c r="D2691">
        <v>11</v>
      </c>
      <c r="E2691" t="s">
        <v>56</v>
      </c>
      <c r="F2691" t="s">
        <v>37</v>
      </c>
      <c r="G2691">
        <v>23</v>
      </c>
      <c r="H2691" t="s">
        <v>20</v>
      </c>
      <c r="I2691">
        <v>881.06</v>
      </c>
      <c r="J2691">
        <v>1112.17</v>
      </c>
      <c r="K2691">
        <v>1016.85</v>
      </c>
      <c r="L2691">
        <v>635.96</v>
      </c>
      <c r="M2691">
        <v>3010.08</v>
      </c>
      <c r="N2691">
        <v>3646.04</v>
      </c>
    </row>
    <row r="2692" spans="1:14" x14ac:dyDescent="0.3">
      <c r="A2692" s="2">
        <v>45231</v>
      </c>
      <c r="B2692" t="s">
        <v>71</v>
      </c>
      <c r="C2692">
        <v>2023</v>
      </c>
      <c r="D2692">
        <v>11</v>
      </c>
      <c r="E2692" t="s">
        <v>56</v>
      </c>
      <c r="F2692" t="s">
        <v>38</v>
      </c>
      <c r="G2692">
        <v>27</v>
      </c>
      <c r="H2692" t="s">
        <v>20</v>
      </c>
      <c r="I2692">
        <v>6813.52</v>
      </c>
      <c r="J2692">
        <v>7925.71</v>
      </c>
      <c r="K2692">
        <v>8683.4599999999991</v>
      </c>
      <c r="L2692">
        <v>2162.08</v>
      </c>
      <c r="M2692">
        <v>23422.69</v>
      </c>
      <c r="N2692">
        <v>25584.77</v>
      </c>
    </row>
    <row r="2693" spans="1:14" x14ac:dyDescent="0.3">
      <c r="A2693" s="2">
        <v>45231</v>
      </c>
      <c r="B2693" t="s">
        <v>71</v>
      </c>
      <c r="C2693">
        <v>2023</v>
      </c>
      <c r="D2693">
        <v>11</v>
      </c>
      <c r="E2693" t="s">
        <v>56</v>
      </c>
      <c r="F2693" t="s">
        <v>39</v>
      </c>
      <c r="G2693">
        <v>14</v>
      </c>
      <c r="H2693" t="s">
        <v>20</v>
      </c>
      <c r="I2693">
        <v>13.64</v>
      </c>
      <c r="J2693">
        <v>18.82</v>
      </c>
      <c r="K2693">
        <v>7.15</v>
      </c>
      <c r="L2693">
        <v>0.13</v>
      </c>
      <c r="M2693">
        <v>39.61</v>
      </c>
      <c r="N2693">
        <v>39.74</v>
      </c>
    </row>
    <row r="2694" spans="1:14" x14ac:dyDescent="0.3">
      <c r="A2694" s="2">
        <v>45231</v>
      </c>
      <c r="B2694" t="s">
        <v>71</v>
      </c>
      <c r="C2694">
        <v>2023</v>
      </c>
      <c r="D2694">
        <v>11</v>
      </c>
      <c r="E2694" t="s">
        <v>56</v>
      </c>
      <c r="F2694" t="s">
        <v>40</v>
      </c>
      <c r="G2694">
        <v>17</v>
      </c>
      <c r="H2694" t="s">
        <v>20</v>
      </c>
      <c r="I2694">
        <v>32.159999999999997</v>
      </c>
      <c r="J2694">
        <v>41.1</v>
      </c>
      <c r="K2694">
        <v>87.89</v>
      </c>
      <c r="L2694">
        <v>1.47</v>
      </c>
      <c r="M2694">
        <v>161.15</v>
      </c>
      <c r="N2694">
        <v>162.62</v>
      </c>
    </row>
    <row r="2695" spans="1:14" x14ac:dyDescent="0.3">
      <c r="A2695" s="2">
        <v>45231</v>
      </c>
      <c r="B2695" t="s">
        <v>71</v>
      </c>
      <c r="C2695">
        <v>2023</v>
      </c>
      <c r="D2695">
        <v>11</v>
      </c>
      <c r="E2695" t="s">
        <v>56</v>
      </c>
      <c r="F2695" t="s">
        <v>41</v>
      </c>
      <c r="G2695">
        <v>15</v>
      </c>
      <c r="H2695" t="s">
        <v>20</v>
      </c>
      <c r="I2695">
        <v>9.1999999999999993</v>
      </c>
      <c r="J2695">
        <v>14.11</v>
      </c>
      <c r="K2695">
        <v>9.19</v>
      </c>
      <c r="L2695">
        <v>0.03</v>
      </c>
      <c r="M2695">
        <v>32.5</v>
      </c>
      <c r="N2695">
        <v>32.53</v>
      </c>
    </row>
    <row r="2696" spans="1:14" x14ac:dyDescent="0.3">
      <c r="A2696" s="2">
        <v>45231</v>
      </c>
      <c r="B2696" t="s">
        <v>71</v>
      </c>
      <c r="C2696">
        <v>2023</v>
      </c>
      <c r="D2696">
        <v>11</v>
      </c>
      <c r="E2696" t="s">
        <v>56</v>
      </c>
      <c r="F2696" t="s">
        <v>42</v>
      </c>
      <c r="G2696">
        <v>13</v>
      </c>
      <c r="H2696" t="s">
        <v>20</v>
      </c>
      <c r="I2696">
        <v>23.46</v>
      </c>
      <c r="J2696">
        <v>29.24</v>
      </c>
      <c r="K2696">
        <v>11.06</v>
      </c>
      <c r="L2696">
        <v>2.8</v>
      </c>
      <c r="M2696">
        <v>63.76</v>
      </c>
      <c r="N2696">
        <v>66.56</v>
      </c>
    </row>
    <row r="2697" spans="1:14" x14ac:dyDescent="0.3">
      <c r="A2697" s="2">
        <v>45231</v>
      </c>
      <c r="B2697" t="s">
        <v>71</v>
      </c>
      <c r="C2697">
        <v>2023</v>
      </c>
      <c r="D2697">
        <v>11</v>
      </c>
      <c r="E2697" t="s">
        <v>56</v>
      </c>
      <c r="F2697" t="s">
        <v>43</v>
      </c>
      <c r="G2697">
        <v>21</v>
      </c>
      <c r="H2697" t="s">
        <v>20</v>
      </c>
      <c r="I2697">
        <v>1080.6600000000001</v>
      </c>
      <c r="J2697">
        <v>1251.5899999999999</v>
      </c>
      <c r="K2697">
        <v>1161.06</v>
      </c>
      <c r="L2697">
        <v>801.77</v>
      </c>
      <c r="M2697">
        <v>3493.31</v>
      </c>
      <c r="N2697">
        <v>4295.08</v>
      </c>
    </row>
    <row r="2698" spans="1:14" x14ac:dyDescent="0.3">
      <c r="A2698" s="2">
        <v>45231</v>
      </c>
      <c r="B2698" t="s">
        <v>71</v>
      </c>
      <c r="C2698">
        <v>2023</v>
      </c>
      <c r="D2698">
        <v>11</v>
      </c>
      <c r="E2698" t="s">
        <v>56</v>
      </c>
      <c r="F2698" t="s">
        <v>44</v>
      </c>
      <c r="G2698">
        <v>34</v>
      </c>
      <c r="H2698" t="s">
        <v>18</v>
      </c>
      <c r="I2698">
        <v>28.81</v>
      </c>
      <c r="J2698">
        <v>42.8</v>
      </c>
      <c r="K2698">
        <v>155.63</v>
      </c>
      <c r="L2698">
        <v>1.01</v>
      </c>
      <c r="M2698">
        <v>227.24</v>
      </c>
      <c r="N2698">
        <v>228.25</v>
      </c>
    </row>
    <row r="2699" spans="1:14" x14ac:dyDescent="0.3">
      <c r="A2699" s="2">
        <v>45231</v>
      </c>
      <c r="B2699" t="s">
        <v>71</v>
      </c>
      <c r="C2699">
        <v>2023</v>
      </c>
      <c r="D2699">
        <v>11</v>
      </c>
      <c r="E2699" t="s">
        <v>56</v>
      </c>
      <c r="F2699" t="s">
        <v>45</v>
      </c>
      <c r="G2699">
        <v>3</v>
      </c>
      <c r="H2699" t="s">
        <v>20</v>
      </c>
      <c r="I2699">
        <v>502</v>
      </c>
      <c r="J2699">
        <v>708.39</v>
      </c>
      <c r="K2699">
        <v>1032.71</v>
      </c>
      <c r="L2699">
        <v>21.85</v>
      </c>
      <c r="M2699">
        <v>2243.1</v>
      </c>
      <c r="N2699">
        <v>2264.9499999999998</v>
      </c>
    </row>
    <row r="2700" spans="1:14" x14ac:dyDescent="0.3">
      <c r="A2700" s="2">
        <v>45231</v>
      </c>
      <c r="B2700" t="s">
        <v>71</v>
      </c>
      <c r="C2700">
        <v>2023</v>
      </c>
      <c r="D2700">
        <v>11</v>
      </c>
      <c r="E2700" t="s">
        <v>56</v>
      </c>
      <c r="F2700" t="s">
        <v>46</v>
      </c>
      <c r="G2700">
        <v>8</v>
      </c>
      <c r="H2700" t="s">
        <v>20</v>
      </c>
      <c r="I2700">
        <v>1161.72</v>
      </c>
      <c r="J2700">
        <v>1489.09</v>
      </c>
      <c r="K2700">
        <v>1839.87</v>
      </c>
      <c r="L2700">
        <v>191.22</v>
      </c>
      <c r="M2700">
        <v>4490.68</v>
      </c>
      <c r="N2700">
        <v>4681.8999999999996</v>
      </c>
    </row>
    <row r="2701" spans="1:14" x14ac:dyDescent="0.3">
      <c r="A2701" s="2">
        <v>45231</v>
      </c>
      <c r="B2701" t="s">
        <v>71</v>
      </c>
      <c r="C2701">
        <v>2023</v>
      </c>
      <c r="D2701">
        <v>11</v>
      </c>
      <c r="E2701" t="s">
        <v>56</v>
      </c>
      <c r="F2701" t="s">
        <v>47</v>
      </c>
      <c r="G2701">
        <v>11</v>
      </c>
      <c r="H2701" t="s">
        <v>20</v>
      </c>
      <c r="I2701">
        <v>19.399999999999999</v>
      </c>
      <c r="J2701">
        <v>23.35</v>
      </c>
      <c r="K2701">
        <v>190.73</v>
      </c>
      <c r="L2701">
        <v>0.09</v>
      </c>
      <c r="M2701">
        <v>233.48</v>
      </c>
      <c r="N2701">
        <v>233.57</v>
      </c>
    </row>
    <row r="2702" spans="1:14" x14ac:dyDescent="0.3">
      <c r="A2702" s="2">
        <v>45231</v>
      </c>
      <c r="B2702" t="s">
        <v>71</v>
      </c>
      <c r="C2702">
        <v>2023</v>
      </c>
      <c r="D2702">
        <v>11</v>
      </c>
      <c r="E2702" t="s">
        <v>56</v>
      </c>
      <c r="F2702" t="s">
        <v>48</v>
      </c>
      <c r="G2702">
        <v>33</v>
      </c>
      <c r="H2702" t="s">
        <v>20</v>
      </c>
      <c r="I2702">
        <v>2631.64</v>
      </c>
      <c r="J2702">
        <v>3385.39</v>
      </c>
      <c r="K2702">
        <v>3593.44</v>
      </c>
      <c r="L2702">
        <v>644.26</v>
      </c>
      <c r="M2702">
        <v>9610.4699999999993</v>
      </c>
      <c r="N2702">
        <v>10254.73</v>
      </c>
    </row>
    <row r="2703" spans="1:14" x14ac:dyDescent="0.3">
      <c r="A2703" s="2">
        <v>45231</v>
      </c>
      <c r="B2703" t="s">
        <v>71</v>
      </c>
      <c r="C2703">
        <v>2023</v>
      </c>
      <c r="D2703">
        <v>11</v>
      </c>
      <c r="E2703" t="s">
        <v>56</v>
      </c>
      <c r="F2703" t="s">
        <v>49</v>
      </c>
      <c r="G2703">
        <v>36</v>
      </c>
      <c r="H2703" t="s">
        <v>20</v>
      </c>
      <c r="I2703">
        <v>1221.71</v>
      </c>
      <c r="J2703">
        <v>1616.74</v>
      </c>
      <c r="K2703">
        <v>1630.97</v>
      </c>
      <c r="L2703">
        <v>516.48</v>
      </c>
      <c r="M2703">
        <v>4469.42</v>
      </c>
      <c r="N2703">
        <v>4985.8999999999996</v>
      </c>
    </row>
    <row r="2704" spans="1:14" x14ac:dyDescent="0.3">
      <c r="A2704" s="2">
        <v>45231</v>
      </c>
      <c r="B2704" t="s">
        <v>71</v>
      </c>
      <c r="C2704">
        <v>2023</v>
      </c>
      <c r="D2704">
        <v>11</v>
      </c>
      <c r="E2704" t="s">
        <v>56</v>
      </c>
      <c r="F2704" t="s">
        <v>50</v>
      </c>
      <c r="G2704">
        <v>16</v>
      </c>
      <c r="H2704" t="s">
        <v>20</v>
      </c>
      <c r="I2704">
        <v>27.35</v>
      </c>
      <c r="J2704">
        <v>35.74</v>
      </c>
      <c r="K2704">
        <v>19.93</v>
      </c>
      <c r="L2704">
        <v>0.13</v>
      </c>
      <c r="M2704">
        <v>83.02</v>
      </c>
      <c r="N2704">
        <v>83.15</v>
      </c>
    </row>
    <row r="2705" spans="1:14" x14ac:dyDescent="0.3">
      <c r="A2705" s="2">
        <v>45231</v>
      </c>
      <c r="B2705" t="s">
        <v>71</v>
      </c>
      <c r="C2705">
        <v>2023</v>
      </c>
      <c r="D2705">
        <v>11</v>
      </c>
      <c r="E2705" t="s">
        <v>56</v>
      </c>
      <c r="F2705" t="s">
        <v>51</v>
      </c>
      <c r="G2705">
        <v>9</v>
      </c>
      <c r="H2705" t="s">
        <v>20</v>
      </c>
      <c r="I2705">
        <v>1863.64</v>
      </c>
      <c r="J2705">
        <v>2744.22</v>
      </c>
      <c r="K2705">
        <v>3029.79</v>
      </c>
      <c r="L2705">
        <v>1335.51</v>
      </c>
      <c r="M2705">
        <v>7637.65</v>
      </c>
      <c r="N2705">
        <v>8973.16</v>
      </c>
    </row>
    <row r="2706" spans="1:14" x14ac:dyDescent="0.3">
      <c r="A2706" s="2">
        <v>45231</v>
      </c>
      <c r="B2706" t="s">
        <v>71</v>
      </c>
      <c r="C2706">
        <v>2023</v>
      </c>
      <c r="D2706">
        <v>11</v>
      </c>
      <c r="E2706" t="s">
        <v>56</v>
      </c>
      <c r="F2706" t="s">
        <v>52</v>
      </c>
      <c r="G2706">
        <v>5</v>
      </c>
      <c r="H2706" t="s">
        <v>20</v>
      </c>
      <c r="I2706">
        <v>313.35000000000002</v>
      </c>
      <c r="J2706">
        <v>485.55</v>
      </c>
      <c r="K2706">
        <v>791.52</v>
      </c>
      <c r="L2706">
        <v>10.210000000000001</v>
      </c>
      <c r="M2706">
        <v>1590.42</v>
      </c>
      <c r="N2706">
        <v>1600.63</v>
      </c>
    </row>
    <row r="2707" spans="1:14" x14ac:dyDescent="0.3">
      <c r="A2707" s="2">
        <v>45231</v>
      </c>
      <c r="B2707" t="s">
        <v>71</v>
      </c>
      <c r="C2707">
        <v>2023</v>
      </c>
      <c r="D2707">
        <v>11</v>
      </c>
      <c r="E2707" t="s">
        <v>56</v>
      </c>
      <c r="F2707" t="s">
        <v>53</v>
      </c>
      <c r="G2707">
        <v>19</v>
      </c>
      <c r="H2707" t="s">
        <v>20</v>
      </c>
      <c r="I2707">
        <v>1496.83</v>
      </c>
      <c r="J2707">
        <v>1800.46</v>
      </c>
      <c r="K2707">
        <v>1290.8900000000001</v>
      </c>
      <c r="L2707">
        <v>326.32</v>
      </c>
      <c r="M2707">
        <v>4588.18</v>
      </c>
      <c r="N2707">
        <v>4914.5</v>
      </c>
    </row>
    <row r="2708" spans="1:14" x14ac:dyDescent="0.3">
      <c r="A2708" s="2">
        <v>45261</v>
      </c>
      <c r="B2708" t="s">
        <v>71</v>
      </c>
      <c r="C2708">
        <v>2023</v>
      </c>
      <c r="D2708">
        <v>12</v>
      </c>
      <c r="E2708" t="s">
        <v>57</v>
      </c>
      <c r="F2708" t="s">
        <v>17</v>
      </c>
      <c r="G2708">
        <v>35</v>
      </c>
      <c r="H2708" t="s">
        <v>18</v>
      </c>
      <c r="I2708">
        <v>10.37</v>
      </c>
      <c r="J2708">
        <v>14.24</v>
      </c>
      <c r="K2708">
        <v>3.67</v>
      </c>
      <c r="L2708">
        <v>0.04</v>
      </c>
      <c r="M2708">
        <v>28.28</v>
      </c>
      <c r="N2708">
        <v>28.32</v>
      </c>
    </row>
    <row r="2709" spans="1:14" x14ac:dyDescent="0.3">
      <c r="A2709" s="2">
        <v>45261</v>
      </c>
      <c r="B2709" t="s">
        <v>71</v>
      </c>
      <c r="C2709">
        <v>2023</v>
      </c>
      <c r="D2709">
        <v>12</v>
      </c>
      <c r="E2709" t="s">
        <v>57</v>
      </c>
      <c r="F2709" t="s">
        <v>19</v>
      </c>
      <c r="G2709">
        <v>28</v>
      </c>
      <c r="H2709" t="s">
        <v>20</v>
      </c>
      <c r="I2709">
        <v>841.26</v>
      </c>
      <c r="J2709">
        <v>1116.48</v>
      </c>
      <c r="K2709">
        <v>1267.97</v>
      </c>
      <c r="L2709">
        <v>319.02999999999997</v>
      </c>
      <c r="M2709">
        <v>3225.71</v>
      </c>
      <c r="N2709">
        <v>3544.74</v>
      </c>
    </row>
    <row r="2710" spans="1:14" x14ac:dyDescent="0.3">
      <c r="A2710" s="2">
        <v>45261</v>
      </c>
      <c r="B2710" t="s">
        <v>71</v>
      </c>
      <c r="C2710">
        <v>2023</v>
      </c>
      <c r="D2710">
        <v>12</v>
      </c>
      <c r="E2710" t="s">
        <v>57</v>
      </c>
      <c r="F2710" t="s">
        <v>21</v>
      </c>
      <c r="G2710">
        <v>12</v>
      </c>
      <c r="H2710" t="s">
        <v>20</v>
      </c>
      <c r="I2710">
        <v>38.450000000000003</v>
      </c>
      <c r="J2710">
        <v>45.85</v>
      </c>
      <c r="K2710">
        <v>12.17</v>
      </c>
      <c r="L2710">
        <v>0.21</v>
      </c>
      <c r="M2710">
        <v>96.47</v>
      </c>
      <c r="N2710">
        <v>96.68</v>
      </c>
    </row>
    <row r="2711" spans="1:14" x14ac:dyDescent="0.3">
      <c r="A2711" s="2">
        <v>45261</v>
      </c>
      <c r="B2711" t="s">
        <v>71</v>
      </c>
      <c r="C2711">
        <v>2023</v>
      </c>
      <c r="D2711">
        <v>12</v>
      </c>
      <c r="E2711" t="s">
        <v>57</v>
      </c>
      <c r="F2711" t="s">
        <v>22</v>
      </c>
      <c r="G2711">
        <v>18</v>
      </c>
      <c r="H2711" t="s">
        <v>20</v>
      </c>
      <c r="I2711">
        <v>363.84</v>
      </c>
      <c r="J2711">
        <v>461.04</v>
      </c>
      <c r="K2711">
        <v>337.54</v>
      </c>
      <c r="L2711">
        <v>140.53</v>
      </c>
      <c r="M2711">
        <v>1162.42</v>
      </c>
      <c r="N2711">
        <v>1302.95</v>
      </c>
    </row>
    <row r="2712" spans="1:14" x14ac:dyDescent="0.3">
      <c r="A2712" s="2">
        <v>45261</v>
      </c>
      <c r="B2712" t="s">
        <v>71</v>
      </c>
      <c r="C2712">
        <v>2023</v>
      </c>
      <c r="D2712">
        <v>12</v>
      </c>
      <c r="E2712" t="s">
        <v>57</v>
      </c>
      <c r="F2712" t="s">
        <v>23</v>
      </c>
      <c r="G2712">
        <v>10</v>
      </c>
      <c r="H2712" t="s">
        <v>20</v>
      </c>
      <c r="I2712">
        <v>404.35</v>
      </c>
      <c r="J2712">
        <v>690.78</v>
      </c>
      <c r="K2712">
        <v>202.77</v>
      </c>
      <c r="L2712">
        <v>189.27</v>
      </c>
      <c r="M2712">
        <v>1297.9000000000001</v>
      </c>
      <c r="N2712">
        <v>1487.17</v>
      </c>
    </row>
    <row r="2713" spans="1:14" x14ac:dyDescent="0.3">
      <c r="A2713" s="2">
        <v>45261</v>
      </c>
      <c r="B2713" t="s">
        <v>71</v>
      </c>
      <c r="C2713">
        <v>2023</v>
      </c>
      <c r="D2713">
        <v>12</v>
      </c>
      <c r="E2713" t="s">
        <v>57</v>
      </c>
      <c r="F2713" t="s">
        <v>24</v>
      </c>
      <c r="G2713">
        <v>4</v>
      </c>
      <c r="H2713" t="s">
        <v>18</v>
      </c>
      <c r="I2713">
        <v>42.3</v>
      </c>
      <c r="J2713">
        <v>56.61</v>
      </c>
      <c r="K2713">
        <v>181.57</v>
      </c>
      <c r="L2713">
        <v>0.3</v>
      </c>
      <c r="M2713">
        <v>280.48</v>
      </c>
      <c r="N2713">
        <v>280.77999999999997</v>
      </c>
    </row>
    <row r="2714" spans="1:14" x14ac:dyDescent="0.3">
      <c r="A2714" s="2">
        <v>45261</v>
      </c>
      <c r="B2714" t="s">
        <v>71</v>
      </c>
      <c r="C2714">
        <v>2023</v>
      </c>
      <c r="D2714">
        <v>12</v>
      </c>
      <c r="E2714" t="s">
        <v>57</v>
      </c>
      <c r="F2714" t="s">
        <v>25</v>
      </c>
      <c r="G2714">
        <v>22</v>
      </c>
      <c r="H2714" t="s">
        <v>20</v>
      </c>
      <c r="I2714">
        <v>489.65</v>
      </c>
      <c r="J2714">
        <v>605.82000000000005</v>
      </c>
      <c r="K2714">
        <v>900.73</v>
      </c>
      <c r="L2714">
        <v>616.29999999999995</v>
      </c>
      <c r="M2714">
        <v>1996.2</v>
      </c>
      <c r="N2714">
        <v>2612.5</v>
      </c>
    </row>
    <row r="2715" spans="1:14" x14ac:dyDescent="0.3">
      <c r="A2715" s="2">
        <v>45261</v>
      </c>
      <c r="B2715" t="s">
        <v>71</v>
      </c>
      <c r="C2715">
        <v>2023</v>
      </c>
      <c r="D2715">
        <v>12</v>
      </c>
      <c r="E2715" t="s">
        <v>57</v>
      </c>
      <c r="F2715" t="s">
        <v>26</v>
      </c>
      <c r="G2715">
        <v>38</v>
      </c>
      <c r="H2715" t="s">
        <v>18</v>
      </c>
      <c r="I2715">
        <v>43.3</v>
      </c>
      <c r="J2715">
        <v>54.99</v>
      </c>
      <c r="K2715">
        <v>234.67</v>
      </c>
      <c r="L2715">
        <v>0.5</v>
      </c>
      <c r="M2715">
        <v>332.96</v>
      </c>
      <c r="N2715">
        <v>333.46</v>
      </c>
    </row>
    <row r="2716" spans="1:14" x14ac:dyDescent="0.3">
      <c r="A2716" s="2">
        <v>45261</v>
      </c>
      <c r="B2716" t="s">
        <v>71</v>
      </c>
      <c r="C2716">
        <v>2023</v>
      </c>
      <c r="D2716">
        <v>12</v>
      </c>
      <c r="E2716" t="s">
        <v>57</v>
      </c>
      <c r="F2716" t="s">
        <v>27</v>
      </c>
      <c r="G2716">
        <v>7</v>
      </c>
      <c r="H2716" t="s">
        <v>18</v>
      </c>
      <c r="I2716">
        <v>1012.06</v>
      </c>
      <c r="J2716">
        <v>1204.79</v>
      </c>
      <c r="K2716">
        <v>2793.12</v>
      </c>
      <c r="L2716">
        <v>111.37</v>
      </c>
      <c r="M2716">
        <v>5009.97</v>
      </c>
      <c r="N2716">
        <v>5121.34</v>
      </c>
    </row>
    <row r="2717" spans="1:14" x14ac:dyDescent="0.3">
      <c r="A2717" s="2">
        <v>45261</v>
      </c>
      <c r="B2717" t="s">
        <v>71</v>
      </c>
      <c r="C2717">
        <v>2023</v>
      </c>
      <c r="D2717">
        <v>12</v>
      </c>
      <c r="E2717" t="s">
        <v>57</v>
      </c>
      <c r="F2717" t="s">
        <v>28</v>
      </c>
      <c r="G2717">
        <v>30</v>
      </c>
      <c r="H2717" t="s">
        <v>20</v>
      </c>
      <c r="I2717">
        <v>152.22</v>
      </c>
      <c r="J2717">
        <v>197.72</v>
      </c>
      <c r="K2717">
        <v>199.85</v>
      </c>
      <c r="L2717">
        <v>2.86</v>
      </c>
      <c r="M2717">
        <v>549.79</v>
      </c>
      <c r="N2717">
        <v>552.65</v>
      </c>
    </row>
    <row r="2718" spans="1:14" x14ac:dyDescent="0.3">
      <c r="A2718" s="2">
        <v>45261</v>
      </c>
      <c r="B2718" t="s">
        <v>71</v>
      </c>
      <c r="C2718">
        <v>2023</v>
      </c>
      <c r="D2718">
        <v>12</v>
      </c>
      <c r="E2718" t="s">
        <v>57</v>
      </c>
      <c r="F2718" t="s">
        <v>29</v>
      </c>
      <c r="G2718">
        <v>24</v>
      </c>
      <c r="H2718" t="s">
        <v>20</v>
      </c>
      <c r="I2718">
        <v>2801.72</v>
      </c>
      <c r="J2718">
        <v>3357.84</v>
      </c>
      <c r="K2718">
        <v>3044.73</v>
      </c>
      <c r="L2718">
        <v>669.96</v>
      </c>
      <c r="M2718">
        <v>9204.2900000000009</v>
      </c>
      <c r="N2718">
        <v>9874.25</v>
      </c>
    </row>
    <row r="2719" spans="1:14" x14ac:dyDescent="0.3">
      <c r="A2719" s="2">
        <v>45261</v>
      </c>
      <c r="B2719" t="s">
        <v>71</v>
      </c>
      <c r="C2719">
        <v>2023</v>
      </c>
      <c r="D2719">
        <v>12</v>
      </c>
      <c r="E2719" t="s">
        <v>57</v>
      </c>
      <c r="F2719" t="s">
        <v>30</v>
      </c>
      <c r="G2719">
        <v>6</v>
      </c>
      <c r="H2719" t="s">
        <v>20</v>
      </c>
      <c r="I2719">
        <v>1247.99</v>
      </c>
      <c r="J2719">
        <v>1577.16</v>
      </c>
      <c r="K2719">
        <v>4728.68</v>
      </c>
      <c r="L2719">
        <v>575.72</v>
      </c>
      <c r="M2719">
        <v>7553.83</v>
      </c>
      <c r="N2719">
        <v>8129.55</v>
      </c>
    </row>
    <row r="2720" spans="1:14" x14ac:dyDescent="0.3">
      <c r="A2720" s="2">
        <v>45261</v>
      </c>
      <c r="B2720" t="s">
        <v>71</v>
      </c>
      <c r="C2720">
        <v>2023</v>
      </c>
      <c r="D2720">
        <v>12</v>
      </c>
      <c r="E2720" t="s">
        <v>57</v>
      </c>
      <c r="F2720" t="s">
        <v>31</v>
      </c>
      <c r="G2720">
        <v>2</v>
      </c>
      <c r="H2720" t="s">
        <v>20</v>
      </c>
      <c r="I2720">
        <v>141.12</v>
      </c>
      <c r="J2720">
        <v>198.6</v>
      </c>
      <c r="K2720">
        <v>403.18</v>
      </c>
      <c r="L2720">
        <v>1.72</v>
      </c>
      <c r="M2720">
        <v>742.9</v>
      </c>
      <c r="N2720">
        <v>744.62</v>
      </c>
    </row>
    <row r="2721" spans="1:14" x14ac:dyDescent="0.3">
      <c r="A2721" s="2">
        <v>45261</v>
      </c>
      <c r="B2721" t="s">
        <v>71</v>
      </c>
      <c r="C2721">
        <v>2023</v>
      </c>
      <c r="D2721">
        <v>12</v>
      </c>
      <c r="E2721" t="s">
        <v>57</v>
      </c>
      <c r="F2721" t="s">
        <v>32</v>
      </c>
      <c r="G2721">
        <v>1</v>
      </c>
      <c r="H2721" t="s">
        <v>18</v>
      </c>
      <c r="I2721">
        <v>156.74</v>
      </c>
      <c r="J2721">
        <v>228.33</v>
      </c>
      <c r="K2721">
        <v>105.05</v>
      </c>
      <c r="L2721">
        <v>2.09</v>
      </c>
      <c r="M2721">
        <v>490.12</v>
      </c>
      <c r="N2721">
        <v>492.21</v>
      </c>
    </row>
    <row r="2722" spans="1:14" x14ac:dyDescent="0.3">
      <c r="A2722" s="2">
        <v>45261</v>
      </c>
      <c r="B2722" t="s">
        <v>71</v>
      </c>
      <c r="C2722">
        <v>2023</v>
      </c>
      <c r="D2722">
        <v>12</v>
      </c>
      <c r="E2722" t="s">
        <v>57</v>
      </c>
      <c r="F2722" t="s">
        <v>33</v>
      </c>
      <c r="G2722">
        <v>20</v>
      </c>
      <c r="H2722" t="s">
        <v>20</v>
      </c>
      <c r="I2722">
        <v>493.99</v>
      </c>
      <c r="J2722">
        <v>678.71</v>
      </c>
      <c r="K2722">
        <v>858.75</v>
      </c>
      <c r="L2722">
        <v>600.08000000000004</v>
      </c>
      <c r="M2722">
        <v>2031.45</v>
      </c>
      <c r="N2722">
        <v>2631.53</v>
      </c>
    </row>
    <row r="2723" spans="1:14" x14ac:dyDescent="0.3">
      <c r="A2723" s="2">
        <v>45261</v>
      </c>
      <c r="B2723" t="s">
        <v>71</v>
      </c>
      <c r="C2723">
        <v>2023</v>
      </c>
      <c r="D2723">
        <v>12</v>
      </c>
      <c r="E2723" t="s">
        <v>57</v>
      </c>
      <c r="F2723" t="s">
        <v>34</v>
      </c>
      <c r="G2723">
        <v>29</v>
      </c>
      <c r="H2723" t="s">
        <v>20</v>
      </c>
      <c r="I2723">
        <v>2696.45</v>
      </c>
      <c r="J2723">
        <v>3357.31</v>
      </c>
      <c r="K2723">
        <v>4371.53</v>
      </c>
      <c r="L2723">
        <v>1333.48</v>
      </c>
      <c r="M2723">
        <v>10425.290000000001</v>
      </c>
      <c r="N2723">
        <v>11758.77</v>
      </c>
    </row>
    <row r="2724" spans="1:14" x14ac:dyDescent="0.3">
      <c r="A2724" s="2">
        <v>45261</v>
      </c>
      <c r="B2724" t="s">
        <v>71</v>
      </c>
      <c r="C2724">
        <v>2023</v>
      </c>
      <c r="D2724">
        <v>12</v>
      </c>
      <c r="E2724" t="s">
        <v>57</v>
      </c>
      <c r="F2724" t="s">
        <v>35</v>
      </c>
      <c r="G2724">
        <v>32</v>
      </c>
      <c r="H2724" t="s">
        <v>20</v>
      </c>
      <c r="I2724">
        <v>865.21</v>
      </c>
      <c r="J2724">
        <v>1121.53</v>
      </c>
      <c r="K2724">
        <v>465.73</v>
      </c>
      <c r="L2724">
        <v>5.19</v>
      </c>
      <c r="M2724">
        <v>2452.4699999999998</v>
      </c>
      <c r="N2724">
        <v>2457.66</v>
      </c>
    </row>
    <row r="2725" spans="1:14" x14ac:dyDescent="0.3">
      <c r="A2725" s="2">
        <v>45261</v>
      </c>
      <c r="B2725" t="s">
        <v>71</v>
      </c>
      <c r="C2725">
        <v>2023</v>
      </c>
      <c r="D2725">
        <v>12</v>
      </c>
      <c r="E2725" t="s">
        <v>57</v>
      </c>
      <c r="F2725" t="s">
        <v>67</v>
      </c>
      <c r="G2725">
        <v>37</v>
      </c>
      <c r="H2725" t="s">
        <v>18</v>
      </c>
      <c r="I2725">
        <v>21.71</v>
      </c>
      <c r="J2725">
        <v>30.74</v>
      </c>
      <c r="K2725">
        <v>5.21</v>
      </c>
      <c r="L2725">
        <v>0.13</v>
      </c>
      <c r="M2725">
        <v>57.66</v>
      </c>
      <c r="N2725">
        <v>57.79</v>
      </c>
    </row>
    <row r="2726" spans="1:14" x14ac:dyDescent="0.3">
      <c r="A2726" s="2">
        <v>45261</v>
      </c>
      <c r="B2726" t="s">
        <v>71</v>
      </c>
      <c r="C2726">
        <v>2023</v>
      </c>
      <c r="D2726">
        <v>12</v>
      </c>
      <c r="E2726" t="s">
        <v>57</v>
      </c>
      <c r="F2726" t="s">
        <v>36</v>
      </c>
      <c r="G2726">
        <v>31</v>
      </c>
      <c r="H2726" t="s">
        <v>18</v>
      </c>
      <c r="I2726">
        <v>0.72</v>
      </c>
      <c r="J2726">
        <v>0.93</v>
      </c>
      <c r="K2726">
        <v>2.12</v>
      </c>
      <c r="L2726">
        <v>0</v>
      </c>
      <c r="M2726">
        <v>3.77</v>
      </c>
      <c r="N2726">
        <v>3.77</v>
      </c>
    </row>
    <row r="2727" spans="1:14" x14ac:dyDescent="0.3">
      <c r="A2727" s="2">
        <v>45261</v>
      </c>
      <c r="B2727" t="s">
        <v>71</v>
      </c>
      <c r="C2727">
        <v>2023</v>
      </c>
      <c r="D2727">
        <v>12</v>
      </c>
      <c r="E2727" t="s">
        <v>57</v>
      </c>
      <c r="F2727" t="s">
        <v>37</v>
      </c>
      <c r="G2727">
        <v>23</v>
      </c>
      <c r="H2727" t="s">
        <v>20</v>
      </c>
      <c r="I2727">
        <v>867.98</v>
      </c>
      <c r="J2727">
        <v>1110.45</v>
      </c>
      <c r="K2727">
        <v>792.36</v>
      </c>
      <c r="L2727">
        <v>652.07000000000005</v>
      </c>
      <c r="M2727">
        <v>2770.79</v>
      </c>
      <c r="N2727">
        <v>3422.86</v>
      </c>
    </row>
    <row r="2728" spans="1:14" x14ac:dyDescent="0.3">
      <c r="A2728" s="2">
        <v>45261</v>
      </c>
      <c r="B2728" t="s">
        <v>71</v>
      </c>
      <c r="C2728">
        <v>2023</v>
      </c>
      <c r="D2728">
        <v>12</v>
      </c>
      <c r="E2728" t="s">
        <v>57</v>
      </c>
      <c r="F2728" t="s">
        <v>38</v>
      </c>
      <c r="G2728">
        <v>27</v>
      </c>
      <c r="H2728" t="s">
        <v>20</v>
      </c>
      <c r="I2728">
        <v>7527.61</v>
      </c>
      <c r="J2728">
        <v>8606.43</v>
      </c>
      <c r="K2728">
        <v>8655.8700000000008</v>
      </c>
      <c r="L2728">
        <v>2024.42</v>
      </c>
      <c r="M2728">
        <v>24789.91</v>
      </c>
      <c r="N2728">
        <v>26814.33</v>
      </c>
    </row>
    <row r="2729" spans="1:14" x14ac:dyDescent="0.3">
      <c r="A2729" s="2">
        <v>45261</v>
      </c>
      <c r="B2729" t="s">
        <v>71</v>
      </c>
      <c r="C2729">
        <v>2023</v>
      </c>
      <c r="D2729">
        <v>12</v>
      </c>
      <c r="E2729" t="s">
        <v>57</v>
      </c>
      <c r="F2729" t="s">
        <v>39</v>
      </c>
      <c r="G2729">
        <v>14</v>
      </c>
      <c r="H2729" t="s">
        <v>20</v>
      </c>
      <c r="I2729">
        <v>18.53</v>
      </c>
      <c r="J2729">
        <v>25.12</v>
      </c>
      <c r="K2729">
        <v>6.2</v>
      </c>
      <c r="L2729">
        <v>0.05</v>
      </c>
      <c r="M2729">
        <v>49.85</v>
      </c>
      <c r="N2729">
        <v>49.9</v>
      </c>
    </row>
    <row r="2730" spans="1:14" x14ac:dyDescent="0.3">
      <c r="A2730" s="2">
        <v>45261</v>
      </c>
      <c r="B2730" t="s">
        <v>71</v>
      </c>
      <c r="C2730">
        <v>2023</v>
      </c>
      <c r="D2730">
        <v>12</v>
      </c>
      <c r="E2730" t="s">
        <v>57</v>
      </c>
      <c r="F2730" t="s">
        <v>40</v>
      </c>
      <c r="G2730">
        <v>17</v>
      </c>
      <c r="H2730" t="s">
        <v>20</v>
      </c>
      <c r="I2730">
        <v>35.07</v>
      </c>
      <c r="J2730">
        <v>44.48</v>
      </c>
      <c r="K2730">
        <v>88.93</v>
      </c>
      <c r="L2730">
        <v>2.8</v>
      </c>
      <c r="M2730">
        <v>168.48</v>
      </c>
      <c r="N2730">
        <v>171.28</v>
      </c>
    </row>
    <row r="2731" spans="1:14" x14ac:dyDescent="0.3">
      <c r="A2731" s="2">
        <v>45261</v>
      </c>
      <c r="B2731" t="s">
        <v>71</v>
      </c>
      <c r="C2731">
        <v>2023</v>
      </c>
      <c r="D2731">
        <v>12</v>
      </c>
      <c r="E2731" t="s">
        <v>57</v>
      </c>
      <c r="F2731" t="s">
        <v>41</v>
      </c>
      <c r="G2731">
        <v>15</v>
      </c>
      <c r="H2731" t="s">
        <v>20</v>
      </c>
      <c r="I2731">
        <v>10.02</v>
      </c>
      <c r="J2731">
        <v>14.7</v>
      </c>
      <c r="K2731">
        <v>2.02</v>
      </c>
      <c r="L2731">
        <v>0.1</v>
      </c>
      <c r="M2731">
        <v>26.74</v>
      </c>
      <c r="N2731">
        <v>26.84</v>
      </c>
    </row>
    <row r="2732" spans="1:14" x14ac:dyDescent="0.3">
      <c r="A2732" s="2">
        <v>45261</v>
      </c>
      <c r="B2732" t="s">
        <v>71</v>
      </c>
      <c r="C2732">
        <v>2023</v>
      </c>
      <c r="D2732">
        <v>12</v>
      </c>
      <c r="E2732" t="s">
        <v>57</v>
      </c>
      <c r="F2732" t="s">
        <v>42</v>
      </c>
      <c r="G2732">
        <v>13</v>
      </c>
      <c r="H2732" t="s">
        <v>20</v>
      </c>
      <c r="I2732">
        <v>15.46</v>
      </c>
      <c r="J2732">
        <v>19.760000000000002</v>
      </c>
      <c r="K2732">
        <v>7.43</v>
      </c>
      <c r="L2732">
        <v>2.96</v>
      </c>
      <c r="M2732">
        <v>42.65</v>
      </c>
      <c r="N2732">
        <v>45.61</v>
      </c>
    </row>
    <row r="2733" spans="1:14" x14ac:dyDescent="0.3">
      <c r="A2733" s="2">
        <v>45261</v>
      </c>
      <c r="B2733" t="s">
        <v>71</v>
      </c>
      <c r="C2733">
        <v>2023</v>
      </c>
      <c r="D2733">
        <v>12</v>
      </c>
      <c r="E2733" t="s">
        <v>57</v>
      </c>
      <c r="F2733" t="s">
        <v>43</v>
      </c>
      <c r="G2733">
        <v>21</v>
      </c>
      <c r="H2733" t="s">
        <v>20</v>
      </c>
      <c r="I2733">
        <v>1071.42</v>
      </c>
      <c r="J2733">
        <v>1276.83</v>
      </c>
      <c r="K2733">
        <v>1207.1099999999999</v>
      </c>
      <c r="L2733">
        <v>796.06</v>
      </c>
      <c r="M2733">
        <v>3555.36</v>
      </c>
      <c r="N2733">
        <v>4351.42</v>
      </c>
    </row>
    <row r="2734" spans="1:14" x14ac:dyDescent="0.3">
      <c r="A2734" s="2">
        <v>45261</v>
      </c>
      <c r="B2734" t="s">
        <v>71</v>
      </c>
      <c r="C2734">
        <v>2023</v>
      </c>
      <c r="D2734">
        <v>12</v>
      </c>
      <c r="E2734" t="s">
        <v>57</v>
      </c>
      <c r="F2734" t="s">
        <v>44</v>
      </c>
      <c r="G2734">
        <v>34</v>
      </c>
      <c r="H2734" t="s">
        <v>18</v>
      </c>
      <c r="I2734">
        <v>28.01</v>
      </c>
      <c r="J2734">
        <v>41.12</v>
      </c>
      <c r="K2734">
        <v>162.21</v>
      </c>
      <c r="L2734">
        <v>0.61</v>
      </c>
      <c r="M2734">
        <v>231.34</v>
      </c>
      <c r="N2734">
        <v>231.95</v>
      </c>
    </row>
    <row r="2735" spans="1:14" x14ac:dyDescent="0.3">
      <c r="A2735" s="2">
        <v>45261</v>
      </c>
      <c r="B2735" t="s">
        <v>71</v>
      </c>
      <c r="C2735">
        <v>2023</v>
      </c>
      <c r="D2735">
        <v>12</v>
      </c>
      <c r="E2735" t="s">
        <v>57</v>
      </c>
      <c r="F2735" t="s">
        <v>45</v>
      </c>
      <c r="G2735">
        <v>3</v>
      </c>
      <c r="H2735" t="s">
        <v>20</v>
      </c>
      <c r="I2735">
        <v>450.57</v>
      </c>
      <c r="J2735">
        <v>668.71</v>
      </c>
      <c r="K2735">
        <v>738.23</v>
      </c>
      <c r="L2735">
        <v>17.41</v>
      </c>
      <c r="M2735">
        <v>1857.51</v>
      </c>
      <c r="N2735">
        <v>1874.92</v>
      </c>
    </row>
    <row r="2736" spans="1:14" x14ac:dyDescent="0.3">
      <c r="A2736" s="2">
        <v>45261</v>
      </c>
      <c r="B2736" t="s">
        <v>71</v>
      </c>
      <c r="C2736">
        <v>2023</v>
      </c>
      <c r="D2736">
        <v>12</v>
      </c>
      <c r="E2736" t="s">
        <v>57</v>
      </c>
      <c r="F2736" t="s">
        <v>46</v>
      </c>
      <c r="G2736">
        <v>8</v>
      </c>
      <c r="H2736" t="s">
        <v>20</v>
      </c>
      <c r="I2736">
        <v>1077.08</v>
      </c>
      <c r="J2736">
        <v>1384.78</v>
      </c>
      <c r="K2736">
        <v>1191.1099999999999</v>
      </c>
      <c r="L2736">
        <v>174.56</v>
      </c>
      <c r="M2736">
        <v>3652.97</v>
      </c>
      <c r="N2736">
        <v>3827.53</v>
      </c>
    </row>
    <row r="2737" spans="1:14" x14ac:dyDescent="0.3">
      <c r="A2737" s="2">
        <v>45261</v>
      </c>
      <c r="B2737" t="s">
        <v>71</v>
      </c>
      <c r="C2737">
        <v>2023</v>
      </c>
      <c r="D2737">
        <v>12</v>
      </c>
      <c r="E2737" t="s">
        <v>57</v>
      </c>
      <c r="F2737" t="s">
        <v>47</v>
      </c>
      <c r="G2737">
        <v>11</v>
      </c>
      <c r="H2737" t="s">
        <v>20</v>
      </c>
      <c r="I2737">
        <v>17.32</v>
      </c>
      <c r="J2737">
        <v>20.48</v>
      </c>
      <c r="K2737">
        <v>215.86</v>
      </c>
      <c r="L2737">
        <v>0.01</v>
      </c>
      <c r="M2737">
        <v>253.66</v>
      </c>
      <c r="N2737">
        <v>253.67</v>
      </c>
    </row>
    <row r="2738" spans="1:14" x14ac:dyDescent="0.3">
      <c r="A2738" s="2">
        <v>45261</v>
      </c>
      <c r="B2738" t="s">
        <v>71</v>
      </c>
      <c r="C2738">
        <v>2023</v>
      </c>
      <c r="D2738">
        <v>12</v>
      </c>
      <c r="E2738" t="s">
        <v>57</v>
      </c>
      <c r="F2738" t="s">
        <v>48</v>
      </c>
      <c r="G2738">
        <v>33</v>
      </c>
      <c r="H2738" t="s">
        <v>20</v>
      </c>
      <c r="I2738">
        <v>2560.77</v>
      </c>
      <c r="J2738">
        <v>3283.37</v>
      </c>
      <c r="K2738">
        <v>3393.7</v>
      </c>
      <c r="L2738">
        <v>649.72</v>
      </c>
      <c r="M2738">
        <v>9237.84</v>
      </c>
      <c r="N2738">
        <v>9887.56</v>
      </c>
    </row>
    <row r="2739" spans="1:14" x14ac:dyDescent="0.3">
      <c r="A2739" s="2">
        <v>45261</v>
      </c>
      <c r="B2739" t="s">
        <v>71</v>
      </c>
      <c r="C2739">
        <v>2023</v>
      </c>
      <c r="D2739">
        <v>12</v>
      </c>
      <c r="E2739" t="s">
        <v>57</v>
      </c>
      <c r="F2739" t="s">
        <v>49</v>
      </c>
      <c r="G2739">
        <v>36</v>
      </c>
      <c r="H2739" t="s">
        <v>20</v>
      </c>
      <c r="I2739">
        <v>1246</v>
      </c>
      <c r="J2739">
        <v>1584.54</v>
      </c>
      <c r="K2739">
        <v>1365.19</v>
      </c>
      <c r="L2739">
        <v>557.16</v>
      </c>
      <c r="M2739">
        <v>4195.7299999999996</v>
      </c>
      <c r="N2739">
        <v>4752.8900000000003</v>
      </c>
    </row>
    <row r="2740" spans="1:14" x14ac:dyDescent="0.3">
      <c r="A2740" s="2">
        <v>45261</v>
      </c>
      <c r="B2740" t="s">
        <v>71</v>
      </c>
      <c r="C2740">
        <v>2023</v>
      </c>
      <c r="D2740">
        <v>12</v>
      </c>
      <c r="E2740" t="s">
        <v>57</v>
      </c>
      <c r="F2740" t="s">
        <v>50</v>
      </c>
      <c r="G2740">
        <v>16</v>
      </c>
      <c r="H2740" t="s">
        <v>20</v>
      </c>
      <c r="I2740">
        <v>29.45</v>
      </c>
      <c r="J2740">
        <v>40.47</v>
      </c>
      <c r="K2740">
        <v>9.26</v>
      </c>
      <c r="L2740">
        <v>0.06</v>
      </c>
      <c r="M2740">
        <v>79.180000000000007</v>
      </c>
      <c r="N2740">
        <v>79.239999999999995</v>
      </c>
    </row>
    <row r="2741" spans="1:14" x14ac:dyDescent="0.3">
      <c r="A2741" s="2">
        <v>45261</v>
      </c>
      <c r="B2741" t="s">
        <v>71</v>
      </c>
      <c r="C2741">
        <v>2023</v>
      </c>
      <c r="D2741">
        <v>12</v>
      </c>
      <c r="E2741" t="s">
        <v>57</v>
      </c>
      <c r="F2741" t="s">
        <v>51</v>
      </c>
      <c r="G2741">
        <v>9</v>
      </c>
      <c r="H2741" t="s">
        <v>20</v>
      </c>
      <c r="I2741">
        <v>1833.84</v>
      </c>
      <c r="J2741">
        <v>2539.3200000000002</v>
      </c>
      <c r="K2741">
        <v>2314.44</v>
      </c>
      <c r="L2741">
        <v>1323</v>
      </c>
      <c r="M2741">
        <v>6687.6</v>
      </c>
      <c r="N2741">
        <v>8010.6</v>
      </c>
    </row>
    <row r="2742" spans="1:14" x14ac:dyDescent="0.3">
      <c r="A2742" s="2">
        <v>45261</v>
      </c>
      <c r="B2742" t="s">
        <v>71</v>
      </c>
      <c r="C2742">
        <v>2023</v>
      </c>
      <c r="D2742">
        <v>12</v>
      </c>
      <c r="E2742" t="s">
        <v>57</v>
      </c>
      <c r="F2742" t="s">
        <v>52</v>
      </c>
      <c r="G2742">
        <v>5</v>
      </c>
      <c r="H2742" t="s">
        <v>20</v>
      </c>
      <c r="I2742">
        <v>294.06</v>
      </c>
      <c r="J2742">
        <v>421.38</v>
      </c>
      <c r="K2742">
        <v>744.4</v>
      </c>
      <c r="L2742">
        <v>9.83</v>
      </c>
      <c r="M2742">
        <v>1459.84</v>
      </c>
      <c r="N2742">
        <v>1469.67</v>
      </c>
    </row>
    <row r="2743" spans="1:14" x14ac:dyDescent="0.3">
      <c r="A2743" s="2">
        <v>45261</v>
      </c>
      <c r="B2743" t="s">
        <v>71</v>
      </c>
      <c r="C2743">
        <v>2023</v>
      </c>
      <c r="D2743">
        <v>12</v>
      </c>
      <c r="E2743" t="s">
        <v>57</v>
      </c>
      <c r="F2743" t="s">
        <v>53</v>
      </c>
      <c r="G2743">
        <v>19</v>
      </c>
      <c r="H2743" t="s">
        <v>20</v>
      </c>
      <c r="I2743">
        <v>1519.56</v>
      </c>
      <c r="J2743">
        <v>1827.76</v>
      </c>
      <c r="K2743">
        <v>1281.08</v>
      </c>
      <c r="L2743">
        <v>390.33</v>
      </c>
      <c r="M2743">
        <v>4628.3999999999996</v>
      </c>
      <c r="N2743">
        <v>5018.7299999999996</v>
      </c>
    </row>
    <row r="2744" spans="1:14" x14ac:dyDescent="0.3">
      <c r="A2744" s="2">
        <v>45292</v>
      </c>
      <c r="B2744" t="s">
        <v>71</v>
      </c>
      <c r="C2744">
        <v>2024</v>
      </c>
      <c r="D2744">
        <v>1</v>
      </c>
      <c r="E2744" t="s">
        <v>58</v>
      </c>
      <c r="F2744" t="s">
        <v>17</v>
      </c>
      <c r="G2744">
        <v>35</v>
      </c>
      <c r="H2744" t="s">
        <v>18</v>
      </c>
      <c r="I2744">
        <v>12.67</v>
      </c>
      <c r="J2744">
        <v>16.489999999999998</v>
      </c>
      <c r="K2744">
        <v>5.29</v>
      </c>
      <c r="L2744">
        <v>0.05</v>
      </c>
      <c r="M2744">
        <v>34.450000000000003</v>
      </c>
      <c r="N2744">
        <v>34.5</v>
      </c>
    </row>
    <row r="2745" spans="1:14" x14ac:dyDescent="0.3">
      <c r="A2745" s="2">
        <v>45292</v>
      </c>
      <c r="B2745" t="s">
        <v>71</v>
      </c>
      <c r="C2745">
        <v>2024</v>
      </c>
      <c r="D2745">
        <v>1</v>
      </c>
      <c r="E2745" t="s">
        <v>58</v>
      </c>
      <c r="F2745" t="s">
        <v>19</v>
      </c>
      <c r="G2745">
        <v>28</v>
      </c>
      <c r="H2745" t="s">
        <v>20</v>
      </c>
      <c r="I2745">
        <v>866.79</v>
      </c>
      <c r="J2745">
        <v>1143.1199999999999</v>
      </c>
      <c r="K2745">
        <v>1317.46</v>
      </c>
      <c r="L2745">
        <v>259.87</v>
      </c>
      <c r="M2745">
        <v>3327.37</v>
      </c>
      <c r="N2745">
        <v>3587.24</v>
      </c>
    </row>
    <row r="2746" spans="1:14" x14ac:dyDescent="0.3">
      <c r="A2746" s="2">
        <v>45292</v>
      </c>
      <c r="B2746" t="s">
        <v>71</v>
      </c>
      <c r="C2746">
        <v>2024</v>
      </c>
      <c r="D2746">
        <v>1</v>
      </c>
      <c r="E2746" t="s">
        <v>58</v>
      </c>
      <c r="F2746" t="s">
        <v>21</v>
      </c>
      <c r="G2746">
        <v>12</v>
      </c>
      <c r="H2746" t="s">
        <v>20</v>
      </c>
      <c r="I2746">
        <v>28.83</v>
      </c>
      <c r="J2746">
        <v>35.79</v>
      </c>
      <c r="K2746">
        <v>12.18</v>
      </c>
      <c r="L2746">
        <v>0.09</v>
      </c>
      <c r="M2746">
        <v>76.8</v>
      </c>
      <c r="N2746">
        <v>76.89</v>
      </c>
    </row>
    <row r="2747" spans="1:14" x14ac:dyDescent="0.3">
      <c r="A2747" s="2">
        <v>45292</v>
      </c>
      <c r="B2747" t="s">
        <v>71</v>
      </c>
      <c r="C2747">
        <v>2024</v>
      </c>
      <c r="D2747">
        <v>1</v>
      </c>
      <c r="E2747" t="s">
        <v>58</v>
      </c>
      <c r="F2747" t="s">
        <v>22</v>
      </c>
      <c r="G2747">
        <v>18</v>
      </c>
      <c r="H2747" t="s">
        <v>20</v>
      </c>
      <c r="I2747">
        <v>419.28</v>
      </c>
      <c r="J2747">
        <v>559.80999999999995</v>
      </c>
      <c r="K2747">
        <v>296.98</v>
      </c>
      <c r="L2747">
        <v>96.65</v>
      </c>
      <c r="M2747">
        <v>1276.07</v>
      </c>
      <c r="N2747">
        <v>1372.72</v>
      </c>
    </row>
    <row r="2748" spans="1:14" x14ac:dyDescent="0.3">
      <c r="A2748" s="2">
        <v>45292</v>
      </c>
      <c r="B2748" t="s">
        <v>71</v>
      </c>
      <c r="C2748">
        <v>2024</v>
      </c>
      <c r="D2748">
        <v>1</v>
      </c>
      <c r="E2748" t="s">
        <v>58</v>
      </c>
      <c r="F2748" t="s">
        <v>23</v>
      </c>
      <c r="G2748">
        <v>10</v>
      </c>
      <c r="H2748" t="s">
        <v>20</v>
      </c>
      <c r="I2748">
        <v>421.19</v>
      </c>
      <c r="J2748">
        <v>721.14</v>
      </c>
      <c r="K2748">
        <v>261.39999999999998</v>
      </c>
      <c r="L2748">
        <v>161.35</v>
      </c>
      <c r="M2748">
        <v>1403.73</v>
      </c>
      <c r="N2748">
        <v>1565.08</v>
      </c>
    </row>
    <row r="2749" spans="1:14" x14ac:dyDescent="0.3">
      <c r="A2749" s="2">
        <v>45292</v>
      </c>
      <c r="B2749" t="s">
        <v>71</v>
      </c>
      <c r="C2749">
        <v>2024</v>
      </c>
      <c r="D2749">
        <v>1</v>
      </c>
      <c r="E2749" t="s">
        <v>58</v>
      </c>
      <c r="F2749" t="s">
        <v>24</v>
      </c>
      <c r="G2749">
        <v>4</v>
      </c>
      <c r="H2749" t="s">
        <v>18</v>
      </c>
      <c r="I2749">
        <v>51.96</v>
      </c>
      <c r="J2749">
        <v>72.16</v>
      </c>
      <c r="K2749">
        <v>122.36</v>
      </c>
      <c r="L2749">
        <v>5.09</v>
      </c>
      <c r="M2749">
        <v>246.48</v>
      </c>
      <c r="N2749">
        <v>251.57</v>
      </c>
    </row>
    <row r="2750" spans="1:14" x14ac:dyDescent="0.3">
      <c r="A2750" s="2">
        <v>45292</v>
      </c>
      <c r="B2750" t="s">
        <v>71</v>
      </c>
      <c r="C2750">
        <v>2024</v>
      </c>
      <c r="D2750">
        <v>1</v>
      </c>
      <c r="E2750" t="s">
        <v>58</v>
      </c>
      <c r="F2750" t="s">
        <v>25</v>
      </c>
      <c r="G2750">
        <v>22</v>
      </c>
      <c r="H2750" t="s">
        <v>20</v>
      </c>
      <c r="I2750">
        <v>587.4</v>
      </c>
      <c r="J2750">
        <v>700.6</v>
      </c>
      <c r="K2750">
        <v>1015.21</v>
      </c>
      <c r="L2750">
        <v>645.33000000000004</v>
      </c>
      <c r="M2750">
        <v>2303.21</v>
      </c>
      <c r="N2750">
        <v>2948.54</v>
      </c>
    </row>
    <row r="2751" spans="1:14" x14ac:dyDescent="0.3">
      <c r="A2751" s="2">
        <v>45292</v>
      </c>
      <c r="B2751" t="s">
        <v>71</v>
      </c>
      <c r="C2751">
        <v>2024</v>
      </c>
      <c r="D2751">
        <v>1</v>
      </c>
      <c r="E2751" t="s">
        <v>58</v>
      </c>
      <c r="F2751" t="s">
        <v>26</v>
      </c>
      <c r="G2751">
        <v>38</v>
      </c>
      <c r="H2751" t="s">
        <v>18</v>
      </c>
      <c r="I2751">
        <v>45.57</v>
      </c>
      <c r="J2751">
        <v>57.35</v>
      </c>
      <c r="K2751">
        <v>293.48</v>
      </c>
      <c r="L2751">
        <v>0.1</v>
      </c>
      <c r="M2751">
        <v>396.4</v>
      </c>
      <c r="N2751">
        <v>396.5</v>
      </c>
    </row>
    <row r="2752" spans="1:14" x14ac:dyDescent="0.3">
      <c r="A2752" s="2">
        <v>45292</v>
      </c>
      <c r="B2752" t="s">
        <v>71</v>
      </c>
      <c r="C2752">
        <v>2024</v>
      </c>
      <c r="D2752">
        <v>1</v>
      </c>
      <c r="E2752" t="s">
        <v>58</v>
      </c>
      <c r="F2752" t="s">
        <v>27</v>
      </c>
      <c r="G2752">
        <v>7</v>
      </c>
      <c r="H2752" t="s">
        <v>18</v>
      </c>
      <c r="I2752">
        <v>1151.74</v>
      </c>
      <c r="J2752">
        <v>1389.93</v>
      </c>
      <c r="K2752">
        <v>3101.1</v>
      </c>
      <c r="L2752">
        <v>131.4</v>
      </c>
      <c r="M2752">
        <v>5642.77</v>
      </c>
      <c r="N2752">
        <v>5774.17</v>
      </c>
    </row>
    <row r="2753" spans="1:14" x14ac:dyDescent="0.3">
      <c r="A2753" s="2">
        <v>45292</v>
      </c>
      <c r="B2753" t="s">
        <v>71</v>
      </c>
      <c r="C2753">
        <v>2024</v>
      </c>
      <c r="D2753">
        <v>1</v>
      </c>
      <c r="E2753" t="s">
        <v>58</v>
      </c>
      <c r="F2753" t="s">
        <v>28</v>
      </c>
      <c r="G2753">
        <v>30</v>
      </c>
      <c r="H2753" t="s">
        <v>20</v>
      </c>
      <c r="I2753">
        <v>171.97</v>
      </c>
      <c r="J2753">
        <v>228.97</v>
      </c>
      <c r="K2753">
        <v>180.58</v>
      </c>
      <c r="L2753">
        <v>5.37</v>
      </c>
      <c r="M2753">
        <v>581.52</v>
      </c>
      <c r="N2753">
        <v>586.89</v>
      </c>
    </row>
    <row r="2754" spans="1:14" x14ac:dyDescent="0.3">
      <c r="A2754" s="2">
        <v>45292</v>
      </c>
      <c r="B2754" t="s">
        <v>71</v>
      </c>
      <c r="C2754">
        <v>2024</v>
      </c>
      <c r="D2754">
        <v>1</v>
      </c>
      <c r="E2754" t="s">
        <v>58</v>
      </c>
      <c r="F2754" t="s">
        <v>29</v>
      </c>
      <c r="G2754">
        <v>24</v>
      </c>
      <c r="H2754" t="s">
        <v>20</v>
      </c>
      <c r="I2754">
        <v>3033.7</v>
      </c>
      <c r="J2754">
        <v>3627.27</v>
      </c>
      <c r="K2754">
        <v>3610.59</v>
      </c>
      <c r="L2754">
        <v>695.9</v>
      </c>
      <c r="M2754">
        <v>10271.56</v>
      </c>
      <c r="N2754">
        <v>10967.46</v>
      </c>
    </row>
    <row r="2755" spans="1:14" x14ac:dyDescent="0.3">
      <c r="A2755" s="2">
        <v>45292</v>
      </c>
      <c r="B2755" t="s">
        <v>71</v>
      </c>
      <c r="C2755">
        <v>2024</v>
      </c>
      <c r="D2755">
        <v>1</v>
      </c>
      <c r="E2755" t="s">
        <v>58</v>
      </c>
      <c r="F2755" t="s">
        <v>30</v>
      </c>
      <c r="G2755">
        <v>6</v>
      </c>
      <c r="H2755" t="s">
        <v>20</v>
      </c>
      <c r="I2755">
        <v>1466.22</v>
      </c>
      <c r="J2755">
        <v>1855.13</v>
      </c>
      <c r="K2755">
        <v>5719.89</v>
      </c>
      <c r="L2755">
        <v>580.52</v>
      </c>
      <c r="M2755">
        <v>9041.24</v>
      </c>
      <c r="N2755">
        <v>9621.76</v>
      </c>
    </row>
    <row r="2756" spans="1:14" x14ac:dyDescent="0.3">
      <c r="A2756" s="2">
        <v>45292</v>
      </c>
      <c r="B2756" t="s">
        <v>71</v>
      </c>
      <c r="C2756">
        <v>2024</v>
      </c>
      <c r="D2756">
        <v>1</v>
      </c>
      <c r="E2756" t="s">
        <v>58</v>
      </c>
      <c r="F2756" t="s">
        <v>31</v>
      </c>
      <c r="G2756">
        <v>2</v>
      </c>
      <c r="H2756" t="s">
        <v>20</v>
      </c>
      <c r="I2756">
        <v>168.2</v>
      </c>
      <c r="J2756">
        <v>238.15</v>
      </c>
      <c r="K2756">
        <v>466.29</v>
      </c>
      <c r="L2756">
        <v>1.94</v>
      </c>
      <c r="M2756">
        <v>872.64</v>
      </c>
      <c r="N2756">
        <v>874.58</v>
      </c>
    </row>
    <row r="2757" spans="1:14" x14ac:dyDescent="0.3">
      <c r="A2757" s="2">
        <v>45292</v>
      </c>
      <c r="B2757" t="s">
        <v>71</v>
      </c>
      <c r="C2757">
        <v>2024</v>
      </c>
      <c r="D2757">
        <v>1</v>
      </c>
      <c r="E2757" t="s">
        <v>58</v>
      </c>
      <c r="F2757" t="s">
        <v>32</v>
      </c>
      <c r="G2757">
        <v>1</v>
      </c>
      <c r="H2757" t="s">
        <v>18</v>
      </c>
      <c r="I2757">
        <v>175.19</v>
      </c>
      <c r="J2757">
        <v>260.64</v>
      </c>
      <c r="K2757">
        <v>127.75</v>
      </c>
      <c r="L2757">
        <v>3.05</v>
      </c>
      <c r="M2757">
        <v>563.58000000000004</v>
      </c>
      <c r="N2757">
        <v>566.63</v>
      </c>
    </row>
    <row r="2758" spans="1:14" x14ac:dyDescent="0.3">
      <c r="A2758" s="2">
        <v>45292</v>
      </c>
      <c r="B2758" t="s">
        <v>71</v>
      </c>
      <c r="C2758">
        <v>2024</v>
      </c>
      <c r="D2758">
        <v>1</v>
      </c>
      <c r="E2758" t="s">
        <v>58</v>
      </c>
      <c r="F2758" t="s">
        <v>33</v>
      </c>
      <c r="G2758">
        <v>20</v>
      </c>
      <c r="H2758" t="s">
        <v>20</v>
      </c>
      <c r="I2758">
        <v>504.9</v>
      </c>
      <c r="J2758">
        <v>682.61</v>
      </c>
      <c r="K2758">
        <v>1269.6600000000001</v>
      </c>
      <c r="L2758">
        <v>636.16</v>
      </c>
      <c r="M2758">
        <v>2457.17</v>
      </c>
      <c r="N2758">
        <v>3093.33</v>
      </c>
    </row>
    <row r="2759" spans="1:14" x14ac:dyDescent="0.3">
      <c r="A2759" s="2">
        <v>45292</v>
      </c>
      <c r="B2759" t="s">
        <v>71</v>
      </c>
      <c r="C2759">
        <v>2024</v>
      </c>
      <c r="D2759">
        <v>1</v>
      </c>
      <c r="E2759" t="s">
        <v>58</v>
      </c>
      <c r="F2759" t="s">
        <v>34</v>
      </c>
      <c r="G2759">
        <v>29</v>
      </c>
      <c r="H2759" t="s">
        <v>20</v>
      </c>
      <c r="I2759">
        <v>3045.55</v>
      </c>
      <c r="J2759">
        <v>3715.29</v>
      </c>
      <c r="K2759">
        <v>5234.6099999999997</v>
      </c>
      <c r="L2759">
        <v>1324.8</v>
      </c>
      <c r="M2759">
        <v>11995.45</v>
      </c>
      <c r="N2759">
        <v>13320.25</v>
      </c>
    </row>
    <row r="2760" spans="1:14" x14ac:dyDescent="0.3">
      <c r="A2760" s="2">
        <v>45292</v>
      </c>
      <c r="B2760" t="s">
        <v>71</v>
      </c>
      <c r="C2760">
        <v>2024</v>
      </c>
      <c r="D2760">
        <v>1</v>
      </c>
      <c r="E2760" t="s">
        <v>58</v>
      </c>
      <c r="F2760" t="s">
        <v>35</v>
      </c>
      <c r="G2760">
        <v>32</v>
      </c>
      <c r="H2760" t="s">
        <v>20</v>
      </c>
      <c r="I2760">
        <v>958.29</v>
      </c>
      <c r="J2760">
        <v>1285.5899999999999</v>
      </c>
      <c r="K2760">
        <v>523.97</v>
      </c>
      <c r="L2760">
        <v>8.52</v>
      </c>
      <c r="M2760">
        <v>2767.85</v>
      </c>
      <c r="N2760">
        <v>2776.37</v>
      </c>
    </row>
    <row r="2761" spans="1:14" x14ac:dyDescent="0.3">
      <c r="A2761" s="2">
        <v>45292</v>
      </c>
      <c r="B2761" t="s">
        <v>71</v>
      </c>
      <c r="C2761">
        <v>2024</v>
      </c>
      <c r="D2761">
        <v>1</v>
      </c>
      <c r="E2761" t="s">
        <v>58</v>
      </c>
      <c r="F2761" t="s">
        <v>67</v>
      </c>
      <c r="G2761">
        <v>37</v>
      </c>
      <c r="H2761" t="s">
        <v>18</v>
      </c>
      <c r="I2761">
        <v>18.84</v>
      </c>
      <c r="J2761">
        <v>26.05</v>
      </c>
      <c r="K2761">
        <v>4.22</v>
      </c>
      <c r="L2761">
        <v>7.0000000000000007E-2</v>
      </c>
      <c r="M2761">
        <v>49.11</v>
      </c>
      <c r="N2761">
        <v>49.18</v>
      </c>
    </row>
    <row r="2762" spans="1:14" x14ac:dyDescent="0.3">
      <c r="A2762" s="2">
        <v>45292</v>
      </c>
      <c r="B2762" t="s">
        <v>71</v>
      </c>
      <c r="C2762">
        <v>2024</v>
      </c>
      <c r="D2762">
        <v>1</v>
      </c>
      <c r="E2762" t="s">
        <v>58</v>
      </c>
      <c r="F2762" t="s">
        <v>36</v>
      </c>
      <c r="G2762">
        <v>31</v>
      </c>
      <c r="H2762" t="s">
        <v>18</v>
      </c>
      <c r="I2762">
        <v>0.12</v>
      </c>
      <c r="J2762">
        <v>0.15</v>
      </c>
      <c r="K2762">
        <v>1.1399999999999999</v>
      </c>
      <c r="L2762">
        <v>0</v>
      </c>
      <c r="M2762">
        <v>1.41</v>
      </c>
      <c r="N2762">
        <v>1.41</v>
      </c>
    </row>
    <row r="2763" spans="1:14" x14ac:dyDescent="0.3">
      <c r="A2763" s="2">
        <v>45292</v>
      </c>
      <c r="B2763" t="s">
        <v>71</v>
      </c>
      <c r="C2763">
        <v>2024</v>
      </c>
      <c r="D2763">
        <v>1</v>
      </c>
      <c r="E2763" t="s">
        <v>58</v>
      </c>
      <c r="F2763" t="s">
        <v>37</v>
      </c>
      <c r="G2763">
        <v>23</v>
      </c>
      <c r="H2763" t="s">
        <v>20</v>
      </c>
      <c r="I2763">
        <v>917.95</v>
      </c>
      <c r="J2763">
        <v>1152.45</v>
      </c>
      <c r="K2763">
        <v>989.98</v>
      </c>
      <c r="L2763">
        <v>633.29999999999995</v>
      </c>
      <c r="M2763">
        <v>3060.38</v>
      </c>
      <c r="N2763">
        <v>3693.68</v>
      </c>
    </row>
    <row r="2764" spans="1:14" x14ac:dyDescent="0.3">
      <c r="A2764" s="2">
        <v>45292</v>
      </c>
      <c r="B2764" t="s">
        <v>71</v>
      </c>
      <c r="C2764">
        <v>2024</v>
      </c>
      <c r="D2764">
        <v>1</v>
      </c>
      <c r="E2764" t="s">
        <v>58</v>
      </c>
      <c r="F2764" t="s">
        <v>38</v>
      </c>
      <c r="G2764">
        <v>27</v>
      </c>
      <c r="H2764" t="s">
        <v>20</v>
      </c>
      <c r="I2764">
        <v>7415.45</v>
      </c>
      <c r="J2764">
        <v>8524.74</v>
      </c>
      <c r="K2764">
        <v>10330.219999999999</v>
      </c>
      <c r="L2764">
        <v>2071.5700000000002</v>
      </c>
      <c r="M2764">
        <v>26270.41</v>
      </c>
      <c r="N2764">
        <v>28341.98</v>
      </c>
    </row>
    <row r="2765" spans="1:14" x14ac:dyDescent="0.3">
      <c r="A2765" s="2">
        <v>45292</v>
      </c>
      <c r="B2765" t="s">
        <v>71</v>
      </c>
      <c r="C2765">
        <v>2024</v>
      </c>
      <c r="D2765">
        <v>1</v>
      </c>
      <c r="E2765" t="s">
        <v>58</v>
      </c>
      <c r="F2765" t="s">
        <v>39</v>
      </c>
      <c r="G2765">
        <v>14</v>
      </c>
      <c r="H2765" t="s">
        <v>20</v>
      </c>
      <c r="I2765">
        <v>18.16</v>
      </c>
      <c r="J2765">
        <v>27.83</v>
      </c>
      <c r="K2765">
        <v>9.8699999999999992</v>
      </c>
      <c r="L2765">
        <v>0.56000000000000005</v>
      </c>
      <c r="M2765">
        <v>55.86</v>
      </c>
      <c r="N2765">
        <v>56.42</v>
      </c>
    </row>
    <row r="2766" spans="1:14" x14ac:dyDescent="0.3">
      <c r="A2766" s="2">
        <v>45292</v>
      </c>
      <c r="B2766" t="s">
        <v>71</v>
      </c>
      <c r="C2766">
        <v>2024</v>
      </c>
      <c r="D2766">
        <v>1</v>
      </c>
      <c r="E2766" t="s">
        <v>58</v>
      </c>
      <c r="F2766" t="s">
        <v>40</v>
      </c>
      <c r="G2766">
        <v>17</v>
      </c>
      <c r="H2766" t="s">
        <v>20</v>
      </c>
      <c r="I2766">
        <v>43.7</v>
      </c>
      <c r="J2766">
        <v>58.93</v>
      </c>
      <c r="K2766">
        <v>97.2</v>
      </c>
      <c r="L2766">
        <v>0.56000000000000005</v>
      </c>
      <c r="M2766">
        <v>199.83</v>
      </c>
      <c r="N2766">
        <v>200.39</v>
      </c>
    </row>
    <row r="2767" spans="1:14" x14ac:dyDescent="0.3">
      <c r="A2767" s="2">
        <v>45292</v>
      </c>
      <c r="B2767" t="s">
        <v>71</v>
      </c>
      <c r="C2767">
        <v>2024</v>
      </c>
      <c r="D2767">
        <v>1</v>
      </c>
      <c r="E2767" t="s">
        <v>58</v>
      </c>
      <c r="F2767" t="s">
        <v>41</v>
      </c>
      <c r="G2767">
        <v>15</v>
      </c>
      <c r="H2767" t="s">
        <v>20</v>
      </c>
      <c r="I2767">
        <v>15.09</v>
      </c>
      <c r="J2767">
        <v>20.69</v>
      </c>
      <c r="K2767">
        <v>2.85</v>
      </c>
      <c r="L2767">
        <v>0.05</v>
      </c>
      <c r="M2767">
        <v>38.630000000000003</v>
      </c>
      <c r="N2767">
        <v>38.68</v>
      </c>
    </row>
    <row r="2768" spans="1:14" x14ac:dyDescent="0.3">
      <c r="A2768" s="2">
        <v>45292</v>
      </c>
      <c r="B2768" t="s">
        <v>71</v>
      </c>
      <c r="C2768">
        <v>2024</v>
      </c>
      <c r="D2768">
        <v>1</v>
      </c>
      <c r="E2768" t="s">
        <v>58</v>
      </c>
      <c r="F2768" t="s">
        <v>42</v>
      </c>
      <c r="G2768">
        <v>13</v>
      </c>
      <c r="H2768" t="s">
        <v>20</v>
      </c>
      <c r="I2768">
        <v>16.64</v>
      </c>
      <c r="J2768">
        <v>22.73</v>
      </c>
      <c r="K2768">
        <v>8.19</v>
      </c>
      <c r="L2768">
        <v>3.59</v>
      </c>
      <c r="M2768">
        <v>47.56</v>
      </c>
      <c r="N2768">
        <v>51.15</v>
      </c>
    </row>
    <row r="2769" spans="1:14" x14ac:dyDescent="0.3">
      <c r="A2769" s="2">
        <v>45292</v>
      </c>
      <c r="B2769" t="s">
        <v>71</v>
      </c>
      <c r="C2769">
        <v>2024</v>
      </c>
      <c r="D2769">
        <v>1</v>
      </c>
      <c r="E2769" t="s">
        <v>58</v>
      </c>
      <c r="F2769" t="s">
        <v>43</v>
      </c>
      <c r="G2769">
        <v>21</v>
      </c>
      <c r="H2769" t="s">
        <v>20</v>
      </c>
      <c r="I2769">
        <v>1186.99</v>
      </c>
      <c r="J2769">
        <v>1428.72</v>
      </c>
      <c r="K2769">
        <v>1485.86</v>
      </c>
      <c r="L2769">
        <v>861.59</v>
      </c>
      <c r="M2769">
        <v>4101.57</v>
      </c>
      <c r="N2769">
        <v>4963.16</v>
      </c>
    </row>
    <row r="2770" spans="1:14" x14ac:dyDescent="0.3">
      <c r="A2770" s="2">
        <v>45292</v>
      </c>
      <c r="B2770" t="s">
        <v>71</v>
      </c>
      <c r="C2770">
        <v>2024</v>
      </c>
      <c r="D2770">
        <v>1</v>
      </c>
      <c r="E2770" t="s">
        <v>58</v>
      </c>
      <c r="F2770" t="s">
        <v>44</v>
      </c>
      <c r="G2770">
        <v>34</v>
      </c>
      <c r="H2770" t="s">
        <v>18</v>
      </c>
      <c r="I2770">
        <v>31.45</v>
      </c>
      <c r="J2770">
        <v>53.7</v>
      </c>
      <c r="K2770">
        <v>150.21</v>
      </c>
      <c r="L2770">
        <v>1.93</v>
      </c>
      <c r="M2770">
        <v>235.36</v>
      </c>
      <c r="N2770">
        <v>237.29</v>
      </c>
    </row>
    <row r="2771" spans="1:14" x14ac:dyDescent="0.3">
      <c r="A2771" s="2">
        <v>45292</v>
      </c>
      <c r="B2771" t="s">
        <v>71</v>
      </c>
      <c r="C2771">
        <v>2024</v>
      </c>
      <c r="D2771">
        <v>1</v>
      </c>
      <c r="E2771" t="s">
        <v>58</v>
      </c>
      <c r="F2771" t="s">
        <v>45</v>
      </c>
      <c r="G2771">
        <v>3</v>
      </c>
      <c r="H2771" t="s">
        <v>20</v>
      </c>
      <c r="I2771">
        <v>539.02</v>
      </c>
      <c r="J2771">
        <v>777.29</v>
      </c>
      <c r="K2771">
        <v>847.71</v>
      </c>
      <c r="L2771">
        <v>25.07</v>
      </c>
      <c r="M2771">
        <v>2164.02</v>
      </c>
      <c r="N2771">
        <v>2189.09</v>
      </c>
    </row>
    <row r="2772" spans="1:14" x14ac:dyDescent="0.3">
      <c r="A2772" s="2">
        <v>45292</v>
      </c>
      <c r="B2772" t="s">
        <v>71</v>
      </c>
      <c r="C2772">
        <v>2024</v>
      </c>
      <c r="D2772">
        <v>1</v>
      </c>
      <c r="E2772" t="s">
        <v>58</v>
      </c>
      <c r="F2772" t="s">
        <v>46</v>
      </c>
      <c r="G2772">
        <v>8</v>
      </c>
      <c r="H2772" t="s">
        <v>20</v>
      </c>
      <c r="I2772">
        <v>1270.8499999999999</v>
      </c>
      <c r="J2772">
        <v>1601.07</v>
      </c>
      <c r="K2772">
        <v>1477.37</v>
      </c>
      <c r="L2772">
        <v>175.88</v>
      </c>
      <c r="M2772">
        <v>4349.29</v>
      </c>
      <c r="N2772">
        <v>4525.17</v>
      </c>
    </row>
    <row r="2773" spans="1:14" x14ac:dyDescent="0.3">
      <c r="A2773" s="2">
        <v>45292</v>
      </c>
      <c r="B2773" t="s">
        <v>71</v>
      </c>
      <c r="C2773">
        <v>2024</v>
      </c>
      <c r="D2773">
        <v>1</v>
      </c>
      <c r="E2773" t="s">
        <v>58</v>
      </c>
      <c r="F2773" t="s">
        <v>47</v>
      </c>
      <c r="G2773">
        <v>11</v>
      </c>
      <c r="H2773" t="s">
        <v>20</v>
      </c>
      <c r="I2773">
        <v>19.32</v>
      </c>
      <c r="J2773">
        <v>22.89</v>
      </c>
      <c r="K2773">
        <v>252.87</v>
      </c>
      <c r="L2773">
        <v>0.1</v>
      </c>
      <c r="M2773">
        <v>295.08</v>
      </c>
      <c r="N2773">
        <v>295.18</v>
      </c>
    </row>
    <row r="2774" spans="1:14" x14ac:dyDescent="0.3">
      <c r="A2774" s="2">
        <v>45292</v>
      </c>
      <c r="B2774" t="s">
        <v>71</v>
      </c>
      <c r="C2774">
        <v>2024</v>
      </c>
      <c r="D2774">
        <v>1</v>
      </c>
      <c r="E2774" t="s">
        <v>58</v>
      </c>
      <c r="F2774" t="s">
        <v>48</v>
      </c>
      <c r="G2774">
        <v>33</v>
      </c>
      <c r="H2774" t="s">
        <v>20</v>
      </c>
      <c r="I2774">
        <v>2495.15</v>
      </c>
      <c r="J2774">
        <v>3297.6</v>
      </c>
      <c r="K2774">
        <v>3165.04</v>
      </c>
      <c r="L2774">
        <v>648.54</v>
      </c>
      <c r="M2774">
        <v>8957.7900000000009</v>
      </c>
      <c r="N2774">
        <v>9606.33</v>
      </c>
    </row>
    <row r="2775" spans="1:14" x14ac:dyDescent="0.3">
      <c r="A2775" s="2">
        <v>45292</v>
      </c>
      <c r="B2775" t="s">
        <v>71</v>
      </c>
      <c r="C2775">
        <v>2024</v>
      </c>
      <c r="D2775">
        <v>1</v>
      </c>
      <c r="E2775" t="s">
        <v>58</v>
      </c>
      <c r="F2775" t="s">
        <v>49</v>
      </c>
      <c r="G2775">
        <v>36</v>
      </c>
      <c r="H2775" t="s">
        <v>20</v>
      </c>
      <c r="I2775">
        <v>1421.84</v>
      </c>
      <c r="J2775">
        <v>1853.9</v>
      </c>
      <c r="K2775">
        <v>1580.23</v>
      </c>
      <c r="L2775">
        <v>592.25</v>
      </c>
      <c r="M2775">
        <v>4855.97</v>
      </c>
      <c r="N2775">
        <v>5448.22</v>
      </c>
    </row>
    <row r="2776" spans="1:14" x14ac:dyDescent="0.3">
      <c r="A2776" s="2">
        <v>45292</v>
      </c>
      <c r="B2776" t="s">
        <v>71</v>
      </c>
      <c r="C2776">
        <v>2024</v>
      </c>
      <c r="D2776">
        <v>1</v>
      </c>
      <c r="E2776" t="s">
        <v>58</v>
      </c>
      <c r="F2776" t="s">
        <v>50</v>
      </c>
      <c r="G2776">
        <v>16</v>
      </c>
      <c r="H2776" t="s">
        <v>20</v>
      </c>
      <c r="I2776">
        <v>30.17</v>
      </c>
      <c r="J2776">
        <v>38.57</v>
      </c>
      <c r="K2776">
        <v>11.68</v>
      </c>
      <c r="L2776">
        <v>0.3</v>
      </c>
      <c r="M2776">
        <v>80.42</v>
      </c>
      <c r="N2776">
        <v>80.72</v>
      </c>
    </row>
    <row r="2777" spans="1:14" x14ac:dyDescent="0.3">
      <c r="A2777" s="2">
        <v>45292</v>
      </c>
      <c r="B2777" t="s">
        <v>71</v>
      </c>
      <c r="C2777">
        <v>2024</v>
      </c>
      <c r="D2777">
        <v>1</v>
      </c>
      <c r="E2777" t="s">
        <v>58</v>
      </c>
      <c r="F2777" t="s">
        <v>51</v>
      </c>
      <c r="G2777">
        <v>9</v>
      </c>
      <c r="H2777" t="s">
        <v>20</v>
      </c>
      <c r="I2777">
        <v>2096.9499999999998</v>
      </c>
      <c r="J2777">
        <v>2880.7</v>
      </c>
      <c r="K2777">
        <v>2432.66</v>
      </c>
      <c r="L2777">
        <v>1185.31</v>
      </c>
      <c r="M2777">
        <v>7410.31</v>
      </c>
      <c r="N2777">
        <v>8595.6200000000008</v>
      </c>
    </row>
    <row r="2778" spans="1:14" x14ac:dyDescent="0.3">
      <c r="A2778" s="2">
        <v>45292</v>
      </c>
      <c r="B2778" t="s">
        <v>71</v>
      </c>
      <c r="C2778">
        <v>2024</v>
      </c>
      <c r="D2778">
        <v>1</v>
      </c>
      <c r="E2778" t="s">
        <v>58</v>
      </c>
      <c r="F2778" t="s">
        <v>52</v>
      </c>
      <c r="G2778">
        <v>5</v>
      </c>
      <c r="H2778" t="s">
        <v>20</v>
      </c>
      <c r="I2778">
        <v>303.5</v>
      </c>
      <c r="J2778">
        <v>447.97</v>
      </c>
      <c r="K2778">
        <v>850.48</v>
      </c>
      <c r="L2778">
        <v>14.51</v>
      </c>
      <c r="M2778">
        <v>1601.95</v>
      </c>
      <c r="N2778">
        <v>1616.46</v>
      </c>
    </row>
    <row r="2779" spans="1:14" x14ac:dyDescent="0.3">
      <c r="A2779" s="2">
        <v>45292</v>
      </c>
      <c r="B2779" t="s">
        <v>71</v>
      </c>
      <c r="C2779">
        <v>2024</v>
      </c>
      <c r="D2779">
        <v>1</v>
      </c>
      <c r="E2779" t="s">
        <v>58</v>
      </c>
      <c r="F2779" t="s">
        <v>53</v>
      </c>
      <c r="G2779">
        <v>19</v>
      </c>
      <c r="H2779" t="s">
        <v>20</v>
      </c>
      <c r="I2779">
        <v>1721.71</v>
      </c>
      <c r="J2779">
        <v>2051.65</v>
      </c>
      <c r="K2779">
        <v>1290.28</v>
      </c>
      <c r="L2779">
        <v>401.57</v>
      </c>
      <c r="M2779">
        <v>5063.6400000000003</v>
      </c>
      <c r="N2779">
        <v>5465.21</v>
      </c>
    </row>
    <row r="2780" spans="1:14" x14ac:dyDescent="0.3">
      <c r="A2780" s="2">
        <v>45323</v>
      </c>
      <c r="B2780" t="s">
        <v>71</v>
      </c>
      <c r="C2780">
        <v>2024</v>
      </c>
      <c r="D2780">
        <v>2</v>
      </c>
      <c r="E2780" t="s">
        <v>59</v>
      </c>
      <c r="F2780" t="s">
        <v>17</v>
      </c>
      <c r="G2780">
        <v>35</v>
      </c>
      <c r="H2780" t="s">
        <v>18</v>
      </c>
      <c r="I2780">
        <v>15.09</v>
      </c>
      <c r="J2780">
        <v>19.809999999999999</v>
      </c>
      <c r="K2780">
        <v>4.04</v>
      </c>
      <c r="L2780">
        <v>0.23</v>
      </c>
      <c r="M2780">
        <v>38.94</v>
      </c>
      <c r="N2780">
        <v>39.17</v>
      </c>
    </row>
    <row r="2781" spans="1:14" x14ac:dyDescent="0.3">
      <c r="A2781" s="2">
        <v>45323</v>
      </c>
      <c r="B2781" t="s">
        <v>71</v>
      </c>
      <c r="C2781">
        <v>2024</v>
      </c>
      <c r="D2781">
        <v>2</v>
      </c>
      <c r="E2781" t="s">
        <v>59</v>
      </c>
      <c r="F2781" t="s">
        <v>19</v>
      </c>
      <c r="G2781">
        <v>28</v>
      </c>
      <c r="H2781" t="s">
        <v>20</v>
      </c>
      <c r="I2781">
        <v>884.63</v>
      </c>
      <c r="J2781">
        <v>1145.21</v>
      </c>
      <c r="K2781">
        <v>1400.43</v>
      </c>
      <c r="L2781">
        <v>247.83</v>
      </c>
      <c r="M2781">
        <v>3430.27</v>
      </c>
      <c r="N2781">
        <v>3678.1</v>
      </c>
    </row>
    <row r="2782" spans="1:14" x14ac:dyDescent="0.3">
      <c r="A2782" s="2">
        <v>45323</v>
      </c>
      <c r="B2782" t="s">
        <v>71</v>
      </c>
      <c r="C2782">
        <v>2024</v>
      </c>
      <c r="D2782">
        <v>2</v>
      </c>
      <c r="E2782" t="s">
        <v>59</v>
      </c>
      <c r="F2782" t="s">
        <v>21</v>
      </c>
      <c r="G2782">
        <v>12</v>
      </c>
      <c r="H2782" t="s">
        <v>20</v>
      </c>
      <c r="I2782">
        <v>36.82</v>
      </c>
      <c r="J2782">
        <v>48.36</v>
      </c>
      <c r="K2782">
        <v>15.72</v>
      </c>
      <c r="L2782">
        <v>0.12</v>
      </c>
      <c r="M2782">
        <v>100.9</v>
      </c>
      <c r="N2782">
        <v>101.02</v>
      </c>
    </row>
    <row r="2783" spans="1:14" x14ac:dyDescent="0.3">
      <c r="A2783" s="2">
        <v>45323</v>
      </c>
      <c r="B2783" t="s">
        <v>71</v>
      </c>
      <c r="C2783">
        <v>2024</v>
      </c>
      <c r="D2783">
        <v>2</v>
      </c>
      <c r="E2783" t="s">
        <v>59</v>
      </c>
      <c r="F2783" t="s">
        <v>22</v>
      </c>
      <c r="G2783">
        <v>18</v>
      </c>
      <c r="H2783" t="s">
        <v>20</v>
      </c>
      <c r="I2783">
        <v>403</v>
      </c>
      <c r="J2783">
        <v>507.08</v>
      </c>
      <c r="K2783">
        <v>292.56</v>
      </c>
      <c r="L2783">
        <v>186.99</v>
      </c>
      <c r="M2783">
        <v>1202.6400000000001</v>
      </c>
      <c r="N2783">
        <v>1389.63</v>
      </c>
    </row>
    <row r="2784" spans="1:14" x14ac:dyDescent="0.3">
      <c r="A2784" s="2">
        <v>45323</v>
      </c>
      <c r="B2784" t="s">
        <v>71</v>
      </c>
      <c r="C2784">
        <v>2024</v>
      </c>
      <c r="D2784">
        <v>2</v>
      </c>
      <c r="E2784" t="s">
        <v>59</v>
      </c>
      <c r="F2784" t="s">
        <v>23</v>
      </c>
      <c r="G2784">
        <v>10</v>
      </c>
      <c r="H2784" t="s">
        <v>20</v>
      </c>
      <c r="I2784">
        <v>399.29</v>
      </c>
      <c r="J2784">
        <v>689.37</v>
      </c>
      <c r="K2784">
        <v>214.36</v>
      </c>
      <c r="L2784">
        <v>188.08</v>
      </c>
      <c r="M2784">
        <v>1303.02</v>
      </c>
      <c r="N2784">
        <v>1491.1</v>
      </c>
    </row>
    <row r="2785" spans="1:14" x14ac:dyDescent="0.3">
      <c r="A2785" s="2">
        <v>45323</v>
      </c>
      <c r="B2785" t="s">
        <v>71</v>
      </c>
      <c r="C2785">
        <v>2024</v>
      </c>
      <c r="D2785">
        <v>2</v>
      </c>
      <c r="E2785" t="s">
        <v>59</v>
      </c>
      <c r="F2785" t="s">
        <v>24</v>
      </c>
      <c r="G2785">
        <v>4</v>
      </c>
      <c r="H2785" t="s">
        <v>18</v>
      </c>
      <c r="I2785">
        <v>42.95</v>
      </c>
      <c r="J2785">
        <v>58.94</v>
      </c>
      <c r="K2785">
        <v>106.97</v>
      </c>
      <c r="L2785">
        <v>2.11</v>
      </c>
      <c r="M2785">
        <v>208.86</v>
      </c>
      <c r="N2785">
        <v>210.97</v>
      </c>
    </row>
    <row r="2786" spans="1:14" x14ac:dyDescent="0.3">
      <c r="A2786" s="2">
        <v>45323</v>
      </c>
      <c r="B2786" t="s">
        <v>71</v>
      </c>
      <c r="C2786">
        <v>2024</v>
      </c>
      <c r="D2786">
        <v>2</v>
      </c>
      <c r="E2786" t="s">
        <v>59</v>
      </c>
      <c r="F2786" t="s">
        <v>25</v>
      </c>
      <c r="G2786">
        <v>22</v>
      </c>
      <c r="H2786" t="s">
        <v>20</v>
      </c>
      <c r="I2786">
        <v>597.74</v>
      </c>
      <c r="J2786">
        <v>712.07</v>
      </c>
      <c r="K2786">
        <v>1130.32</v>
      </c>
      <c r="L2786">
        <v>683.74</v>
      </c>
      <c r="M2786">
        <v>2440.13</v>
      </c>
      <c r="N2786">
        <v>3123.87</v>
      </c>
    </row>
    <row r="2787" spans="1:14" x14ac:dyDescent="0.3">
      <c r="A2787" s="2">
        <v>45323</v>
      </c>
      <c r="B2787" t="s">
        <v>71</v>
      </c>
      <c r="C2787">
        <v>2024</v>
      </c>
      <c r="D2787">
        <v>2</v>
      </c>
      <c r="E2787" t="s">
        <v>59</v>
      </c>
      <c r="F2787" t="s">
        <v>26</v>
      </c>
      <c r="G2787">
        <v>38</v>
      </c>
      <c r="H2787" t="s">
        <v>18</v>
      </c>
      <c r="I2787">
        <v>46.06</v>
      </c>
      <c r="J2787">
        <v>60.13</v>
      </c>
      <c r="K2787">
        <v>248.87</v>
      </c>
      <c r="L2787">
        <v>0.43</v>
      </c>
      <c r="M2787">
        <v>355.06</v>
      </c>
      <c r="N2787">
        <v>355.49</v>
      </c>
    </row>
    <row r="2788" spans="1:14" x14ac:dyDescent="0.3">
      <c r="A2788" s="2">
        <v>45323</v>
      </c>
      <c r="B2788" t="s">
        <v>71</v>
      </c>
      <c r="C2788">
        <v>2024</v>
      </c>
      <c r="D2788">
        <v>2</v>
      </c>
      <c r="E2788" t="s">
        <v>59</v>
      </c>
      <c r="F2788" t="s">
        <v>27</v>
      </c>
      <c r="G2788">
        <v>7</v>
      </c>
      <c r="H2788" t="s">
        <v>18</v>
      </c>
      <c r="I2788">
        <v>1098.07</v>
      </c>
      <c r="J2788">
        <v>1300.18</v>
      </c>
      <c r="K2788">
        <v>3025.19</v>
      </c>
      <c r="L2788">
        <v>120.52</v>
      </c>
      <c r="M2788">
        <v>5423.44</v>
      </c>
      <c r="N2788">
        <v>5543.96</v>
      </c>
    </row>
    <row r="2789" spans="1:14" x14ac:dyDescent="0.3">
      <c r="A2789" s="2">
        <v>45323</v>
      </c>
      <c r="B2789" t="s">
        <v>71</v>
      </c>
      <c r="C2789">
        <v>2024</v>
      </c>
      <c r="D2789">
        <v>2</v>
      </c>
      <c r="E2789" t="s">
        <v>59</v>
      </c>
      <c r="F2789" t="s">
        <v>28</v>
      </c>
      <c r="G2789">
        <v>30</v>
      </c>
      <c r="H2789" t="s">
        <v>20</v>
      </c>
      <c r="I2789">
        <v>181.24</v>
      </c>
      <c r="J2789">
        <v>223.63</v>
      </c>
      <c r="K2789">
        <v>172.3</v>
      </c>
      <c r="L2789">
        <v>3.53</v>
      </c>
      <c r="M2789">
        <v>577.16999999999996</v>
      </c>
      <c r="N2789">
        <v>580.70000000000005</v>
      </c>
    </row>
    <row r="2790" spans="1:14" x14ac:dyDescent="0.3">
      <c r="A2790" s="2">
        <v>45323</v>
      </c>
      <c r="B2790" t="s">
        <v>71</v>
      </c>
      <c r="C2790">
        <v>2024</v>
      </c>
      <c r="D2790">
        <v>2</v>
      </c>
      <c r="E2790" t="s">
        <v>59</v>
      </c>
      <c r="F2790" t="s">
        <v>29</v>
      </c>
      <c r="G2790">
        <v>24</v>
      </c>
      <c r="H2790" t="s">
        <v>20</v>
      </c>
      <c r="I2790">
        <v>3103.69</v>
      </c>
      <c r="J2790">
        <v>3808.84</v>
      </c>
      <c r="K2790">
        <v>3428.24</v>
      </c>
      <c r="L2790">
        <v>688.12</v>
      </c>
      <c r="M2790">
        <v>10340.77</v>
      </c>
      <c r="N2790">
        <v>11028.89</v>
      </c>
    </row>
    <row r="2791" spans="1:14" x14ac:dyDescent="0.3">
      <c r="A2791" s="2">
        <v>45323</v>
      </c>
      <c r="B2791" t="s">
        <v>71</v>
      </c>
      <c r="C2791">
        <v>2024</v>
      </c>
      <c r="D2791">
        <v>2</v>
      </c>
      <c r="E2791" t="s">
        <v>59</v>
      </c>
      <c r="F2791" t="s">
        <v>30</v>
      </c>
      <c r="G2791">
        <v>6</v>
      </c>
      <c r="H2791" t="s">
        <v>20</v>
      </c>
      <c r="I2791">
        <v>1315.33</v>
      </c>
      <c r="J2791">
        <v>1720.33</v>
      </c>
      <c r="K2791">
        <v>4642.79</v>
      </c>
      <c r="L2791">
        <v>590.79</v>
      </c>
      <c r="M2791">
        <v>7678.45</v>
      </c>
      <c r="N2791">
        <v>8269.24</v>
      </c>
    </row>
    <row r="2792" spans="1:14" x14ac:dyDescent="0.3">
      <c r="A2792" s="2">
        <v>45323</v>
      </c>
      <c r="B2792" t="s">
        <v>71</v>
      </c>
      <c r="C2792">
        <v>2024</v>
      </c>
      <c r="D2792">
        <v>2</v>
      </c>
      <c r="E2792" t="s">
        <v>59</v>
      </c>
      <c r="F2792" t="s">
        <v>31</v>
      </c>
      <c r="G2792">
        <v>2</v>
      </c>
      <c r="H2792" t="s">
        <v>20</v>
      </c>
      <c r="I2792">
        <v>145.6</v>
      </c>
      <c r="J2792">
        <v>203.86</v>
      </c>
      <c r="K2792">
        <v>395.82</v>
      </c>
      <c r="L2792">
        <v>0.81</v>
      </c>
      <c r="M2792">
        <v>745.28</v>
      </c>
      <c r="N2792">
        <v>746.09</v>
      </c>
    </row>
    <row r="2793" spans="1:14" x14ac:dyDescent="0.3">
      <c r="A2793" s="2">
        <v>45323</v>
      </c>
      <c r="B2793" t="s">
        <v>71</v>
      </c>
      <c r="C2793">
        <v>2024</v>
      </c>
      <c r="D2793">
        <v>2</v>
      </c>
      <c r="E2793" t="s">
        <v>59</v>
      </c>
      <c r="F2793" t="s">
        <v>32</v>
      </c>
      <c r="G2793">
        <v>1</v>
      </c>
      <c r="H2793" t="s">
        <v>18</v>
      </c>
      <c r="I2793">
        <v>181.07</v>
      </c>
      <c r="J2793">
        <v>231.34</v>
      </c>
      <c r="K2793">
        <v>115.7</v>
      </c>
      <c r="L2793">
        <v>3.91</v>
      </c>
      <c r="M2793">
        <v>528.11</v>
      </c>
      <c r="N2793">
        <v>532.02</v>
      </c>
    </row>
    <row r="2794" spans="1:14" x14ac:dyDescent="0.3">
      <c r="A2794" s="2">
        <v>45323</v>
      </c>
      <c r="B2794" t="s">
        <v>71</v>
      </c>
      <c r="C2794">
        <v>2024</v>
      </c>
      <c r="D2794">
        <v>2</v>
      </c>
      <c r="E2794" t="s">
        <v>59</v>
      </c>
      <c r="F2794" t="s">
        <v>33</v>
      </c>
      <c r="G2794">
        <v>20</v>
      </c>
      <c r="H2794" t="s">
        <v>20</v>
      </c>
      <c r="I2794">
        <v>532.74</v>
      </c>
      <c r="J2794">
        <v>740.27</v>
      </c>
      <c r="K2794">
        <v>1034.6300000000001</v>
      </c>
      <c r="L2794">
        <v>625.13</v>
      </c>
      <c r="M2794">
        <v>2307.64</v>
      </c>
      <c r="N2794">
        <v>2932.77</v>
      </c>
    </row>
    <row r="2795" spans="1:14" x14ac:dyDescent="0.3">
      <c r="A2795" s="2">
        <v>45323</v>
      </c>
      <c r="B2795" t="s">
        <v>71</v>
      </c>
      <c r="C2795">
        <v>2024</v>
      </c>
      <c r="D2795">
        <v>2</v>
      </c>
      <c r="E2795" t="s">
        <v>59</v>
      </c>
      <c r="F2795" t="s">
        <v>34</v>
      </c>
      <c r="G2795">
        <v>29</v>
      </c>
      <c r="H2795" t="s">
        <v>20</v>
      </c>
      <c r="I2795">
        <v>2942.2</v>
      </c>
      <c r="J2795">
        <v>3519.92</v>
      </c>
      <c r="K2795">
        <v>4670.2700000000004</v>
      </c>
      <c r="L2795">
        <v>1682.49</v>
      </c>
      <c r="M2795">
        <v>11132.39</v>
      </c>
      <c r="N2795">
        <v>12814.88</v>
      </c>
    </row>
    <row r="2796" spans="1:14" x14ac:dyDescent="0.3">
      <c r="A2796" s="2">
        <v>45323</v>
      </c>
      <c r="B2796" t="s">
        <v>71</v>
      </c>
      <c r="C2796">
        <v>2024</v>
      </c>
      <c r="D2796">
        <v>2</v>
      </c>
      <c r="E2796" t="s">
        <v>59</v>
      </c>
      <c r="F2796" t="s">
        <v>35</v>
      </c>
      <c r="G2796">
        <v>32</v>
      </c>
      <c r="H2796" t="s">
        <v>20</v>
      </c>
      <c r="I2796">
        <v>939.96</v>
      </c>
      <c r="J2796">
        <v>1230.52</v>
      </c>
      <c r="K2796">
        <v>512.44000000000005</v>
      </c>
      <c r="L2796">
        <v>4.76</v>
      </c>
      <c r="M2796">
        <v>2682.92</v>
      </c>
      <c r="N2796">
        <v>2687.68</v>
      </c>
    </row>
    <row r="2797" spans="1:14" x14ac:dyDescent="0.3">
      <c r="A2797" s="2">
        <v>45323</v>
      </c>
      <c r="B2797" t="s">
        <v>71</v>
      </c>
      <c r="C2797">
        <v>2024</v>
      </c>
      <c r="D2797">
        <v>2</v>
      </c>
      <c r="E2797" t="s">
        <v>59</v>
      </c>
      <c r="F2797" t="s">
        <v>67</v>
      </c>
      <c r="G2797">
        <v>37</v>
      </c>
      <c r="H2797" t="s">
        <v>18</v>
      </c>
      <c r="I2797">
        <v>14.85</v>
      </c>
      <c r="J2797">
        <v>17.91</v>
      </c>
      <c r="K2797">
        <v>1.93</v>
      </c>
      <c r="L2797">
        <v>0.01</v>
      </c>
      <c r="M2797">
        <v>34.69</v>
      </c>
      <c r="N2797">
        <v>34.700000000000003</v>
      </c>
    </row>
    <row r="2798" spans="1:14" x14ac:dyDescent="0.3">
      <c r="A2798" s="2">
        <v>45323</v>
      </c>
      <c r="B2798" t="s">
        <v>71</v>
      </c>
      <c r="C2798">
        <v>2024</v>
      </c>
      <c r="D2798">
        <v>2</v>
      </c>
      <c r="E2798" t="s">
        <v>59</v>
      </c>
      <c r="F2798" t="s">
        <v>36</v>
      </c>
      <c r="G2798">
        <v>31</v>
      </c>
      <c r="H2798" t="s">
        <v>18</v>
      </c>
      <c r="I2798">
        <v>0.82</v>
      </c>
      <c r="J2798">
        <v>0.93</v>
      </c>
      <c r="K2798">
        <v>0.16</v>
      </c>
      <c r="L2798">
        <v>0</v>
      </c>
      <c r="M2798">
        <v>1.91</v>
      </c>
      <c r="N2798">
        <v>1.91</v>
      </c>
    </row>
    <row r="2799" spans="1:14" x14ac:dyDescent="0.3">
      <c r="A2799" s="2">
        <v>45323</v>
      </c>
      <c r="B2799" t="s">
        <v>71</v>
      </c>
      <c r="C2799">
        <v>2024</v>
      </c>
      <c r="D2799">
        <v>2</v>
      </c>
      <c r="E2799" t="s">
        <v>59</v>
      </c>
      <c r="F2799" t="s">
        <v>37</v>
      </c>
      <c r="G2799">
        <v>23</v>
      </c>
      <c r="H2799" t="s">
        <v>20</v>
      </c>
      <c r="I2799">
        <v>909.09</v>
      </c>
      <c r="J2799">
        <v>1105.8900000000001</v>
      </c>
      <c r="K2799">
        <v>935.93</v>
      </c>
      <c r="L2799">
        <v>620.66999999999996</v>
      </c>
      <c r="M2799">
        <v>2950.91</v>
      </c>
      <c r="N2799">
        <v>3571.58</v>
      </c>
    </row>
    <row r="2800" spans="1:14" x14ac:dyDescent="0.3">
      <c r="A2800" s="2">
        <v>45323</v>
      </c>
      <c r="B2800" t="s">
        <v>71</v>
      </c>
      <c r="C2800">
        <v>2024</v>
      </c>
      <c r="D2800">
        <v>2</v>
      </c>
      <c r="E2800" t="s">
        <v>59</v>
      </c>
      <c r="F2800" t="s">
        <v>38</v>
      </c>
      <c r="G2800">
        <v>27</v>
      </c>
      <c r="H2800" t="s">
        <v>20</v>
      </c>
      <c r="I2800">
        <v>7211.31</v>
      </c>
      <c r="J2800">
        <v>8470.41</v>
      </c>
      <c r="K2800">
        <v>9310.44</v>
      </c>
      <c r="L2800">
        <v>2072.5300000000002</v>
      </c>
      <c r="M2800">
        <v>24992.16</v>
      </c>
      <c r="N2800">
        <v>27064.69</v>
      </c>
    </row>
    <row r="2801" spans="1:14" x14ac:dyDescent="0.3">
      <c r="A2801" s="2">
        <v>45323</v>
      </c>
      <c r="B2801" t="s">
        <v>71</v>
      </c>
      <c r="C2801">
        <v>2024</v>
      </c>
      <c r="D2801">
        <v>2</v>
      </c>
      <c r="E2801" t="s">
        <v>59</v>
      </c>
      <c r="F2801" t="s">
        <v>39</v>
      </c>
      <c r="G2801">
        <v>14</v>
      </c>
      <c r="H2801" t="s">
        <v>20</v>
      </c>
      <c r="I2801">
        <v>18.920000000000002</v>
      </c>
      <c r="J2801">
        <v>28.4</v>
      </c>
      <c r="K2801">
        <v>8.08</v>
      </c>
      <c r="L2801">
        <v>0.15</v>
      </c>
      <c r="M2801">
        <v>55.4</v>
      </c>
      <c r="N2801">
        <v>55.55</v>
      </c>
    </row>
    <row r="2802" spans="1:14" x14ac:dyDescent="0.3">
      <c r="A2802" s="2">
        <v>45323</v>
      </c>
      <c r="B2802" t="s">
        <v>71</v>
      </c>
      <c r="C2802">
        <v>2024</v>
      </c>
      <c r="D2802">
        <v>2</v>
      </c>
      <c r="E2802" t="s">
        <v>59</v>
      </c>
      <c r="F2802" t="s">
        <v>40</v>
      </c>
      <c r="G2802">
        <v>17</v>
      </c>
      <c r="H2802" t="s">
        <v>20</v>
      </c>
      <c r="I2802">
        <v>44.25</v>
      </c>
      <c r="J2802">
        <v>53.02</v>
      </c>
      <c r="K2802">
        <v>95.65</v>
      </c>
      <c r="L2802">
        <v>0.4</v>
      </c>
      <c r="M2802">
        <v>192.92</v>
      </c>
      <c r="N2802">
        <v>193.32</v>
      </c>
    </row>
    <row r="2803" spans="1:14" x14ac:dyDescent="0.3">
      <c r="A2803" s="2">
        <v>45323</v>
      </c>
      <c r="B2803" t="s">
        <v>71</v>
      </c>
      <c r="C2803">
        <v>2024</v>
      </c>
      <c r="D2803">
        <v>2</v>
      </c>
      <c r="E2803" t="s">
        <v>59</v>
      </c>
      <c r="F2803" t="s">
        <v>41</v>
      </c>
      <c r="G2803">
        <v>15</v>
      </c>
      <c r="H2803" t="s">
        <v>20</v>
      </c>
      <c r="I2803">
        <v>18.920000000000002</v>
      </c>
      <c r="J2803">
        <v>27.04</v>
      </c>
      <c r="K2803">
        <v>3.36</v>
      </c>
      <c r="L2803">
        <v>0.02</v>
      </c>
      <c r="M2803">
        <v>49.32</v>
      </c>
      <c r="N2803">
        <v>49.34</v>
      </c>
    </row>
    <row r="2804" spans="1:14" x14ac:dyDescent="0.3">
      <c r="A2804" s="2">
        <v>45323</v>
      </c>
      <c r="B2804" t="s">
        <v>71</v>
      </c>
      <c r="C2804">
        <v>2024</v>
      </c>
      <c r="D2804">
        <v>2</v>
      </c>
      <c r="E2804" t="s">
        <v>59</v>
      </c>
      <c r="F2804" t="s">
        <v>42</v>
      </c>
      <c r="G2804">
        <v>13</v>
      </c>
      <c r="H2804" t="s">
        <v>20</v>
      </c>
      <c r="I2804">
        <v>15.41</v>
      </c>
      <c r="J2804">
        <v>21.24</v>
      </c>
      <c r="K2804">
        <v>10.53</v>
      </c>
      <c r="L2804">
        <v>4.03</v>
      </c>
      <c r="M2804">
        <v>47.18</v>
      </c>
      <c r="N2804">
        <v>51.21</v>
      </c>
    </row>
    <row r="2805" spans="1:14" x14ac:dyDescent="0.3">
      <c r="A2805" s="2">
        <v>45323</v>
      </c>
      <c r="B2805" t="s">
        <v>71</v>
      </c>
      <c r="C2805">
        <v>2024</v>
      </c>
      <c r="D2805">
        <v>2</v>
      </c>
      <c r="E2805" t="s">
        <v>59</v>
      </c>
      <c r="F2805" t="s">
        <v>43</v>
      </c>
      <c r="G2805">
        <v>21</v>
      </c>
      <c r="H2805" t="s">
        <v>20</v>
      </c>
      <c r="I2805">
        <v>1232.02</v>
      </c>
      <c r="J2805">
        <v>1464.73</v>
      </c>
      <c r="K2805">
        <v>1603.46</v>
      </c>
      <c r="L2805">
        <v>835.6</v>
      </c>
      <c r="M2805">
        <v>4300.21</v>
      </c>
      <c r="N2805">
        <v>5135.8100000000004</v>
      </c>
    </row>
    <row r="2806" spans="1:14" x14ac:dyDescent="0.3">
      <c r="A2806" s="2">
        <v>45323</v>
      </c>
      <c r="B2806" t="s">
        <v>71</v>
      </c>
      <c r="C2806">
        <v>2024</v>
      </c>
      <c r="D2806">
        <v>2</v>
      </c>
      <c r="E2806" t="s">
        <v>59</v>
      </c>
      <c r="F2806" t="s">
        <v>44</v>
      </c>
      <c r="G2806">
        <v>34</v>
      </c>
      <c r="H2806" t="s">
        <v>18</v>
      </c>
      <c r="I2806">
        <v>27.5</v>
      </c>
      <c r="J2806">
        <v>41.54</v>
      </c>
      <c r="K2806">
        <v>161.47</v>
      </c>
      <c r="L2806">
        <v>0.26</v>
      </c>
      <c r="M2806">
        <v>230.51</v>
      </c>
      <c r="N2806">
        <v>230.77</v>
      </c>
    </row>
    <row r="2807" spans="1:14" x14ac:dyDescent="0.3">
      <c r="A2807" s="2">
        <v>45323</v>
      </c>
      <c r="B2807" t="s">
        <v>71</v>
      </c>
      <c r="C2807">
        <v>2024</v>
      </c>
      <c r="D2807">
        <v>2</v>
      </c>
      <c r="E2807" t="s">
        <v>59</v>
      </c>
      <c r="F2807" t="s">
        <v>45</v>
      </c>
      <c r="G2807">
        <v>3</v>
      </c>
      <c r="H2807" t="s">
        <v>20</v>
      </c>
      <c r="I2807">
        <v>468.33</v>
      </c>
      <c r="J2807">
        <v>631.39</v>
      </c>
      <c r="K2807">
        <v>834.26</v>
      </c>
      <c r="L2807">
        <v>21.15</v>
      </c>
      <c r="M2807">
        <v>1933.98</v>
      </c>
      <c r="N2807">
        <v>1955.13</v>
      </c>
    </row>
    <row r="2808" spans="1:14" x14ac:dyDescent="0.3">
      <c r="A2808" s="2">
        <v>45323</v>
      </c>
      <c r="B2808" t="s">
        <v>71</v>
      </c>
      <c r="C2808">
        <v>2024</v>
      </c>
      <c r="D2808">
        <v>2</v>
      </c>
      <c r="E2808" t="s">
        <v>59</v>
      </c>
      <c r="F2808" t="s">
        <v>46</v>
      </c>
      <c r="G2808">
        <v>8</v>
      </c>
      <c r="H2808" t="s">
        <v>20</v>
      </c>
      <c r="I2808">
        <v>1136.53</v>
      </c>
      <c r="J2808">
        <v>1428.73</v>
      </c>
      <c r="K2808">
        <v>1459.46</v>
      </c>
      <c r="L2808">
        <v>186.53</v>
      </c>
      <c r="M2808">
        <v>4024.72</v>
      </c>
      <c r="N2808">
        <v>4211.25</v>
      </c>
    </row>
    <row r="2809" spans="1:14" x14ac:dyDescent="0.3">
      <c r="A2809" s="2">
        <v>45323</v>
      </c>
      <c r="B2809" t="s">
        <v>71</v>
      </c>
      <c r="C2809">
        <v>2024</v>
      </c>
      <c r="D2809">
        <v>2</v>
      </c>
      <c r="E2809" t="s">
        <v>59</v>
      </c>
      <c r="F2809" t="s">
        <v>47</v>
      </c>
      <c r="G2809">
        <v>11</v>
      </c>
      <c r="H2809" t="s">
        <v>20</v>
      </c>
      <c r="I2809">
        <v>19.07</v>
      </c>
      <c r="J2809">
        <v>23.3</v>
      </c>
      <c r="K2809">
        <v>256.68</v>
      </c>
      <c r="L2809">
        <v>0.13</v>
      </c>
      <c r="M2809">
        <v>299.05</v>
      </c>
      <c r="N2809">
        <v>299.18</v>
      </c>
    </row>
    <row r="2810" spans="1:14" x14ac:dyDescent="0.3">
      <c r="A2810" s="2">
        <v>45323</v>
      </c>
      <c r="B2810" t="s">
        <v>71</v>
      </c>
      <c r="C2810">
        <v>2024</v>
      </c>
      <c r="D2810">
        <v>2</v>
      </c>
      <c r="E2810" t="s">
        <v>59</v>
      </c>
      <c r="F2810" t="s">
        <v>48</v>
      </c>
      <c r="G2810">
        <v>33</v>
      </c>
      <c r="H2810" t="s">
        <v>20</v>
      </c>
      <c r="I2810">
        <v>2543.02</v>
      </c>
      <c r="J2810">
        <v>3396.67</v>
      </c>
      <c r="K2810">
        <v>3098.21</v>
      </c>
      <c r="L2810">
        <v>674.6</v>
      </c>
      <c r="M2810">
        <v>9037.9</v>
      </c>
      <c r="N2810">
        <v>9712.5</v>
      </c>
    </row>
    <row r="2811" spans="1:14" x14ac:dyDescent="0.3">
      <c r="A2811" s="2">
        <v>45323</v>
      </c>
      <c r="B2811" t="s">
        <v>71</v>
      </c>
      <c r="C2811">
        <v>2024</v>
      </c>
      <c r="D2811">
        <v>2</v>
      </c>
      <c r="E2811" t="s">
        <v>59</v>
      </c>
      <c r="F2811" t="s">
        <v>49</v>
      </c>
      <c r="G2811">
        <v>36</v>
      </c>
      <c r="H2811" t="s">
        <v>20</v>
      </c>
      <c r="I2811">
        <v>1418.86</v>
      </c>
      <c r="J2811">
        <v>1742.76</v>
      </c>
      <c r="K2811">
        <v>1461.76</v>
      </c>
      <c r="L2811">
        <v>587.15</v>
      </c>
      <c r="M2811">
        <v>4623.38</v>
      </c>
      <c r="N2811">
        <v>5210.53</v>
      </c>
    </row>
    <row r="2812" spans="1:14" x14ac:dyDescent="0.3">
      <c r="A2812" s="2">
        <v>45323</v>
      </c>
      <c r="B2812" t="s">
        <v>71</v>
      </c>
      <c r="C2812">
        <v>2024</v>
      </c>
      <c r="D2812">
        <v>2</v>
      </c>
      <c r="E2812" t="s">
        <v>59</v>
      </c>
      <c r="F2812" t="s">
        <v>50</v>
      </c>
      <c r="G2812">
        <v>16</v>
      </c>
      <c r="H2812" t="s">
        <v>20</v>
      </c>
      <c r="I2812">
        <v>33.299999999999997</v>
      </c>
      <c r="J2812">
        <v>41.57</v>
      </c>
      <c r="K2812">
        <v>10.26</v>
      </c>
      <c r="L2812">
        <v>0.14000000000000001</v>
      </c>
      <c r="M2812">
        <v>85.13</v>
      </c>
      <c r="N2812">
        <v>85.27</v>
      </c>
    </row>
    <row r="2813" spans="1:14" x14ac:dyDescent="0.3">
      <c r="A2813" s="2">
        <v>45323</v>
      </c>
      <c r="B2813" t="s">
        <v>71</v>
      </c>
      <c r="C2813">
        <v>2024</v>
      </c>
      <c r="D2813">
        <v>2</v>
      </c>
      <c r="E2813" t="s">
        <v>59</v>
      </c>
      <c r="F2813" t="s">
        <v>51</v>
      </c>
      <c r="G2813">
        <v>9</v>
      </c>
      <c r="H2813" t="s">
        <v>20</v>
      </c>
      <c r="I2813">
        <v>1889.91</v>
      </c>
      <c r="J2813">
        <v>2515.0700000000002</v>
      </c>
      <c r="K2813">
        <v>2321.3000000000002</v>
      </c>
      <c r="L2813">
        <v>1327.55</v>
      </c>
      <c r="M2813">
        <v>6726.28</v>
      </c>
      <c r="N2813">
        <v>8053.83</v>
      </c>
    </row>
    <row r="2814" spans="1:14" x14ac:dyDescent="0.3">
      <c r="A2814" s="2">
        <v>45323</v>
      </c>
      <c r="B2814" t="s">
        <v>71</v>
      </c>
      <c r="C2814">
        <v>2024</v>
      </c>
      <c r="D2814">
        <v>2</v>
      </c>
      <c r="E2814" t="s">
        <v>59</v>
      </c>
      <c r="F2814" t="s">
        <v>52</v>
      </c>
      <c r="G2814">
        <v>5</v>
      </c>
      <c r="H2814" t="s">
        <v>20</v>
      </c>
      <c r="I2814">
        <v>298.64999999999998</v>
      </c>
      <c r="J2814">
        <v>439.69</v>
      </c>
      <c r="K2814">
        <v>776.22</v>
      </c>
      <c r="L2814">
        <v>10.61</v>
      </c>
      <c r="M2814">
        <v>1514.56</v>
      </c>
      <c r="N2814">
        <v>1525.17</v>
      </c>
    </row>
    <row r="2815" spans="1:14" x14ac:dyDescent="0.3">
      <c r="A2815" s="2">
        <v>45323</v>
      </c>
      <c r="B2815" t="s">
        <v>71</v>
      </c>
      <c r="C2815">
        <v>2024</v>
      </c>
      <c r="D2815">
        <v>2</v>
      </c>
      <c r="E2815" t="s">
        <v>59</v>
      </c>
      <c r="F2815" t="s">
        <v>53</v>
      </c>
      <c r="G2815">
        <v>19</v>
      </c>
      <c r="H2815" t="s">
        <v>20</v>
      </c>
      <c r="I2815">
        <v>1604.66</v>
      </c>
      <c r="J2815">
        <v>1927.33</v>
      </c>
      <c r="K2815">
        <v>1341.59</v>
      </c>
      <c r="L2815">
        <v>483.24</v>
      </c>
      <c r="M2815">
        <v>4873.58</v>
      </c>
      <c r="N2815">
        <v>5356.82</v>
      </c>
    </row>
    <row r="2816" spans="1:14" x14ac:dyDescent="0.3">
      <c r="A2816" s="2">
        <v>45352</v>
      </c>
      <c r="B2816" t="s">
        <v>71</v>
      </c>
      <c r="C2816">
        <v>2024</v>
      </c>
      <c r="D2816">
        <v>3</v>
      </c>
      <c r="E2816" t="s">
        <v>60</v>
      </c>
      <c r="F2816" t="s">
        <v>17</v>
      </c>
      <c r="G2816">
        <v>35</v>
      </c>
      <c r="H2816" t="s">
        <v>18</v>
      </c>
      <c r="I2816">
        <v>12.37</v>
      </c>
      <c r="J2816">
        <v>15.35</v>
      </c>
      <c r="K2816">
        <v>4.43</v>
      </c>
      <c r="L2816">
        <v>0.06</v>
      </c>
      <c r="M2816">
        <v>32.15</v>
      </c>
      <c r="N2816">
        <v>32.21</v>
      </c>
    </row>
    <row r="2817" spans="1:14" x14ac:dyDescent="0.3">
      <c r="A2817" s="2">
        <v>45352</v>
      </c>
      <c r="B2817" t="s">
        <v>71</v>
      </c>
      <c r="C2817">
        <v>2024</v>
      </c>
      <c r="D2817">
        <v>3</v>
      </c>
      <c r="E2817" t="s">
        <v>60</v>
      </c>
      <c r="F2817" t="s">
        <v>19</v>
      </c>
      <c r="G2817">
        <v>28</v>
      </c>
      <c r="H2817" t="s">
        <v>20</v>
      </c>
      <c r="I2817">
        <v>1022.48</v>
      </c>
      <c r="J2817">
        <v>1312.44</v>
      </c>
      <c r="K2817">
        <v>1501.3</v>
      </c>
      <c r="L2817">
        <v>245.7</v>
      </c>
      <c r="M2817">
        <v>3836.22</v>
      </c>
      <c r="N2817">
        <v>4081.92</v>
      </c>
    </row>
    <row r="2818" spans="1:14" x14ac:dyDescent="0.3">
      <c r="A2818" s="2">
        <v>45352</v>
      </c>
      <c r="B2818" t="s">
        <v>71</v>
      </c>
      <c r="C2818">
        <v>2024</v>
      </c>
      <c r="D2818">
        <v>3</v>
      </c>
      <c r="E2818" t="s">
        <v>60</v>
      </c>
      <c r="F2818" t="s">
        <v>21</v>
      </c>
      <c r="G2818">
        <v>12</v>
      </c>
      <c r="H2818" t="s">
        <v>20</v>
      </c>
      <c r="I2818">
        <v>69.45</v>
      </c>
      <c r="J2818">
        <v>79.58</v>
      </c>
      <c r="K2818">
        <v>18.440000000000001</v>
      </c>
      <c r="L2818">
        <v>0.17</v>
      </c>
      <c r="M2818">
        <v>167.47</v>
      </c>
      <c r="N2818">
        <v>167.64</v>
      </c>
    </row>
    <row r="2819" spans="1:14" x14ac:dyDescent="0.3">
      <c r="A2819" s="2">
        <v>45352</v>
      </c>
      <c r="B2819" t="s">
        <v>71</v>
      </c>
      <c r="C2819">
        <v>2024</v>
      </c>
      <c r="D2819">
        <v>3</v>
      </c>
      <c r="E2819" t="s">
        <v>60</v>
      </c>
      <c r="F2819" t="s">
        <v>22</v>
      </c>
      <c r="G2819">
        <v>18</v>
      </c>
      <c r="H2819" t="s">
        <v>20</v>
      </c>
      <c r="I2819">
        <v>477.95</v>
      </c>
      <c r="J2819">
        <v>596.96</v>
      </c>
      <c r="K2819">
        <v>350.79</v>
      </c>
      <c r="L2819">
        <v>117.62</v>
      </c>
      <c r="M2819">
        <v>1425.7</v>
      </c>
      <c r="N2819">
        <v>1543.32</v>
      </c>
    </row>
    <row r="2820" spans="1:14" x14ac:dyDescent="0.3">
      <c r="A2820" s="2">
        <v>45352</v>
      </c>
      <c r="B2820" t="s">
        <v>71</v>
      </c>
      <c r="C2820">
        <v>2024</v>
      </c>
      <c r="D2820">
        <v>3</v>
      </c>
      <c r="E2820" t="s">
        <v>60</v>
      </c>
      <c r="F2820" t="s">
        <v>23</v>
      </c>
      <c r="G2820">
        <v>10</v>
      </c>
      <c r="H2820" t="s">
        <v>20</v>
      </c>
      <c r="I2820">
        <v>553.52</v>
      </c>
      <c r="J2820">
        <v>1057.3900000000001</v>
      </c>
      <c r="K2820">
        <v>239.56</v>
      </c>
      <c r="L2820">
        <v>140.93</v>
      </c>
      <c r="M2820">
        <v>1850.47</v>
      </c>
      <c r="N2820">
        <v>1991.4</v>
      </c>
    </row>
    <row r="2821" spans="1:14" x14ac:dyDescent="0.3">
      <c r="A2821" s="2">
        <v>45352</v>
      </c>
      <c r="B2821" t="s">
        <v>71</v>
      </c>
      <c r="C2821">
        <v>2024</v>
      </c>
      <c r="D2821">
        <v>3</v>
      </c>
      <c r="E2821" t="s">
        <v>60</v>
      </c>
      <c r="F2821" t="s">
        <v>24</v>
      </c>
      <c r="G2821">
        <v>4</v>
      </c>
      <c r="H2821" t="s">
        <v>18</v>
      </c>
      <c r="I2821">
        <v>51.59</v>
      </c>
      <c r="J2821">
        <v>62.54</v>
      </c>
      <c r="K2821">
        <v>121.84</v>
      </c>
      <c r="L2821">
        <v>2.1800000000000002</v>
      </c>
      <c r="M2821">
        <v>235.97</v>
      </c>
      <c r="N2821">
        <v>238.15</v>
      </c>
    </row>
    <row r="2822" spans="1:14" x14ac:dyDescent="0.3">
      <c r="A2822" s="2">
        <v>45352</v>
      </c>
      <c r="B2822" t="s">
        <v>71</v>
      </c>
      <c r="C2822">
        <v>2024</v>
      </c>
      <c r="D2822">
        <v>3</v>
      </c>
      <c r="E2822" t="s">
        <v>60</v>
      </c>
      <c r="F2822" t="s">
        <v>25</v>
      </c>
      <c r="G2822">
        <v>22</v>
      </c>
      <c r="H2822" t="s">
        <v>20</v>
      </c>
      <c r="I2822">
        <v>650.44000000000005</v>
      </c>
      <c r="J2822">
        <v>757.85</v>
      </c>
      <c r="K2822">
        <v>1056.0999999999999</v>
      </c>
      <c r="L2822">
        <v>678.55</v>
      </c>
      <c r="M2822">
        <v>2464.39</v>
      </c>
      <c r="N2822">
        <v>3142.94</v>
      </c>
    </row>
    <row r="2823" spans="1:14" x14ac:dyDescent="0.3">
      <c r="A2823" s="2">
        <v>45352</v>
      </c>
      <c r="B2823" t="s">
        <v>71</v>
      </c>
      <c r="C2823">
        <v>2024</v>
      </c>
      <c r="D2823">
        <v>3</v>
      </c>
      <c r="E2823" t="s">
        <v>60</v>
      </c>
      <c r="F2823" t="s">
        <v>26</v>
      </c>
      <c r="G2823">
        <v>38</v>
      </c>
      <c r="H2823" t="s">
        <v>18</v>
      </c>
      <c r="I2823">
        <v>49.2</v>
      </c>
      <c r="J2823">
        <v>62.65</v>
      </c>
      <c r="K2823">
        <v>340.43</v>
      </c>
      <c r="L2823">
        <v>0.21</v>
      </c>
      <c r="M2823">
        <v>452.28</v>
      </c>
      <c r="N2823">
        <v>452.49</v>
      </c>
    </row>
    <row r="2824" spans="1:14" x14ac:dyDescent="0.3">
      <c r="A2824" s="2">
        <v>45352</v>
      </c>
      <c r="B2824" t="s">
        <v>71</v>
      </c>
      <c r="C2824">
        <v>2024</v>
      </c>
      <c r="D2824">
        <v>3</v>
      </c>
      <c r="E2824" t="s">
        <v>60</v>
      </c>
      <c r="F2824" t="s">
        <v>27</v>
      </c>
      <c r="G2824">
        <v>7</v>
      </c>
      <c r="H2824" t="s">
        <v>18</v>
      </c>
      <c r="I2824">
        <v>1225.07</v>
      </c>
      <c r="J2824">
        <v>1412.73</v>
      </c>
      <c r="K2824">
        <v>3057.59</v>
      </c>
      <c r="L2824">
        <v>124.55</v>
      </c>
      <c r="M2824">
        <v>5695.39</v>
      </c>
      <c r="N2824">
        <v>5819.94</v>
      </c>
    </row>
    <row r="2825" spans="1:14" x14ac:dyDescent="0.3">
      <c r="A2825" s="2">
        <v>45352</v>
      </c>
      <c r="B2825" t="s">
        <v>71</v>
      </c>
      <c r="C2825">
        <v>2024</v>
      </c>
      <c r="D2825">
        <v>3</v>
      </c>
      <c r="E2825" t="s">
        <v>60</v>
      </c>
      <c r="F2825" t="s">
        <v>28</v>
      </c>
      <c r="G2825">
        <v>30</v>
      </c>
      <c r="H2825" t="s">
        <v>20</v>
      </c>
      <c r="I2825">
        <v>166.5</v>
      </c>
      <c r="J2825">
        <v>214.37</v>
      </c>
      <c r="K2825">
        <v>180.55</v>
      </c>
      <c r="L2825">
        <v>3.71</v>
      </c>
      <c r="M2825">
        <v>561.41999999999996</v>
      </c>
      <c r="N2825">
        <v>565.13</v>
      </c>
    </row>
    <row r="2826" spans="1:14" x14ac:dyDescent="0.3">
      <c r="A2826" s="2">
        <v>45352</v>
      </c>
      <c r="B2826" t="s">
        <v>71</v>
      </c>
      <c r="C2826">
        <v>2024</v>
      </c>
      <c r="D2826">
        <v>3</v>
      </c>
      <c r="E2826" t="s">
        <v>60</v>
      </c>
      <c r="F2826" t="s">
        <v>29</v>
      </c>
      <c r="G2826">
        <v>24</v>
      </c>
      <c r="H2826" t="s">
        <v>20</v>
      </c>
      <c r="I2826">
        <v>3210.45</v>
      </c>
      <c r="J2826">
        <v>3905.96</v>
      </c>
      <c r="K2826">
        <v>3685.87</v>
      </c>
      <c r="L2826">
        <v>589.96</v>
      </c>
      <c r="M2826">
        <v>10802.28</v>
      </c>
      <c r="N2826">
        <v>11392.24</v>
      </c>
    </row>
    <row r="2827" spans="1:14" x14ac:dyDescent="0.3">
      <c r="A2827" s="2">
        <v>45352</v>
      </c>
      <c r="B2827" t="s">
        <v>71</v>
      </c>
      <c r="C2827">
        <v>2024</v>
      </c>
      <c r="D2827">
        <v>3</v>
      </c>
      <c r="E2827" t="s">
        <v>60</v>
      </c>
      <c r="F2827" t="s">
        <v>30</v>
      </c>
      <c r="G2827">
        <v>6</v>
      </c>
      <c r="H2827" t="s">
        <v>20</v>
      </c>
      <c r="I2827">
        <v>1428.35</v>
      </c>
      <c r="J2827">
        <v>1766.53</v>
      </c>
      <c r="K2827">
        <v>5733.67</v>
      </c>
      <c r="L2827">
        <v>616.52</v>
      </c>
      <c r="M2827">
        <v>8928.5499999999993</v>
      </c>
      <c r="N2827">
        <v>9545.07</v>
      </c>
    </row>
    <row r="2828" spans="1:14" x14ac:dyDescent="0.3">
      <c r="A2828" s="2">
        <v>45352</v>
      </c>
      <c r="B2828" t="s">
        <v>71</v>
      </c>
      <c r="C2828">
        <v>2024</v>
      </c>
      <c r="D2828">
        <v>3</v>
      </c>
      <c r="E2828" t="s">
        <v>60</v>
      </c>
      <c r="F2828" t="s">
        <v>31</v>
      </c>
      <c r="G2828">
        <v>2</v>
      </c>
      <c r="H2828" t="s">
        <v>20</v>
      </c>
      <c r="I2828">
        <v>165.61</v>
      </c>
      <c r="J2828">
        <v>225.35</v>
      </c>
      <c r="K2828">
        <v>459.77</v>
      </c>
      <c r="L2828">
        <v>1.05</v>
      </c>
      <c r="M2828">
        <v>850.73</v>
      </c>
      <c r="N2828">
        <v>851.78</v>
      </c>
    </row>
    <row r="2829" spans="1:14" x14ac:dyDescent="0.3">
      <c r="A2829" s="2">
        <v>45352</v>
      </c>
      <c r="B2829" t="s">
        <v>71</v>
      </c>
      <c r="C2829">
        <v>2024</v>
      </c>
      <c r="D2829">
        <v>3</v>
      </c>
      <c r="E2829" t="s">
        <v>60</v>
      </c>
      <c r="F2829" t="s">
        <v>32</v>
      </c>
      <c r="G2829">
        <v>1</v>
      </c>
      <c r="H2829" t="s">
        <v>18</v>
      </c>
      <c r="I2829">
        <v>200.79</v>
      </c>
      <c r="J2829">
        <v>264.52</v>
      </c>
      <c r="K2829">
        <v>129.96</v>
      </c>
      <c r="L2829">
        <v>6.13</v>
      </c>
      <c r="M2829">
        <v>595.27</v>
      </c>
      <c r="N2829">
        <v>601.4</v>
      </c>
    </row>
    <row r="2830" spans="1:14" x14ac:dyDescent="0.3">
      <c r="A2830" s="2">
        <v>45352</v>
      </c>
      <c r="B2830" t="s">
        <v>71</v>
      </c>
      <c r="C2830">
        <v>2024</v>
      </c>
      <c r="D2830">
        <v>3</v>
      </c>
      <c r="E2830" t="s">
        <v>60</v>
      </c>
      <c r="F2830" t="s">
        <v>33</v>
      </c>
      <c r="G2830">
        <v>20</v>
      </c>
      <c r="H2830" t="s">
        <v>20</v>
      </c>
      <c r="I2830">
        <v>574.63</v>
      </c>
      <c r="J2830">
        <v>872.88</v>
      </c>
      <c r="K2830">
        <v>1165.68</v>
      </c>
      <c r="L2830">
        <v>629.67999999999995</v>
      </c>
      <c r="M2830">
        <v>2613.19</v>
      </c>
      <c r="N2830">
        <v>3242.87</v>
      </c>
    </row>
    <row r="2831" spans="1:14" x14ac:dyDescent="0.3">
      <c r="A2831" s="2">
        <v>45352</v>
      </c>
      <c r="B2831" t="s">
        <v>71</v>
      </c>
      <c r="C2831">
        <v>2024</v>
      </c>
      <c r="D2831">
        <v>3</v>
      </c>
      <c r="E2831" t="s">
        <v>60</v>
      </c>
      <c r="F2831" t="s">
        <v>34</v>
      </c>
      <c r="G2831">
        <v>29</v>
      </c>
      <c r="H2831" t="s">
        <v>20</v>
      </c>
      <c r="I2831">
        <v>3001.22</v>
      </c>
      <c r="J2831">
        <v>3664.3</v>
      </c>
      <c r="K2831">
        <v>4916.82</v>
      </c>
      <c r="L2831">
        <v>1431.37</v>
      </c>
      <c r="M2831">
        <v>11582.34</v>
      </c>
      <c r="N2831">
        <v>13013.71</v>
      </c>
    </row>
    <row r="2832" spans="1:14" x14ac:dyDescent="0.3">
      <c r="A2832" s="2">
        <v>45352</v>
      </c>
      <c r="B2832" t="s">
        <v>71</v>
      </c>
      <c r="C2832">
        <v>2024</v>
      </c>
      <c r="D2832">
        <v>3</v>
      </c>
      <c r="E2832" t="s">
        <v>60</v>
      </c>
      <c r="F2832" t="s">
        <v>35</v>
      </c>
      <c r="G2832">
        <v>32</v>
      </c>
      <c r="H2832" t="s">
        <v>20</v>
      </c>
      <c r="I2832">
        <v>929.52</v>
      </c>
      <c r="J2832">
        <v>1158.49</v>
      </c>
      <c r="K2832">
        <v>506.9</v>
      </c>
      <c r="L2832">
        <v>3.01</v>
      </c>
      <c r="M2832">
        <v>2594.91</v>
      </c>
      <c r="N2832">
        <v>2597.92</v>
      </c>
    </row>
    <row r="2833" spans="1:14" x14ac:dyDescent="0.3">
      <c r="A2833" s="2">
        <v>45352</v>
      </c>
      <c r="B2833" t="s">
        <v>71</v>
      </c>
      <c r="C2833">
        <v>2024</v>
      </c>
      <c r="D2833">
        <v>3</v>
      </c>
      <c r="E2833" t="s">
        <v>60</v>
      </c>
      <c r="F2833" t="s">
        <v>67</v>
      </c>
      <c r="G2833">
        <v>37</v>
      </c>
      <c r="H2833" t="s">
        <v>18</v>
      </c>
      <c r="I2833">
        <v>17.63</v>
      </c>
      <c r="J2833">
        <v>20.52</v>
      </c>
      <c r="K2833">
        <v>3.09</v>
      </c>
      <c r="L2833">
        <v>0.06</v>
      </c>
      <c r="M2833">
        <v>41.24</v>
      </c>
      <c r="N2833">
        <v>41.3</v>
      </c>
    </row>
    <row r="2834" spans="1:14" x14ac:dyDescent="0.3">
      <c r="A2834" s="2">
        <v>45352</v>
      </c>
      <c r="B2834" t="s">
        <v>71</v>
      </c>
      <c r="C2834">
        <v>2024</v>
      </c>
      <c r="D2834">
        <v>3</v>
      </c>
      <c r="E2834" t="s">
        <v>60</v>
      </c>
      <c r="F2834" t="s">
        <v>36</v>
      </c>
      <c r="G2834">
        <v>31</v>
      </c>
      <c r="H2834" t="s">
        <v>18</v>
      </c>
      <c r="I2834">
        <v>0.8</v>
      </c>
      <c r="J2834">
        <v>1.2</v>
      </c>
      <c r="K2834">
        <v>0.22</v>
      </c>
      <c r="L2834">
        <v>0</v>
      </c>
      <c r="M2834">
        <v>2.2200000000000002</v>
      </c>
      <c r="N2834">
        <v>2.2200000000000002</v>
      </c>
    </row>
    <row r="2835" spans="1:14" x14ac:dyDescent="0.3">
      <c r="A2835" s="2">
        <v>45352</v>
      </c>
      <c r="B2835" t="s">
        <v>71</v>
      </c>
      <c r="C2835">
        <v>2024</v>
      </c>
      <c r="D2835">
        <v>3</v>
      </c>
      <c r="E2835" t="s">
        <v>60</v>
      </c>
      <c r="F2835" t="s">
        <v>37</v>
      </c>
      <c r="G2835">
        <v>23</v>
      </c>
      <c r="H2835" t="s">
        <v>20</v>
      </c>
      <c r="I2835">
        <v>994.04</v>
      </c>
      <c r="J2835">
        <v>1207.56</v>
      </c>
      <c r="K2835">
        <v>1131.26</v>
      </c>
      <c r="L2835">
        <v>641.19000000000005</v>
      </c>
      <c r="M2835">
        <v>3332.86</v>
      </c>
      <c r="N2835">
        <v>3974.05</v>
      </c>
    </row>
    <row r="2836" spans="1:14" x14ac:dyDescent="0.3">
      <c r="A2836" s="2">
        <v>45352</v>
      </c>
      <c r="B2836" t="s">
        <v>71</v>
      </c>
      <c r="C2836">
        <v>2024</v>
      </c>
      <c r="D2836">
        <v>3</v>
      </c>
      <c r="E2836" t="s">
        <v>60</v>
      </c>
      <c r="F2836" t="s">
        <v>38</v>
      </c>
      <c r="G2836">
        <v>27</v>
      </c>
      <c r="H2836" t="s">
        <v>20</v>
      </c>
      <c r="I2836">
        <v>7734.14</v>
      </c>
      <c r="J2836">
        <v>9259.19</v>
      </c>
      <c r="K2836">
        <v>8662.98</v>
      </c>
      <c r="L2836">
        <v>2031.55</v>
      </c>
      <c r="M2836">
        <v>25656.31</v>
      </c>
      <c r="N2836">
        <v>27687.86</v>
      </c>
    </row>
    <row r="2837" spans="1:14" x14ac:dyDescent="0.3">
      <c r="A2837" s="2">
        <v>45352</v>
      </c>
      <c r="B2837" t="s">
        <v>71</v>
      </c>
      <c r="C2837">
        <v>2024</v>
      </c>
      <c r="D2837">
        <v>3</v>
      </c>
      <c r="E2837" t="s">
        <v>60</v>
      </c>
      <c r="F2837" t="s">
        <v>39</v>
      </c>
      <c r="G2837">
        <v>14</v>
      </c>
      <c r="H2837" t="s">
        <v>20</v>
      </c>
      <c r="I2837">
        <v>26.06</v>
      </c>
      <c r="J2837">
        <v>35.479999999999997</v>
      </c>
      <c r="K2837">
        <v>7.51</v>
      </c>
      <c r="L2837">
        <v>0.15</v>
      </c>
      <c r="M2837">
        <v>69.05</v>
      </c>
      <c r="N2837">
        <v>69.2</v>
      </c>
    </row>
    <row r="2838" spans="1:14" x14ac:dyDescent="0.3">
      <c r="A2838" s="2">
        <v>45352</v>
      </c>
      <c r="B2838" t="s">
        <v>71</v>
      </c>
      <c r="C2838">
        <v>2024</v>
      </c>
      <c r="D2838">
        <v>3</v>
      </c>
      <c r="E2838" t="s">
        <v>60</v>
      </c>
      <c r="F2838" t="s">
        <v>40</v>
      </c>
      <c r="G2838">
        <v>17</v>
      </c>
      <c r="H2838" t="s">
        <v>20</v>
      </c>
      <c r="I2838">
        <v>48.63</v>
      </c>
      <c r="J2838">
        <v>57.1</v>
      </c>
      <c r="K2838">
        <v>106.12</v>
      </c>
      <c r="L2838">
        <v>1.0900000000000001</v>
      </c>
      <c r="M2838">
        <v>211.85</v>
      </c>
      <c r="N2838">
        <v>212.94</v>
      </c>
    </row>
    <row r="2839" spans="1:14" x14ac:dyDescent="0.3">
      <c r="A2839" s="2">
        <v>45352</v>
      </c>
      <c r="B2839" t="s">
        <v>71</v>
      </c>
      <c r="C2839">
        <v>2024</v>
      </c>
      <c r="D2839">
        <v>3</v>
      </c>
      <c r="E2839" t="s">
        <v>60</v>
      </c>
      <c r="F2839" t="s">
        <v>41</v>
      </c>
      <c r="G2839">
        <v>15</v>
      </c>
      <c r="H2839" t="s">
        <v>20</v>
      </c>
      <c r="I2839">
        <v>18.25</v>
      </c>
      <c r="J2839">
        <v>28.71</v>
      </c>
      <c r="K2839">
        <v>3.21</v>
      </c>
      <c r="L2839">
        <v>7.0000000000000007E-2</v>
      </c>
      <c r="M2839">
        <v>50.17</v>
      </c>
      <c r="N2839">
        <v>50.24</v>
      </c>
    </row>
    <row r="2840" spans="1:14" x14ac:dyDescent="0.3">
      <c r="A2840" s="2">
        <v>45352</v>
      </c>
      <c r="B2840" t="s">
        <v>71</v>
      </c>
      <c r="C2840">
        <v>2024</v>
      </c>
      <c r="D2840">
        <v>3</v>
      </c>
      <c r="E2840" t="s">
        <v>60</v>
      </c>
      <c r="F2840" t="s">
        <v>42</v>
      </c>
      <c r="G2840">
        <v>13</v>
      </c>
      <c r="H2840" t="s">
        <v>20</v>
      </c>
      <c r="I2840">
        <v>31.19</v>
      </c>
      <c r="J2840">
        <v>37.19</v>
      </c>
      <c r="K2840">
        <v>10.18</v>
      </c>
      <c r="L2840">
        <v>4.03</v>
      </c>
      <c r="M2840">
        <v>78.56</v>
      </c>
      <c r="N2840">
        <v>82.59</v>
      </c>
    </row>
    <row r="2841" spans="1:14" x14ac:dyDescent="0.3">
      <c r="A2841" s="2">
        <v>45352</v>
      </c>
      <c r="B2841" t="s">
        <v>71</v>
      </c>
      <c r="C2841">
        <v>2024</v>
      </c>
      <c r="D2841">
        <v>3</v>
      </c>
      <c r="E2841" t="s">
        <v>60</v>
      </c>
      <c r="F2841" t="s">
        <v>43</v>
      </c>
      <c r="G2841">
        <v>21</v>
      </c>
      <c r="H2841" t="s">
        <v>20</v>
      </c>
      <c r="I2841">
        <v>1380.4</v>
      </c>
      <c r="J2841">
        <v>1659.31</v>
      </c>
      <c r="K2841">
        <v>1266.47</v>
      </c>
      <c r="L2841">
        <v>803.15</v>
      </c>
      <c r="M2841">
        <v>4306.18</v>
      </c>
      <c r="N2841">
        <v>5109.33</v>
      </c>
    </row>
    <row r="2842" spans="1:14" x14ac:dyDescent="0.3">
      <c r="A2842" s="2">
        <v>45352</v>
      </c>
      <c r="B2842" t="s">
        <v>71</v>
      </c>
      <c r="C2842">
        <v>2024</v>
      </c>
      <c r="D2842">
        <v>3</v>
      </c>
      <c r="E2842" t="s">
        <v>60</v>
      </c>
      <c r="F2842" t="s">
        <v>44</v>
      </c>
      <c r="G2842">
        <v>34</v>
      </c>
      <c r="H2842" t="s">
        <v>18</v>
      </c>
      <c r="I2842">
        <v>29.7</v>
      </c>
      <c r="J2842">
        <v>42.03</v>
      </c>
      <c r="K2842">
        <v>149.19999999999999</v>
      </c>
      <c r="L2842">
        <v>0.56000000000000005</v>
      </c>
      <c r="M2842">
        <v>220.93</v>
      </c>
      <c r="N2842">
        <v>221.49</v>
      </c>
    </row>
    <row r="2843" spans="1:14" x14ac:dyDescent="0.3">
      <c r="A2843" s="2">
        <v>45352</v>
      </c>
      <c r="B2843" t="s">
        <v>71</v>
      </c>
      <c r="C2843">
        <v>2024</v>
      </c>
      <c r="D2843">
        <v>3</v>
      </c>
      <c r="E2843" t="s">
        <v>60</v>
      </c>
      <c r="F2843" t="s">
        <v>45</v>
      </c>
      <c r="G2843">
        <v>3</v>
      </c>
      <c r="H2843" t="s">
        <v>20</v>
      </c>
      <c r="I2843">
        <v>503.96</v>
      </c>
      <c r="J2843">
        <v>716.53</v>
      </c>
      <c r="K2843">
        <v>840.79</v>
      </c>
      <c r="L2843">
        <v>29.04</v>
      </c>
      <c r="M2843">
        <v>2061.2800000000002</v>
      </c>
      <c r="N2843">
        <v>2090.3200000000002</v>
      </c>
    </row>
    <row r="2844" spans="1:14" x14ac:dyDescent="0.3">
      <c r="A2844" s="2">
        <v>45352</v>
      </c>
      <c r="B2844" t="s">
        <v>71</v>
      </c>
      <c r="C2844">
        <v>2024</v>
      </c>
      <c r="D2844">
        <v>3</v>
      </c>
      <c r="E2844" t="s">
        <v>60</v>
      </c>
      <c r="F2844" t="s">
        <v>46</v>
      </c>
      <c r="G2844">
        <v>8</v>
      </c>
      <c r="H2844" t="s">
        <v>20</v>
      </c>
      <c r="I2844">
        <v>1291.8599999999999</v>
      </c>
      <c r="J2844">
        <v>1768.59</v>
      </c>
      <c r="K2844">
        <v>1565.7</v>
      </c>
      <c r="L2844">
        <v>171.96</v>
      </c>
      <c r="M2844">
        <v>4626.1499999999996</v>
      </c>
      <c r="N2844">
        <v>4798.1099999999997</v>
      </c>
    </row>
    <row r="2845" spans="1:14" x14ac:dyDescent="0.3">
      <c r="A2845" s="2">
        <v>45352</v>
      </c>
      <c r="B2845" t="s">
        <v>71</v>
      </c>
      <c r="C2845">
        <v>2024</v>
      </c>
      <c r="D2845">
        <v>3</v>
      </c>
      <c r="E2845" t="s">
        <v>60</v>
      </c>
      <c r="F2845" t="s">
        <v>47</v>
      </c>
      <c r="G2845">
        <v>11</v>
      </c>
      <c r="H2845" t="s">
        <v>20</v>
      </c>
      <c r="I2845">
        <v>22.2</v>
      </c>
      <c r="J2845">
        <v>32.58</v>
      </c>
      <c r="K2845">
        <v>248.44</v>
      </c>
      <c r="L2845">
        <v>0.15</v>
      </c>
      <c r="M2845">
        <v>303.22000000000003</v>
      </c>
      <c r="N2845">
        <v>303.37</v>
      </c>
    </row>
    <row r="2846" spans="1:14" x14ac:dyDescent="0.3">
      <c r="A2846" s="2">
        <v>45352</v>
      </c>
      <c r="B2846" t="s">
        <v>71</v>
      </c>
      <c r="C2846">
        <v>2024</v>
      </c>
      <c r="D2846">
        <v>3</v>
      </c>
      <c r="E2846" t="s">
        <v>60</v>
      </c>
      <c r="F2846" t="s">
        <v>48</v>
      </c>
      <c r="G2846">
        <v>33</v>
      </c>
      <c r="H2846" t="s">
        <v>20</v>
      </c>
      <c r="I2846">
        <v>2875.4</v>
      </c>
      <c r="J2846">
        <v>4058.41</v>
      </c>
      <c r="K2846">
        <v>3302.15</v>
      </c>
      <c r="L2846">
        <v>780.88</v>
      </c>
      <c r="M2846">
        <v>10235.959999999999</v>
      </c>
      <c r="N2846">
        <v>11016.84</v>
      </c>
    </row>
    <row r="2847" spans="1:14" x14ac:dyDescent="0.3">
      <c r="A2847" s="2">
        <v>45352</v>
      </c>
      <c r="B2847" t="s">
        <v>71</v>
      </c>
      <c r="C2847">
        <v>2024</v>
      </c>
      <c r="D2847">
        <v>3</v>
      </c>
      <c r="E2847" t="s">
        <v>60</v>
      </c>
      <c r="F2847" t="s">
        <v>49</v>
      </c>
      <c r="G2847">
        <v>36</v>
      </c>
      <c r="H2847" t="s">
        <v>20</v>
      </c>
      <c r="I2847">
        <v>1404.47</v>
      </c>
      <c r="J2847">
        <v>1837.21</v>
      </c>
      <c r="K2847">
        <v>1595.58</v>
      </c>
      <c r="L2847">
        <v>561.96</v>
      </c>
      <c r="M2847">
        <v>4837.26</v>
      </c>
      <c r="N2847">
        <v>5399.22</v>
      </c>
    </row>
    <row r="2848" spans="1:14" x14ac:dyDescent="0.3">
      <c r="A2848" s="2">
        <v>45352</v>
      </c>
      <c r="B2848" t="s">
        <v>71</v>
      </c>
      <c r="C2848">
        <v>2024</v>
      </c>
      <c r="D2848">
        <v>3</v>
      </c>
      <c r="E2848" t="s">
        <v>60</v>
      </c>
      <c r="F2848" t="s">
        <v>50</v>
      </c>
      <c r="G2848">
        <v>16</v>
      </c>
      <c r="H2848" t="s">
        <v>20</v>
      </c>
      <c r="I2848">
        <v>44.74</v>
      </c>
      <c r="J2848">
        <v>56.67</v>
      </c>
      <c r="K2848">
        <v>19.23</v>
      </c>
      <c r="L2848">
        <v>0.09</v>
      </c>
      <c r="M2848">
        <v>120.64</v>
      </c>
      <c r="N2848">
        <v>120.73</v>
      </c>
    </row>
    <row r="2849" spans="1:14" x14ac:dyDescent="0.3">
      <c r="A2849" s="2">
        <v>45352</v>
      </c>
      <c r="B2849" t="s">
        <v>71</v>
      </c>
      <c r="C2849">
        <v>2024</v>
      </c>
      <c r="D2849">
        <v>3</v>
      </c>
      <c r="E2849" t="s">
        <v>60</v>
      </c>
      <c r="F2849" t="s">
        <v>51</v>
      </c>
      <c r="G2849">
        <v>9</v>
      </c>
      <c r="H2849" t="s">
        <v>20</v>
      </c>
      <c r="I2849">
        <v>2262.4299999999998</v>
      </c>
      <c r="J2849">
        <v>2974.26</v>
      </c>
      <c r="K2849">
        <v>2626.33</v>
      </c>
      <c r="L2849">
        <v>1224</v>
      </c>
      <c r="M2849">
        <v>7863.02</v>
      </c>
      <c r="N2849">
        <v>9087.02</v>
      </c>
    </row>
    <row r="2850" spans="1:14" x14ac:dyDescent="0.3">
      <c r="A2850" s="2">
        <v>45352</v>
      </c>
      <c r="B2850" t="s">
        <v>71</v>
      </c>
      <c r="C2850">
        <v>2024</v>
      </c>
      <c r="D2850">
        <v>3</v>
      </c>
      <c r="E2850" t="s">
        <v>60</v>
      </c>
      <c r="F2850" t="s">
        <v>52</v>
      </c>
      <c r="G2850">
        <v>5</v>
      </c>
      <c r="H2850" t="s">
        <v>20</v>
      </c>
      <c r="I2850">
        <v>353.87</v>
      </c>
      <c r="J2850">
        <v>481.09</v>
      </c>
      <c r="K2850">
        <v>885.31</v>
      </c>
      <c r="L2850">
        <v>9.3699999999999992</v>
      </c>
      <c r="M2850">
        <v>1720.27</v>
      </c>
      <c r="N2850">
        <v>1729.64</v>
      </c>
    </row>
    <row r="2851" spans="1:14" x14ac:dyDescent="0.3">
      <c r="A2851" s="2">
        <v>45352</v>
      </c>
      <c r="B2851" t="s">
        <v>71</v>
      </c>
      <c r="C2851">
        <v>2024</v>
      </c>
      <c r="D2851">
        <v>3</v>
      </c>
      <c r="E2851" t="s">
        <v>60</v>
      </c>
      <c r="F2851" t="s">
        <v>53</v>
      </c>
      <c r="G2851">
        <v>19</v>
      </c>
      <c r="H2851" t="s">
        <v>20</v>
      </c>
      <c r="I2851">
        <v>1691.71</v>
      </c>
      <c r="J2851">
        <v>2029.51</v>
      </c>
      <c r="K2851">
        <v>1338.97</v>
      </c>
      <c r="L2851">
        <v>412.55</v>
      </c>
      <c r="M2851">
        <v>5060.1899999999996</v>
      </c>
      <c r="N2851">
        <v>5472.74</v>
      </c>
    </row>
    <row r="2852" spans="1:14" x14ac:dyDescent="0.3">
      <c r="A2852" s="2">
        <v>45383</v>
      </c>
      <c r="B2852" t="s">
        <v>72</v>
      </c>
      <c r="C2852">
        <v>2024</v>
      </c>
      <c r="D2852">
        <v>4</v>
      </c>
      <c r="E2852" t="s">
        <v>62</v>
      </c>
      <c r="F2852" t="s">
        <v>17</v>
      </c>
      <c r="G2852">
        <v>35</v>
      </c>
      <c r="H2852" t="s">
        <v>18</v>
      </c>
      <c r="I2852">
        <v>26.79</v>
      </c>
      <c r="J2852">
        <v>31.56</v>
      </c>
      <c r="K2852">
        <v>6.15</v>
      </c>
      <c r="L2852">
        <v>0.05</v>
      </c>
      <c r="M2852">
        <v>64.5</v>
      </c>
      <c r="N2852">
        <v>64.55</v>
      </c>
    </row>
    <row r="2853" spans="1:14" x14ac:dyDescent="0.3">
      <c r="A2853" s="2">
        <v>45383</v>
      </c>
      <c r="B2853" t="s">
        <v>72</v>
      </c>
      <c r="C2853">
        <v>2024</v>
      </c>
      <c r="D2853">
        <v>4</v>
      </c>
      <c r="E2853" t="s">
        <v>62</v>
      </c>
      <c r="F2853" t="s">
        <v>19</v>
      </c>
      <c r="G2853">
        <v>28</v>
      </c>
      <c r="H2853" t="s">
        <v>20</v>
      </c>
      <c r="I2853">
        <v>1290.8399999999999</v>
      </c>
      <c r="J2853">
        <v>1621.08</v>
      </c>
      <c r="K2853">
        <v>1639.61</v>
      </c>
      <c r="L2853">
        <v>297.99</v>
      </c>
      <c r="M2853">
        <v>4551.53</v>
      </c>
      <c r="N2853">
        <v>4849.5200000000004</v>
      </c>
    </row>
    <row r="2854" spans="1:14" x14ac:dyDescent="0.3">
      <c r="A2854" s="2">
        <v>45383</v>
      </c>
      <c r="B2854" t="s">
        <v>72</v>
      </c>
      <c r="C2854">
        <v>2024</v>
      </c>
      <c r="D2854">
        <v>4</v>
      </c>
      <c r="E2854" t="s">
        <v>62</v>
      </c>
      <c r="F2854" t="s">
        <v>21</v>
      </c>
      <c r="G2854">
        <v>12</v>
      </c>
      <c r="H2854" t="s">
        <v>20</v>
      </c>
      <c r="I2854">
        <v>80.92</v>
      </c>
      <c r="J2854">
        <v>100.91</v>
      </c>
      <c r="K2854">
        <v>18.149999999999999</v>
      </c>
      <c r="L2854">
        <v>0.1</v>
      </c>
      <c r="M2854">
        <v>199.98</v>
      </c>
      <c r="N2854">
        <v>200.08</v>
      </c>
    </row>
    <row r="2855" spans="1:14" x14ac:dyDescent="0.3">
      <c r="A2855" s="2">
        <v>45383</v>
      </c>
      <c r="B2855" t="s">
        <v>72</v>
      </c>
      <c r="C2855">
        <v>2024</v>
      </c>
      <c r="D2855">
        <v>4</v>
      </c>
      <c r="E2855" t="s">
        <v>62</v>
      </c>
      <c r="F2855" t="s">
        <v>22</v>
      </c>
      <c r="G2855">
        <v>18</v>
      </c>
      <c r="H2855" t="s">
        <v>20</v>
      </c>
      <c r="I2855">
        <v>601.58000000000004</v>
      </c>
      <c r="J2855">
        <v>735.17</v>
      </c>
      <c r="K2855">
        <v>371.56</v>
      </c>
      <c r="L2855">
        <v>186.25</v>
      </c>
      <c r="M2855">
        <v>1708.31</v>
      </c>
      <c r="N2855">
        <v>1894.56</v>
      </c>
    </row>
    <row r="2856" spans="1:14" x14ac:dyDescent="0.3">
      <c r="A2856" s="2">
        <v>45383</v>
      </c>
      <c r="B2856" t="s">
        <v>72</v>
      </c>
      <c r="C2856">
        <v>2024</v>
      </c>
      <c r="D2856">
        <v>4</v>
      </c>
      <c r="E2856" t="s">
        <v>62</v>
      </c>
      <c r="F2856" t="s">
        <v>23</v>
      </c>
      <c r="G2856">
        <v>10</v>
      </c>
      <c r="H2856" t="s">
        <v>20</v>
      </c>
      <c r="I2856">
        <v>616.45000000000005</v>
      </c>
      <c r="J2856">
        <v>950.72</v>
      </c>
      <c r="K2856">
        <v>253.01</v>
      </c>
      <c r="L2856">
        <v>171.6</v>
      </c>
      <c r="M2856">
        <v>1820.18</v>
      </c>
      <c r="N2856">
        <v>1991.78</v>
      </c>
    </row>
    <row r="2857" spans="1:14" x14ac:dyDescent="0.3">
      <c r="A2857" s="2">
        <v>45383</v>
      </c>
      <c r="B2857" t="s">
        <v>72</v>
      </c>
      <c r="C2857">
        <v>2024</v>
      </c>
      <c r="D2857">
        <v>4</v>
      </c>
      <c r="E2857" t="s">
        <v>62</v>
      </c>
      <c r="F2857" t="s">
        <v>24</v>
      </c>
      <c r="G2857">
        <v>4</v>
      </c>
      <c r="H2857" t="s">
        <v>18</v>
      </c>
      <c r="I2857">
        <v>54.82</v>
      </c>
      <c r="J2857">
        <v>75.48</v>
      </c>
      <c r="K2857">
        <v>178.47</v>
      </c>
      <c r="L2857">
        <v>4.26</v>
      </c>
      <c r="M2857">
        <v>308.77</v>
      </c>
      <c r="N2857">
        <v>313.02999999999997</v>
      </c>
    </row>
    <row r="2858" spans="1:14" x14ac:dyDescent="0.3">
      <c r="A2858" s="2">
        <v>45383</v>
      </c>
      <c r="B2858" t="s">
        <v>72</v>
      </c>
      <c r="C2858">
        <v>2024</v>
      </c>
      <c r="D2858">
        <v>4</v>
      </c>
      <c r="E2858" t="s">
        <v>62</v>
      </c>
      <c r="F2858" t="s">
        <v>25</v>
      </c>
      <c r="G2858">
        <v>22</v>
      </c>
      <c r="H2858" t="s">
        <v>20</v>
      </c>
      <c r="I2858">
        <v>810.72</v>
      </c>
      <c r="J2858">
        <v>929.38</v>
      </c>
      <c r="K2858">
        <v>1553.54</v>
      </c>
      <c r="L2858">
        <v>706.94</v>
      </c>
      <c r="M2858">
        <v>3293.64</v>
      </c>
      <c r="N2858">
        <v>4000.58</v>
      </c>
    </row>
    <row r="2859" spans="1:14" x14ac:dyDescent="0.3">
      <c r="A2859" s="2">
        <v>45383</v>
      </c>
      <c r="B2859" t="s">
        <v>72</v>
      </c>
      <c r="C2859">
        <v>2024</v>
      </c>
      <c r="D2859">
        <v>4</v>
      </c>
      <c r="E2859" t="s">
        <v>62</v>
      </c>
      <c r="F2859" t="s">
        <v>26</v>
      </c>
      <c r="G2859">
        <v>38</v>
      </c>
      <c r="H2859" t="s">
        <v>18</v>
      </c>
      <c r="I2859">
        <v>59.88</v>
      </c>
      <c r="J2859">
        <v>75.38</v>
      </c>
      <c r="K2859">
        <v>312.02999999999997</v>
      </c>
      <c r="L2859">
        <v>0.13</v>
      </c>
      <c r="M2859">
        <v>447.29</v>
      </c>
      <c r="N2859">
        <v>447.42</v>
      </c>
    </row>
    <row r="2860" spans="1:14" x14ac:dyDescent="0.3">
      <c r="A2860" s="2">
        <v>45383</v>
      </c>
      <c r="B2860" t="s">
        <v>72</v>
      </c>
      <c r="C2860">
        <v>2024</v>
      </c>
      <c r="D2860">
        <v>4</v>
      </c>
      <c r="E2860" t="s">
        <v>62</v>
      </c>
      <c r="F2860" t="s">
        <v>27</v>
      </c>
      <c r="G2860">
        <v>7</v>
      </c>
      <c r="H2860" t="s">
        <v>18</v>
      </c>
      <c r="I2860">
        <v>1740.46</v>
      </c>
      <c r="J2860">
        <v>2026.77</v>
      </c>
      <c r="K2860">
        <v>3889.72</v>
      </c>
      <c r="L2860">
        <v>114.71</v>
      </c>
      <c r="M2860">
        <v>7656.95</v>
      </c>
      <c r="N2860">
        <v>7771.66</v>
      </c>
    </row>
    <row r="2861" spans="1:14" x14ac:dyDescent="0.3">
      <c r="A2861" s="2">
        <v>45383</v>
      </c>
      <c r="B2861" t="s">
        <v>72</v>
      </c>
      <c r="C2861">
        <v>2024</v>
      </c>
      <c r="D2861">
        <v>4</v>
      </c>
      <c r="E2861" t="s">
        <v>62</v>
      </c>
      <c r="F2861" t="s">
        <v>28</v>
      </c>
      <c r="G2861">
        <v>30</v>
      </c>
      <c r="H2861" t="s">
        <v>20</v>
      </c>
      <c r="I2861">
        <v>225.39</v>
      </c>
      <c r="J2861">
        <v>282.75</v>
      </c>
      <c r="K2861">
        <v>252.25</v>
      </c>
      <c r="L2861">
        <v>4.38</v>
      </c>
      <c r="M2861">
        <v>760.39</v>
      </c>
      <c r="N2861">
        <v>764.77</v>
      </c>
    </row>
    <row r="2862" spans="1:14" x14ac:dyDescent="0.3">
      <c r="A2862" s="2">
        <v>45383</v>
      </c>
      <c r="B2862" t="s">
        <v>72</v>
      </c>
      <c r="C2862">
        <v>2024</v>
      </c>
      <c r="D2862">
        <v>4</v>
      </c>
      <c r="E2862" t="s">
        <v>62</v>
      </c>
      <c r="F2862" t="s">
        <v>29</v>
      </c>
      <c r="G2862">
        <v>24</v>
      </c>
      <c r="H2862" t="s">
        <v>20</v>
      </c>
      <c r="I2862">
        <v>3846.83</v>
      </c>
      <c r="J2862">
        <v>4537.6499999999996</v>
      </c>
      <c r="K2862">
        <v>4232.33</v>
      </c>
      <c r="L2862">
        <v>684.05</v>
      </c>
      <c r="M2862">
        <v>12616.81</v>
      </c>
      <c r="N2862">
        <v>13300.86</v>
      </c>
    </row>
    <row r="2863" spans="1:14" x14ac:dyDescent="0.3">
      <c r="A2863" s="2">
        <v>45383</v>
      </c>
      <c r="B2863" t="s">
        <v>72</v>
      </c>
      <c r="C2863">
        <v>2024</v>
      </c>
      <c r="D2863">
        <v>4</v>
      </c>
      <c r="E2863" t="s">
        <v>62</v>
      </c>
      <c r="F2863" t="s">
        <v>30</v>
      </c>
      <c r="G2863">
        <v>6</v>
      </c>
      <c r="H2863" t="s">
        <v>20</v>
      </c>
      <c r="I2863">
        <v>1659.64</v>
      </c>
      <c r="J2863">
        <v>2172.14</v>
      </c>
      <c r="K2863">
        <v>7725.38</v>
      </c>
      <c r="L2863">
        <v>610.51</v>
      </c>
      <c r="M2863">
        <v>11557.16</v>
      </c>
      <c r="N2863">
        <v>12167.67</v>
      </c>
    </row>
    <row r="2864" spans="1:14" x14ac:dyDescent="0.3">
      <c r="A2864" s="2">
        <v>45383</v>
      </c>
      <c r="B2864" t="s">
        <v>72</v>
      </c>
      <c r="C2864">
        <v>2024</v>
      </c>
      <c r="D2864">
        <v>4</v>
      </c>
      <c r="E2864" t="s">
        <v>62</v>
      </c>
      <c r="F2864" t="s">
        <v>31</v>
      </c>
      <c r="G2864">
        <v>2</v>
      </c>
      <c r="H2864" t="s">
        <v>20</v>
      </c>
      <c r="I2864">
        <v>219.7</v>
      </c>
      <c r="J2864">
        <v>302.64</v>
      </c>
      <c r="K2864">
        <v>491.19</v>
      </c>
      <c r="L2864">
        <v>1.59</v>
      </c>
      <c r="M2864">
        <v>1013.53</v>
      </c>
      <c r="N2864">
        <v>1015.12</v>
      </c>
    </row>
    <row r="2865" spans="1:14" x14ac:dyDescent="0.3">
      <c r="A2865" s="2">
        <v>45383</v>
      </c>
      <c r="B2865" t="s">
        <v>72</v>
      </c>
      <c r="C2865">
        <v>2024</v>
      </c>
      <c r="D2865">
        <v>4</v>
      </c>
      <c r="E2865" t="s">
        <v>62</v>
      </c>
      <c r="F2865" t="s">
        <v>32</v>
      </c>
      <c r="G2865">
        <v>1</v>
      </c>
      <c r="H2865" t="s">
        <v>18</v>
      </c>
      <c r="I2865">
        <v>269.64</v>
      </c>
      <c r="J2865">
        <v>362.34</v>
      </c>
      <c r="K2865">
        <v>149.88</v>
      </c>
      <c r="L2865">
        <v>7.35</v>
      </c>
      <c r="M2865">
        <v>781.86</v>
      </c>
      <c r="N2865">
        <v>789.21</v>
      </c>
    </row>
    <row r="2866" spans="1:14" x14ac:dyDescent="0.3">
      <c r="A2866" s="2">
        <v>45383</v>
      </c>
      <c r="B2866" t="s">
        <v>72</v>
      </c>
      <c r="C2866">
        <v>2024</v>
      </c>
      <c r="D2866">
        <v>4</v>
      </c>
      <c r="E2866" t="s">
        <v>62</v>
      </c>
      <c r="F2866" t="s">
        <v>33</v>
      </c>
      <c r="G2866">
        <v>20</v>
      </c>
      <c r="H2866" t="s">
        <v>20</v>
      </c>
      <c r="I2866">
        <v>714.08</v>
      </c>
      <c r="J2866">
        <v>934.43</v>
      </c>
      <c r="K2866">
        <v>1492.99</v>
      </c>
      <c r="L2866">
        <v>687.71</v>
      </c>
      <c r="M2866">
        <v>3141.5</v>
      </c>
      <c r="N2866">
        <v>3829.21</v>
      </c>
    </row>
    <row r="2867" spans="1:14" x14ac:dyDescent="0.3">
      <c r="A2867" s="2">
        <v>45383</v>
      </c>
      <c r="B2867" t="s">
        <v>72</v>
      </c>
      <c r="C2867">
        <v>2024</v>
      </c>
      <c r="D2867">
        <v>4</v>
      </c>
      <c r="E2867" t="s">
        <v>62</v>
      </c>
      <c r="F2867" t="s">
        <v>34</v>
      </c>
      <c r="G2867">
        <v>29</v>
      </c>
      <c r="H2867" t="s">
        <v>20</v>
      </c>
      <c r="I2867">
        <v>3896.36</v>
      </c>
      <c r="J2867">
        <v>4715.34</v>
      </c>
      <c r="K2867">
        <v>5791.48</v>
      </c>
      <c r="L2867">
        <v>1574.97</v>
      </c>
      <c r="M2867">
        <v>14403.18</v>
      </c>
      <c r="N2867">
        <v>15978.15</v>
      </c>
    </row>
    <row r="2868" spans="1:14" x14ac:dyDescent="0.3">
      <c r="A2868" s="2">
        <v>45383</v>
      </c>
      <c r="B2868" t="s">
        <v>72</v>
      </c>
      <c r="C2868">
        <v>2024</v>
      </c>
      <c r="D2868">
        <v>4</v>
      </c>
      <c r="E2868" t="s">
        <v>62</v>
      </c>
      <c r="F2868" t="s">
        <v>35</v>
      </c>
      <c r="G2868">
        <v>32</v>
      </c>
      <c r="H2868" t="s">
        <v>20</v>
      </c>
      <c r="I2868">
        <v>1157.1099999999999</v>
      </c>
      <c r="J2868">
        <v>1456.12</v>
      </c>
      <c r="K2868">
        <v>652.1</v>
      </c>
      <c r="L2868">
        <v>6.88</v>
      </c>
      <c r="M2868">
        <v>3265.33</v>
      </c>
      <c r="N2868">
        <v>3272.21</v>
      </c>
    </row>
    <row r="2869" spans="1:14" x14ac:dyDescent="0.3">
      <c r="A2869" s="2">
        <v>45383</v>
      </c>
      <c r="B2869" t="s">
        <v>72</v>
      </c>
      <c r="C2869">
        <v>2024</v>
      </c>
      <c r="D2869">
        <v>4</v>
      </c>
      <c r="E2869" t="s">
        <v>62</v>
      </c>
      <c r="F2869" t="s">
        <v>67</v>
      </c>
      <c r="G2869">
        <v>37</v>
      </c>
      <c r="H2869" t="s">
        <v>18</v>
      </c>
      <c r="I2869">
        <v>29.57</v>
      </c>
      <c r="J2869">
        <v>35.92</v>
      </c>
      <c r="K2869">
        <v>3.97</v>
      </c>
      <c r="L2869">
        <v>0.05</v>
      </c>
      <c r="M2869">
        <v>69.459999999999994</v>
      </c>
      <c r="N2869">
        <v>69.510000000000005</v>
      </c>
    </row>
    <row r="2870" spans="1:14" x14ac:dyDescent="0.3">
      <c r="A2870" s="2">
        <v>45383</v>
      </c>
      <c r="B2870" t="s">
        <v>72</v>
      </c>
      <c r="C2870">
        <v>2024</v>
      </c>
      <c r="D2870">
        <v>4</v>
      </c>
      <c r="E2870" t="s">
        <v>62</v>
      </c>
      <c r="F2870" t="s">
        <v>36</v>
      </c>
      <c r="G2870">
        <v>31</v>
      </c>
      <c r="H2870" t="s">
        <v>18</v>
      </c>
      <c r="I2870">
        <v>0.18</v>
      </c>
      <c r="J2870">
        <v>0.22</v>
      </c>
      <c r="K2870">
        <v>0.81</v>
      </c>
      <c r="L2870">
        <v>0</v>
      </c>
      <c r="M2870">
        <v>1.21</v>
      </c>
      <c r="N2870">
        <v>1.21</v>
      </c>
    </row>
    <row r="2871" spans="1:14" x14ac:dyDescent="0.3">
      <c r="A2871" s="2">
        <v>45383</v>
      </c>
      <c r="B2871" t="s">
        <v>72</v>
      </c>
      <c r="C2871">
        <v>2024</v>
      </c>
      <c r="D2871">
        <v>4</v>
      </c>
      <c r="E2871" t="s">
        <v>62</v>
      </c>
      <c r="F2871" t="s">
        <v>37</v>
      </c>
      <c r="G2871">
        <v>23</v>
      </c>
      <c r="H2871" t="s">
        <v>20</v>
      </c>
      <c r="I2871">
        <v>1220.58</v>
      </c>
      <c r="J2871">
        <v>1519.6</v>
      </c>
      <c r="K2871">
        <v>1365.12</v>
      </c>
      <c r="L2871">
        <v>622.53</v>
      </c>
      <c r="M2871">
        <v>4105.3</v>
      </c>
      <c r="N2871">
        <v>4727.83</v>
      </c>
    </row>
    <row r="2872" spans="1:14" x14ac:dyDescent="0.3">
      <c r="A2872" s="2">
        <v>45383</v>
      </c>
      <c r="B2872" t="s">
        <v>72</v>
      </c>
      <c r="C2872">
        <v>2024</v>
      </c>
      <c r="D2872">
        <v>4</v>
      </c>
      <c r="E2872" t="s">
        <v>62</v>
      </c>
      <c r="F2872" t="s">
        <v>38</v>
      </c>
      <c r="G2872">
        <v>27</v>
      </c>
      <c r="H2872" t="s">
        <v>20</v>
      </c>
      <c r="I2872">
        <v>10263.18</v>
      </c>
      <c r="J2872">
        <v>11729.43</v>
      </c>
      <c r="K2872">
        <v>13430.36</v>
      </c>
      <c r="L2872">
        <v>2247.84</v>
      </c>
      <c r="M2872">
        <v>35422.97</v>
      </c>
      <c r="N2872">
        <v>37670.81</v>
      </c>
    </row>
    <row r="2873" spans="1:14" x14ac:dyDescent="0.3">
      <c r="A2873" s="2">
        <v>45383</v>
      </c>
      <c r="B2873" t="s">
        <v>72</v>
      </c>
      <c r="C2873">
        <v>2024</v>
      </c>
      <c r="D2873">
        <v>4</v>
      </c>
      <c r="E2873" t="s">
        <v>62</v>
      </c>
      <c r="F2873" t="s">
        <v>39</v>
      </c>
      <c r="G2873">
        <v>14</v>
      </c>
      <c r="H2873" t="s">
        <v>20</v>
      </c>
      <c r="I2873">
        <v>41.34</v>
      </c>
      <c r="J2873">
        <v>52.61</v>
      </c>
      <c r="K2873">
        <v>9.9499999999999993</v>
      </c>
      <c r="L2873">
        <v>0.08</v>
      </c>
      <c r="M2873">
        <v>103.9</v>
      </c>
      <c r="N2873">
        <v>103.98</v>
      </c>
    </row>
    <row r="2874" spans="1:14" x14ac:dyDescent="0.3">
      <c r="A2874" s="2">
        <v>45383</v>
      </c>
      <c r="B2874" t="s">
        <v>72</v>
      </c>
      <c r="C2874">
        <v>2024</v>
      </c>
      <c r="D2874">
        <v>4</v>
      </c>
      <c r="E2874" t="s">
        <v>62</v>
      </c>
      <c r="F2874" t="s">
        <v>40</v>
      </c>
      <c r="G2874">
        <v>17</v>
      </c>
      <c r="H2874" t="s">
        <v>20</v>
      </c>
      <c r="I2874">
        <v>63.17</v>
      </c>
      <c r="J2874">
        <v>75.59</v>
      </c>
      <c r="K2874">
        <v>94.82</v>
      </c>
      <c r="L2874">
        <v>0.38</v>
      </c>
      <c r="M2874">
        <v>233.58</v>
      </c>
      <c r="N2874">
        <v>233.96</v>
      </c>
    </row>
    <row r="2875" spans="1:14" x14ac:dyDescent="0.3">
      <c r="A2875" s="2">
        <v>45383</v>
      </c>
      <c r="B2875" t="s">
        <v>72</v>
      </c>
      <c r="C2875">
        <v>2024</v>
      </c>
      <c r="D2875">
        <v>4</v>
      </c>
      <c r="E2875" t="s">
        <v>62</v>
      </c>
      <c r="F2875" t="s">
        <v>41</v>
      </c>
      <c r="G2875">
        <v>15</v>
      </c>
      <c r="H2875" t="s">
        <v>20</v>
      </c>
      <c r="I2875">
        <v>43.71</v>
      </c>
      <c r="J2875">
        <v>59.38</v>
      </c>
      <c r="K2875">
        <v>4.9000000000000004</v>
      </c>
      <c r="L2875">
        <v>0.08</v>
      </c>
      <c r="M2875">
        <v>107.99</v>
      </c>
      <c r="N2875">
        <v>108.07</v>
      </c>
    </row>
    <row r="2876" spans="1:14" x14ac:dyDescent="0.3">
      <c r="A2876" s="2">
        <v>45383</v>
      </c>
      <c r="B2876" t="s">
        <v>72</v>
      </c>
      <c r="C2876">
        <v>2024</v>
      </c>
      <c r="D2876">
        <v>4</v>
      </c>
      <c r="E2876" t="s">
        <v>62</v>
      </c>
      <c r="F2876" t="s">
        <v>42</v>
      </c>
      <c r="G2876">
        <v>13</v>
      </c>
      <c r="H2876" t="s">
        <v>20</v>
      </c>
      <c r="I2876">
        <v>30.71</v>
      </c>
      <c r="J2876">
        <v>40.6</v>
      </c>
      <c r="K2876">
        <v>10.42</v>
      </c>
      <c r="L2876">
        <v>4.13</v>
      </c>
      <c r="M2876">
        <v>81.73</v>
      </c>
      <c r="N2876">
        <v>85.86</v>
      </c>
    </row>
    <row r="2877" spans="1:14" x14ac:dyDescent="0.3">
      <c r="A2877" s="2">
        <v>45383</v>
      </c>
      <c r="B2877" t="s">
        <v>72</v>
      </c>
      <c r="C2877">
        <v>2024</v>
      </c>
      <c r="D2877">
        <v>4</v>
      </c>
      <c r="E2877" t="s">
        <v>62</v>
      </c>
      <c r="F2877" t="s">
        <v>43</v>
      </c>
      <c r="G2877">
        <v>21</v>
      </c>
      <c r="H2877" t="s">
        <v>20</v>
      </c>
      <c r="I2877">
        <v>1674.38</v>
      </c>
      <c r="J2877">
        <v>2081.83</v>
      </c>
      <c r="K2877">
        <v>1349.66</v>
      </c>
      <c r="L2877">
        <v>796.38</v>
      </c>
      <c r="M2877">
        <v>5105.87</v>
      </c>
      <c r="N2877">
        <v>5902.25</v>
      </c>
    </row>
    <row r="2878" spans="1:14" x14ac:dyDescent="0.3">
      <c r="A2878" s="2">
        <v>45383</v>
      </c>
      <c r="B2878" t="s">
        <v>72</v>
      </c>
      <c r="C2878">
        <v>2024</v>
      </c>
      <c r="D2878">
        <v>4</v>
      </c>
      <c r="E2878" t="s">
        <v>62</v>
      </c>
      <c r="F2878" t="s">
        <v>44</v>
      </c>
      <c r="G2878">
        <v>34</v>
      </c>
      <c r="H2878" t="s">
        <v>18</v>
      </c>
      <c r="I2878">
        <v>35.36</v>
      </c>
      <c r="J2878">
        <v>54.12</v>
      </c>
      <c r="K2878">
        <v>154.94999999999999</v>
      </c>
      <c r="L2878">
        <v>2.2200000000000002</v>
      </c>
      <c r="M2878">
        <v>244.43</v>
      </c>
      <c r="N2878">
        <v>246.65</v>
      </c>
    </row>
    <row r="2879" spans="1:14" x14ac:dyDescent="0.3">
      <c r="A2879" s="2">
        <v>45383</v>
      </c>
      <c r="B2879" t="s">
        <v>72</v>
      </c>
      <c r="C2879">
        <v>2024</v>
      </c>
      <c r="D2879">
        <v>4</v>
      </c>
      <c r="E2879" t="s">
        <v>62</v>
      </c>
      <c r="F2879" t="s">
        <v>45</v>
      </c>
      <c r="G2879">
        <v>3</v>
      </c>
      <c r="H2879" t="s">
        <v>20</v>
      </c>
      <c r="I2879">
        <v>693.2</v>
      </c>
      <c r="J2879">
        <v>998.58</v>
      </c>
      <c r="K2879">
        <v>1068.8599999999999</v>
      </c>
      <c r="L2879">
        <v>35.159999999999997</v>
      </c>
      <c r="M2879">
        <v>2760.64</v>
      </c>
      <c r="N2879">
        <v>2795.8</v>
      </c>
    </row>
    <row r="2880" spans="1:14" x14ac:dyDescent="0.3">
      <c r="A2880" s="2">
        <v>45383</v>
      </c>
      <c r="B2880" t="s">
        <v>72</v>
      </c>
      <c r="C2880">
        <v>2024</v>
      </c>
      <c r="D2880">
        <v>4</v>
      </c>
      <c r="E2880" t="s">
        <v>62</v>
      </c>
      <c r="F2880" t="s">
        <v>46</v>
      </c>
      <c r="G2880">
        <v>8</v>
      </c>
      <c r="H2880" t="s">
        <v>20</v>
      </c>
      <c r="I2880">
        <v>1600.9</v>
      </c>
      <c r="J2880">
        <v>1889.1</v>
      </c>
      <c r="K2880">
        <v>1890.19</v>
      </c>
      <c r="L2880">
        <v>177.82</v>
      </c>
      <c r="M2880">
        <v>5380.19</v>
      </c>
      <c r="N2880">
        <v>5558.01</v>
      </c>
    </row>
    <row r="2881" spans="1:14" x14ac:dyDescent="0.3">
      <c r="A2881" s="2">
        <v>45383</v>
      </c>
      <c r="B2881" t="s">
        <v>72</v>
      </c>
      <c r="C2881">
        <v>2024</v>
      </c>
      <c r="D2881">
        <v>4</v>
      </c>
      <c r="E2881" t="s">
        <v>62</v>
      </c>
      <c r="F2881" t="s">
        <v>47</v>
      </c>
      <c r="G2881">
        <v>11</v>
      </c>
      <c r="H2881" t="s">
        <v>20</v>
      </c>
      <c r="I2881">
        <v>46.69</v>
      </c>
      <c r="J2881">
        <v>69.2</v>
      </c>
      <c r="K2881">
        <v>287.54000000000002</v>
      </c>
      <c r="L2881">
        <v>0.05</v>
      </c>
      <c r="M2881">
        <v>403.43</v>
      </c>
      <c r="N2881">
        <v>403.48</v>
      </c>
    </row>
    <row r="2882" spans="1:14" x14ac:dyDescent="0.3">
      <c r="A2882" s="2">
        <v>45383</v>
      </c>
      <c r="B2882" t="s">
        <v>72</v>
      </c>
      <c r="C2882">
        <v>2024</v>
      </c>
      <c r="D2882">
        <v>4</v>
      </c>
      <c r="E2882" t="s">
        <v>62</v>
      </c>
      <c r="F2882" t="s">
        <v>48</v>
      </c>
      <c r="G2882">
        <v>33</v>
      </c>
      <c r="H2882" t="s">
        <v>20</v>
      </c>
      <c r="I2882">
        <v>3193.48</v>
      </c>
      <c r="J2882">
        <v>4066.49</v>
      </c>
      <c r="K2882">
        <v>4157.6899999999996</v>
      </c>
      <c r="L2882">
        <v>792.3</v>
      </c>
      <c r="M2882">
        <v>11417.66</v>
      </c>
      <c r="N2882">
        <v>12209.96</v>
      </c>
    </row>
    <row r="2883" spans="1:14" x14ac:dyDescent="0.3">
      <c r="A2883" s="2">
        <v>45383</v>
      </c>
      <c r="B2883" t="s">
        <v>72</v>
      </c>
      <c r="C2883">
        <v>2024</v>
      </c>
      <c r="D2883">
        <v>4</v>
      </c>
      <c r="E2883" t="s">
        <v>62</v>
      </c>
      <c r="F2883" t="s">
        <v>49</v>
      </c>
      <c r="G2883">
        <v>36</v>
      </c>
      <c r="H2883" t="s">
        <v>20</v>
      </c>
      <c r="I2883">
        <v>1720.73</v>
      </c>
      <c r="J2883">
        <v>2062.94</v>
      </c>
      <c r="K2883">
        <v>1890.34</v>
      </c>
      <c r="L2883">
        <v>561.88</v>
      </c>
      <c r="M2883">
        <v>5674.01</v>
      </c>
      <c r="N2883">
        <v>6235.89</v>
      </c>
    </row>
    <row r="2884" spans="1:14" x14ac:dyDescent="0.3">
      <c r="A2884" s="2">
        <v>45383</v>
      </c>
      <c r="B2884" t="s">
        <v>72</v>
      </c>
      <c r="C2884">
        <v>2024</v>
      </c>
      <c r="D2884">
        <v>4</v>
      </c>
      <c r="E2884" t="s">
        <v>62</v>
      </c>
      <c r="F2884" t="s">
        <v>50</v>
      </c>
      <c r="G2884">
        <v>16</v>
      </c>
      <c r="H2884" t="s">
        <v>20</v>
      </c>
      <c r="I2884">
        <v>64.34</v>
      </c>
      <c r="J2884">
        <v>79.81</v>
      </c>
      <c r="K2884">
        <v>16.43</v>
      </c>
      <c r="L2884">
        <v>0.04</v>
      </c>
      <c r="M2884">
        <v>160.58000000000001</v>
      </c>
      <c r="N2884">
        <v>160.62</v>
      </c>
    </row>
    <row r="2885" spans="1:14" x14ac:dyDescent="0.3">
      <c r="A2885" s="2">
        <v>45383</v>
      </c>
      <c r="B2885" t="s">
        <v>72</v>
      </c>
      <c r="C2885">
        <v>2024</v>
      </c>
      <c r="D2885">
        <v>4</v>
      </c>
      <c r="E2885" t="s">
        <v>62</v>
      </c>
      <c r="F2885" t="s">
        <v>51</v>
      </c>
      <c r="G2885">
        <v>9</v>
      </c>
      <c r="H2885" t="s">
        <v>20</v>
      </c>
      <c r="I2885">
        <v>3202.68</v>
      </c>
      <c r="J2885">
        <v>4120.71</v>
      </c>
      <c r="K2885">
        <v>3606.43</v>
      </c>
      <c r="L2885">
        <v>1360.3</v>
      </c>
      <c r="M2885">
        <v>10929.82</v>
      </c>
      <c r="N2885">
        <v>12290.12</v>
      </c>
    </row>
    <row r="2886" spans="1:14" x14ac:dyDescent="0.3">
      <c r="A2886" s="2">
        <v>45383</v>
      </c>
      <c r="B2886" t="s">
        <v>72</v>
      </c>
      <c r="C2886">
        <v>2024</v>
      </c>
      <c r="D2886">
        <v>4</v>
      </c>
      <c r="E2886" t="s">
        <v>62</v>
      </c>
      <c r="F2886" t="s">
        <v>52</v>
      </c>
      <c r="G2886">
        <v>5</v>
      </c>
      <c r="H2886" t="s">
        <v>20</v>
      </c>
      <c r="I2886">
        <v>460.53</v>
      </c>
      <c r="J2886">
        <v>636.26</v>
      </c>
      <c r="K2886">
        <v>1132.22</v>
      </c>
      <c r="L2886">
        <v>10.02</v>
      </c>
      <c r="M2886">
        <v>2229.0100000000002</v>
      </c>
      <c r="N2886">
        <v>2239.0300000000002</v>
      </c>
    </row>
    <row r="2887" spans="1:14" x14ac:dyDescent="0.3">
      <c r="A2887" s="2">
        <v>45383</v>
      </c>
      <c r="B2887" t="s">
        <v>72</v>
      </c>
      <c r="C2887">
        <v>2024</v>
      </c>
      <c r="D2887">
        <v>4</v>
      </c>
      <c r="E2887" t="s">
        <v>62</v>
      </c>
      <c r="F2887" t="s">
        <v>53</v>
      </c>
      <c r="G2887">
        <v>19</v>
      </c>
      <c r="H2887" t="s">
        <v>20</v>
      </c>
      <c r="I2887">
        <v>2177.9499999999998</v>
      </c>
      <c r="J2887">
        <v>2640.03</v>
      </c>
      <c r="K2887">
        <v>1894.17</v>
      </c>
      <c r="L2887">
        <v>581.30999999999995</v>
      </c>
      <c r="M2887">
        <v>6712.15</v>
      </c>
      <c r="N2887">
        <v>7293.46</v>
      </c>
    </row>
    <row r="2888" spans="1:14" x14ac:dyDescent="0.3">
      <c r="A2888" s="2">
        <v>45413</v>
      </c>
      <c r="B2888" t="s">
        <v>72</v>
      </c>
      <c r="C2888">
        <v>2024</v>
      </c>
      <c r="D2888">
        <v>5</v>
      </c>
      <c r="E2888" t="s">
        <v>63</v>
      </c>
      <c r="F2888" t="s">
        <v>17</v>
      </c>
      <c r="G2888">
        <v>35</v>
      </c>
      <c r="H2888" t="s">
        <v>18</v>
      </c>
      <c r="I2888">
        <v>13.54</v>
      </c>
      <c r="J2888">
        <v>17.7</v>
      </c>
      <c r="K2888">
        <v>5.28</v>
      </c>
      <c r="L2888">
        <v>0.05</v>
      </c>
      <c r="M2888">
        <v>36.520000000000003</v>
      </c>
      <c r="N2888">
        <v>36.57</v>
      </c>
    </row>
    <row r="2889" spans="1:14" x14ac:dyDescent="0.3">
      <c r="A2889" s="2">
        <v>45413</v>
      </c>
      <c r="B2889" t="s">
        <v>72</v>
      </c>
      <c r="C2889">
        <v>2024</v>
      </c>
      <c r="D2889">
        <v>5</v>
      </c>
      <c r="E2889" t="s">
        <v>63</v>
      </c>
      <c r="F2889" t="s">
        <v>19</v>
      </c>
      <c r="G2889">
        <v>28</v>
      </c>
      <c r="H2889" t="s">
        <v>20</v>
      </c>
      <c r="I2889">
        <v>980.51</v>
      </c>
      <c r="J2889">
        <v>1240.0999999999999</v>
      </c>
      <c r="K2889">
        <v>1410.08</v>
      </c>
      <c r="L2889">
        <v>259.77999999999997</v>
      </c>
      <c r="M2889">
        <v>3630.69</v>
      </c>
      <c r="N2889">
        <v>3890.47</v>
      </c>
    </row>
    <row r="2890" spans="1:14" x14ac:dyDescent="0.3">
      <c r="A2890" s="2">
        <v>45413</v>
      </c>
      <c r="B2890" t="s">
        <v>72</v>
      </c>
      <c r="C2890">
        <v>2024</v>
      </c>
      <c r="D2890">
        <v>5</v>
      </c>
      <c r="E2890" t="s">
        <v>63</v>
      </c>
      <c r="F2890" t="s">
        <v>21</v>
      </c>
      <c r="G2890">
        <v>12</v>
      </c>
      <c r="H2890" t="s">
        <v>20</v>
      </c>
      <c r="I2890">
        <v>36.31</v>
      </c>
      <c r="J2890">
        <v>44.52</v>
      </c>
      <c r="K2890">
        <v>17.23</v>
      </c>
      <c r="L2890">
        <v>0.21</v>
      </c>
      <c r="M2890">
        <v>98.06</v>
      </c>
      <c r="N2890">
        <v>98.27</v>
      </c>
    </row>
    <row r="2891" spans="1:14" x14ac:dyDescent="0.3">
      <c r="A2891" s="2">
        <v>45413</v>
      </c>
      <c r="B2891" t="s">
        <v>72</v>
      </c>
      <c r="C2891">
        <v>2024</v>
      </c>
      <c r="D2891">
        <v>5</v>
      </c>
      <c r="E2891" t="s">
        <v>63</v>
      </c>
      <c r="F2891" t="s">
        <v>22</v>
      </c>
      <c r="G2891">
        <v>18</v>
      </c>
      <c r="H2891" t="s">
        <v>20</v>
      </c>
      <c r="I2891">
        <v>375.64</v>
      </c>
      <c r="J2891">
        <v>511.47</v>
      </c>
      <c r="K2891">
        <v>281.93</v>
      </c>
      <c r="L2891">
        <v>59.42</v>
      </c>
      <c r="M2891">
        <v>1169.04</v>
      </c>
      <c r="N2891">
        <v>1228.46</v>
      </c>
    </row>
    <row r="2892" spans="1:14" x14ac:dyDescent="0.3">
      <c r="A2892" s="2">
        <v>45413</v>
      </c>
      <c r="B2892" t="s">
        <v>72</v>
      </c>
      <c r="C2892">
        <v>2024</v>
      </c>
      <c r="D2892">
        <v>5</v>
      </c>
      <c r="E2892" t="s">
        <v>63</v>
      </c>
      <c r="F2892" t="s">
        <v>23</v>
      </c>
      <c r="G2892">
        <v>10</v>
      </c>
      <c r="H2892" t="s">
        <v>20</v>
      </c>
      <c r="I2892">
        <v>425.19</v>
      </c>
      <c r="J2892">
        <v>694.56</v>
      </c>
      <c r="K2892">
        <v>210.87</v>
      </c>
      <c r="L2892">
        <v>190.55</v>
      </c>
      <c r="M2892">
        <v>1330.62</v>
      </c>
      <c r="N2892">
        <v>1521.17</v>
      </c>
    </row>
    <row r="2893" spans="1:14" x14ac:dyDescent="0.3">
      <c r="A2893" s="2">
        <v>45413</v>
      </c>
      <c r="B2893" t="s">
        <v>72</v>
      </c>
      <c r="C2893">
        <v>2024</v>
      </c>
      <c r="D2893">
        <v>5</v>
      </c>
      <c r="E2893" t="s">
        <v>63</v>
      </c>
      <c r="F2893" t="s">
        <v>24</v>
      </c>
      <c r="G2893">
        <v>4</v>
      </c>
      <c r="H2893" t="s">
        <v>18</v>
      </c>
      <c r="I2893">
        <v>41.51</v>
      </c>
      <c r="J2893">
        <v>54.22</v>
      </c>
      <c r="K2893">
        <v>138.1</v>
      </c>
      <c r="L2893">
        <v>3.32</v>
      </c>
      <c r="M2893">
        <v>233.83</v>
      </c>
      <c r="N2893">
        <v>237.15</v>
      </c>
    </row>
    <row r="2894" spans="1:14" x14ac:dyDescent="0.3">
      <c r="A2894" s="2">
        <v>45413</v>
      </c>
      <c r="B2894" t="s">
        <v>72</v>
      </c>
      <c r="C2894">
        <v>2024</v>
      </c>
      <c r="D2894">
        <v>5</v>
      </c>
      <c r="E2894" t="s">
        <v>63</v>
      </c>
      <c r="F2894" t="s">
        <v>25</v>
      </c>
      <c r="G2894">
        <v>22</v>
      </c>
      <c r="H2894" t="s">
        <v>20</v>
      </c>
      <c r="I2894">
        <v>556.91999999999996</v>
      </c>
      <c r="J2894">
        <v>661.49</v>
      </c>
      <c r="K2894">
        <v>952.81</v>
      </c>
      <c r="L2894">
        <v>681.79</v>
      </c>
      <c r="M2894">
        <v>2171.2199999999998</v>
      </c>
      <c r="N2894">
        <v>2853.01</v>
      </c>
    </row>
    <row r="2895" spans="1:14" x14ac:dyDescent="0.3">
      <c r="A2895" s="2">
        <v>45413</v>
      </c>
      <c r="B2895" t="s">
        <v>72</v>
      </c>
      <c r="C2895">
        <v>2024</v>
      </c>
      <c r="D2895">
        <v>5</v>
      </c>
      <c r="E2895" t="s">
        <v>63</v>
      </c>
      <c r="F2895" t="s">
        <v>26</v>
      </c>
      <c r="G2895">
        <v>38</v>
      </c>
      <c r="H2895" t="s">
        <v>18</v>
      </c>
      <c r="I2895">
        <v>47.05</v>
      </c>
      <c r="J2895">
        <v>57.93</v>
      </c>
      <c r="K2895">
        <v>269.83999999999997</v>
      </c>
      <c r="L2895">
        <v>0.3</v>
      </c>
      <c r="M2895">
        <v>374.82</v>
      </c>
      <c r="N2895">
        <v>375.12</v>
      </c>
    </row>
    <row r="2896" spans="1:14" x14ac:dyDescent="0.3">
      <c r="A2896" s="2">
        <v>45413</v>
      </c>
      <c r="B2896" t="s">
        <v>72</v>
      </c>
      <c r="C2896">
        <v>2024</v>
      </c>
      <c r="D2896">
        <v>5</v>
      </c>
      <c r="E2896" t="s">
        <v>63</v>
      </c>
      <c r="F2896" t="s">
        <v>27</v>
      </c>
      <c r="G2896">
        <v>7</v>
      </c>
      <c r="H2896" t="s">
        <v>18</v>
      </c>
      <c r="I2896">
        <v>1286.6400000000001</v>
      </c>
      <c r="J2896">
        <v>1476.93</v>
      </c>
      <c r="K2896">
        <v>4630.3</v>
      </c>
      <c r="L2896">
        <v>117.64</v>
      </c>
      <c r="M2896">
        <v>7393.87</v>
      </c>
      <c r="N2896">
        <v>7511.51</v>
      </c>
    </row>
    <row r="2897" spans="1:14" x14ac:dyDescent="0.3">
      <c r="A2897" s="2">
        <v>45413</v>
      </c>
      <c r="B2897" t="s">
        <v>72</v>
      </c>
      <c r="C2897">
        <v>2024</v>
      </c>
      <c r="D2897">
        <v>5</v>
      </c>
      <c r="E2897" t="s">
        <v>63</v>
      </c>
      <c r="F2897" t="s">
        <v>28</v>
      </c>
      <c r="G2897">
        <v>30</v>
      </c>
      <c r="H2897" t="s">
        <v>20</v>
      </c>
      <c r="I2897">
        <v>146.32</v>
      </c>
      <c r="J2897">
        <v>190.01</v>
      </c>
      <c r="K2897">
        <v>178.83</v>
      </c>
      <c r="L2897">
        <v>3.99</v>
      </c>
      <c r="M2897">
        <v>515.16</v>
      </c>
      <c r="N2897">
        <v>519.15</v>
      </c>
    </row>
    <row r="2898" spans="1:14" x14ac:dyDescent="0.3">
      <c r="A2898" s="2">
        <v>45413</v>
      </c>
      <c r="B2898" t="s">
        <v>72</v>
      </c>
      <c r="C2898">
        <v>2024</v>
      </c>
      <c r="D2898">
        <v>5</v>
      </c>
      <c r="E2898" t="s">
        <v>63</v>
      </c>
      <c r="F2898" t="s">
        <v>29</v>
      </c>
      <c r="G2898">
        <v>24</v>
      </c>
      <c r="H2898" t="s">
        <v>20</v>
      </c>
      <c r="I2898">
        <v>2952.79</v>
      </c>
      <c r="J2898">
        <v>3525.91</v>
      </c>
      <c r="K2898">
        <v>4158</v>
      </c>
      <c r="L2898">
        <v>688</v>
      </c>
      <c r="M2898">
        <v>10636.7</v>
      </c>
      <c r="N2898">
        <v>11324.7</v>
      </c>
    </row>
    <row r="2899" spans="1:14" x14ac:dyDescent="0.3">
      <c r="A2899" s="2">
        <v>45413</v>
      </c>
      <c r="B2899" t="s">
        <v>72</v>
      </c>
      <c r="C2899">
        <v>2024</v>
      </c>
      <c r="D2899">
        <v>5</v>
      </c>
      <c r="E2899" t="s">
        <v>63</v>
      </c>
      <c r="F2899" t="s">
        <v>30</v>
      </c>
      <c r="G2899">
        <v>6</v>
      </c>
      <c r="H2899" t="s">
        <v>20</v>
      </c>
      <c r="I2899">
        <v>1518.57</v>
      </c>
      <c r="J2899">
        <v>1949.86</v>
      </c>
      <c r="K2899">
        <v>5208.96</v>
      </c>
      <c r="L2899">
        <v>611.29</v>
      </c>
      <c r="M2899">
        <v>8677.39</v>
      </c>
      <c r="N2899">
        <v>9288.68</v>
      </c>
    </row>
    <row r="2900" spans="1:14" x14ac:dyDescent="0.3">
      <c r="A2900" s="2">
        <v>45413</v>
      </c>
      <c r="B2900" t="s">
        <v>72</v>
      </c>
      <c r="C2900">
        <v>2024</v>
      </c>
      <c r="D2900">
        <v>5</v>
      </c>
      <c r="E2900" t="s">
        <v>63</v>
      </c>
      <c r="F2900" t="s">
        <v>31</v>
      </c>
      <c r="G2900">
        <v>2</v>
      </c>
      <c r="H2900" t="s">
        <v>20</v>
      </c>
      <c r="I2900">
        <v>133.83000000000001</v>
      </c>
      <c r="J2900">
        <v>187.15</v>
      </c>
      <c r="K2900">
        <v>515.62</v>
      </c>
      <c r="L2900">
        <v>1.76</v>
      </c>
      <c r="M2900">
        <v>836.6</v>
      </c>
      <c r="N2900">
        <v>838.36</v>
      </c>
    </row>
    <row r="2901" spans="1:14" x14ac:dyDescent="0.3">
      <c r="A2901" s="2">
        <v>45413</v>
      </c>
      <c r="B2901" t="s">
        <v>72</v>
      </c>
      <c r="C2901">
        <v>2024</v>
      </c>
      <c r="D2901">
        <v>5</v>
      </c>
      <c r="E2901" t="s">
        <v>63</v>
      </c>
      <c r="F2901" t="s">
        <v>32</v>
      </c>
      <c r="G2901">
        <v>1</v>
      </c>
      <c r="H2901" t="s">
        <v>18</v>
      </c>
      <c r="I2901">
        <v>153.56</v>
      </c>
      <c r="J2901">
        <v>224.62</v>
      </c>
      <c r="K2901">
        <v>135.47999999999999</v>
      </c>
      <c r="L2901">
        <v>11.48</v>
      </c>
      <c r="M2901">
        <v>513.66</v>
      </c>
      <c r="N2901">
        <v>525.14</v>
      </c>
    </row>
    <row r="2902" spans="1:14" x14ac:dyDescent="0.3">
      <c r="A2902" s="2">
        <v>45413</v>
      </c>
      <c r="B2902" t="s">
        <v>72</v>
      </c>
      <c r="C2902">
        <v>2024</v>
      </c>
      <c r="D2902">
        <v>5</v>
      </c>
      <c r="E2902" t="s">
        <v>63</v>
      </c>
      <c r="F2902" t="s">
        <v>33</v>
      </c>
      <c r="G2902">
        <v>20</v>
      </c>
      <c r="H2902" t="s">
        <v>20</v>
      </c>
      <c r="I2902">
        <v>536.82000000000005</v>
      </c>
      <c r="J2902">
        <v>735.31</v>
      </c>
      <c r="K2902">
        <v>804.1</v>
      </c>
      <c r="L2902">
        <v>623.64</v>
      </c>
      <c r="M2902">
        <v>2076.23</v>
      </c>
      <c r="N2902">
        <v>2699.87</v>
      </c>
    </row>
    <row r="2903" spans="1:14" x14ac:dyDescent="0.3">
      <c r="A2903" s="2">
        <v>45413</v>
      </c>
      <c r="B2903" t="s">
        <v>72</v>
      </c>
      <c r="C2903">
        <v>2024</v>
      </c>
      <c r="D2903">
        <v>5</v>
      </c>
      <c r="E2903" t="s">
        <v>63</v>
      </c>
      <c r="F2903" t="s">
        <v>34</v>
      </c>
      <c r="G2903">
        <v>29</v>
      </c>
      <c r="H2903" t="s">
        <v>20</v>
      </c>
      <c r="I2903">
        <v>2828.84</v>
      </c>
      <c r="J2903">
        <v>3440.89</v>
      </c>
      <c r="K2903">
        <v>4392.13</v>
      </c>
      <c r="L2903">
        <v>1227.52</v>
      </c>
      <c r="M2903">
        <v>10661.86</v>
      </c>
      <c r="N2903">
        <v>11889.38</v>
      </c>
    </row>
    <row r="2904" spans="1:14" x14ac:dyDescent="0.3">
      <c r="A2904" s="2">
        <v>45413</v>
      </c>
      <c r="B2904" t="s">
        <v>72</v>
      </c>
      <c r="C2904">
        <v>2024</v>
      </c>
      <c r="D2904">
        <v>5</v>
      </c>
      <c r="E2904" t="s">
        <v>63</v>
      </c>
      <c r="F2904" t="s">
        <v>35</v>
      </c>
      <c r="G2904">
        <v>32</v>
      </c>
      <c r="H2904" t="s">
        <v>20</v>
      </c>
      <c r="I2904">
        <v>935.92</v>
      </c>
      <c r="J2904">
        <v>1208.98</v>
      </c>
      <c r="K2904">
        <v>442.69</v>
      </c>
      <c r="L2904">
        <v>6.19</v>
      </c>
      <c r="M2904">
        <v>2587.59</v>
      </c>
      <c r="N2904">
        <v>2593.7800000000002</v>
      </c>
    </row>
    <row r="2905" spans="1:14" x14ac:dyDescent="0.3">
      <c r="A2905" s="2">
        <v>45413</v>
      </c>
      <c r="B2905" t="s">
        <v>72</v>
      </c>
      <c r="C2905">
        <v>2024</v>
      </c>
      <c r="D2905">
        <v>5</v>
      </c>
      <c r="E2905" t="s">
        <v>63</v>
      </c>
      <c r="F2905" t="s">
        <v>67</v>
      </c>
      <c r="G2905">
        <v>37</v>
      </c>
      <c r="H2905" t="s">
        <v>18</v>
      </c>
      <c r="I2905">
        <v>5.93</v>
      </c>
      <c r="J2905">
        <v>7.79</v>
      </c>
      <c r="K2905">
        <v>1.77</v>
      </c>
      <c r="L2905">
        <v>0</v>
      </c>
      <c r="M2905">
        <v>15.49</v>
      </c>
      <c r="N2905">
        <v>15.49</v>
      </c>
    </row>
    <row r="2906" spans="1:14" x14ac:dyDescent="0.3">
      <c r="A2906" s="2">
        <v>45413</v>
      </c>
      <c r="B2906" t="s">
        <v>72</v>
      </c>
      <c r="C2906">
        <v>2024</v>
      </c>
      <c r="D2906">
        <v>5</v>
      </c>
      <c r="E2906" t="s">
        <v>63</v>
      </c>
      <c r="F2906" t="s">
        <v>36</v>
      </c>
      <c r="G2906">
        <v>31</v>
      </c>
      <c r="H2906" t="s">
        <v>18</v>
      </c>
      <c r="I2906">
        <v>0.5</v>
      </c>
      <c r="J2906">
        <v>0.52</v>
      </c>
      <c r="K2906">
        <v>0.25</v>
      </c>
      <c r="L2906">
        <v>0</v>
      </c>
      <c r="M2906">
        <v>1.27</v>
      </c>
      <c r="N2906">
        <v>1.27</v>
      </c>
    </row>
    <row r="2907" spans="1:14" x14ac:dyDescent="0.3">
      <c r="A2907" s="2">
        <v>45413</v>
      </c>
      <c r="B2907" t="s">
        <v>72</v>
      </c>
      <c r="C2907">
        <v>2024</v>
      </c>
      <c r="D2907">
        <v>5</v>
      </c>
      <c r="E2907" t="s">
        <v>63</v>
      </c>
      <c r="F2907" t="s">
        <v>37</v>
      </c>
      <c r="G2907">
        <v>23</v>
      </c>
      <c r="H2907" t="s">
        <v>20</v>
      </c>
      <c r="I2907">
        <v>801.71</v>
      </c>
      <c r="J2907">
        <v>1028.1500000000001</v>
      </c>
      <c r="K2907">
        <v>905.5</v>
      </c>
      <c r="L2907">
        <v>667.13</v>
      </c>
      <c r="M2907">
        <v>2735.36</v>
      </c>
      <c r="N2907">
        <v>3402.49</v>
      </c>
    </row>
    <row r="2908" spans="1:14" x14ac:dyDescent="0.3">
      <c r="A2908" s="2">
        <v>45413</v>
      </c>
      <c r="B2908" t="s">
        <v>72</v>
      </c>
      <c r="C2908">
        <v>2024</v>
      </c>
      <c r="D2908">
        <v>5</v>
      </c>
      <c r="E2908" t="s">
        <v>63</v>
      </c>
      <c r="F2908" t="s">
        <v>38</v>
      </c>
      <c r="G2908">
        <v>27</v>
      </c>
      <c r="H2908" t="s">
        <v>20</v>
      </c>
      <c r="I2908">
        <v>7607.26</v>
      </c>
      <c r="J2908">
        <v>8710.9699999999993</v>
      </c>
      <c r="K2908">
        <v>8462.4599999999991</v>
      </c>
      <c r="L2908">
        <v>2073.13</v>
      </c>
      <c r="M2908">
        <v>24780.69</v>
      </c>
      <c r="N2908">
        <v>26853.82</v>
      </c>
    </row>
    <row r="2909" spans="1:14" x14ac:dyDescent="0.3">
      <c r="A2909" s="2">
        <v>45413</v>
      </c>
      <c r="B2909" t="s">
        <v>72</v>
      </c>
      <c r="C2909">
        <v>2024</v>
      </c>
      <c r="D2909">
        <v>5</v>
      </c>
      <c r="E2909" t="s">
        <v>63</v>
      </c>
      <c r="F2909" t="s">
        <v>39</v>
      </c>
      <c r="G2909">
        <v>14</v>
      </c>
      <c r="H2909" t="s">
        <v>20</v>
      </c>
      <c r="I2909">
        <v>19.66</v>
      </c>
      <c r="J2909">
        <v>31.59</v>
      </c>
      <c r="K2909">
        <v>7.23</v>
      </c>
      <c r="L2909">
        <v>0.02</v>
      </c>
      <c r="M2909">
        <v>58.48</v>
      </c>
      <c r="N2909">
        <v>58.5</v>
      </c>
    </row>
    <row r="2910" spans="1:14" x14ac:dyDescent="0.3">
      <c r="A2910" s="2">
        <v>45413</v>
      </c>
      <c r="B2910" t="s">
        <v>72</v>
      </c>
      <c r="C2910">
        <v>2024</v>
      </c>
      <c r="D2910">
        <v>5</v>
      </c>
      <c r="E2910" t="s">
        <v>63</v>
      </c>
      <c r="F2910" t="s">
        <v>40</v>
      </c>
      <c r="G2910">
        <v>17</v>
      </c>
      <c r="H2910" t="s">
        <v>20</v>
      </c>
      <c r="I2910">
        <v>37.590000000000003</v>
      </c>
      <c r="J2910">
        <v>51.64</v>
      </c>
      <c r="K2910">
        <v>79.8</v>
      </c>
      <c r="L2910">
        <v>3.05</v>
      </c>
      <c r="M2910">
        <v>169.03</v>
      </c>
      <c r="N2910">
        <v>172.08</v>
      </c>
    </row>
    <row r="2911" spans="1:14" x14ac:dyDescent="0.3">
      <c r="A2911" s="2">
        <v>45413</v>
      </c>
      <c r="B2911" t="s">
        <v>72</v>
      </c>
      <c r="C2911">
        <v>2024</v>
      </c>
      <c r="D2911">
        <v>5</v>
      </c>
      <c r="E2911" t="s">
        <v>63</v>
      </c>
      <c r="F2911" t="s">
        <v>41</v>
      </c>
      <c r="G2911">
        <v>15</v>
      </c>
      <c r="H2911" t="s">
        <v>20</v>
      </c>
      <c r="I2911">
        <v>14.85</v>
      </c>
      <c r="J2911">
        <v>21.61</v>
      </c>
      <c r="K2911">
        <v>2.4300000000000002</v>
      </c>
      <c r="L2911">
        <v>0.11</v>
      </c>
      <c r="M2911">
        <v>38.89</v>
      </c>
      <c r="N2911">
        <v>39</v>
      </c>
    </row>
    <row r="2912" spans="1:14" x14ac:dyDescent="0.3">
      <c r="A2912" s="2">
        <v>45413</v>
      </c>
      <c r="B2912" t="s">
        <v>72</v>
      </c>
      <c r="C2912">
        <v>2024</v>
      </c>
      <c r="D2912">
        <v>5</v>
      </c>
      <c r="E2912" t="s">
        <v>63</v>
      </c>
      <c r="F2912" t="s">
        <v>42</v>
      </c>
      <c r="G2912">
        <v>13</v>
      </c>
      <c r="H2912" t="s">
        <v>20</v>
      </c>
      <c r="I2912">
        <v>15.71</v>
      </c>
      <c r="J2912">
        <v>19.25</v>
      </c>
      <c r="K2912">
        <v>6.38</v>
      </c>
      <c r="L2912">
        <v>3.35</v>
      </c>
      <c r="M2912">
        <v>41.34</v>
      </c>
      <c r="N2912">
        <v>44.69</v>
      </c>
    </row>
    <row r="2913" spans="1:14" x14ac:dyDescent="0.3">
      <c r="A2913" s="2">
        <v>45413</v>
      </c>
      <c r="B2913" t="s">
        <v>72</v>
      </c>
      <c r="C2913">
        <v>2024</v>
      </c>
      <c r="D2913">
        <v>5</v>
      </c>
      <c r="E2913" t="s">
        <v>63</v>
      </c>
      <c r="F2913" t="s">
        <v>43</v>
      </c>
      <c r="G2913">
        <v>21</v>
      </c>
      <c r="H2913" t="s">
        <v>20</v>
      </c>
      <c r="I2913">
        <v>1177.83</v>
      </c>
      <c r="J2913">
        <v>1415.25</v>
      </c>
      <c r="K2913">
        <v>1622.67</v>
      </c>
      <c r="L2913">
        <v>811.04</v>
      </c>
      <c r="M2913">
        <v>4215.75</v>
      </c>
      <c r="N2913">
        <v>5026.79</v>
      </c>
    </row>
    <row r="2914" spans="1:14" x14ac:dyDescent="0.3">
      <c r="A2914" s="2">
        <v>45413</v>
      </c>
      <c r="B2914" t="s">
        <v>72</v>
      </c>
      <c r="C2914">
        <v>2024</v>
      </c>
      <c r="D2914">
        <v>5</v>
      </c>
      <c r="E2914" t="s">
        <v>63</v>
      </c>
      <c r="F2914" t="s">
        <v>44</v>
      </c>
      <c r="G2914">
        <v>34</v>
      </c>
      <c r="H2914" t="s">
        <v>18</v>
      </c>
      <c r="I2914">
        <v>28.73</v>
      </c>
      <c r="J2914">
        <v>40.65</v>
      </c>
      <c r="K2914">
        <v>168.77</v>
      </c>
      <c r="L2914">
        <v>0.81</v>
      </c>
      <c r="M2914">
        <v>238.15</v>
      </c>
      <c r="N2914">
        <v>238.96</v>
      </c>
    </row>
    <row r="2915" spans="1:14" x14ac:dyDescent="0.3">
      <c r="A2915" s="2">
        <v>45413</v>
      </c>
      <c r="B2915" t="s">
        <v>72</v>
      </c>
      <c r="C2915">
        <v>2024</v>
      </c>
      <c r="D2915">
        <v>5</v>
      </c>
      <c r="E2915" t="s">
        <v>63</v>
      </c>
      <c r="F2915" t="s">
        <v>45</v>
      </c>
      <c r="G2915">
        <v>3</v>
      </c>
      <c r="H2915" t="s">
        <v>20</v>
      </c>
      <c r="I2915">
        <v>501.05</v>
      </c>
      <c r="J2915">
        <v>724.42</v>
      </c>
      <c r="K2915">
        <v>918.32</v>
      </c>
      <c r="L2915">
        <v>45.77</v>
      </c>
      <c r="M2915">
        <v>2143.79</v>
      </c>
      <c r="N2915">
        <v>2189.56</v>
      </c>
    </row>
    <row r="2916" spans="1:14" x14ac:dyDescent="0.3">
      <c r="A2916" s="2">
        <v>45413</v>
      </c>
      <c r="B2916" t="s">
        <v>72</v>
      </c>
      <c r="C2916">
        <v>2024</v>
      </c>
      <c r="D2916">
        <v>5</v>
      </c>
      <c r="E2916" t="s">
        <v>63</v>
      </c>
      <c r="F2916" t="s">
        <v>46</v>
      </c>
      <c r="G2916">
        <v>8</v>
      </c>
      <c r="H2916" t="s">
        <v>20</v>
      </c>
      <c r="I2916">
        <v>1198.5899999999999</v>
      </c>
      <c r="J2916">
        <v>1505.61</v>
      </c>
      <c r="K2916">
        <v>1572.9</v>
      </c>
      <c r="L2916">
        <v>137.18</v>
      </c>
      <c r="M2916">
        <v>4277.1000000000004</v>
      </c>
      <c r="N2916">
        <v>4414.28</v>
      </c>
    </row>
    <row r="2917" spans="1:14" x14ac:dyDescent="0.3">
      <c r="A2917" s="2">
        <v>45413</v>
      </c>
      <c r="B2917" t="s">
        <v>72</v>
      </c>
      <c r="C2917">
        <v>2024</v>
      </c>
      <c r="D2917">
        <v>5</v>
      </c>
      <c r="E2917" t="s">
        <v>63</v>
      </c>
      <c r="F2917" t="s">
        <v>47</v>
      </c>
      <c r="G2917">
        <v>11</v>
      </c>
      <c r="H2917" t="s">
        <v>20</v>
      </c>
      <c r="I2917">
        <v>20.94</v>
      </c>
      <c r="J2917">
        <v>25.95</v>
      </c>
      <c r="K2917">
        <v>264.61</v>
      </c>
      <c r="L2917">
        <v>0.33</v>
      </c>
      <c r="M2917">
        <v>311.5</v>
      </c>
      <c r="N2917">
        <v>311.83</v>
      </c>
    </row>
    <row r="2918" spans="1:14" x14ac:dyDescent="0.3">
      <c r="A2918" s="2">
        <v>45413</v>
      </c>
      <c r="B2918" t="s">
        <v>72</v>
      </c>
      <c r="C2918">
        <v>2024</v>
      </c>
      <c r="D2918">
        <v>5</v>
      </c>
      <c r="E2918" t="s">
        <v>63</v>
      </c>
      <c r="F2918" t="s">
        <v>48</v>
      </c>
      <c r="G2918">
        <v>33</v>
      </c>
      <c r="H2918" t="s">
        <v>20</v>
      </c>
      <c r="I2918">
        <v>2736.71</v>
      </c>
      <c r="J2918">
        <v>3529.8</v>
      </c>
      <c r="K2918">
        <v>2762.21</v>
      </c>
      <c r="L2918">
        <v>739.13</v>
      </c>
      <c r="M2918">
        <v>9028.7199999999993</v>
      </c>
      <c r="N2918">
        <v>9767.85</v>
      </c>
    </row>
    <row r="2919" spans="1:14" x14ac:dyDescent="0.3">
      <c r="A2919" s="2">
        <v>45413</v>
      </c>
      <c r="B2919" t="s">
        <v>72</v>
      </c>
      <c r="C2919">
        <v>2024</v>
      </c>
      <c r="D2919">
        <v>5</v>
      </c>
      <c r="E2919" t="s">
        <v>63</v>
      </c>
      <c r="F2919" t="s">
        <v>49</v>
      </c>
      <c r="G2919">
        <v>36</v>
      </c>
      <c r="H2919" t="s">
        <v>20</v>
      </c>
      <c r="I2919">
        <v>1266.21</v>
      </c>
      <c r="J2919">
        <v>1635.88</v>
      </c>
      <c r="K2919">
        <v>1550.39</v>
      </c>
      <c r="L2919">
        <v>533.67999999999995</v>
      </c>
      <c r="M2919">
        <v>4452.4799999999996</v>
      </c>
      <c r="N2919">
        <v>4986.16</v>
      </c>
    </row>
    <row r="2920" spans="1:14" x14ac:dyDescent="0.3">
      <c r="A2920" s="2">
        <v>45413</v>
      </c>
      <c r="B2920" t="s">
        <v>72</v>
      </c>
      <c r="C2920">
        <v>2024</v>
      </c>
      <c r="D2920">
        <v>5</v>
      </c>
      <c r="E2920" t="s">
        <v>63</v>
      </c>
      <c r="F2920" t="s">
        <v>50</v>
      </c>
      <c r="G2920">
        <v>16</v>
      </c>
      <c r="H2920" t="s">
        <v>20</v>
      </c>
      <c r="I2920">
        <v>28.32</v>
      </c>
      <c r="J2920">
        <v>36.03</v>
      </c>
      <c r="K2920">
        <v>8.09</v>
      </c>
      <c r="L2920">
        <v>0.12</v>
      </c>
      <c r="M2920">
        <v>72.44</v>
      </c>
      <c r="N2920">
        <v>72.56</v>
      </c>
    </row>
    <row r="2921" spans="1:14" x14ac:dyDescent="0.3">
      <c r="A2921" s="2">
        <v>45413</v>
      </c>
      <c r="B2921" t="s">
        <v>72</v>
      </c>
      <c r="C2921">
        <v>2024</v>
      </c>
      <c r="D2921">
        <v>5</v>
      </c>
      <c r="E2921" t="s">
        <v>63</v>
      </c>
      <c r="F2921" t="s">
        <v>51</v>
      </c>
      <c r="G2921">
        <v>9</v>
      </c>
      <c r="H2921" t="s">
        <v>20</v>
      </c>
      <c r="I2921">
        <v>2020.29</v>
      </c>
      <c r="J2921">
        <v>2735.6</v>
      </c>
      <c r="K2921">
        <v>3056.26</v>
      </c>
      <c r="L2921">
        <v>1279.33</v>
      </c>
      <c r="M2921">
        <v>7812.15</v>
      </c>
      <c r="N2921">
        <v>9091.48</v>
      </c>
    </row>
    <row r="2922" spans="1:14" x14ac:dyDescent="0.3">
      <c r="A2922" s="2">
        <v>45413</v>
      </c>
      <c r="B2922" t="s">
        <v>72</v>
      </c>
      <c r="C2922">
        <v>2024</v>
      </c>
      <c r="D2922">
        <v>5</v>
      </c>
      <c r="E2922" t="s">
        <v>63</v>
      </c>
      <c r="F2922" t="s">
        <v>52</v>
      </c>
      <c r="G2922">
        <v>5</v>
      </c>
      <c r="H2922" t="s">
        <v>20</v>
      </c>
      <c r="I2922">
        <v>322.98</v>
      </c>
      <c r="J2922">
        <v>475.89</v>
      </c>
      <c r="K2922">
        <v>1025.25</v>
      </c>
      <c r="L2922">
        <v>12.62</v>
      </c>
      <c r="M2922">
        <v>1824.12</v>
      </c>
      <c r="N2922">
        <v>1836.74</v>
      </c>
    </row>
    <row r="2923" spans="1:14" x14ac:dyDescent="0.3">
      <c r="A2923" s="2">
        <v>45413</v>
      </c>
      <c r="B2923" t="s">
        <v>72</v>
      </c>
      <c r="C2923">
        <v>2024</v>
      </c>
      <c r="D2923">
        <v>5</v>
      </c>
      <c r="E2923" t="s">
        <v>63</v>
      </c>
      <c r="F2923" t="s">
        <v>53</v>
      </c>
      <c r="G2923">
        <v>19</v>
      </c>
      <c r="H2923" t="s">
        <v>20</v>
      </c>
      <c r="I2923">
        <v>1619.58</v>
      </c>
      <c r="J2923">
        <v>2029.96</v>
      </c>
      <c r="K2923">
        <v>1313.96</v>
      </c>
      <c r="L2923">
        <v>413.48</v>
      </c>
      <c r="M2923">
        <v>4963.5</v>
      </c>
      <c r="N2923">
        <v>5376.98</v>
      </c>
    </row>
    <row r="2924" spans="1:14" x14ac:dyDescent="0.3">
      <c r="A2924" s="2">
        <v>45444</v>
      </c>
      <c r="B2924" t="s">
        <v>72</v>
      </c>
      <c r="C2924">
        <v>2024</v>
      </c>
      <c r="D2924">
        <v>6</v>
      </c>
      <c r="E2924" t="s">
        <v>64</v>
      </c>
      <c r="F2924" t="s">
        <v>17</v>
      </c>
      <c r="G2924">
        <v>35</v>
      </c>
      <c r="H2924" t="s">
        <v>18</v>
      </c>
      <c r="I2924">
        <v>12.05</v>
      </c>
      <c r="J2924">
        <v>14.05</v>
      </c>
      <c r="K2924">
        <v>4.75</v>
      </c>
      <c r="L2924">
        <v>0.09</v>
      </c>
      <c r="M2924">
        <v>30.85</v>
      </c>
      <c r="N2924">
        <v>30.94</v>
      </c>
    </row>
    <row r="2925" spans="1:14" x14ac:dyDescent="0.3">
      <c r="A2925" s="2">
        <v>45444</v>
      </c>
      <c r="B2925" t="s">
        <v>72</v>
      </c>
      <c r="C2925">
        <v>2024</v>
      </c>
      <c r="D2925">
        <v>6</v>
      </c>
      <c r="E2925" t="s">
        <v>64</v>
      </c>
      <c r="F2925" t="s">
        <v>19</v>
      </c>
      <c r="G2925">
        <v>28</v>
      </c>
      <c r="H2925" t="s">
        <v>20</v>
      </c>
      <c r="I2925">
        <v>894.95</v>
      </c>
      <c r="J2925">
        <v>1150.42</v>
      </c>
      <c r="K2925">
        <v>1352.66</v>
      </c>
      <c r="L2925">
        <v>252.78</v>
      </c>
      <c r="M2925">
        <v>3398.03</v>
      </c>
      <c r="N2925">
        <v>3650.81</v>
      </c>
    </row>
    <row r="2926" spans="1:14" x14ac:dyDescent="0.3">
      <c r="A2926" s="2">
        <v>45444</v>
      </c>
      <c r="B2926" t="s">
        <v>72</v>
      </c>
      <c r="C2926">
        <v>2024</v>
      </c>
      <c r="D2926">
        <v>6</v>
      </c>
      <c r="E2926" t="s">
        <v>64</v>
      </c>
      <c r="F2926" t="s">
        <v>21</v>
      </c>
      <c r="G2926">
        <v>12</v>
      </c>
      <c r="H2926" t="s">
        <v>20</v>
      </c>
      <c r="I2926">
        <v>38.28</v>
      </c>
      <c r="J2926">
        <v>45.32</v>
      </c>
      <c r="K2926">
        <v>7.41</v>
      </c>
      <c r="L2926">
        <v>0.1</v>
      </c>
      <c r="M2926">
        <v>91.01</v>
      </c>
      <c r="N2926">
        <v>91.11</v>
      </c>
    </row>
    <row r="2927" spans="1:14" x14ac:dyDescent="0.3">
      <c r="A2927" s="2">
        <v>45444</v>
      </c>
      <c r="B2927" t="s">
        <v>72</v>
      </c>
      <c r="C2927">
        <v>2024</v>
      </c>
      <c r="D2927">
        <v>6</v>
      </c>
      <c r="E2927" t="s">
        <v>64</v>
      </c>
      <c r="F2927" t="s">
        <v>22</v>
      </c>
      <c r="G2927">
        <v>18</v>
      </c>
      <c r="H2927" t="s">
        <v>20</v>
      </c>
      <c r="I2927">
        <v>408.9</v>
      </c>
      <c r="J2927">
        <v>515.92999999999995</v>
      </c>
      <c r="K2927">
        <v>364.88</v>
      </c>
      <c r="L2927">
        <v>158.78</v>
      </c>
      <c r="M2927">
        <v>1289.71</v>
      </c>
      <c r="N2927">
        <v>1448.49</v>
      </c>
    </row>
    <row r="2928" spans="1:14" x14ac:dyDescent="0.3">
      <c r="A2928" s="2">
        <v>45444</v>
      </c>
      <c r="B2928" t="s">
        <v>72</v>
      </c>
      <c r="C2928">
        <v>2024</v>
      </c>
      <c r="D2928">
        <v>6</v>
      </c>
      <c r="E2928" t="s">
        <v>64</v>
      </c>
      <c r="F2928" t="s">
        <v>23</v>
      </c>
      <c r="G2928">
        <v>10</v>
      </c>
      <c r="H2928" t="s">
        <v>20</v>
      </c>
      <c r="I2928">
        <v>416.93</v>
      </c>
      <c r="J2928">
        <v>687.97</v>
      </c>
      <c r="K2928">
        <v>234.5</v>
      </c>
      <c r="L2928">
        <v>185.57</v>
      </c>
      <c r="M2928">
        <v>1339.4</v>
      </c>
      <c r="N2928">
        <v>1524.97</v>
      </c>
    </row>
    <row r="2929" spans="1:14" x14ac:dyDescent="0.3">
      <c r="A2929" s="2">
        <v>45444</v>
      </c>
      <c r="B2929" t="s">
        <v>72</v>
      </c>
      <c r="C2929">
        <v>2024</v>
      </c>
      <c r="D2929">
        <v>6</v>
      </c>
      <c r="E2929" t="s">
        <v>64</v>
      </c>
      <c r="F2929" t="s">
        <v>24</v>
      </c>
      <c r="G2929">
        <v>4</v>
      </c>
      <c r="H2929" t="s">
        <v>18</v>
      </c>
      <c r="I2929">
        <v>44.56</v>
      </c>
      <c r="J2929">
        <v>59.64</v>
      </c>
      <c r="K2929">
        <v>115.93</v>
      </c>
      <c r="L2929">
        <v>3.38</v>
      </c>
      <c r="M2929">
        <v>220.13</v>
      </c>
      <c r="N2929">
        <v>223.51</v>
      </c>
    </row>
    <row r="2930" spans="1:14" x14ac:dyDescent="0.3">
      <c r="A2930" s="2">
        <v>45444</v>
      </c>
      <c r="B2930" t="s">
        <v>72</v>
      </c>
      <c r="C2930">
        <v>2024</v>
      </c>
      <c r="D2930">
        <v>6</v>
      </c>
      <c r="E2930" t="s">
        <v>64</v>
      </c>
      <c r="F2930" t="s">
        <v>25</v>
      </c>
      <c r="G2930">
        <v>22</v>
      </c>
      <c r="H2930" t="s">
        <v>20</v>
      </c>
      <c r="I2930">
        <v>628.83000000000004</v>
      </c>
      <c r="J2930">
        <v>730.99</v>
      </c>
      <c r="K2930">
        <v>1084.3800000000001</v>
      </c>
      <c r="L2930">
        <v>733.55</v>
      </c>
      <c r="M2930">
        <v>2444.1999999999998</v>
      </c>
      <c r="N2930">
        <v>3177.75</v>
      </c>
    </row>
    <row r="2931" spans="1:14" x14ac:dyDescent="0.3">
      <c r="A2931" s="2">
        <v>45444</v>
      </c>
      <c r="B2931" t="s">
        <v>72</v>
      </c>
      <c r="C2931">
        <v>2024</v>
      </c>
      <c r="D2931">
        <v>6</v>
      </c>
      <c r="E2931" t="s">
        <v>64</v>
      </c>
      <c r="F2931" t="s">
        <v>26</v>
      </c>
      <c r="G2931">
        <v>38</v>
      </c>
      <c r="H2931" t="s">
        <v>18</v>
      </c>
      <c r="I2931">
        <v>60.66</v>
      </c>
      <c r="J2931">
        <v>71.05</v>
      </c>
      <c r="K2931">
        <v>262.05</v>
      </c>
      <c r="L2931">
        <v>0.18</v>
      </c>
      <c r="M2931">
        <v>393.76</v>
      </c>
      <c r="N2931">
        <v>393.94</v>
      </c>
    </row>
    <row r="2932" spans="1:14" x14ac:dyDescent="0.3">
      <c r="A2932" s="2">
        <v>45444</v>
      </c>
      <c r="B2932" t="s">
        <v>72</v>
      </c>
      <c r="C2932">
        <v>2024</v>
      </c>
      <c r="D2932">
        <v>6</v>
      </c>
      <c r="E2932" t="s">
        <v>64</v>
      </c>
      <c r="F2932" t="s">
        <v>27</v>
      </c>
      <c r="G2932">
        <v>7</v>
      </c>
      <c r="H2932" t="s">
        <v>18</v>
      </c>
      <c r="I2932">
        <v>1060.7</v>
      </c>
      <c r="J2932">
        <v>1257.03</v>
      </c>
      <c r="K2932">
        <v>2857.88</v>
      </c>
      <c r="L2932">
        <v>113.78</v>
      </c>
      <c r="M2932">
        <v>5175.6099999999997</v>
      </c>
      <c r="N2932">
        <v>5289.39</v>
      </c>
    </row>
    <row r="2933" spans="1:14" x14ac:dyDescent="0.3">
      <c r="A2933" s="2">
        <v>45444</v>
      </c>
      <c r="B2933" t="s">
        <v>72</v>
      </c>
      <c r="C2933">
        <v>2024</v>
      </c>
      <c r="D2933">
        <v>6</v>
      </c>
      <c r="E2933" t="s">
        <v>64</v>
      </c>
      <c r="F2933" t="s">
        <v>28</v>
      </c>
      <c r="G2933">
        <v>30</v>
      </c>
      <c r="H2933" t="s">
        <v>20</v>
      </c>
      <c r="I2933">
        <v>156.84</v>
      </c>
      <c r="J2933">
        <v>203.52</v>
      </c>
      <c r="K2933">
        <v>181.11</v>
      </c>
      <c r="L2933">
        <v>4.6399999999999997</v>
      </c>
      <c r="M2933">
        <v>541.47</v>
      </c>
      <c r="N2933">
        <v>546.11</v>
      </c>
    </row>
    <row r="2934" spans="1:14" x14ac:dyDescent="0.3">
      <c r="A2934" s="2">
        <v>45444</v>
      </c>
      <c r="B2934" t="s">
        <v>72</v>
      </c>
      <c r="C2934">
        <v>2024</v>
      </c>
      <c r="D2934">
        <v>6</v>
      </c>
      <c r="E2934" t="s">
        <v>64</v>
      </c>
      <c r="F2934" t="s">
        <v>29</v>
      </c>
      <c r="G2934">
        <v>24</v>
      </c>
      <c r="H2934" t="s">
        <v>20</v>
      </c>
      <c r="I2934">
        <v>3042.47</v>
      </c>
      <c r="J2934">
        <v>3701.91</v>
      </c>
      <c r="K2934">
        <v>3579.3</v>
      </c>
      <c r="L2934">
        <v>778.5</v>
      </c>
      <c r="M2934">
        <v>10323.68</v>
      </c>
      <c r="N2934">
        <v>11102.18</v>
      </c>
    </row>
    <row r="2935" spans="1:14" x14ac:dyDescent="0.3">
      <c r="A2935" s="2">
        <v>45444</v>
      </c>
      <c r="B2935" t="s">
        <v>72</v>
      </c>
      <c r="C2935">
        <v>2024</v>
      </c>
      <c r="D2935">
        <v>6</v>
      </c>
      <c r="E2935" t="s">
        <v>64</v>
      </c>
      <c r="F2935" t="s">
        <v>30</v>
      </c>
      <c r="G2935">
        <v>6</v>
      </c>
      <c r="H2935" t="s">
        <v>20</v>
      </c>
      <c r="I2935">
        <v>1528.78</v>
      </c>
      <c r="J2935">
        <v>1936.68</v>
      </c>
      <c r="K2935">
        <v>4977.62</v>
      </c>
      <c r="L2935">
        <v>595.22</v>
      </c>
      <c r="M2935">
        <v>8443.08</v>
      </c>
      <c r="N2935">
        <v>9038.2999999999993</v>
      </c>
    </row>
    <row r="2936" spans="1:14" x14ac:dyDescent="0.3">
      <c r="A2936" s="2">
        <v>45444</v>
      </c>
      <c r="B2936" t="s">
        <v>72</v>
      </c>
      <c r="C2936">
        <v>2024</v>
      </c>
      <c r="D2936">
        <v>6</v>
      </c>
      <c r="E2936" t="s">
        <v>64</v>
      </c>
      <c r="F2936" t="s">
        <v>31</v>
      </c>
      <c r="G2936">
        <v>2</v>
      </c>
      <c r="H2936" t="s">
        <v>20</v>
      </c>
      <c r="I2936">
        <v>162.13</v>
      </c>
      <c r="J2936">
        <v>219.28</v>
      </c>
      <c r="K2936">
        <v>501.16</v>
      </c>
      <c r="L2936">
        <v>3.03</v>
      </c>
      <c r="M2936">
        <v>882.57</v>
      </c>
      <c r="N2936">
        <v>885.6</v>
      </c>
    </row>
    <row r="2937" spans="1:14" x14ac:dyDescent="0.3">
      <c r="A2937" s="2">
        <v>45444</v>
      </c>
      <c r="B2937" t="s">
        <v>72</v>
      </c>
      <c r="C2937">
        <v>2024</v>
      </c>
      <c r="D2937">
        <v>6</v>
      </c>
      <c r="E2937" t="s">
        <v>64</v>
      </c>
      <c r="F2937" t="s">
        <v>32</v>
      </c>
      <c r="G2937">
        <v>1</v>
      </c>
      <c r="H2937" t="s">
        <v>18</v>
      </c>
      <c r="I2937">
        <v>158.62</v>
      </c>
      <c r="J2937">
        <v>222.84</v>
      </c>
      <c r="K2937">
        <v>158.16</v>
      </c>
      <c r="L2937">
        <v>15.44</v>
      </c>
      <c r="M2937">
        <v>539.62</v>
      </c>
      <c r="N2937">
        <v>555.05999999999995</v>
      </c>
    </row>
    <row r="2938" spans="1:14" x14ac:dyDescent="0.3">
      <c r="A2938" s="2">
        <v>45444</v>
      </c>
      <c r="B2938" t="s">
        <v>72</v>
      </c>
      <c r="C2938">
        <v>2024</v>
      </c>
      <c r="D2938">
        <v>6</v>
      </c>
      <c r="E2938" t="s">
        <v>64</v>
      </c>
      <c r="F2938" t="s">
        <v>33</v>
      </c>
      <c r="G2938">
        <v>20</v>
      </c>
      <c r="H2938" t="s">
        <v>20</v>
      </c>
      <c r="I2938">
        <v>461.28</v>
      </c>
      <c r="J2938">
        <v>639.01</v>
      </c>
      <c r="K2938">
        <v>1008.46</v>
      </c>
      <c r="L2938">
        <v>704.98</v>
      </c>
      <c r="M2938">
        <v>2108.75</v>
      </c>
      <c r="N2938">
        <v>2813.73</v>
      </c>
    </row>
    <row r="2939" spans="1:14" x14ac:dyDescent="0.3">
      <c r="A2939" s="2">
        <v>45444</v>
      </c>
      <c r="B2939" t="s">
        <v>72</v>
      </c>
      <c r="C2939">
        <v>2024</v>
      </c>
      <c r="D2939">
        <v>6</v>
      </c>
      <c r="E2939" t="s">
        <v>64</v>
      </c>
      <c r="F2939" t="s">
        <v>34</v>
      </c>
      <c r="G2939">
        <v>29</v>
      </c>
      <c r="H2939" t="s">
        <v>20</v>
      </c>
      <c r="I2939">
        <v>2832.65</v>
      </c>
      <c r="J2939">
        <v>3501.02</v>
      </c>
      <c r="K2939">
        <v>4513.95</v>
      </c>
      <c r="L2939">
        <v>1541.36</v>
      </c>
      <c r="M2939">
        <v>10847.62</v>
      </c>
      <c r="N2939">
        <v>12388.98</v>
      </c>
    </row>
    <row r="2940" spans="1:14" x14ac:dyDescent="0.3">
      <c r="A2940" s="2">
        <v>45444</v>
      </c>
      <c r="B2940" t="s">
        <v>72</v>
      </c>
      <c r="C2940">
        <v>2024</v>
      </c>
      <c r="D2940">
        <v>6</v>
      </c>
      <c r="E2940" t="s">
        <v>64</v>
      </c>
      <c r="F2940" t="s">
        <v>35</v>
      </c>
      <c r="G2940">
        <v>32</v>
      </c>
      <c r="H2940" t="s">
        <v>20</v>
      </c>
      <c r="I2940">
        <v>925.4</v>
      </c>
      <c r="J2940">
        <v>1181.24</v>
      </c>
      <c r="K2940">
        <v>505.18</v>
      </c>
      <c r="L2940">
        <v>5.87</v>
      </c>
      <c r="M2940">
        <v>2611.8200000000002</v>
      </c>
      <c r="N2940">
        <v>2617.69</v>
      </c>
    </row>
    <row r="2941" spans="1:14" x14ac:dyDescent="0.3">
      <c r="A2941" s="2">
        <v>45444</v>
      </c>
      <c r="B2941" t="s">
        <v>72</v>
      </c>
      <c r="C2941">
        <v>2024</v>
      </c>
      <c r="D2941">
        <v>6</v>
      </c>
      <c r="E2941" t="s">
        <v>64</v>
      </c>
      <c r="F2941" t="s">
        <v>67</v>
      </c>
      <c r="G2941">
        <v>37</v>
      </c>
      <c r="H2941" t="s">
        <v>18</v>
      </c>
      <c r="I2941">
        <v>7.41</v>
      </c>
      <c r="J2941">
        <v>11.54</v>
      </c>
      <c r="K2941">
        <v>3.31</v>
      </c>
      <c r="L2941">
        <v>0.67</v>
      </c>
      <c r="M2941">
        <v>22.26</v>
      </c>
      <c r="N2941">
        <v>22.93</v>
      </c>
    </row>
    <row r="2942" spans="1:14" x14ac:dyDescent="0.3">
      <c r="A2942" s="2">
        <v>45444</v>
      </c>
      <c r="B2942" t="s">
        <v>72</v>
      </c>
      <c r="C2942">
        <v>2024</v>
      </c>
      <c r="D2942">
        <v>6</v>
      </c>
      <c r="E2942" t="s">
        <v>64</v>
      </c>
      <c r="F2942" t="s">
        <v>36</v>
      </c>
      <c r="G2942">
        <v>31</v>
      </c>
      <c r="H2942" t="s">
        <v>18</v>
      </c>
      <c r="I2942">
        <v>0.17</v>
      </c>
      <c r="J2942">
        <v>0.49</v>
      </c>
      <c r="K2942">
        <v>0.13</v>
      </c>
      <c r="L2942">
        <v>0</v>
      </c>
      <c r="M2942">
        <v>0.79</v>
      </c>
      <c r="N2942">
        <v>0.79</v>
      </c>
    </row>
    <row r="2943" spans="1:14" x14ac:dyDescent="0.3">
      <c r="A2943" s="2">
        <v>45444</v>
      </c>
      <c r="B2943" t="s">
        <v>72</v>
      </c>
      <c r="C2943">
        <v>2024</v>
      </c>
      <c r="D2943">
        <v>6</v>
      </c>
      <c r="E2943" t="s">
        <v>64</v>
      </c>
      <c r="F2943" t="s">
        <v>37</v>
      </c>
      <c r="G2943">
        <v>23</v>
      </c>
      <c r="H2943" t="s">
        <v>20</v>
      </c>
      <c r="I2943">
        <v>842.38</v>
      </c>
      <c r="J2943">
        <v>1061.69</v>
      </c>
      <c r="K2943">
        <v>996.77</v>
      </c>
      <c r="L2943">
        <v>730.27</v>
      </c>
      <c r="M2943">
        <v>2900.84</v>
      </c>
      <c r="N2943">
        <v>3631.11</v>
      </c>
    </row>
    <row r="2944" spans="1:14" x14ac:dyDescent="0.3">
      <c r="A2944" s="2">
        <v>45444</v>
      </c>
      <c r="B2944" t="s">
        <v>72</v>
      </c>
      <c r="C2944">
        <v>2024</v>
      </c>
      <c r="D2944">
        <v>6</v>
      </c>
      <c r="E2944" t="s">
        <v>64</v>
      </c>
      <c r="F2944" t="s">
        <v>38</v>
      </c>
      <c r="G2944">
        <v>27</v>
      </c>
      <c r="H2944" t="s">
        <v>20</v>
      </c>
      <c r="I2944">
        <v>7929.96</v>
      </c>
      <c r="J2944">
        <v>9213.1299999999992</v>
      </c>
      <c r="K2944">
        <v>9682.98</v>
      </c>
      <c r="L2944">
        <v>2054.79</v>
      </c>
      <c r="M2944">
        <v>26826.07</v>
      </c>
      <c r="N2944">
        <v>28880.86</v>
      </c>
    </row>
    <row r="2945" spans="1:14" x14ac:dyDescent="0.3">
      <c r="A2945" s="2">
        <v>45444</v>
      </c>
      <c r="B2945" t="s">
        <v>72</v>
      </c>
      <c r="C2945">
        <v>2024</v>
      </c>
      <c r="D2945">
        <v>6</v>
      </c>
      <c r="E2945" t="s">
        <v>64</v>
      </c>
      <c r="F2945" t="s">
        <v>39</v>
      </c>
      <c r="G2945">
        <v>14</v>
      </c>
      <c r="H2945" t="s">
        <v>20</v>
      </c>
      <c r="I2945">
        <v>21.1</v>
      </c>
      <c r="J2945">
        <v>33.869999999999997</v>
      </c>
      <c r="K2945">
        <v>7.05</v>
      </c>
      <c r="L2945">
        <v>7.0000000000000007E-2</v>
      </c>
      <c r="M2945">
        <v>62.02</v>
      </c>
      <c r="N2945">
        <v>62.09</v>
      </c>
    </row>
    <row r="2946" spans="1:14" x14ac:dyDescent="0.3">
      <c r="A2946" s="2">
        <v>45444</v>
      </c>
      <c r="B2946" t="s">
        <v>72</v>
      </c>
      <c r="C2946">
        <v>2024</v>
      </c>
      <c r="D2946">
        <v>6</v>
      </c>
      <c r="E2946" t="s">
        <v>64</v>
      </c>
      <c r="F2946" t="s">
        <v>40</v>
      </c>
      <c r="G2946">
        <v>17</v>
      </c>
      <c r="H2946" t="s">
        <v>20</v>
      </c>
      <c r="I2946">
        <v>46.24</v>
      </c>
      <c r="J2946">
        <v>54.98</v>
      </c>
      <c r="K2946">
        <v>78</v>
      </c>
      <c r="L2946">
        <v>1.25</v>
      </c>
      <c r="M2946">
        <v>179.22</v>
      </c>
      <c r="N2946">
        <v>180.47</v>
      </c>
    </row>
    <row r="2947" spans="1:14" x14ac:dyDescent="0.3">
      <c r="A2947" s="2">
        <v>45444</v>
      </c>
      <c r="B2947" t="s">
        <v>72</v>
      </c>
      <c r="C2947">
        <v>2024</v>
      </c>
      <c r="D2947">
        <v>6</v>
      </c>
      <c r="E2947" t="s">
        <v>64</v>
      </c>
      <c r="F2947" t="s">
        <v>41</v>
      </c>
      <c r="G2947">
        <v>15</v>
      </c>
      <c r="H2947" t="s">
        <v>20</v>
      </c>
      <c r="I2947">
        <v>14.69</v>
      </c>
      <c r="J2947">
        <v>22.78</v>
      </c>
      <c r="K2947">
        <v>4.5</v>
      </c>
      <c r="L2947">
        <v>0.26</v>
      </c>
      <c r="M2947">
        <v>41.97</v>
      </c>
      <c r="N2947">
        <v>42.23</v>
      </c>
    </row>
    <row r="2948" spans="1:14" x14ac:dyDescent="0.3">
      <c r="A2948" s="2">
        <v>45444</v>
      </c>
      <c r="B2948" t="s">
        <v>72</v>
      </c>
      <c r="C2948">
        <v>2024</v>
      </c>
      <c r="D2948">
        <v>6</v>
      </c>
      <c r="E2948" t="s">
        <v>64</v>
      </c>
      <c r="F2948" t="s">
        <v>42</v>
      </c>
      <c r="G2948">
        <v>13</v>
      </c>
      <c r="H2948" t="s">
        <v>20</v>
      </c>
      <c r="I2948">
        <v>16.66</v>
      </c>
      <c r="J2948">
        <v>20.63</v>
      </c>
      <c r="K2948">
        <v>10.14</v>
      </c>
      <c r="L2948">
        <v>2.0099999999999998</v>
      </c>
      <c r="M2948">
        <v>47.43</v>
      </c>
      <c r="N2948">
        <v>49.44</v>
      </c>
    </row>
    <row r="2949" spans="1:14" x14ac:dyDescent="0.3">
      <c r="A2949" s="2">
        <v>45444</v>
      </c>
      <c r="B2949" t="s">
        <v>72</v>
      </c>
      <c r="C2949">
        <v>2024</v>
      </c>
      <c r="D2949">
        <v>6</v>
      </c>
      <c r="E2949" t="s">
        <v>64</v>
      </c>
      <c r="F2949" t="s">
        <v>43</v>
      </c>
      <c r="G2949">
        <v>21</v>
      </c>
      <c r="H2949" t="s">
        <v>20</v>
      </c>
      <c r="I2949">
        <v>1242.25</v>
      </c>
      <c r="J2949">
        <v>1458.96</v>
      </c>
      <c r="K2949">
        <v>1424.14</v>
      </c>
      <c r="L2949">
        <v>861.92</v>
      </c>
      <c r="M2949">
        <v>4125.3500000000004</v>
      </c>
      <c r="N2949">
        <v>4987.2700000000004</v>
      </c>
    </row>
    <row r="2950" spans="1:14" x14ac:dyDescent="0.3">
      <c r="A2950" s="2">
        <v>45444</v>
      </c>
      <c r="B2950" t="s">
        <v>72</v>
      </c>
      <c r="C2950">
        <v>2024</v>
      </c>
      <c r="D2950">
        <v>6</v>
      </c>
      <c r="E2950" t="s">
        <v>64</v>
      </c>
      <c r="F2950" t="s">
        <v>44</v>
      </c>
      <c r="G2950">
        <v>34</v>
      </c>
      <c r="H2950" t="s">
        <v>18</v>
      </c>
      <c r="I2950">
        <v>28.57</v>
      </c>
      <c r="J2950">
        <v>42.92</v>
      </c>
      <c r="K2950">
        <v>171.01</v>
      </c>
      <c r="L2950">
        <v>0.79</v>
      </c>
      <c r="M2950">
        <v>242.5</v>
      </c>
      <c r="N2950">
        <v>243.29</v>
      </c>
    </row>
    <row r="2951" spans="1:14" x14ac:dyDescent="0.3">
      <c r="A2951" s="2">
        <v>45444</v>
      </c>
      <c r="B2951" t="s">
        <v>72</v>
      </c>
      <c r="C2951">
        <v>2024</v>
      </c>
      <c r="D2951">
        <v>6</v>
      </c>
      <c r="E2951" t="s">
        <v>64</v>
      </c>
      <c r="F2951" t="s">
        <v>45</v>
      </c>
      <c r="G2951">
        <v>3</v>
      </c>
      <c r="H2951" t="s">
        <v>20</v>
      </c>
      <c r="I2951">
        <v>500.15</v>
      </c>
      <c r="J2951">
        <v>730.67</v>
      </c>
      <c r="K2951">
        <v>1022.36</v>
      </c>
      <c r="L2951">
        <v>53</v>
      </c>
      <c r="M2951">
        <v>2253.1799999999998</v>
      </c>
      <c r="N2951">
        <v>2306.1799999999998</v>
      </c>
    </row>
    <row r="2952" spans="1:14" x14ac:dyDescent="0.3">
      <c r="A2952" s="2">
        <v>45444</v>
      </c>
      <c r="B2952" t="s">
        <v>72</v>
      </c>
      <c r="C2952">
        <v>2024</v>
      </c>
      <c r="D2952">
        <v>6</v>
      </c>
      <c r="E2952" t="s">
        <v>64</v>
      </c>
      <c r="F2952" t="s">
        <v>46</v>
      </c>
      <c r="G2952">
        <v>8</v>
      </c>
      <c r="H2952" t="s">
        <v>20</v>
      </c>
      <c r="I2952">
        <v>1139.8800000000001</v>
      </c>
      <c r="J2952">
        <v>1458.24</v>
      </c>
      <c r="K2952">
        <v>1527.78</v>
      </c>
      <c r="L2952">
        <v>128.18</v>
      </c>
      <c r="M2952">
        <v>4125.8999999999996</v>
      </c>
      <c r="N2952">
        <v>4254.08</v>
      </c>
    </row>
    <row r="2953" spans="1:14" x14ac:dyDescent="0.3">
      <c r="A2953" s="2">
        <v>45444</v>
      </c>
      <c r="B2953" t="s">
        <v>72</v>
      </c>
      <c r="C2953">
        <v>2024</v>
      </c>
      <c r="D2953">
        <v>6</v>
      </c>
      <c r="E2953" t="s">
        <v>64</v>
      </c>
      <c r="F2953" t="s">
        <v>47</v>
      </c>
      <c r="G2953">
        <v>11</v>
      </c>
      <c r="H2953" t="s">
        <v>20</v>
      </c>
      <c r="I2953">
        <v>20.68</v>
      </c>
      <c r="J2953">
        <v>25.73</v>
      </c>
      <c r="K2953">
        <v>271.16000000000003</v>
      </c>
      <c r="L2953">
        <v>0.02</v>
      </c>
      <c r="M2953">
        <v>317.57</v>
      </c>
      <c r="N2953">
        <v>317.58999999999997</v>
      </c>
    </row>
    <row r="2954" spans="1:14" x14ac:dyDescent="0.3">
      <c r="A2954" s="2">
        <v>45444</v>
      </c>
      <c r="B2954" t="s">
        <v>72</v>
      </c>
      <c r="C2954">
        <v>2024</v>
      </c>
      <c r="D2954">
        <v>6</v>
      </c>
      <c r="E2954" t="s">
        <v>64</v>
      </c>
      <c r="F2954" t="s">
        <v>48</v>
      </c>
      <c r="G2954">
        <v>33</v>
      </c>
      <c r="H2954" t="s">
        <v>20</v>
      </c>
      <c r="I2954">
        <v>2674.76</v>
      </c>
      <c r="J2954">
        <v>3572.88</v>
      </c>
      <c r="K2954">
        <v>3245.77</v>
      </c>
      <c r="L2954">
        <v>724.51</v>
      </c>
      <c r="M2954">
        <v>9493.41</v>
      </c>
      <c r="N2954">
        <v>10217.92</v>
      </c>
    </row>
    <row r="2955" spans="1:14" x14ac:dyDescent="0.3">
      <c r="A2955" s="2">
        <v>45444</v>
      </c>
      <c r="B2955" t="s">
        <v>72</v>
      </c>
      <c r="C2955">
        <v>2024</v>
      </c>
      <c r="D2955">
        <v>6</v>
      </c>
      <c r="E2955" t="s">
        <v>64</v>
      </c>
      <c r="F2955" t="s">
        <v>49</v>
      </c>
      <c r="G2955">
        <v>36</v>
      </c>
      <c r="H2955" t="s">
        <v>20</v>
      </c>
      <c r="I2955">
        <v>1216.6099999999999</v>
      </c>
      <c r="J2955">
        <v>1567.93</v>
      </c>
      <c r="K2955">
        <v>1381.23</v>
      </c>
      <c r="L2955">
        <v>550.46</v>
      </c>
      <c r="M2955">
        <v>4165.7700000000004</v>
      </c>
      <c r="N2955">
        <v>4716.2299999999996</v>
      </c>
    </row>
    <row r="2956" spans="1:14" x14ac:dyDescent="0.3">
      <c r="A2956" s="2">
        <v>45444</v>
      </c>
      <c r="B2956" t="s">
        <v>72</v>
      </c>
      <c r="C2956">
        <v>2024</v>
      </c>
      <c r="D2956">
        <v>6</v>
      </c>
      <c r="E2956" t="s">
        <v>64</v>
      </c>
      <c r="F2956" t="s">
        <v>50</v>
      </c>
      <c r="G2956">
        <v>16</v>
      </c>
      <c r="H2956" t="s">
        <v>20</v>
      </c>
      <c r="I2956">
        <v>27.03</v>
      </c>
      <c r="J2956">
        <v>35.619999999999997</v>
      </c>
      <c r="K2956">
        <v>11.45</v>
      </c>
      <c r="L2956">
        <v>7.0000000000000007E-2</v>
      </c>
      <c r="M2956">
        <v>74.099999999999994</v>
      </c>
      <c r="N2956">
        <v>74.17</v>
      </c>
    </row>
    <row r="2957" spans="1:14" x14ac:dyDescent="0.3">
      <c r="A2957" s="2">
        <v>45444</v>
      </c>
      <c r="B2957" t="s">
        <v>72</v>
      </c>
      <c r="C2957">
        <v>2024</v>
      </c>
      <c r="D2957">
        <v>6</v>
      </c>
      <c r="E2957" t="s">
        <v>64</v>
      </c>
      <c r="F2957" t="s">
        <v>51</v>
      </c>
      <c r="G2957">
        <v>9</v>
      </c>
      <c r="H2957" t="s">
        <v>20</v>
      </c>
      <c r="I2957">
        <v>2202.4699999999998</v>
      </c>
      <c r="J2957">
        <v>2906.73</v>
      </c>
      <c r="K2957">
        <v>3008.16</v>
      </c>
      <c r="L2957">
        <v>1483.76</v>
      </c>
      <c r="M2957">
        <v>8117.36</v>
      </c>
      <c r="N2957">
        <v>9601.1200000000008</v>
      </c>
    </row>
    <row r="2958" spans="1:14" x14ac:dyDescent="0.3">
      <c r="A2958" s="2">
        <v>45444</v>
      </c>
      <c r="B2958" t="s">
        <v>72</v>
      </c>
      <c r="C2958">
        <v>2024</v>
      </c>
      <c r="D2958">
        <v>6</v>
      </c>
      <c r="E2958" t="s">
        <v>64</v>
      </c>
      <c r="F2958" t="s">
        <v>52</v>
      </c>
      <c r="G2958">
        <v>5</v>
      </c>
      <c r="H2958" t="s">
        <v>20</v>
      </c>
      <c r="I2958">
        <v>323.14999999999998</v>
      </c>
      <c r="J2958">
        <v>472.33</v>
      </c>
      <c r="K2958">
        <v>897.87</v>
      </c>
      <c r="L2958">
        <v>11.7</v>
      </c>
      <c r="M2958">
        <v>1693.35</v>
      </c>
      <c r="N2958">
        <v>1705.05</v>
      </c>
    </row>
    <row r="2959" spans="1:14" x14ac:dyDescent="0.3">
      <c r="A2959" s="2">
        <v>45444</v>
      </c>
      <c r="B2959" t="s">
        <v>72</v>
      </c>
      <c r="C2959">
        <v>2024</v>
      </c>
      <c r="D2959">
        <v>6</v>
      </c>
      <c r="E2959" t="s">
        <v>64</v>
      </c>
      <c r="F2959" t="s">
        <v>53</v>
      </c>
      <c r="G2959">
        <v>19</v>
      </c>
      <c r="H2959" t="s">
        <v>20</v>
      </c>
      <c r="I2959">
        <v>1526.38</v>
      </c>
      <c r="J2959">
        <v>1870.94</v>
      </c>
      <c r="K2959">
        <v>1388.06</v>
      </c>
      <c r="L2959">
        <v>487.32</v>
      </c>
      <c r="M2959">
        <v>4785.38</v>
      </c>
      <c r="N2959">
        <v>5272.7</v>
      </c>
    </row>
    <row r="2960" spans="1:14" x14ac:dyDescent="0.3">
      <c r="A2960" s="2">
        <v>45474</v>
      </c>
      <c r="B2960" t="s">
        <v>72</v>
      </c>
      <c r="C2960">
        <v>2024</v>
      </c>
      <c r="D2960">
        <v>7</v>
      </c>
      <c r="E2960" t="s">
        <v>65</v>
      </c>
      <c r="F2960" t="s">
        <v>17</v>
      </c>
      <c r="G2960">
        <v>35</v>
      </c>
      <c r="H2960" t="s">
        <v>18</v>
      </c>
      <c r="I2960">
        <v>15.83</v>
      </c>
      <c r="J2960">
        <v>18.79</v>
      </c>
      <c r="K2960">
        <v>4.5</v>
      </c>
      <c r="L2960">
        <v>0.12</v>
      </c>
      <c r="M2960">
        <v>39.119999999999997</v>
      </c>
      <c r="N2960">
        <v>39.24</v>
      </c>
    </row>
    <row r="2961" spans="1:14" x14ac:dyDescent="0.3">
      <c r="A2961" s="2">
        <v>45474</v>
      </c>
      <c r="B2961" t="s">
        <v>72</v>
      </c>
      <c r="C2961">
        <v>2024</v>
      </c>
      <c r="D2961">
        <v>7</v>
      </c>
      <c r="E2961" t="s">
        <v>65</v>
      </c>
      <c r="F2961" t="s">
        <v>19</v>
      </c>
      <c r="G2961">
        <v>28</v>
      </c>
      <c r="H2961" t="s">
        <v>20</v>
      </c>
      <c r="I2961">
        <v>839.82</v>
      </c>
      <c r="J2961">
        <v>1074.17</v>
      </c>
      <c r="K2961">
        <v>1195.83</v>
      </c>
      <c r="L2961">
        <v>236.32</v>
      </c>
      <c r="M2961">
        <v>3109.82</v>
      </c>
      <c r="N2961">
        <v>3346.14</v>
      </c>
    </row>
    <row r="2962" spans="1:14" x14ac:dyDescent="0.3">
      <c r="A2962" s="2">
        <v>45474</v>
      </c>
      <c r="B2962" t="s">
        <v>72</v>
      </c>
      <c r="C2962">
        <v>2024</v>
      </c>
      <c r="D2962">
        <v>7</v>
      </c>
      <c r="E2962" t="s">
        <v>65</v>
      </c>
      <c r="F2962" t="s">
        <v>21</v>
      </c>
      <c r="G2962">
        <v>12</v>
      </c>
      <c r="H2962" t="s">
        <v>20</v>
      </c>
      <c r="I2962">
        <v>31.58</v>
      </c>
      <c r="J2962">
        <v>36.97</v>
      </c>
      <c r="K2962">
        <v>12.16</v>
      </c>
      <c r="L2962">
        <v>0.06</v>
      </c>
      <c r="M2962">
        <v>80.709999999999994</v>
      </c>
      <c r="N2962">
        <v>80.77</v>
      </c>
    </row>
    <row r="2963" spans="1:14" x14ac:dyDescent="0.3">
      <c r="A2963" s="2">
        <v>45474</v>
      </c>
      <c r="B2963" t="s">
        <v>72</v>
      </c>
      <c r="C2963">
        <v>2024</v>
      </c>
      <c r="D2963">
        <v>7</v>
      </c>
      <c r="E2963" t="s">
        <v>65</v>
      </c>
      <c r="F2963" t="s">
        <v>22</v>
      </c>
      <c r="G2963">
        <v>18</v>
      </c>
      <c r="H2963" t="s">
        <v>20</v>
      </c>
      <c r="I2963">
        <v>379.03</v>
      </c>
      <c r="J2963">
        <v>463.24</v>
      </c>
      <c r="K2963">
        <v>371.76</v>
      </c>
      <c r="L2963">
        <v>155.83000000000001</v>
      </c>
      <c r="M2963">
        <v>1214.03</v>
      </c>
      <c r="N2963">
        <v>1369.86</v>
      </c>
    </row>
    <row r="2964" spans="1:14" x14ac:dyDescent="0.3">
      <c r="A2964" s="2">
        <v>45474</v>
      </c>
      <c r="B2964" t="s">
        <v>72</v>
      </c>
      <c r="C2964">
        <v>2024</v>
      </c>
      <c r="D2964">
        <v>7</v>
      </c>
      <c r="E2964" t="s">
        <v>65</v>
      </c>
      <c r="F2964" t="s">
        <v>23</v>
      </c>
      <c r="G2964">
        <v>10</v>
      </c>
      <c r="H2964" t="s">
        <v>20</v>
      </c>
      <c r="I2964">
        <v>430.73</v>
      </c>
      <c r="J2964">
        <v>739.27</v>
      </c>
      <c r="K2964">
        <v>213.12</v>
      </c>
      <c r="L2964">
        <v>185.49</v>
      </c>
      <c r="M2964">
        <v>1383.12</v>
      </c>
      <c r="N2964">
        <v>1568.61</v>
      </c>
    </row>
    <row r="2965" spans="1:14" x14ac:dyDescent="0.3">
      <c r="A2965" s="2">
        <v>45474</v>
      </c>
      <c r="B2965" t="s">
        <v>72</v>
      </c>
      <c r="C2965">
        <v>2024</v>
      </c>
      <c r="D2965">
        <v>7</v>
      </c>
      <c r="E2965" t="s">
        <v>65</v>
      </c>
      <c r="F2965" t="s">
        <v>24</v>
      </c>
      <c r="G2965">
        <v>4</v>
      </c>
      <c r="H2965" t="s">
        <v>18</v>
      </c>
      <c r="I2965">
        <v>45.25</v>
      </c>
      <c r="J2965">
        <v>62.84</v>
      </c>
      <c r="K2965">
        <v>124.37</v>
      </c>
      <c r="L2965">
        <v>0.91</v>
      </c>
      <c r="M2965">
        <v>232.46</v>
      </c>
      <c r="N2965">
        <v>233.37</v>
      </c>
    </row>
    <row r="2966" spans="1:14" x14ac:dyDescent="0.3">
      <c r="A2966" s="2">
        <v>45474</v>
      </c>
      <c r="B2966" t="s">
        <v>72</v>
      </c>
      <c r="C2966">
        <v>2024</v>
      </c>
      <c r="D2966">
        <v>7</v>
      </c>
      <c r="E2966" t="s">
        <v>65</v>
      </c>
      <c r="F2966" t="s">
        <v>25</v>
      </c>
      <c r="G2966">
        <v>22</v>
      </c>
      <c r="H2966" t="s">
        <v>20</v>
      </c>
      <c r="I2966">
        <v>608.76</v>
      </c>
      <c r="J2966">
        <v>722.25</v>
      </c>
      <c r="K2966">
        <v>1302.6600000000001</v>
      </c>
      <c r="L2966">
        <v>685.32</v>
      </c>
      <c r="M2966">
        <v>2633.67</v>
      </c>
      <c r="N2966">
        <v>3318.99</v>
      </c>
    </row>
    <row r="2967" spans="1:14" x14ac:dyDescent="0.3">
      <c r="A2967" s="2">
        <v>45474</v>
      </c>
      <c r="B2967" t="s">
        <v>72</v>
      </c>
      <c r="C2967">
        <v>2024</v>
      </c>
      <c r="D2967">
        <v>7</v>
      </c>
      <c r="E2967" t="s">
        <v>65</v>
      </c>
      <c r="F2967" t="s">
        <v>26</v>
      </c>
      <c r="G2967">
        <v>38</v>
      </c>
      <c r="H2967" t="s">
        <v>18</v>
      </c>
      <c r="I2967">
        <v>44.7</v>
      </c>
      <c r="J2967">
        <v>59.64</v>
      </c>
      <c r="K2967">
        <v>234.43</v>
      </c>
      <c r="L2967">
        <v>0.1</v>
      </c>
      <c r="M2967">
        <v>338.77</v>
      </c>
      <c r="N2967">
        <v>338.87</v>
      </c>
    </row>
    <row r="2968" spans="1:14" x14ac:dyDescent="0.3">
      <c r="A2968" s="2">
        <v>45474</v>
      </c>
      <c r="B2968" t="s">
        <v>72</v>
      </c>
      <c r="C2968">
        <v>2024</v>
      </c>
      <c r="D2968">
        <v>7</v>
      </c>
      <c r="E2968" t="s">
        <v>65</v>
      </c>
      <c r="F2968" t="s">
        <v>27</v>
      </c>
      <c r="G2968">
        <v>7</v>
      </c>
      <c r="H2968" t="s">
        <v>18</v>
      </c>
      <c r="I2968">
        <v>1106.8800000000001</v>
      </c>
      <c r="J2968">
        <v>1285.1600000000001</v>
      </c>
      <c r="K2968">
        <v>3457.07</v>
      </c>
      <c r="L2968">
        <v>114.87</v>
      </c>
      <c r="M2968">
        <v>5849.11</v>
      </c>
      <c r="N2968">
        <v>5963.98</v>
      </c>
    </row>
    <row r="2969" spans="1:14" x14ac:dyDescent="0.3">
      <c r="A2969" s="2">
        <v>45474</v>
      </c>
      <c r="B2969" t="s">
        <v>72</v>
      </c>
      <c r="C2969">
        <v>2024</v>
      </c>
      <c r="D2969">
        <v>7</v>
      </c>
      <c r="E2969" t="s">
        <v>65</v>
      </c>
      <c r="F2969" t="s">
        <v>28</v>
      </c>
      <c r="G2969">
        <v>30</v>
      </c>
      <c r="H2969" t="s">
        <v>20</v>
      </c>
      <c r="I2969">
        <v>167.16</v>
      </c>
      <c r="J2969">
        <v>207.32</v>
      </c>
      <c r="K2969">
        <v>215.75</v>
      </c>
      <c r="L2969">
        <v>2.82</v>
      </c>
      <c r="M2969">
        <v>590.23</v>
      </c>
      <c r="N2969">
        <v>593.04999999999995</v>
      </c>
    </row>
    <row r="2970" spans="1:14" x14ac:dyDescent="0.3">
      <c r="A2970" s="2">
        <v>45474</v>
      </c>
      <c r="B2970" t="s">
        <v>72</v>
      </c>
      <c r="C2970">
        <v>2024</v>
      </c>
      <c r="D2970">
        <v>7</v>
      </c>
      <c r="E2970" t="s">
        <v>65</v>
      </c>
      <c r="F2970" t="s">
        <v>29</v>
      </c>
      <c r="G2970">
        <v>24</v>
      </c>
      <c r="H2970" t="s">
        <v>20</v>
      </c>
      <c r="I2970">
        <v>3064.14</v>
      </c>
      <c r="J2970">
        <v>3736.15</v>
      </c>
      <c r="K2970">
        <v>3508.88</v>
      </c>
      <c r="L2970">
        <v>705.55</v>
      </c>
      <c r="M2970">
        <v>10309.17</v>
      </c>
      <c r="N2970">
        <v>11014.72</v>
      </c>
    </row>
    <row r="2971" spans="1:14" x14ac:dyDescent="0.3">
      <c r="A2971" s="2">
        <v>45474</v>
      </c>
      <c r="B2971" t="s">
        <v>72</v>
      </c>
      <c r="C2971">
        <v>2024</v>
      </c>
      <c r="D2971">
        <v>7</v>
      </c>
      <c r="E2971" t="s">
        <v>65</v>
      </c>
      <c r="F2971" t="s">
        <v>30</v>
      </c>
      <c r="G2971">
        <v>6</v>
      </c>
      <c r="H2971" t="s">
        <v>20</v>
      </c>
      <c r="I2971">
        <v>1363.99</v>
      </c>
      <c r="J2971">
        <v>1819.54</v>
      </c>
      <c r="K2971">
        <v>5286.48</v>
      </c>
      <c r="L2971">
        <v>611.71</v>
      </c>
      <c r="M2971">
        <v>8470.01</v>
      </c>
      <c r="N2971">
        <v>9081.7199999999993</v>
      </c>
    </row>
    <row r="2972" spans="1:14" x14ac:dyDescent="0.3">
      <c r="A2972" s="2">
        <v>45474</v>
      </c>
      <c r="B2972" t="s">
        <v>72</v>
      </c>
      <c r="C2972">
        <v>2024</v>
      </c>
      <c r="D2972">
        <v>7</v>
      </c>
      <c r="E2972" t="s">
        <v>65</v>
      </c>
      <c r="F2972" t="s">
        <v>31</v>
      </c>
      <c r="G2972">
        <v>2</v>
      </c>
      <c r="H2972" t="s">
        <v>20</v>
      </c>
      <c r="I2972">
        <v>173.13</v>
      </c>
      <c r="J2972">
        <v>240.16</v>
      </c>
      <c r="K2972">
        <v>438.3</v>
      </c>
      <c r="L2972">
        <v>2.9</v>
      </c>
      <c r="M2972">
        <v>851.59</v>
      </c>
      <c r="N2972">
        <v>854.49</v>
      </c>
    </row>
    <row r="2973" spans="1:14" x14ac:dyDescent="0.3">
      <c r="A2973" s="2">
        <v>45474</v>
      </c>
      <c r="B2973" t="s">
        <v>72</v>
      </c>
      <c r="C2973">
        <v>2024</v>
      </c>
      <c r="D2973">
        <v>7</v>
      </c>
      <c r="E2973" t="s">
        <v>65</v>
      </c>
      <c r="F2973" t="s">
        <v>32</v>
      </c>
      <c r="G2973">
        <v>1</v>
      </c>
      <c r="H2973" t="s">
        <v>18</v>
      </c>
      <c r="I2973">
        <v>186.25</v>
      </c>
      <c r="J2973">
        <v>257.39999999999998</v>
      </c>
      <c r="K2973">
        <v>168.94</v>
      </c>
      <c r="L2973">
        <v>16.89</v>
      </c>
      <c r="M2973">
        <v>612.59</v>
      </c>
      <c r="N2973">
        <v>629.48</v>
      </c>
    </row>
    <row r="2974" spans="1:14" x14ac:dyDescent="0.3">
      <c r="A2974" s="2">
        <v>45474</v>
      </c>
      <c r="B2974" t="s">
        <v>72</v>
      </c>
      <c r="C2974">
        <v>2024</v>
      </c>
      <c r="D2974">
        <v>7</v>
      </c>
      <c r="E2974" t="s">
        <v>65</v>
      </c>
      <c r="F2974" t="s">
        <v>33</v>
      </c>
      <c r="G2974">
        <v>20</v>
      </c>
      <c r="H2974" t="s">
        <v>20</v>
      </c>
      <c r="I2974">
        <v>558.54999999999995</v>
      </c>
      <c r="J2974">
        <v>740.79</v>
      </c>
      <c r="K2974">
        <v>1166.3800000000001</v>
      </c>
      <c r="L2974">
        <v>669.18</v>
      </c>
      <c r="M2974">
        <v>2465.7199999999998</v>
      </c>
      <c r="N2974">
        <v>3134.9</v>
      </c>
    </row>
    <row r="2975" spans="1:14" x14ac:dyDescent="0.3">
      <c r="A2975" s="2">
        <v>45474</v>
      </c>
      <c r="B2975" t="s">
        <v>72</v>
      </c>
      <c r="C2975">
        <v>2024</v>
      </c>
      <c r="D2975">
        <v>7</v>
      </c>
      <c r="E2975" t="s">
        <v>65</v>
      </c>
      <c r="F2975" t="s">
        <v>34</v>
      </c>
      <c r="G2975">
        <v>29</v>
      </c>
      <c r="H2975" t="s">
        <v>20</v>
      </c>
      <c r="I2975">
        <v>2871.8</v>
      </c>
      <c r="J2975">
        <v>3557.23</v>
      </c>
      <c r="K2975">
        <v>4948.18</v>
      </c>
      <c r="L2975">
        <v>1647.32</v>
      </c>
      <c r="M2975">
        <v>11377.21</v>
      </c>
      <c r="N2975">
        <v>13024.53</v>
      </c>
    </row>
    <row r="2976" spans="1:14" x14ac:dyDescent="0.3">
      <c r="A2976" s="2">
        <v>45474</v>
      </c>
      <c r="B2976" t="s">
        <v>72</v>
      </c>
      <c r="C2976">
        <v>2024</v>
      </c>
      <c r="D2976">
        <v>7</v>
      </c>
      <c r="E2976" t="s">
        <v>65</v>
      </c>
      <c r="F2976" t="s">
        <v>35</v>
      </c>
      <c r="G2976">
        <v>32</v>
      </c>
      <c r="H2976" t="s">
        <v>20</v>
      </c>
      <c r="I2976">
        <v>896.24</v>
      </c>
      <c r="J2976">
        <v>1100.54</v>
      </c>
      <c r="K2976">
        <v>491.87</v>
      </c>
      <c r="L2976">
        <v>3.98</v>
      </c>
      <c r="M2976">
        <v>2488.65</v>
      </c>
      <c r="N2976">
        <v>2492.63</v>
      </c>
    </row>
    <row r="2977" spans="1:14" x14ac:dyDescent="0.3">
      <c r="A2977" s="2">
        <v>45474</v>
      </c>
      <c r="B2977" t="s">
        <v>72</v>
      </c>
      <c r="C2977">
        <v>2024</v>
      </c>
      <c r="D2977">
        <v>7</v>
      </c>
      <c r="E2977" t="s">
        <v>65</v>
      </c>
      <c r="F2977" t="s">
        <v>67</v>
      </c>
      <c r="G2977">
        <v>37</v>
      </c>
      <c r="H2977" t="s">
        <v>18</v>
      </c>
      <c r="I2977">
        <v>14.21</v>
      </c>
      <c r="J2977">
        <v>19.21</v>
      </c>
      <c r="K2977">
        <v>4.16</v>
      </c>
      <c r="L2977">
        <v>0.1</v>
      </c>
      <c r="M2977">
        <v>37.58</v>
      </c>
      <c r="N2977">
        <v>37.68</v>
      </c>
    </row>
    <row r="2978" spans="1:14" x14ac:dyDescent="0.3">
      <c r="A2978" s="2">
        <v>45474</v>
      </c>
      <c r="B2978" t="s">
        <v>72</v>
      </c>
      <c r="C2978">
        <v>2024</v>
      </c>
      <c r="D2978">
        <v>7</v>
      </c>
      <c r="E2978" t="s">
        <v>65</v>
      </c>
      <c r="F2978" t="s">
        <v>36</v>
      </c>
      <c r="G2978">
        <v>31</v>
      </c>
      <c r="H2978" t="s">
        <v>18</v>
      </c>
      <c r="I2978">
        <v>0.49</v>
      </c>
      <c r="J2978">
        <v>0.52</v>
      </c>
      <c r="K2978">
        <v>0.16</v>
      </c>
      <c r="L2978">
        <v>0</v>
      </c>
      <c r="M2978">
        <v>1.17</v>
      </c>
      <c r="N2978">
        <v>1.17</v>
      </c>
    </row>
    <row r="2979" spans="1:14" x14ac:dyDescent="0.3">
      <c r="A2979" s="2">
        <v>45474</v>
      </c>
      <c r="B2979" t="s">
        <v>72</v>
      </c>
      <c r="C2979">
        <v>2024</v>
      </c>
      <c r="D2979">
        <v>7</v>
      </c>
      <c r="E2979" t="s">
        <v>65</v>
      </c>
      <c r="F2979" t="s">
        <v>37</v>
      </c>
      <c r="G2979">
        <v>23</v>
      </c>
      <c r="H2979" t="s">
        <v>20</v>
      </c>
      <c r="I2979">
        <v>884.85</v>
      </c>
      <c r="J2979">
        <v>1118.93</v>
      </c>
      <c r="K2979">
        <v>1020.77</v>
      </c>
      <c r="L2979">
        <v>658.46</v>
      </c>
      <c r="M2979">
        <v>3024.55</v>
      </c>
      <c r="N2979">
        <v>3683.01</v>
      </c>
    </row>
    <row r="2980" spans="1:14" x14ac:dyDescent="0.3">
      <c r="A2980" s="2">
        <v>45474</v>
      </c>
      <c r="B2980" t="s">
        <v>72</v>
      </c>
      <c r="C2980">
        <v>2024</v>
      </c>
      <c r="D2980">
        <v>7</v>
      </c>
      <c r="E2980" t="s">
        <v>65</v>
      </c>
      <c r="F2980" t="s">
        <v>38</v>
      </c>
      <c r="G2980">
        <v>27</v>
      </c>
      <c r="H2980" t="s">
        <v>20</v>
      </c>
      <c r="I2980">
        <v>7538.29</v>
      </c>
      <c r="J2980">
        <v>8629.8799999999992</v>
      </c>
      <c r="K2980">
        <v>10835.14</v>
      </c>
      <c r="L2980">
        <v>1966.59</v>
      </c>
      <c r="M2980">
        <v>27003.31</v>
      </c>
      <c r="N2980">
        <v>28969.9</v>
      </c>
    </row>
    <row r="2981" spans="1:14" x14ac:dyDescent="0.3">
      <c r="A2981" s="2">
        <v>45474</v>
      </c>
      <c r="B2981" t="s">
        <v>72</v>
      </c>
      <c r="C2981">
        <v>2024</v>
      </c>
      <c r="D2981">
        <v>7</v>
      </c>
      <c r="E2981" t="s">
        <v>65</v>
      </c>
      <c r="F2981" t="s">
        <v>39</v>
      </c>
      <c r="G2981">
        <v>14</v>
      </c>
      <c r="H2981" t="s">
        <v>20</v>
      </c>
      <c r="I2981">
        <v>25.85</v>
      </c>
      <c r="J2981">
        <v>34.22</v>
      </c>
      <c r="K2981">
        <v>7.57</v>
      </c>
      <c r="L2981">
        <v>0.02</v>
      </c>
      <c r="M2981">
        <v>67.64</v>
      </c>
      <c r="N2981">
        <v>67.66</v>
      </c>
    </row>
    <row r="2982" spans="1:14" x14ac:dyDescent="0.3">
      <c r="A2982" s="2">
        <v>45474</v>
      </c>
      <c r="B2982" t="s">
        <v>72</v>
      </c>
      <c r="C2982">
        <v>2024</v>
      </c>
      <c r="D2982">
        <v>7</v>
      </c>
      <c r="E2982" t="s">
        <v>65</v>
      </c>
      <c r="F2982" t="s">
        <v>40</v>
      </c>
      <c r="G2982">
        <v>17</v>
      </c>
      <c r="H2982" t="s">
        <v>20</v>
      </c>
      <c r="I2982">
        <v>33.72</v>
      </c>
      <c r="J2982">
        <v>40.159999999999997</v>
      </c>
      <c r="K2982">
        <v>65.98</v>
      </c>
      <c r="L2982">
        <v>1.66</v>
      </c>
      <c r="M2982">
        <v>139.86000000000001</v>
      </c>
      <c r="N2982">
        <v>141.52000000000001</v>
      </c>
    </row>
    <row r="2983" spans="1:14" x14ac:dyDescent="0.3">
      <c r="A2983" s="2">
        <v>45474</v>
      </c>
      <c r="B2983" t="s">
        <v>72</v>
      </c>
      <c r="C2983">
        <v>2024</v>
      </c>
      <c r="D2983">
        <v>7</v>
      </c>
      <c r="E2983" t="s">
        <v>65</v>
      </c>
      <c r="F2983" t="s">
        <v>41</v>
      </c>
      <c r="G2983">
        <v>15</v>
      </c>
      <c r="H2983" t="s">
        <v>20</v>
      </c>
      <c r="I2983">
        <v>13.59</v>
      </c>
      <c r="J2983">
        <v>21.07</v>
      </c>
      <c r="K2983">
        <v>4.1100000000000003</v>
      </c>
      <c r="L2983">
        <v>0.11</v>
      </c>
      <c r="M2983">
        <v>38.770000000000003</v>
      </c>
      <c r="N2983">
        <v>38.880000000000003</v>
      </c>
    </row>
    <row r="2984" spans="1:14" x14ac:dyDescent="0.3">
      <c r="A2984" s="2">
        <v>45474</v>
      </c>
      <c r="B2984" t="s">
        <v>72</v>
      </c>
      <c r="C2984">
        <v>2024</v>
      </c>
      <c r="D2984">
        <v>7</v>
      </c>
      <c r="E2984" t="s">
        <v>65</v>
      </c>
      <c r="F2984" t="s">
        <v>42</v>
      </c>
      <c r="G2984">
        <v>13</v>
      </c>
      <c r="H2984" t="s">
        <v>20</v>
      </c>
      <c r="I2984">
        <v>20.43</v>
      </c>
      <c r="J2984">
        <v>25.58</v>
      </c>
      <c r="K2984">
        <v>9.89</v>
      </c>
      <c r="L2984">
        <v>1.69</v>
      </c>
      <c r="M2984">
        <v>55.9</v>
      </c>
      <c r="N2984">
        <v>57.59</v>
      </c>
    </row>
    <row r="2985" spans="1:14" x14ac:dyDescent="0.3">
      <c r="A2985" s="2">
        <v>45474</v>
      </c>
      <c r="B2985" t="s">
        <v>72</v>
      </c>
      <c r="C2985">
        <v>2024</v>
      </c>
      <c r="D2985">
        <v>7</v>
      </c>
      <c r="E2985" t="s">
        <v>65</v>
      </c>
      <c r="F2985" t="s">
        <v>43</v>
      </c>
      <c r="G2985">
        <v>21</v>
      </c>
      <c r="H2985" t="s">
        <v>20</v>
      </c>
      <c r="I2985">
        <v>1237.69</v>
      </c>
      <c r="J2985">
        <v>1482.22</v>
      </c>
      <c r="K2985">
        <v>1385.06</v>
      </c>
      <c r="L2985">
        <v>820.05</v>
      </c>
      <c r="M2985">
        <v>4104.97</v>
      </c>
      <c r="N2985">
        <v>4925.0200000000004</v>
      </c>
    </row>
    <row r="2986" spans="1:14" x14ac:dyDescent="0.3">
      <c r="A2986" s="2">
        <v>45474</v>
      </c>
      <c r="B2986" t="s">
        <v>72</v>
      </c>
      <c r="C2986">
        <v>2024</v>
      </c>
      <c r="D2986">
        <v>7</v>
      </c>
      <c r="E2986" t="s">
        <v>65</v>
      </c>
      <c r="F2986" t="s">
        <v>44</v>
      </c>
      <c r="G2986">
        <v>34</v>
      </c>
      <c r="H2986" t="s">
        <v>18</v>
      </c>
      <c r="I2986">
        <v>28.73</v>
      </c>
      <c r="J2986">
        <v>42.17</v>
      </c>
      <c r="K2986">
        <v>153.15</v>
      </c>
      <c r="L2986">
        <v>0.59</v>
      </c>
      <c r="M2986">
        <v>224.05</v>
      </c>
      <c r="N2986">
        <v>224.64</v>
      </c>
    </row>
    <row r="2987" spans="1:14" x14ac:dyDescent="0.3">
      <c r="A2987" s="2">
        <v>45474</v>
      </c>
      <c r="B2987" t="s">
        <v>72</v>
      </c>
      <c r="C2987">
        <v>2024</v>
      </c>
      <c r="D2987">
        <v>7</v>
      </c>
      <c r="E2987" t="s">
        <v>65</v>
      </c>
      <c r="F2987" t="s">
        <v>45</v>
      </c>
      <c r="G2987">
        <v>3</v>
      </c>
      <c r="H2987" t="s">
        <v>20</v>
      </c>
      <c r="I2987">
        <v>541.75</v>
      </c>
      <c r="J2987">
        <v>753.19</v>
      </c>
      <c r="K2987">
        <v>726.03</v>
      </c>
      <c r="L2987">
        <v>48.11</v>
      </c>
      <c r="M2987">
        <v>2020.97</v>
      </c>
      <c r="N2987">
        <v>2069.08</v>
      </c>
    </row>
    <row r="2988" spans="1:14" x14ac:dyDescent="0.3">
      <c r="A2988" s="2">
        <v>45474</v>
      </c>
      <c r="B2988" t="s">
        <v>72</v>
      </c>
      <c r="C2988">
        <v>2024</v>
      </c>
      <c r="D2988">
        <v>7</v>
      </c>
      <c r="E2988" t="s">
        <v>65</v>
      </c>
      <c r="F2988" t="s">
        <v>46</v>
      </c>
      <c r="G2988">
        <v>8</v>
      </c>
      <c r="H2988" t="s">
        <v>20</v>
      </c>
      <c r="I2988">
        <v>1119.78</v>
      </c>
      <c r="J2988">
        <v>1436.33</v>
      </c>
      <c r="K2988">
        <v>1665.18</v>
      </c>
      <c r="L2988">
        <v>147.47999999999999</v>
      </c>
      <c r="M2988">
        <v>4221.29</v>
      </c>
      <c r="N2988">
        <v>4368.7700000000004</v>
      </c>
    </row>
    <row r="2989" spans="1:14" x14ac:dyDescent="0.3">
      <c r="A2989" s="2">
        <v>45474</v>
      </c>
      <c r="B2989" t="s">
        <v>72</v>
      </c>
      <c r="C2989">
        <v>2024</v>
      </c>
      <c r="D2989">
        <v>7</v>
      </c>
      <c r="E2989" t="s">
        <v>65</v>
      </c>
      <c r="F2989" t="s">
        <v>47</v>
      </c>
      <c r="G2989">
        <v>11</v>
      </c>
      <c r="H2989" t="s">
        <v>20</v>
      </c>
      <c r="I2989">
        <v>19.329999999999998</v>
      </c>
      <c r="J2989">
        <v>25.4</v>
      </c>
      <c r="K2989">
        <v>280.16000000000003</v>
      </c>
      <c r="L2989">
        <v>0.11</v>
      </c>
      <c r="M2989">
        <v>324.89</v>
      </c>
      <c r="N2989">
        <v>325</v>
      </c>
    </row>
    <row r="2990" spans="1:14" x14ac:dyDescent="0.3">
      <c r="A2990" s="2">
        <v>45474</v>
      </c>
      <c r="B2990" t="s">
        <v>72</v>
      </c>
      <c r="C2990">
        <v>2024</v>
      </c>
      <c r="D2990">
        <v>7</v>
      </c>
      <c r="E2990" t="s">
        <v>65</v>
      </c>
      <c r="F2990" t="s">
        <v>48</v>
      </c>
      <c r="G2990">
        <v>33</v>
      </c>
      <c r="H2990" t="s">
        <v>20</v>
      </c>
      <c r="I2990">
        <v>2753.61</v>
      </c>
      <c r="J2990">
        <v>3637.41</v>
      </c>
      <c r="K2990">
        <v>3265.9</v>
      </c>
      <c r="L2990">
        <v>832.89</v>
      </c>
      <c r="M2990">
        <v>9656.92</v>
      </c>
      <c r="N2990">
        <v>10489.81</v>
      </c>
    </row>
    <row r="2991" spans="1:14" x14ac:dyDescent="0.3">
      <c r="A2991" s="2">
        <v>45474</v>
      </c>
      <c r="B2991" t="s">
        <v>72</v>
      </c>
      <c r="C2991">
        <v>2024</v>
      </c>
      <c r="D2991">
        <v>7</v>
      </c>
      <c r="E2991" t="s">
        <v>65</v>
      </c>
      <c r="F2991" t="s">
        <v>49</v>
      </c>
      <c r="G2991">
        <v>36</v>
      </c>
      <c r="H2991" t="s">
        <v>20</v>
      </c>
      <c r="I2991">
        <v>1290.9000000000001</v>
      </c>
      <c r="J2991">
        <v>1625.38</v>
      </c>
      <c r="K2991">
        <v>1484.03</v>
      </c>
      <c r="L2991">
        <v>539.42999999999995</v>
      </c>
      <c r="M2991">
        <v>4400.3100000000004</v>
      </c>
      <c r="N2991">
        <v>4939.74</v>
      </c>
    </row>
    <row r="2992" spans="1:14" x14ac:dyDescent="0.3">
      <c r="A2992" s="2">
        <v>45474</v>
      </c>
      <c r="B2992" t="s">
        <v>72</v>
      </c>
      <c r="C2992">
        <v>2024</v>
      </c>
      <c r="D2992">
        <v>7</v>
      </c>
      <c r="E2992" t="s">
        <v>65</v>
      </c>
      <c r="F2992" t="s">
        <v>50</v>
      </c>
      <c r="G2992">
        <v>16</v>
      </c>
      <c r="H2992" t="s">
        <v>20</v>
      </c>
      <c r="I2992">
        <v>25.96</v>
      </c>
      <c r="J2992">
        <v>34.71</v>
      </c>
      <c r="K2992">
        <v>11.21</v>
      </c>
      <c r="L2992">
        <v>0.08</v>
      </c>
      <c r="M2992">
        <v>71.88</v>
      </c>
      <c r="N2992">
        <v>71.959999999999994</v>
      </c>
    </row>
    <row r="2993" spans="1:14" x14ac:dyDescent="0.3">
      <c r="A2993" s="2">
        <v>45474</v>
      </c>
      <c r="B2993" t="s">
        <v>72</v>
      </c>
      <c r="C2993">
        <v>2024</v>
      </c>
      <c r="D2993">
        <v>7</v>
      </c>
      <c r="E2993" t="s">
        <v>65</v>
      </c>
      <c r="F2993" t="s">
        <v>51</v>
      </c>
      <c r="G2993">
        <v>9</v>
      </c>
      <c r="H2993" t="s">
        <v>20</v>
      </c>
      <c r="I2993">
        <v>2139.65</v>
      </c>
      <c r="J2993">
        <v>2811.37</v>
      </c>
      <c r="K2993">
        <v>2782.45</v>
      </c>
      <c r="L2993">
        <v>1391.55</v>
      </c>
      <c r="M2993">
        <v>7733.47</v>
      </c>
      <c r="N2993">
        <v>9125.02</v>
      </c>
    </row>
    <row r="2994" spans="1:14" x14ac:dyDescent="0.3">
      <c r="A2994" s="2">
        <v>45474</v>
      </c>
      <c r="B2994" t="s">
        <v>72</v>
      </c>
      <c r="C2994">
        <v>2024</v>
      </c>
      <c r="D2994">
        <v>7</v>
      </c>
      <c r="E2994" t="s">
        <v>65</v>
      </c>
      <c r="F2994" t="s">
        <v>52</v>
      </c>
      <c r="G2994">
        <v>5</v>
      </c>
      <c r="H2994" t="s">
        <v>20</v>
      </c>
      <c r="I2994">
        <v>342.54</v>
      </c>
      <c r="J2994">
        <v>490.49</v>
      </c>
      <c r="K2994">
        <v>854.05</v>
      </c>
      <c r="L2994">
        <v>12.62</v>
      </c>
      <c r="M2994">
        <v>1687.08</v>
      </c>
      <c r="N2994">
        <v>1699.7</v>
      </c>
    </row>
    <row r="2995" spans="1:14" x14ac:dyDescent="0.3">
      <c r="A2995" s="2">
        <v>45474</v>
      </c>
      <c r="B2995" t="s">
        <v>72</v>
      </c>
      <c r="C2995">
        <v>2024</v>
      </c>
      <c r="D2995">
        <v>7</v>
      </c>
      <c r="E2995" t="s">
        <v>65</v>
      </c>
      <c r="F2995" t="s">
        <v>53</v>
      </c>
      <c r="G2995">
        <v>19</v>
      </c>
      <c r="H2995" t="s">
        <v>20</v>
      </c>
      <c r="I2995">
        <v>1558.83</v>
      </c>
      <c r="J2995">
        <v>1925.17</v>
      </c>
      <c r="K2995">
        <v>1310.1199999999999</v>
      </c>
      <c r="L2995">
        <v>462.46</v>
      </c>
      <c r="M2995">
        <v>4794.12</v>
      </c>
      <c r="N2995">
        <v>5256.58</v>
      </c>
    </row>
    <row r="2996" spans="1:14" x14ac:dyDescent="0.3">
      <c r="A2996" s="2">
        <v>45505</v>
      </c>
      <c r="B2996" t="s">
        <v>72</v>
      </c>
      <c r="C2996">
        <v>2024</v>
      </c>
      <c r="D2996">
        <v>8</v>
      </c>
      <c r="E2996" t="s">
        <v>16</v>
      </c>
      <c r="F2996" t="s">
        <v>17</v>
      </c>
      <c r="G2996">
        <v>35</v>
      </c>
      <c r="H2996" t="s">
        <v>18</v>
      </c>
      <c r="I2996">
        <v>9.6</v>
      </c>
      <c r="J2996">
        <v>13.27</v>
      </c>
      <c r="K2996">
        <v>4.4000000000000004</v>
      </c>
      <c r="L2996">
        <v>0.04</v>
      </c>
      <c r="M2996">
        <v>27.27</v>
      </c>
      <c r="N2996">
        <v>27.31</v>
      </c>
    </row>
    <row r="2997" spans="1:14" x14ac:dyDescent="0.3">
      <c r="A2997" s="2">
        <v>45505</v>
      </c>
      <c r="B2997" t="s">
        <v>72</v>
      </c>
      <c r="C2997">
        <v>2024</v>
      </c>
      <c r="D2997">
        <v>8</v>
      </c>
      <c r="E2997" t="s">
        <v>16</v>
      </c>
      <c r="F2997" t="s">
        <v>19</v>
      </c>
      <c r="G2997">
        <v>28</v>
      </c>
      <c r="H2997" t="s">
        <v>20</v>
      </c>
      <c r="I2997">
        <v>827.59</v>
      </c>
      <c r="J2997">
        <v>1061.17</v>
      </c>
      <c r="K2997">
        <v>1195.7</v>
      </c>
      <c r="L2997">
        <v>213.62</v>
      </c>
      <c r="M2997">
        <v>3084.46</v>
      </c>
      <c r="N2997">
        <v>3298.08</v>
      </c>
    </row>
    <row r="2998" spans="1:14" x14ac:dyDescent="0.3">
      <c r="A2998" s="2">
        <v>45505</v>
      </c>
      <c r="B2998" t="s">
        <v>72</v>
      </c>
      <c r="C2998">
        <v>2024</v>
      </c>
      <c r="D2998">
        <v>8</v>
      </c>
      <c r="E2998" t="s">
        <v>16</v>
      </c>
      <c r="F2998" t="s">
        <v>21</v>
      </c>
      <c r="G2998">
        <v>12</v>
      </c>
      <c r="H2998" t="s">
        <v>20</v>
      </c>
      <c r="I2998">
        <v>26.63</v>
      </c>
      <c r="J2998">
        <v>34.85</v>
      </c>
      <c r="K2998">
        <v>11.92</v>
      </c>
      <c r="L2998">
        <v>0.4</v>
      </c>
      <c r="M2998">
        <v>73.400000000000006</v>
      </c>
      <c r="N2998">
        <v>73.8</v>
      </c>
    </row>
    <row r="2999" spans="1:14" x14ac:dyDescent="0.3">
      <c r="A2999" s="2">
        <v>45505</v>
      </c>
      <c r="B2999" t="s">
        <v>72</v>
      </c>
      <c r="C2999">
        <v>2024</v>
      </c>
      <c r="D2999">
        <v>8</v>
      </c>
      <c r="E2999" t="s">
        <v>16</v>
      </c>
      <c r="F2999" t="s">
        <v>22</v>
      </c>
      <c r="G2999">
        <v>18</v>
      </c>
      <c r="H2999" t="s">
        <v>20</v>
      </c>
      <c r="I2999">
        <v>388.73</v>
      </c>
      <c r="J2999">
        <v>483.02</v>
      </c>
      <c r="K2999">
        <v>372.99</v>
      </c>
      <c r="L2999">
        <v>108.66</v>
      </c>
      <c r="M2999">
        <v>1244.74</v>
      </c>
      <c r="N2999">
        <v>1353.4</v>
      </c>
    </row>
    <row r="3000" spans="1:14" x14ac:dyDescent="0.3">
      <c r="A3000" s="2">
        <v>45505</v>
      </c>
      <c r="B3000" t="s">
        <v>72</v>
      </c>
      <c r="C3000">
        <v>2024</v>
      </c>
      <c r="D3000">
        <v>8</v>
      </c>
      <c r="E3000" t="s">
        <v>16</v>
      </c>
      <c r="F3000" t="s">
        <v>23</v>
      </c>
      <c r="G3000">
        <v>10</v>
      </c>
      <c r="H3000" t="s">
        <v>20</v>
      </c>
      <c r="I3000">
        <v>426.54</v>
      </c>
      <c r="J3000">
        <v>695.26</v>
      </c>
      <c r="K3000">
        <v>220.04</v>
      </c>
      <c r="L3000">
        <v>149.58000000000001</v>
      </c>
      <c r="M3000">
        <v>1341.84</v>
      </c>
      <c r="N3000">
        <v>1491.42</v>
      </c>
    </row>
    <row r="3001" spans="1:14" x14ac:dyDescent="0.3">
      <c r="A3001" s="2">
        <v>45505</v>
      </c>
      <c r="B3001" t="s">
        <v>72</v>
      </c>
      <c r="C3001">
        <v>2024</v>
      </c>
      <c r="D3001">
        <v>8</v>
      </c>
      <c r="E3001" t="s">
        <v>16</v>
      </c>
      <c r="F3001" t="s">
        <v>24</v>
      </c>
      <c r="G3001">
        <v>4</v>
      </c>
      <c r="H3001" t="s">
        <v>18</v>
      </c>
      <c r="I3001">
        <v>49.85</v>
      </c>
      <c r="J3001">
        <v>63.85</v>
      </c>
      <c r="K3001">
        <v>128.69999999999999</v>
      </c>
      <c r="L3001">
        <v>1.37</v>
      </c>
      <c r="M3001">
        <v>242.4</v>
      </c>
      <c r="N3001">
        <v>243.77</v>
      </c>
    </row>
    <row r="3002" spans="1:14" x14ac:dyDescent="0.3">
      <c r="A3002" s="2">
        <v>45505</v>
      </c>
      <c r="B3002" t="s">
        <v>72</v>
      </c>
      <c r="C3002">
        <v>2024</v>
      </c>
      <c r="D3002">
        <v>8</v>
      </c>
      <c r="E3002" t="s">
        <v>16</v>
      </c>
      <c r="F3002" t="s">
        <v>25</v>
      </c>
      <c r="G3002">
        <v>22</v>
      </c>
      <c r="H3002" t="s">
        <v>20</v>
      </c>
      <c r="I3002">
        <v>533.20000000000005</v>
      </c>
      <c r="J3002">
        <v>630.05999999999995</v>
      </c>
      <c r="K3002">
        <v>872.39</v>
      </c>
      <c r="L3002">
        <v>575.15</v>
      </c>
      <c r="M3002">
        <v>2035.65</v>
      </c>
      <c r="N3002">
        <v>2610.8000000000002</v>
      </c>
    </row>
    <row r="3003" spans="1:14" x14ac:dyDescent="0.3">
      <c r="A3003" s="2">
        <v>45505</v>
      </c>
      <c r="B3003" t="s">
        <v>72</v>
      </c>
      <c r="C3003">
        <v>2024</v>
      </c>
      <c r="D3003">
        <v>8</v>
      </c>
      <c r="E3003" t="s">
        <v>16</v>
      </c>
      <c r="F3003" t="s">
        <v>26</v>
      </c>
      <c r="G3003">
        <v>38</v>
      </c>
      <c r="H3003" t="s">
        <v>18</v>
      </c>
      <c r="I3003">
        <v>40.229999999999997</v>
      </c>
      <c r="J3003">
        <v>53.28</v>
      </c>
      <c r="K3003">
        <v>226.66</v>
      </c>
      <c r="L3003">
        <v>0.14000000000000001</v>
      </c>
      <c r="M3003">
        <v>320.17</v>
      </c>
      <c r="N3003">
        <v>320.31</v>
      </c>
    </row>
    <row r="3004" spans="1:14" x14ac:dyDescent="0.3">
      <c r="A3004" s="2">
        <v>45505</v>
      </c>
      <c r="B3004" t="s">
        <v>72</v>
      </c>
      <c r="C3004">
        <v>2024</v>
      </c>
      <c r="D3004">
        <v>8</v>
      </c>
      <c r="E3004" t="s">
        <v>16</v>
      </c>
      <c r="F3004" t="s">
        <v>27</v>
      </c>
      <c r="G3004">
        <v>7</v>
      </c>
      <c r="H3004" t="s">
        <v>18</v>
      </c>
      <c r="I3004">
        <v>1107</v>
      </c>
      <c r="J3004">
        <v>1296.18</v>
      </c>
      <c r="K3004">
        <v>3118.28</v>
      </c>
      <c r="L3004">
        <v>113.06</v>
      </c>
      <c r="M3004">
        <v>5521.46</v>
      </c>
      <c r="N3004">
        <v>5634.52</v>
      </c>
    </row>
    <row r="3005" spans="1:14" x14ac:dyDescent="0.3">
      <c r="A3005" s="2">
        <v>45505</v>
      </c>
      <c r="B3005" t="s">
        <v>72</v>
      </c>
      <c r="C3005">
        <v>2024</v>
      </c>
      <c r="D3005">
        <v>8</v>
      </c>
      <c r="E3005" t="s">
        <v>16</v>
      </c>
      <c r="F3005" t="s">
        <v>28</v>
      </c>
      <c r="G3005">
        <v>30</v>
      </c>
      <c r="H3005" t="s">
        <v>20</v>
      </c>
      <c r="I3005">
        <v>147.51</v>
      </c>
      <c r="J3005">
        <v>184.06</v>
      </c>
      <c r="K3005">
        <v>196.81</v>
      </c>
      <c r="L3005">
        <v>2.3199999999999998</v>
      </c>
      <c r="M3005">
        <v>528.38</v>
      </c>
      <c r="N3005">
        <v>530.70000000000005</v>
      </c>
    </row>
    <row r="3006" spans="1:14" x14ac:dyDescent="0.3">
      <c r="A3006" s="2">
        <v>45505</v>
      </c>
      <c r="B3006" t="s">
        <v>72</v>
      </c>
      <c r="C3006">
        <v>2024</v>
      </c>
      <c r="D3006">
        <v>8</v>
      </c>
      <c r="E3006" t="s">
        <v>16</v>
      </c>
      <c r="F3006" t="s">
        <v>29</v>
      </c>
      <c r="G3006">
        <v>24</v>
      </c>
      <c r="H3006" t="s">
        <v>20</v>
      </c>
      <c r="I3006">
        <v>2834.73</v>
      </c>
      <c r="J3006">
        <v>3423.52</v>
      </c>
      <c r="K3006">
        <v>3388.83</v>
      </c>
      <c r="L3006">
        <v>696.44</v>
      </c>
      <c r="M3006">
        <v>9647.08</v>
      </c>
      <c r="N3006">
        <v>10343.52</v>
      </c>
    </row>
    <row r="3007" spans="1:14" x14ac:dyDescent="0.3">
      <c r="A3007" s="2">
        <v>45505</v>
      </c>
      <c r="B3007" t="s">
        <v>72</v>
      </c>
      <c r="C3007">
        <v>2024</v>
      </c>
      <c r="D3007">
        <v>8</v>
      </c>
      <c r="E3007" t="s">
        <v>16</v>
      </c>
      <c r="F3007" t="s">
        <v>30</v>
      </c>
      <c r="G3007">
        <v>6</v>
      </c>
      <c r="H3007" t="s">
        <v>20</v>
      </c>
      <c r="I3007">
        <v>1400.61</v>
      </c>
      <c r="J3007">
        <v>1785.59</v>
      </c>
      <c r="K3007">
        <v>4770.3100000000004</v>
      </c>
      <c r="L3007">
        <v>666.48</v>
      </c>
      <c r="M3007">
        <v>7956.51</v>
      </c>
      <c r="N3007">
        <v>8622.99</v>
      </c>
    </row>
    <row r="3008" spans="1:14" x14ac:dyDescent="0.3">
      <c r="A3008" s="2">
        <v>45505</v>
      </c>
      <c r="B3008" t="s">
        <v>72</v>
      </c>
      <c r="C3008">
        <v>2024</v>
      </c>
      <c r="D3008">
        <v>8</v>
      </c>
      <c r="E3008" t="s">
        <v>16</v>
      </c>
      <c r="F3008" t="s">
        <v>31</v>
      </c>
      <c r="G3008">
        <v>2</v>
      </c>
      <c r="H3008" t="s">
        <v>20</v>
      </c>
      <c r="I3008">
        <v>159.25</v>
      </c>
      <c r="J3008">
        <v>223.24</v>
      </c>
      <c r="K3008">
        <v>442.59</v>
      </c>
      <c r="L3008">
        <v>2.12</v>
      </c>
      <c r="M3008">
        <v>825.08</v>
      </c>
      <c r="N3008">
        <v>827.2</v>
      </c>
    </row>
    <row r="3009" spans="1:14" x14ac:dyDescent="0.3">
      <c r="A3009" s="2">
        <v>45505</v>
      </c>
      <c r="B3009" t="s">
        <v>72</v>
      </c>
      <c r="C3009">
        <v>2024</v>
      </c>
      <c r="D3009">
        <v>8</v>
      </c>
      <c r="E3009" t="s">
        <v>16</v>
      </c>
      <c r="F3009" t="s">
        <v>32</v>
      </c>
      <c r="G3009">
        <v>1</v>
      </c>
      <c r="H3009" t="s">
        <v>18</v>
      </c>
      <c r="I3009">
        <v>150.76</v>
      </c>
      <c r="J3009">
        <v>221.31</v>
      </c>
      <c r="K3009">
        <v>182.59</v>
      </c>
      <c r="L3009">
        <v>14.32</v>
      </c>
      <c r="M3009">
        <v>554.66</v>
      </c>
      <c r="N3009">
        <v>568.98</v>
      </c>
    </row>
    <row r="3010" spans="1:14" x14ac:dyDescent="0.3">
      <c r="A3010" s="2">
        <v>45505</v>
      </c>
      <c r="B3010" t="s">
        <v>72</v>
      </c>
      <c r="C3010">
        <v>2024</v>
      </c>
      <c r="D3010">
        <v>8</v>
      </c>
      <c r="E3010" t="s">
        <v>16</v>
      </c>
      <c r="F3010" t="s">
        <v>33</v>
      </c>
      <c r="G3010">
        <v>20</v>
      </c>
      <c r="H3010" t="s">
        <v>20</v>
      </c>
      <c r="I3010">
        <v>527.16999999999996</v>
      </c>
      <c r="J3010">
        <v>669.26</v>
      </c>
      <c r="K3010">
        <v>983.3</v>
      </c>
      <c r="L3010">
        <v>670.32</v>
      </c>
      <c r="M3010">
        <v>2179.73</v>
      </c>
      <c r="N3010">
        <v>2850.05</v>
      </c>
    </row>
    <row r="3011" spans="1:14" x14ac:dyDescent="0.3">
      <c r="A3011" s="2">
        <v>45505</v>
      </c>
      <c r="B3011" t="s">
        <v>72</v>
      </c>
      <c r="C3011">
        <v>2024</v>
      </c>
      <c r="D3011">
        <v>8</v>
      </c>
      <c r="E3011" t="s">
        <v>16</v>
      </c>
      <c r="F3011" t="s">
        <v>34</v>
      </c>
      <c r="G3011">
        <v>29</v>
      </c>
      <c r="H3011" t="s">
        <v>20</v>
      </c>
      <c r="I3011">
        <v>2797.93</v>
      </c>
      <c r="J3011">
        <v>3416.5</v>
      </c>
      <c r="K3011">
        <v>4675.6899999999996</v>
      </c>
      <c r="L3011">
        <v>1454.02</v>
      </c>
      <c r="M3011">
        <v>10890.12</v>
      </c>
      <c r="N3011">
        <v>12344.14</v>
      </c>
    </row>
    <row r="3012" spans="1:14" x14ac:dyDescent="0.3">
      <c r="A3012" s="2">
        <v>45505</v>
      </c>
      <c r="B3012" t="s">
        <v>72</v>
      </c>
      <c r="C3012">
        <v>2024</v>
      </c>
      <c r="D3012">
        <v>8</v>
      </c>
      <c r="E3012" t="s">
        <v>16</v>
      </c>
      <c r="F3012" t="s">
        <v>35</v>
      </c>
      <c r="G3012">
        <v>32</v>
      </c>
      <c r="H3012" t="s">
        <v>20</v>
      </c>
      <c r="I3012">
        <v>892.9</v>
      </c>
      <c r="J3012">
        <v>1086.78</v>
      </c>
      <c r="K3012">
        <v>525.6</v>
      </c>
      <c r="L3012">
        <v>6.05</v>
      </c>
      <c r="M3012">
        <v>2505.2800000000002</v>
      </c>
      <c r="N3012">
        <v>2511.33</v>
      </c>
    </row>
    <row r="3013" spans="1:14" x14ac:dyDescent="0.3">
      <c r="A3013" s="2">
        <v>45505</v>
      </c>
      <c r="B3013" t="s">
        <v>72</v>
      </c>
      <c r="C3013">
        <v>2024</v>
      </c>
      <c r="D3013">
        <v>8</v>
      </c>
      <c r="E3013" t="s">
        <v>16</v>
      </c>
      <c r="F3013" t="s">
        <v>67</v>
      </c>
      <c r="G3013">
        <v>37</v>
      </c>
      <c r="H3013" t="s">
        <v>18</v>
      </c>
      <c r="I3013">
        <v>12.49</v>
      </c>
      <c r="J3013">
        <v>15.35</v>
      </c>
      <c r="K3013">
        <v>4.83</v>
      </c>
      <c r="L3013">
        <v>0.25</v>
      </c>
      <c r="M3013">
        <v>32.67</v>
      </c>
      <c r="N3013">
        <v>32.92</v>
      </c>
    </row>
    <row r="3014" spans="1:14" x14ac:dyDescent="0.3">
      <c r="A3014" s="2">
        <v>45505</v>
      </c>
      <c r="B3014" t="s">
        <v>72</v>
      </c>
      <c r="C3014">
        <v>2024</v>
      </c>
      <c r="D3014">
        <v>8</v>
      </c>
      <c r="E3014" t="s">
        <v>16</v>
      </c>
      <c r="F3014" t="s">
        <v>36</v>
      </c>
      <c r="G3014">
        <v>31</v>
      </c>
      <c r="H3014" t="s">
        <v>18</v>
      </c>
      <c r="I3014">
        <v>0.4</v>
      </c>
      <c r="J3014">
        <v>0.75</v>
      </c>
      <c r="K3014">
        <v>0.76</v>
      </c>
      <c r="L3014">
        <v>0</v>
      </c>
      <c r="M3014">
        <v>1.91</v>
      </c>
      <c r="N3014">
        <v>1.91</v>
      </c>
    </row>
    <row r="3015" spans="1:14" x14ac:dyDescent="0.3">
      <c r="A3015" s="2">
        <v>45505</v>
      </c>
      <c r="B3015" t="s">
        <v>72</v>
      </c>
      <c r="C3015">
        <v>2024</v>
      </c>
      <c r="D3015">
        <v>8</v>
      </c>
      <c r="E3015" t="s">
        <v>16</v>
      </c>
      <c r="F3015" t="s">
        <v>37</v>
      </c>
      <c r="G3015">
        <v>23</v>
      </c>
      <c r="H3015" t="s">
        <v>20</v>
      </c>
      <c r="I3015">
        <v>862.49</v>
      </c>
      <c r="J3015">
        <v>1054.45</v>
      </c>
      <c r="K3015">
        <v>890.19</v>
      </c>
      <c r="L3015">
        <v>630.96</v>
      </c>
      <c r="M3015">
        <v>2807.13</v>
      </c>
      <c r="N3015">
        <v>3438.09</v>
      </c>
    </row>
    <row r="3016" spans="1:14" x14ac:dyDescent="0.3">
      <c r="A3016" s="2">
        <v>45505</v>
      </c>
      <c r="B3016" t="s">
        <v>72</v>
      </c>
      <c r="C3016">
        <v>2024</v>
      </c>
      <c r="D3016">
        <v>8</v>
      </c>
      <c r="E3016" t="s">
        <v>16</v>
      </c>
      <c r="F3016" t="s">
        <v>38</v>
      </c>
      <c r="G3016">
        <v>27</v>
      </c>
      <c r="H3016" t="s">
        <v>20</v>
      </c>
      <c r="I3016">
        <v>7111.78</v>
      </c>
      <c r="J3016">
        <v>8304.66</v>
      </c>
      <c r="K3016">
        <v>8938.4599999999991</v>
      </c>
      <c r="L3016">
        <v>2011.74</v>
      </c>
      <c r="M3016">
        <v>24354.9</v>
      </c>
      <c r="N3016">
        <v>26366.639999999999</v>
      </c>
    </row>
    <row r="3017" spans="1:14" x14ac:dyDescent="0.3">
      <c r="A3017" s="2">
        <v>45505</v>
      </c>
      <c r="B3017" t="s">
        <v>72</v>
      </c>
      <c r="C3017">
        <v>2024</v>
      </c>
      <c r="D3017">
        <v>8</v>
      </c>
      <c r="E3017" t="s">
        <v>16</v>
      </c>
      <c r="F3017" t="s">
        <v>39</v>
      </c>
      <c r="G3017">
        <v>14</v>
      </c>
      <c r="H3017" t="s">
        <v>20</v>
      </c>
      <c r="I3017">
        <v>18.36</v>
      </c>
      <c r="J3017">
        <v>29.04</v>
      </c>
      <c r="K3017">
        <v>8.1199999999999992</v>
      </c>
      <c r="L3017">
        <v>0.03</v>
      </c>
      <c r="M3017">
        <v>55.52</v>
      </c>
      <c r="N3017">
        <v>55.55</v>
      </c>
    </row>
    <row r="3018" spans="1:14" x14ac:dyDescent="0.3">
      <c r="A3018" s="2">
        <v>45505</v>
      </c>
      <c r="B3018" t="s">
        <v>72</v>
      </c>
      <c r="C3018">
        <v>2024</v>
      </c>
      <c r="D3018">
        <v>8</v>
      </c>
      <c r="E3018" t="s">
        <v>16</v>
      </c>
      <c r="F3018" t="s">
        <v>40</v>
      </c>
      <c r="G3018">
        <v>17</v>
      </c>
      <c r="H3018" t="s">
        <v>20</v>
      </c>
      <c r="I3018">
        <v>41.27</v>
      </c>
      <c r="J3018">
        <v>45.9</v>
      </c>
      <c r="K3018">
        <v>67.87</v>
      </c>
      <c r="L3018">
        <v>0.11</v>
      </c>
      <c r="M3018">
        <v>155.04</v>
      </c>
      <c r="N3018">
        <v>155.15</v>
      </c>
    </row>
    <row r="3019" spans="1:14" x14ac:dyDescent="0.3">
      <c r="A3019" s="2">
        <v>45505</v>
      </c>
      <c r="B3019" t="s">
        <v>72</v>
      </c>
      <c r="C3019">
        <v>2024</v>
      </c>
      <c r="D3019">
        <v>8</v>
      </c>
      <c r="E3019" t="s">
        <v>16</v>
      </c>
      <c r="F3019" t="s">
        <v>41</v>
      </c>
      <c r="G3019">
        <v>15</v>
      </c>
      <c r="H3019" t="s">
        <v>20</v>
      </c>
      <c r="I3019">
        <v>10.119999999999999</v>
      </c>
      <c r="J3019">
        <v>13.57</v>
      </c>
      <c r="K3019">
        <v>3.75</v>
      </c>
      <c r="L3019">
        <v>0.22</v>
      </c>
      <c r="M3019">
        <v>27.44</v>
      </c>
      <c r="N3019">
        <v>27.66</v>
      </c>
    </row>
    <row r="3020" spans="1:14" x14ac:dyDescent="0.3">
      <c r="A3020" s="2">
        <v>45505</v>
      </c>
      <c r="B3020" t="s">
        <v>72</v>
      </c>
      <c r="C3020">
        <v>2024</v>
      </c>
      <c r="D3020">
        <v>8</v>
      </c>
      <c r="E3020" t="s">
        <v>16</v>
      </c>
      <c r="F3020" t="s">
        <v>42</v>
      </c>
      <c r="G3020">
        <v>13</v>
      </c>
      <c r="H3020" t="s">
        <v>20</v>
      </c>
      <c r="I3020">
        <v>14.76</v>
      </c>
      <c r="J3020">
        <v>19.02</v>
      </c>
      <c r="K3020">
        <v>7.48</v>
      </c>
      <c r="L3020">
        <v>1.04</v>
      </c>
      <c r="M3020">
        <v>41.26</v>
      </c>
      <c r="N3020">
        <v>42.3</v>
      </c>
    </row>
    <row r="3021" spans="1:14" x14ac:dyDescent="0.3">
      <c r="A3021" s="2">
        <v>45505</v>
      </c>
      <c r="B3021" t="s">
        <v>72</v>
      </c>
      <c r="C3021">
        <v>2024</v>
      </c>
      <c r="D3021">
        <v>8</v>
      </c>
      <c r="E3021" t="s">
        <v>16</v>
      </c>
      <c r="F3021" t="s">
        <v>43</v>
      </c>
      <c r="G3021">
        <v>21</v>
      </c>
      <c r="H3021" t="s">
        <v>20</v>
      </c>
      <c r="I3021">
        <v>1181.1300000000001</v>
      </c>
      <c r="J3021">
        <v>1378.12</v>
      </c>
      <c r="K3021">
        <v>1515.41</v>
      </c>
      <c r="L3021">
        <v>803.7</v>
      </c>
      <c r="M3021">
        <v>4074.66</v>
      </c>
      <c r="N3021">
        <v>4878.3599999999997</v>
      </c>
    </row>
    <row r="3022" spans="1:14" x14ac:dyDescent="0.3">
      <c r="A3022" s="2">
        <v>45505</v>
      </c>
      <c r="B3022" t="s">
        <v>72</v>
      </c>
      <c r="C3022">
        <v>2024</v>
      </c>
      <c r="D3022">
        <v>8</v>
      </c>
      <c r="E3022" t="s">
        <v>16</v>
      </c>
      <c r="F3022" t="s">
        <v>44</v>
      </c>
      <c r="G3022">
        <v>34</v>
      </c>
      <c r="H3022" t="s">
        <v>18</v>
      </c>
      <c r="I3022">
        <v>28.32</v>
      </c>
      <c r="J3022">
        <v>45</v>
      </c>
      <c r="K3022">
        <v>159.93</v>
      </c>
      <c r="L3022">
        <v>0.46</v>
      </c>
      <c r="M3022">
        <v>233.25</v>
      </c>
      <c r="N3022">
        <v>233.71</v>
      </c>
    </row>
    <row r="3023" spans="1:14" x14ac:dyDescent="0.3">
      <c r="A3023" s="2">
        <v>45505</v>
      </c>
      <c r="B3023" t="s">
        <v>72</v>
      </c>
      <c r="C3023">
        <v>2024</v>
      </c>
      <c r="D3023">
        <v>8</v>
      </c>
      <c r="E3023" t="s">
        <v>16</v>
      </c>
      <c r="F3023" t="s">
        <v>45</v>
      </c>
      <c r="G3023">
        <v>3</v>
      </c>
      <c r="H3023" t="s">
        <v>20</v>
      </c>
      <c r="I3023">
        <v>484.67</v>
      </c>
      <c r="J3023">
        <v>682.67</v>
      </c>
      <c r="K3023">
        <v>731.98</v>
      </c>
      <c r="L3023">
        <v>36.94</v>
      </c>
      <c r="M3023">
        <v>1899.32</v>
      </c>
      <c r="N3023">
        <v>1936.26</v>
      </c>
    </row>
    <row r="3024" spans="1:14" x14ac:dyDescent="0.3">
      <c r="A3024" s="2">
        <v>45505</v>
      </c>
      <c r="B3024" t="s">
        <v>72</v>
      </c>
      <c r="C3024">
        <v>2024</v>
      </c>
      <c r="D3024">
        <v>8</v>
      </c>
      <c r="E3024" t="s">
        <v>16</v>
      </c>
      <c r="F3024" t="s">
        <v>46</v>
      </c>
      <c r="G3024">
        <v>8</v>
      </c>
      <c r="H3024" t="s">
        <v>20</v>
      </c>
      <c r="I3024">
        <v>990.13</v>
      </c>
      <c r="J3024">
        <v>1279.8</v>
      </c>
      <c r="K3024">
        <v>1429.13</v>
      </c>
      <c r="L3024">
        <v>121.31</v>
      </c>
      <c r="M3024">
        <v>3699.06</v>
      </c>
      <c r="N3024">
        <v>3820.37</v>
      </c>
    </row>
    <row r="3025" spans="1:14" x14ac:dyDescent="0.3">
      <c r="A3025" s="2">
        <v>45505</v>
      </c>
      <c r="B3025" t="s">
        <v>72</v>
      </c>
      <c r="C3025">
        <v>2024</v>
      </c>
      <c r="D3025">
        <v>8</v>
      </c>
      <c r="E3025" t="s">
        <v>16</v>
      </c>
      <c r="F3025" t="s">
        <v>47</v>
      </c>
      <c r="G3025">
        <v>11</v>
      </c>
      <c r="H3025" t="s">
        <v>20</v>
      </c>
      <c r="I3025">
        <v>14.2</v>
      </c>
      <c r="J3025">
        <v>18.46</v>
      </c>
      <c r="K3025">
        <v>292.98</v>
      </c>
      <c r="L3025">
        <v>0.11</v>
      </c>
      <c r="M3025">
        <v>325.64</v>
      </c>
      <c r="N3025">
        <v>325.75</v>
      </c>
    </row>
    <row r="3026" spans="1:14" x14ac:dyDescent="0.3">
      <c r="A3026" s="2">
        <v>45505</v>
      </c>
      <c r="B3026" t="s">
        <v>72</v>
      </c>
      <c r="C3026">
        <v>2024</v>
      </c>
      <c r="D3026">
        <v>8</v>
      </c>
      <c r="E3026" t="s">
        <v>16</v>
      </c>
      <c r="F3026" t="s">
        <v>48</v>
      </c>
      <c r="G3026">
        <v>33</v>
      </c>
      <c r="H3026" t="s">
        <v>20</v>
      </c>
      <c r="I3026">
        <v>2719.72</v>
      </c>
      <c r="J3026">
        <v>3728.47</v>
      </c>
      <c r="K3026">
        <v>3030.31</v>
      </c>
      <c r="L3026">
        <v>702.25</v>
      </c>
      <c r="M3026">
        <v>9478.5</v>
      </c>
      <c r="N3026">
        <v>10180.75</v>
      </c>
    </row>
    <row r="3027" spans="1:14" x14ac:dyDescent="0.3">
      <c r="A3027" s="2">
        <v>45505</v>
      </c>
      <c r="B3027" t="s">
        <v>72</v>
      </c>
      <c r="C3027">
        <v>2024</v>
      </c>
      <c r="D3027">
        <v>8</v>
      </c>
      <c r="E3027" t="s">
        <v>16</v>
      </c>
      <c r="F3027" t="s">
        <v>49</v>
      </c>
      <c r="G3027">
        <v>36</v>
      </c>
      <c r="H3027" t="s">
        <v>20</v>
      </c>
      <c r="I3027">
        <v>1238.6199999999999</v>
      </c>
      <c r="J3027">
        <v>1544.62</v>
      </c>
      <c r="K3027">
        <v>1365.9</v>
      </c>
      <c r="L3027">
        <v>419.45</v>
      </c>
      <c r="M3027">
        <v>4149.1400000000003</v>
      </c>
      <c r="N3027">
        <v>4568.59</v>
      </c>
    </row>
    <row r="3028" spans="1:14" x14ac:dyDescent="0.3">
      <c r="A3028" s="2">
        <v>45505</v>
      </c>
      <c r="B3028" t="s">
        <v>72</v>
      </c>
      <c r="C3028">
        <v>2024</v>
      </c>
      <c r="D3028">
        <v>8</v>
      </c>
      <c r="E3028" t="s">
        <v>16</v>
      </c>
      <c r="F3028" t="s">
        <v>50</v>
      </c>
      <c r="G3028">
        <v>16</v>
      </c>
      <c r="H3028" t="s">
        <v>20</v>
      </c>
      <c r="I3028">
        <v>33.369999999999997</v>
      </c>
      <c r="J3028">
        <v>41.3</v>
      </c>
      <c r="K3028">
        <v>10.48</v>
      </c>
      <c r="L3028">
        <v>0.02</v>
      </c>
      <c r="M3028">
        <v>85.15</v>
      </c>
      <c r="N3028">
        <v>85.17</v>
      </c>
    </row>
    <row r="3029" spans="1:14" x14ac:dyDescent="0.3">
      <c r="A3029" s="2">
        <v>45505</v>
      </c>
      <c r="B3029" t="s">
        <v>72</v>
      </c>
      <c r="C3029">
        <v>2024</v>
      </c>
      <c r="D3029">
        <v>8</v>
      </c>
      <c r="E3029" t="s">
        <v>16</v>
      </c>
      <c r="F3029" t="s">
        <v>51</v>
      </c>
      <c r="G3029">
        <v>9</v>
      </c>
      <c r="H3029" t="s">
        <v>20</v>
      </c>
      <c r="I3029">
        <v>1969.36</v>
      </c>
      <c r="J3029">
        <v>2571.77</v>
      </c>
      <c r="K3029">
        <v>2424.5100000000002</v>
      </c>
      <c r="L3029">
        <v>1303.83</v>
      </c>
      <c r="M3029">
        <v>6965.64</v>
      </c>
      <c r="N3029">
        <v>8269.4699999999993</v>
      </c>
    </row>
    <row r="3030" spans="1:14" x14ac:dyDescent="0.3">
      <c r="A3030" s="2">
        <v>45505</v>
      </c>
      <c r="B3030" t="s">
        <v>72</v>
      </c>
      <c r="C3030">
        <v>2024</v>
      </c>
      <c r="D3030">
        <v>8</v>
      </c>
      <c r="E3030" t="s">
        <v>16</v>
      </c>
      <c r="F3030" t="s">
        <v>52</v>
      </c>
      <c r="G3030">
        <v>5</v>
      </c>
      <c r="H3030" t="s">
        <v>20</v>
      </c>
      <c r="I3030">
        <v>291.64999999999998</v>
      </c>
      <c r="J3030">
        <v>432.22</v>
      </c>
      <c r="K3030">
        <v>617.77</v>
      </c>
      <c r="L3030">
        <v>9.09</v>
      </c>
      <c r="M3030">
        <v>1341.64</v>
      </c>
      <c r="N3030">
        <v>1350.73</v>
      </c>
    </row>
    <row r="3031" spans="1:14" x14ac:dyDescent="0.3">
      <c r="A3031" s="2">
        <v>45505</v>
      </c>
      <c r="B3031" t="s">
        <v>72</v>
      </c>
      <c r="C3031">
        <v>2024</v>
      </c>
      <c r="D3031">
        <v>8</v>
      </c>
      <c r="E3031" t="s">
        <v>16</v>
      </c>
      <c r="F3031" t="s">
        <v>53</v>
      </c>
      <c r="G3031">
        <v>19</v>
      </c>
      <c r="H3031" t="s">
        <v>20</v>
      </c>
      <c r="I3031">
        <v>1503.35</v>
      </c>
      <c r="J3031">
        <v>1846.55</v>
      </c>
      <c r="K3031">
        <v>1323.32</v>
      </c>
      <c r="L3031">
        <v>404.05</v>
      </c>
      <c r="M3031">
        <v>4673.22</v>
      </c>
      <c r="N3031">
        <v>5077.2700000000004</v>
      </c>
    </row>
    <row r="3032" spans="1:14" x14ac:dyDescent="0.3">
      <c r="A3032" s="2">
        <v>45536</v>
      </c>
      <c r="B3032" t="s">
        <v>72</v>
      </c>
      <c r="C3032">
        <v>2024</v>
      </c>
      <c r="D3032">
        <v>9</v>
      </c>
      <c r="E3032" t="s">
        <v>54</v>
      </c>
      <c r="F3032" t="s">
        <v>17</v>
      </c>
      <c r="G3032">
        <v>35</v>
      </c>
      <c r="H3032" t="s">
        <v>18</v>
      </c>
      <c r="I3032">
        <v>10.75</v>
      </c>
      <c r="J3032">
        <v>14.18</v>
      </c>
      <c r="K3032">
        <v>3.66</v>
      </c>
      <c r="L3032">
        <v>0.08</v>
      </c>
      <c r="M3032">
        <v>28.59</v>
      </c>
      <c r="N3032">
        <v>28.67</v>
      </c>
    </row>
    <row r="3033" spans="1:14" x14ac:dyDescent="0.3">
      <c r="A3033" s="2">
        <v>45536</v>
      </c>
      <c r="B3033" t="s">
        <v>72</v>
      </c>
      <c r="C3033">
        <v>2024</v>
      </c>
      <c r="D3033">
        <v>9</v>
      </c>
      <c r="E3033" t="s">
        <v>54</v>
      </c>
      <c r="F3033" t="s">
        <v>19</v>
      </c>
      <c r="G3033">
        <v>28</v>
      </c>
      <c r="H3033" t="s">
        <v>20</v>
      </c>
      <c r="I3033">
        <v>857.21</v>
      </c>
      <c r="J3033">
        <v>1094.17</v>
      </c>
      <c r="K3033">
        <v>1302.33</v>
      </c>
      <c r="L3033">
        <v>252.75</v>
      </c>
      <c r="M3033">
        <v>3253.71</v>
      </c>
      <c r="N3033">
        <v>3506.46</v>
      </c>
    </row>
    <row r="3034" spans="1:14" x14ac:dyDescent="0.3">
      <c r="A3034" s="2">
        <v>45536</v>
      </c>
      <c r="B3034" t="s">
        <v>72</v>
      </c>
      <c r="C3034">
        <v>2024</v>
      </c>
      <c r="D3034">
        <v>9</v>
      </c>
      <c r="E3034" t="s">
        <v>54</v>
      </c>
      <c r="F3034" t="s">
        <v>21</v>
      </c>
      <c r="G3034">
        <v>12</v>
      </c>
      <c r="H3034" t="s">
        <v>20</v>
      </c>
      <c r="I3034">
        <v>34.89</v>
      </c>
      <c r="J3034">
        <v>41.91</v>
      </c>
      <c r="K3034">
        <v>15.14</v>
      </c>
      <c r="L3034">
        <v>0.08</v>
      </c>
      <c r="M3034">
        <v>91.94</v>
      </c>
      <c r="N3034">
        <v>92.02</v>
      </c>
    </row>
    <row r="3035" spans="1:14" x14ac:dyDescent="0.3">
      <c r="A3035" s="2">
        <v>45536</v>
      </c>
      <c r="B3035" t="s">
        <v>72</v>
      </c>
      <c r="C3035">
        <v>2024</v>
      </c>
      <c r="D3035">
        <v>9</v>
      </c>
      <c r="E3035" t="s">
        <v>54</v>
      </c>
      <c r="F3035" t="s">
        <v>22</v>
      </c>
      <c r="G3035">
        <v>18</v>
      </c>
      <c r="H3035" t="s">
        <v>20</v>
      </c>
      <c r="I3035">
        <v>380.28</v>
      </c>
      <c r="J3035">
        <v>471.66</v>
      </c>
      <c r="K3035">
        <v>365.79</v>
      </c>
      <c r="L3035">
        <v>69.040000000000006</v>
      </c>
      <c r="M3035">
        <v>1217.73</v>
      </c>
      <c r="N3035">
        <v>1286.77</v>
      </c>
    </row>
    <row r="3036" spans="1:14" x14ac:dyDescent="0.3">
      <c r="A3036" s="2">
        <v>45536</v>
      </c>
      <c r="B3036" t="s">
        <v>72</v>
      </c>
      <c r="C3036">
        <v>2024</v>
      </c>
      <c r="D3036">
        <v>9</v>
      </c>
      <c r="E3036" t="s">
        <v>54</v>
      </c>
      <c r="F3036" t="s">
        <v>23</v>
      </c>
      <c r="G3036">
        <v>10</v>
      </c>
      <c r="H3036" t="s">
        <v>20</v>
      </c>
      <c r="I3036">
        <v>417.22</v>
      </c>
      <c r="J3036">
        <v>659.53</v>
      </c>
      <c r="K3036">
        <v>244.41</v>
      </c>
      <c r="L3036">
        <v>175.62</v>
      </c>
      <c r="M3036">
        <v>1321.16</v>
      </c>
      <c r="N3036">
        <v>1496.78</v>
      </c>
    </row>
    <row r="3037" spans="1:14" x14ac:dyDescent="0.3">
      <c r="A3037" s="2">
        <v>45536</v>
      </c>
      <c r="B3037" t="s">
        <v>72</v>
      </c>
      <c r="C3037">
        <v>2024</v>
      </c>
      <c r="D3037">
        <v>9</v>
      </c>
      <c r="E3037" t="s">
        <v>54</v>
      </c>
      <c r="F3037" t="s">
        <v>24</v>
      </c>
      <c r="G3037">
        <v>4</v>
      </c>
      <c r="H3037" t="s">
        <v>18</v>
      </c>
      <c r="I3037">
        <v>41.16</v>
      </c>
      <c r="J3037">
        <v>53.42</v>
      </c>
      <c r="K3037">
        <v>99.8</v>
      </c>
      <c r="L3037">
        <v>2.3199999999999998</v>
      </c>
      <c r="M3037">
        <v>194.38</v>
      </c>
      <c r="N3037">
        <v>196.7</v>
      </c>
    </row>
    <row r="3038" spans="1:14" x14ac:dyDescent="0.3">
      <c r="A3038" s="2">
        <v>45536</v>
      </c>
      <c r="B3038" t="s">
        <v>72</v>
      </c>
      <c r="C3038">
        <v>2024</v>
      </c>
      <c r="D3038">
        <v>9</v>
      </c>
      <c r="E3038" t="s">
        <v>54</v>
      </c>
      <c r="F3038" t="s">
        <v>25</v>
      </c>
      <c r="G3038">
        <v>22</v>
      </c>
      <c r="H3038" t="s">
        <v>20</v>
      </c>
      <c r="I3038">
        <v>515.49</v>
      </c>
      <c r="J3038">
        <v>625.21</v>
      </c>
      <c r="K3038">
        <v>994.98</v>
      </c>
      <c r="L3038">
        <v>469.41</v>
      </c>
      <c r="M3038">
        <v>2135.6799999999998</v>
      </c>
      <c r="N3038">
        <v>2605.09</v>
      </c>
    </row>
    <row r="3039" spans="1:14" x14ac:dyDescent="0.3">
      <c r="A3039" s="2">
        <v>45536</v>
      </c>
      <c r="B3039" t="s">
        <v>72</v>
      </c>
      <c r="C3039">
        <v>2024</v>
      </c>
      <c r="D3039">
        <v>9</v>
      </c>
      <c r="E3039" t="s">
        <v>54</v>
      </c>
      <c r="F3039" t="s">
        <v>26</v>
      </c>
      <c r="G3039">
        <v>38</v>
      </c>
      <c r="H3039" t="s">
        <v>18</v>
      </c>
      <c r="I3039">
        <v>44.14</v>
      </c>
      <c r="J3039">
        <v>55.44</v>
      </c>
      <c r="K3039">
        <v>205.57</v>
      </c>
      <c r="L3039">
        <v>0.08</v>
      </c>
      <c r="M3039">
        <v>305.14999999999998</v>
      </c>
      <c r="N3039">
        <v>305.23</v>
      </c>
    </row>
    <row r="3040" spans="1:14" x14ac:dyDescent="0.3">
      <c r="A3040" s="2">
        <v>45536</v>
      </c>
      <c r="B3040" t="s">
        <v>72</v>
      </c>
      <c r="C3040">
        <v>2024</v>
      </c>
      <c r="D3040">
        <v>9</v>
      </c>
      <c r="E3040" t="s">
        <v>54</v>
      </c>
      <c r="F3040" t="s">
        <v>27</v>
      </c>
      <c r="G3040">
        <v>7</v>
      </c>
      <c r="H3040" t="s">
        <v>18</v>
      </c>
      <c r="I3040">
        <v>1165.7</v>
      </c>
      <c r="J3040">
        <v>1334.27</v>
      </c>
      <c r="K3040">
        <v>3217.56</v>
      </c>
      <c r="L3040">
        <v>120.86</v>
      </c>
      <c r="M3040">
        <v>5717.53</v>
      </c>
      <c r="N3040">
        <v>5838.39</v>
      </c>
    </row>
    <row r="3041" spans="1:14" x14ac:dyDescent="0.3">
      <c r="A3041" s="2">
        <v>45536</v>
      </c>
      <c r="B3041" t="s">
        <v>72</v>
      </c>
      <c r="C3041">
        <v>2024</v>
      </c>
      <c r="D3041">
        <v>9</v>
      </c>
      <c r="E3041" t="s">
        <v>54</v>
      </c>
      <c r="F3041" t="s">
        <v>28</v>
      </c>
      <c r="G3041">
        <v>30</v>
      </c>
      <c r="H3041" t="s">
        <v>20</v>
      </c>
      <c r="I3041">
        <v>150.13</v>
      </c>
      <c r="J3041">
        <v>191.29</v>
      </c>
      <c r="K3041">
        <v>174.43</v>
      </c>
      <c r="L3041">
        <v>3.32</v>
      </c>
      <c r="M3041">
        <v>515.85</v>
      </c>
      <c r="N3041">
        <v>519.16999999999996</v>
      </c>
    </row>
    <row r="3042" spans="1:14" x14ac:dyDescent="0.3">
      <c r="A3042" s="2">
        <v>45536</v>
      </c>
      <c r="B3042" t="s">
        <v>72</v>
      </c>
      <c r="C3042">
        <v>2024</v>
      </c>
      <c r="D3042">
        <v>9</v>
      </c>
      <c r="E3042" t="s">
        <v>54</v>
      </c>
      <c r="F3042" t="s">
        <v>29</v>
      </c>
      <c r="G3042">
        <v>24</v>
      </c>
      <c r="H3042" t="s">
        <v>20</v>
      </c>
      <c r="I3042">
        <v>2776.9</v>
      </c>
      <c r="J3042">
        <v>3331.26</v>
      </c>
      <c r="K3042">
        <v>3469.78</v>
      </c>
      <c r="L3042">
        <v>574.91</v>
      </c>
      <c r="M3042">
        <v>9577.94</v>
      </c>
      <c r="N3042">
        <v>10152.85</v>
      </c>
    </row>
    <row r="3043" spans="1:14" x14ac:dyDescent="0.3">
      <c r="A3043" s="2">
        <v>45536</v>
      </c>
      <c r="B3043" t="s">
        <v>72</v>
      </c>
      <c r="C3043">
        <v>2024</v>
      </c>
      <c r="D3043">
        <v>9</v>
      </c>
      <c r="E3043" t="s">
        <v>54</v>
      </c>
      <c r="F3043" t="s">
        <v>30</v>
      </c>
      <c r="G3043">
        <v>6</v>
      </c>
      <c r="H3043" t="s">
        <v>20</v>
      </c>
      <c r="I3043">
        <v>1438.42</v>
      </c>
      <c r="J3043">
        <v>1852.35</v>
      </c>
      <c r="K3043">
        <v>5972.72</v>
      </c>
      <c r="L3043">
        <v>693.87</v>
      </c>
      <c r="M3043">
        <v>9263.49</v>
      </c>
      <c r="N3043">
        <v>9957.36</v>
      </c>
    </row>
    <row r="3044" spans="1:14" x14ac:dyDescent="0.3">
      <c r="A3044" s="2">
        <v>45536</v>
      </c>
      <c r="B3044" t="s">
        <v>72</v>
      </c>
      <c r="C3044">
        <v>2024</v>
      </c>
      <c r="D3044">
        <v>9</v>
      </c>
      <c r="E3044" t="s">
        <v>54</v>
      </c>
      <c r="F3044" t="s">
        <v>31</v>
      </c>
      <c r="G3044">
        <v>2</v>
      </c>
      <c r="H3044" t="s">
        <v>20</v>
      </c>
      <c r="I3044">
        <v>138.44999999999999</v>
      </c>
      <c r="J3044">
        <v>193.55</v>
      </c>
      <c r="K3044">
        <v>522.38</v>
      </c>
      <c r="L3044">
        <v>1.9</v>
      </c>
      <c r="M3044">
        <v>854.38</v>
      </c>
      <c r="N3044">
        <v>856.28</v>
      </c>
    </row>
    <row r="3045" spans="1:14" x14ac:dyDescent="0.3">
      <c r="A3045" s="2">
        <v>45536</v>
      </c>
      <c r="B3045" t="s">
        <v>72</v>
      </c>
      <c r="C3045">
        <v>2024</v>
      </c>
      <c r="D3045">
        <v>9</v>
      </c>
      <c r="E3045" t="s">
        <v>54</v>
      </c>
      <c r="F3045" t="s">
        <v>32</v>
      </c>
      <c r="G3045">
        <v>1</v>
      </c>
      <c r="H3045" t="s">
        <v>18</v>
      </c>
      <c r="I3045">
        <v>169.87</v>
      </c>
      <c r="J3045">
        <v>236.18</v>
      </c>
      <c r="K3045">
        <v>182.7</v>
      </c>
      <c r="L3045">
        <v>10.11</v>
      </c>
      <c r="M3045">
        <v>588.75</v>
      </c>
      <c r="N3045">
        <v>598.86</v>
      </c>
    </row>
    <row r="3046" spans="1:14" x14ac:dyDescent="0.3">
      <c r="A3046" s="2">
        <v>45536</v>
      </c>
      <c r="B3046" t="s">
        <v>72</v>
      </c>
      <c r="C3046">
        <v>2024</v>
      </c>
      <c r="D3046">
        <v>9</v>
      </c>
      <c r="E3046" t="s">
        <v>54</v>
      </c>
      <c r="F3046" t="s">
        <v>33</v>
      </c>
      <c r="G3046">
        <v>20</v>
      </c>
      <c r="H3046" t="s">
        <v>20</v>
      </c>
      <c r="I3046">
        <v>492.48</v>
      </c>
      <c r="J3046">
        <v>636.89</v>
      </c>
      <c r="K3046">
        <v>942.48</v>
      </c>
      <c r="L3046">
        <v>580.83000000000004</v>
      </c>
      <c r="M3046">
        <v>2071.85</v>
      </c>
      <c r="N3046">
        <v>2652.68</v>
      </c>
    </row>
    <row r="3047" spans="1:14" x14ac:dyDescent="0.3">
      <c r="A3047" s="2">
        <v>45536</v>
      </c>
      <c r="B3047" t="s">
        <v>72</v>
      </c>
      <c r="C3047">
        <v>2024</v>
      </c>
      <c r="D3047">
        <v>9</v>
      </c>
      <c r="E3047" t="s">
        <v>54</v>
      </c>
      <c r="F3047" t="s">
        <v>34</v>
      </c>
      <c r="G3047">
        <v>29</v>
      </c>
      <c r="H3047" t="s">
        <v>20</v>
      </c>
      <c r="I3047">
        <v>2874.2</v>
      </c>
      <c r="J3047">
        <v>3556.86</v>
      </c>
      <c r="K3047">
        <v>4652.5200000000004</v>
      </c>
      <c r="L3047">
        <v>1558.12</v>
      </c>
      <c r="M3047">
        <v>11083.58</v>
      </c>
      <c r="N3047">
        <v>12641.7</v>
      </c>
    </row>
    <row r="3048" spans="1:14" x14ac:dyDescent="0.3">
      <c r="A3048" s="2">
        <v>45536</v>
      </c>
      <c r="B3048" t="s">
        <v>72</v>
      </c>
      <c r="C3048">
        <v>2024</v>
      </c>
      <c r="D3048">
        <v>9</v>
      </c>
      <c r="E3048" t="s">
        <v>54</v>
      </c>
      <c r="F3048" t="s">
        <v>35</v>
      </c>
      <c r="G3048">
        <v>32</v>
      </c>
      <c r="H3048" t="s">
        <v>20</v>
      </c>
      <c r="I3048">
        <v>944.2</v>
      </c>
      <c r="J3048">
        <v>1219.98</v>
      </c>
      <c r="K3048">
        <v>506.41</v>
      </c>
      <c r="L3048">
        <v>4.45</v>
      </c>
      <c r="M3048">
        <v>2670.59</v>
      </c>
      <c r="N3048">
        <v>2675.04</v>
      </c>
    </row>
    <row r="3049" spans="1:14" x14ac:dyDescent="0.3">
      <c r="A3049" s="2">
        <v>45536</v>
      </c>
      <c r="B3049" t="s">
        <v>72</v>
      </c>
      <c r="C3049">
        <v>2024</v>
      </c>
      <c r="D3049">
        <v>9</v>
      </c>
      <c r="E3049" t="s">
        <v>54</v>
      </c>
      <c r="F3049" t="s">
        <v>67</v>
      </c>
      <c r="G3049">
        <v>37</v>
      </c>
      <c r="H3049" t="s">
        <v>18</v>
      </c>
      <c r="I3049">
        <v>17.809999999999999</v>
      </c>
      <c r="J3049">
        <v>21.46</v>
      </c>
      <c r="K3049">
        <v>4.25</v>
      </c>
      <c r="L3049">
        <v>0.02</v>
      </c>
      <c r="M3049">
        <v>43.52</v>
      </c>
      <c r="N3049">
        <v>43.54</v>
      </c>
    </row>
    <row r="3050" spans="1:14" x14ac:dyDescent="0.3">
      <c r="A3050" s="2">
        <v>45536</v>
      </c>
      <c r="B3050" t="s">
        <v>72</v>
      </c>
      <c r="C3050">
        <v>2024</v>
      </c>
      <c r="D3050">
        <v>9</v>
      </c>
      <c r="E3050" t="s">
        <v>54</v>
      </c>
      <c r="F3050" t="s">
        <v>36</v>
      </c>
      <c r="G3050">
        <v>31</v>
      </c>
      <c r="H3050" t="s">
        <v>18</v>
      </c>
      <c r="I3050">
        <v>0.52</v>
      </c>
      <c r="J3050">
        <v>0.6</v>
      </c>
      <c r="K3050">
        <v>0.26</v>
      </c>
      <c r="L3050">
        <v>0</v>
      </c>
      <c r="M3050">
        <v>1.38</v>
      </c>
      <c r="N3050">
        <v>1.38</v>
      </c>
    </row>
    <row r="3051" spans="1:14" x14ac:dyDescent="0.3">
      <c r="A3051" s="2">
        <v>45536</v>
      </c>
      <c r="B3051" t="s">
        <v>72</v>
      </c>
      <c r="C3051">
        <v>2024</v>
      </c>
      <c r="D3051">
        <v>9</v>
      </c>
      <c r="E3051" t="s">
        <v>54</v>
      </c>
      <c r="F3051" t="s">
        <v>37</v>
      </c>
      <c r="G3051">
        <v>23</v>
      </c>
      <c r="H3051" t="s">
        <v>20</v>
      </c>
      <c r="I3051">
        <v>761.19</v>
      </c>
      <c r="J3051">
        <v>929.17</v>
      </c>
      <c r="K3051">
        <v>866.26</v>
      </c>
      <c r="L3051">
        <v>537.88</v>
      </c>
      <c r="M3051">
        <v>2556.62</v>
      </c>
      <c r="N3051">
        <v>3094.5</v>
      </c>
    </row>
    <row r="3052" spans="1:14" x14ac:dyDescent="0.3">
      <c r="A3052" s="2">
        <v>45536</v>
      </c>
      <c r="B3052" t="s">
        <v>72</v>
      </c>
      <c r="C3052">
        <v>2024</v>
      </c>
      <c r="D3052">
        <v>9</v>
      </c>
      <c r="E3052" t="s">
        <v>54</v>
      </c>
      <c r="F3052" t="s">
        <v>38</v>
      </c>
      <c r="G3052">
        <v>27</v>
      </c>
      <c r="H3052" t="s">
        <v>20</v>
      </c>
      <c r="I3052">
        <v>7535.79</v>
      </c>
      <c r="J3052">
        <v>8627.9699999999993</v>
      </c>
      <c r="K3052">
        <v>8214</v>
      </c>
      <c r="L3052">
        <v>1990.85</v>
      </c>
      <c r="M3052">
        <v>24377.759999999998</v>
      </c>
      <c r="N3052">
        <v>26368.61</v>
      </c>
    </row>
    <row r="3053" spans="1:14" x14ac:dyDescent="0.3">
      <c r="A3053" s="2">
        <v>45536</v>
      </c>
      <c r="B3053" t="s">
        <v>72</v>
      </c>
      <c r="C3053">
        <v>2024</v>
      </c>
      <c r="D3053">
        <v>9</v>
      </c>
      <c r="E3053" t="s">
        <v>54</v>
      </c>
      <c r="F3053" t="s">
        <v>39</v>
      </c>
      <c r="G3053">
        <v>14</v>
      </c>
      <c r="H3053" t="s">
        <v>20</v>
      </c>
      <c r="I3053">
        <v>11.62</v>
      </c>
      <c r="J3053">
        <v>17.5</v>
      </c>
      <c r="K3053">
        <v>8.69</v>
      </c>
      <c r="L3053">
        <v>0.01</v>
      </c>
      <c r="M3053">
        <v>37.81</v>
      </c>
      <c r="N3053">
        <v>37.82</v>
      </c>
    </row>
    <row r="3054" spans="1:14" x14ac:dyDescent="0.3">
      <c r="A3054" s="2">
        <v>45536</v>
      </c>
      <c r="B3054" t="s">
        <v>72</v>
      </c>
      <c r="C3054">
        <v>2024</v>
      </c>
      <c r="D3054">
        <v>9</v>
      </c>
      <c r="E3054" t="s">
        <v>54</v>
      </c>
      <c r="F3054" t="s">
        <v>40</v>
      </c>
      <c r="G3054">
        <v>17</v>
      </c>
      <c r="H3054" t="s">
        <v>20</v>
      </c>
      <c r="I3054">
        <v>35.93</v>
      </c>
      <c r="J3054">
        <v>42.96</v>
      </c>
      <c r="K3054">
        <v>73.63</v>
      </c>
      <c r="L3054">
        <v>0.36</v>
      </c>
      <c r="M3054">
        <v>152.52000000000001</v>
      </c>
      <c r="N3054">
        <v>152.88</v>
      </c>
    </row>
    <row r="3055" spans="1:14" x14ac:dyDescent="0.3">
      <c r="A3055" s="2">
        <v>45536</v>
      </c>
      <c r="B3055" t="s">
        <v>72</v>
      </c>
      <c r="C3055">
        <v>2024</v>
      </c>
      <c r="D3055">
        <v>9</v>
      </c>
      <c r="E3055" t="s">
        <v>54</v>
      </c>
      <c r="F3055" t="s">
        <v>41</v>
      </c>
      <c r="G3055">
        <v>15</v>
      </c>
      <c r="H3055" t="s">
        <v>20</v>
      </c>
      <c r="I3055">
        <v>9.1300000000000008</v>
      </c>
      <c r="J3055">
        <v>12.01</v>
      </c>
      <c r="K3055">
        <v>4.99</v>
      </c>
      <c r="L3055">
        <v>0.02</v>
      </c>
      <c r="M3055">
        <v>26.13</v>
      </c>
      <c r="N3055">
        <v>26.15</v>
      </c>
    </row>
    <row r="3056" spans="1:14" x14ac:dyDescent="0.3">
      <c r="A3056" s="2">
        <v>45536</v>
      </c>
      <c r="B3056" t="s">
        <v>72</v>
      </c>
      <c r="C3056">
        <v>2024</v>
      </c>
      <c r="D3056">
        <v>9</v>
      </c>
      <c r="E3056" t="s">
        <v>54</v>
      </c>
      <c r="F3056" t="s">
        <v>42</v>
      </c>
      <c r="G3056">
        <v>13</v>
      </c>
      <c r="H3056" t="s">
        <v>20</v>
      </c>
      <c r="I3056">
        <v>15.95</v>
      </c>
      <c r="J3056">
        <v>20.28</v>
      </c>
      <c r="K3056">
        <v>11.37</v>
      </c>
      <c r="L3056">
        <v>0.91</v>
      </c>
      <c r="M3056">
        <v>47.6</v>
      </c>
      <c r="N3056">
        <v>48.51</v>
      </c>
    </row>
    <row r="3057" spans="1:14" x14ac:dyDescent="0.3">
      <c r="A3057" s="2">
        <v>45536</v>
      </c>
      <c r="B3057" t="s">
        <v>72</v>
      </c>
      <c r="C3057">
        <v>2024</v>
      </c>
      <c r="D3057">
        <v>9</v>
      </c>
      <c r="E3057" t="s">
        <v>54</v>
      </c>
      <c r="F3057" t="s">
        <v>43</v>
      </c>
      <c r="G3057">
        <v>21</v>
      </c>
      <c r="H3057" t="s">
        <v>20</v>
      </c>
      <c r="I3057">
        <v>1054.1500000000001</v>
      </c>
      <c r="J3057">
        <v>1272.75</v>
      </c>
      <c r="K3057">
        <v>1449.38</v>
      </c>
      <c r="L3057">
        <v>819.89</v>
      </c>
      <c r="M3057">
        <v>3776.28</v>
      </c>
      <c r="N3057">
        <v>4596.17</v>
      </c>
    </row>
    <row r="3058" spans="1:14" x14ac:dyDescent="0.3">
      <c r="A3058" s="2">
        <v>45536</v>
      </c>
      <c r="B3058" t="s">
        <v>72</v>
      </c>
      <c r="C3058">
        <v>2024</v>
      </c>
      <c r="D3058">
        <v>9</v>
      </c>
      <c r="E3058" t="s">
        <v>54</v>
      </c>
      <c r="F3058" t="s">
        <v>44</v>
      </c>
      <c r="G3058">
        <v>34</v>
      </c>
      <c r="H3058" t="s">
        <v>18</v>
      </c>
      <c r="I3058">
        <v>28.26</v>
      </c>
      <c r="J3058">
        <v>44.92</v>
      </c>
      <c r="K3058">
        <v>151.19</v>
      </c>
      <c r="L3058">
        <v>0.98</v>
      </c>
      <c r="M3058">
        <v>224.37</v>
      </c>
      <c r="N3058">
        <v>225.35</v>
      </c>
    </row>
    <row r="3059" spans="1:14" x14ac:dyDescent="0.3">
      <c r="A3059" s="2">
        <v>45536</v>
      </c>
      <c r="B3059" t="s">
        <v>72</v>
      </c>
      <c r="C3059">
        <v>2024</v>
      </c>
      <c r="D3059">
        <v>9</v>
      </c>
      <c r="E3059" t="s">
        <v>54</v>
      </c>
      <c r="F3059" t="s">
        <v>45</v>
      </c>
      <c r="G3059">
        <v>3</v>
      </c>
      <c r="H3059" t="s">
        <v>20</v>
      </c>
      <c r="I3059">
        <v>483.72</v>
      </c>
      <c r="J3059">
        <v>680.05</v>
      </c>
      <c r="K3059">
        <v>734.11</v>
      </c>
      <c r="L3059">
        <v>35.36</v>
      </c>
      <c r="M3059">
        <v>1897.88</v>
      </c>
      <c r="N3059">
        <v>1933.24</v>
      </c>
    </row>
    <row r="3060" spans="1:14" x14ac:dyDescent="0.3">
      <c r="A3060" s="2">
        <v>45536</v>
      </c>
      <c r="B3060" t="s">
        <v>72</v>
      </c>
      <c r="C3060">
        <v>2024</v>
      </c>
      <c r="D3060">
        <v>9</v>
      </c>
      <c r="E3060" t="s">
        <v>54</v>
      </c>
      <c r="F3060" t="s">
        <v>46</v>
      </c>
      <c r="G3060">
        <v>8</v>
      </c>
      <c r="H3060" t="s">
        <v>20</v>
      </c>
      <c r="I3060">
        <v>1042.8399999999999</v>
      </c>
      <c r="J3060">
        <v>1343.79</v>
      </c>
      <c r="K3060">
        <v>1419.14</v>
      </c>
      <c r="L3060">
        <v>123.22</v>
      </c>
      <c r="M3060">
        <v>3805.77</v>
      </c>
      <c r="N3060">
        <v>3928.99</v>
      </c>
    </row>
    <row r="3061" spans="1:14" x14ac:dyDescent="0.3">
      <c r="A3061" s="2">
        <v>45536</v>
      </c>
      <c r="B3061" t="s">
        <v>72</v>
      </c>
      <c r="C3061">
        <v>2024</v>
      </c>
      <c r="D3061">
        <v>9</v>
      </c>
      <c r="E3061" t="s">
        <v>54</v>
      </c>
      <c r="F3061" t="s">
        <v>47</v>
      </c>
      <c r="G3061">
        <v>11</v>
      </c>
      <c r="H3061" t="s">
        <v>20</v>
      </c>
      <c r="I3061">
        <v>18.45</v>
      </c>
      <c r="J3061">
        <v>22.24</v>
      </c>
      <c r="K3061">
        <v>283.01</v>
      </c>
      <c r="L3061">
        <v>0.03</v>
      </c>
      <c r="M3061">
        <v>323.7</v>
      </c>
      <c r="N3061">
        <v>323.73</v>
      </c>
    </row>
    <row r="3062" spans="1:14" x14ac:dyDescent="0.3">
      <c r="A3062" s="2">
        <v>45536</v>
      </c>
      <c r="B3062" t="s">
        <v>72</v>
      </c>
      <c r="C3062">
        <v>2024</v>
      </c>
      <c r="D3062">
        <v>9</v>
      </c>
      <c r="E3062" t="s">
        <v>54</v>
      </c>
      <c r="F3062" t="s">
        <v>48</v>
      </c>
      <c r="G3062">
        <v>33</v>
      </c>
      <c r="H3062" t="s">
        <v>20</v>
      </c>
      <c r="I3062">
        <v>2840.13</v>
      </c>
      <c r="J3062">
        <v>3932.74</v>
      </c>
      <c r="K3062">
        <v>3382.94</v>
      </c>
      <c r="L3062">
        <v>867.76</v>
      </c>
      <c r="M3062">
        <v>10155.81</v>
      </c>
      <c r="N3062">
        <v>11023.57</v>
      </c>
    </row>
    <row r="3063" spans="1:14" x14ac:dyDescent="0.3">
      <c r="A3063" s="2">
        <v>45536</v>
      </c>
      <c r="B3063" t="s">
        <v>72</v>
      </c>
      <c r="C3063">
        <v>2024</v>
      </c>
      <c r="D3063">
        <v>9</v>
      </c>
      <c r="E3063" t="s">
        <v>54</v>
      </c>
      <c r="F3063" t="s">
        <v>49</v>
      </c>
      <c r="G3063">
        <v>36</v>
      </c>
      <c r="H3063" t="s">
        <v>20</v>
      </c>
      <c r="I3063">
        <v>1364.87</v>
      </c>
      <c r="J3063">
        <v>1961.32</v>
      </c>
      <c r="K3063">
        <v>1398.39</v>
      </c>
      <c r="L3063">
        <v>542.12</v>
      </c>
      <c r="M3063">
        <v>4724.58</v>
      </c>
      <c r="N3063">
        <v>5266.7</v>
      </c>
    </row>
    <row r="3064" spans="1:14" x14ac:dyDescent="0.3">
      <c r="A3064" s="2">
        <v>45536</v>
      </c>
      <c r="B3064" t="s">
        <v>72</v>
      </c>
      <c r="C3064">
        <v>2024</v>
      </c>
      <c r="D3064">
        <v>9</v>
      </c>
      <c r="E3064" t="s">
        <v>54</v>
      </c>
      <c r="F3064" t="s">
        <v>50</v>
      </c>
      <c r="G3064">
        <v>16</v>
      </c>
      <c r="H3064" t="s">
        <v>20</v>
      </c>
      <c r="I3064">
        <v>26.5</v>
      </c>
      <c r="J3064">
        <v>33.69</v>
      </c>
      <c r="K3064">
        <v>18.16</v>
      </c>
      <c r="L3064">
        <v>0.38</v>
      </c>
      <c r="M3064">
        <v>78.349999999999994</v>
      </c>
      <c r="N3064">
        <v>78.73</v>
      </c>
    </row>
    <row r="3065" spans="1:14" x14ac:dyDescent="0.3">
      <c r="A3065" s="2">
        <v>45536</v>
      </c>
      <c r="B3065" t="s">
        <v>72</v>
      </c>
      <c r="C3065">
        <v>2024</v>
      </c>
      <c r="D3065">
        <v>9</v>
      </c>
      <c r="E3065" t="s">
        <v>54</v>
      </c>
      <c r="F3065" t="s">
        <v>51</v>
      </c>
      <c r="G3065">
        <v>9</v>
      </c>
      <c r="H3065" t="s">
        <v>20</v>
      </c>
      <c r="I3065">
        <v>1944.85</v>
      </c>
      <c r="J3065">
        <v>2527.96</v>
      </c>
      <c r="K3065">
        <v>2392.89</v>
      </c>
      <c r="L3065">
        <v>1191.1199999999999</v>
      </c>
      <c r="M3065">
        <v>6865.7</v>
      </c>
      <c r="N3065">
        <v>8056.82</v>
      </c>
    </row>
    <row r="3066" spans="1:14" x14ac:dyDescent="0.3">
      <c r="A3066" s="2">
        <v>45536</v>
      </c>
      <c r="B3066" t="s">
        <v>72</v>
      </c>
      <c r="C3066">
        <v>2024</v>
      </c>
      <c r="D3066">
        <v>9</v>
      </c>
      <c r="E3066" t="s">
        <v>54</v>
      </c>
      <c r="F3066" t="s">
        <v>52</v>
      </c>
      <c r="G3066">
        <v>5</v>
      </c>
      <c r="H3066" t="s">
        <v>20</v>
      </c>
      <c r="I3066">
        <v>273.5</v>
      </c>
      <c r="J3066">
        <v>399.73</v>
      </c>
      <c r="K3066">
        <v>900.05</v>
      </c>
      <c r="L3066">
        <v>8.48</v>
      </c>
      <c r="M3066">
        <v>1573.28</v>
      </c>
      <c r="N3066">
        <v>1581.76</v>
      </c>
    </row>
    <row r="3067" spans="1:14" x14ac:dyDescent="0.3">
      <c r="A3067" s="2">
        <v>45536</v>
      </c>
      <c r="B3067" t="s">
        <v>72</v>
      </c>
      <c r="C3067">
        <v>2024</v>
      </c>
      <c r="D3067">
        <v>9</v>
      </c>
      <c r="E3067" t="s">
        <v>54</v>
      </c>
      <c r="F3067" t="s">
        <v>53</v>
      </c>
      <c r="G3067">
        <v>19</v>
      </c>
      <c r="H3067" t="s">
        <v>20</v>
      </c>
      <c r="I3067">
        <v>1489.75</v>
      </c>
      <c r="J3067">
        <v>1805.89</v>
      </c>
      <c r="K3067">
        <v>1449.56</v>
      </c>
      <c r="L3067">
        <v>421.51</v>
      </c>
      <c r="M3067">
        <v>4745.2</v>
      </c>
      <c r="N3067">
        <v>5166.71</v>
      </c>
    </row>
    <row r="3068" spans="1:14" x14ac:dyDescent="0.3">
      <c r="A3068" s="2">
        <v>45566</v>
      </c>
      <c r="B3068" t="s">
        <v>72</v>
      </c>
      <c r="C3068">
        <v>2024</v>
      </c>
      <c r="D3068">
        <v>10</v>
      </c>
      <c r="E3068" t="s">
        <v>55</v>
      </c>
      <c r="F3068" t="s">
        <v>17</v>
      </c>
      <c r="G3068">
        <v>35</v>
      </c>
      <c r="H3068" t="s">
        <v>18</v>
      </c>
      <c r="I3068">
        <v>10.029999999999999</v>
      </c>
      <c r="J3068">
        <v>13.67</v>
      </c>
      <c r="K3068">
        <v>4.0599999999999996</v>
      </c>
      <c r="L3068">
        <v>0.05</v>
      </c>
      <c r="M3068">
        <v>27.76</v>
      </c>
      <c r="N3068">
        <v>27.81</v>
      </c>
    </row>
    <row r="3069" spans="1:14" x14ac:dyDescent="0.3">
      <c r="A3069" s="2">
        <v>45566</v>
      </c>
      <c r="B3069" t="s">
        <v>72</v>
      </c>
      <c r="C3069">
        <v>2024</v>
      </c>
      <c r="D3069">
        <v>10</v>
      </c>
      <c r="E3069" t="s">
        <v>55</v>
      </c>
      <c r="F3069" t="s">
        <v>19</v>
      </c>
      <c r="G3069">
        <v>28</v>
      </c>
      <c r="H3069" t="s">
        <v>20</v>
      </c>
      <c r="I3069">
        <v>909.24</v>
      </c>
      <c r="J3069">
        <v>1174.46</v>
      </c>
      <c r="K3069">
        <v>1489.98</v>
      </c>
      <c r="L3069">
        <v>241.36</v>
      </c>
      <c r="M3069">
        <v>3573.68</v>
      </c>
      <c r="N3069">
        <v>3815.04</v>
      </c>
    </row>
    <row r="3070" spans="1:14" x14ac:dyDescent="0.3">
      <c r="A3070" s="2">
        <v>45566</v>
      </c>
      <c r="B3070" t="s">
        <v>72</v>
      </c>
      <c r="C3070">
        <v>2024</v>
      </c>
      <c r="D3070">
        <v>10</v>
      </c>
      <c r="E3070" t="s">
        <v>55</v>
      </c>
      <c r="F3070" t="s">
        <v>21</v>
      </c>
      <c r="G3070">
        <v>12</v>
      </c>
      <c r="H3070" t="s">
        <v>20</v>
      </c>
      <c r="I3070">
        <v>21.08</v>
      </c>
      <c r="J3070">
        <v>25.95</v>
      </c>
      <c r="K3070">
        <v>11.25</v>
      </c>
      <c r="L3070">
        <v>0.06</v>
      </c>
      <c r="M3070">
        <v>58.28</v>
      </c>
      <c r="N3070">
        <v>58.34</v>
      </c>
    </row>
    <row r="3071" spans="1:14" x14ac:dyDescent="0.3">
      <c r="A3071" s="2">
        <v>45566</v>
      </c>
      <c r="B3071" t="s">
        <v>72</v>
      </c>
      <c r="C3071">
        <v>2024</v>
      </c>
      <c r="D3071">
        <v>10</v>
      </c>
      <c r="E3071" t="s">
        <v>55</v>
      </c>
      <c r="F3071" t="s">
        <v>22</v>
      </c>
      <c r="G3071">
        <v>18</v>
      </c>
      <c r="H3071" t="s">
        <v>20</v>
      </c>
      <c r="I3071">
        <v>408.39</v>
      </c>
      <c r="J3071">
        <v>522.35</v>
      </c>
      <c r="K3071">
        <v>412.2</v>
      </c>
      <c r="L3071">
        <v>134.62</v>
      </c>
      <c r="M3071">
        <v>1342.94</v>
      </c>
      <c r="N3071">
        <v>1477.56</v>
      </c>
    </row>
    <row r="3072" spans="1:14" x14ac:dyDescent="0.3">
      <c r="A3072" s="2">
        <v>45566</v>
      </c>
      <c r="B3072" t="s">
        <v>72</v>
      </c>
      <c r="C3072">
        <v>2024</v>
      </c>
      <c r="D3072">
        <v>10</v>
      </c>
      <c r="E3072" t="s">
        <v>55</v>
      </c>
      <c r="F3072" t="s">
        <v>23</v>
      </c>
      <c r="G3072">
        <v>10</v>
      </c>
      <c r="H3072" t="s">
        <v>20</v>
      </c>
      <c r="I3072">
        <v>445.54</v>
      </c>
      <c r="J3072">
        <v>725.19</v>
      </c>
      <c r="K3072">
        <v>256.39999999999998</v>
      </c>
      <c r="L3072">
        <v>177.2</v>
      </c>
      <c r="M3072">
        <v>1427.13</v>
      </c>
      <c r="N3072">
        <v>1604.33</v>
      </c>
    </row>
    <row r="3073" spans="1:14" x14ac:dyDescent="0.3">
      <c r="A3073" s="2">
        <v>45566</v>
      </c>
      <c r="B3073" t="s">
        <v>72</v>
      </c>
      <c r="C3073">
        <v>2024</v>
      </c>
      <c r="D3073">
        <v>10</v>
      </c>
      <c r="E3073" t="s">
        <v>55</v>
      </c>
      <c r="F3073" t="s">
        <v>24</v>
      </c>
      <c r="G3073">
        <v>4</v>
      </c>
      <c r="H3073" t="s">
        <v>18</v>
      </c>
      <c r="I3073">
        <v>46.33</v>
      </c>
      <c r="J3073">
        <v>59.18</v>
      </c>
      <c r="K3073">
        <v>136.66</v>
      </c>
      <c r="L3073">
        <v>1.2</v>
      </c>
      <c r="M3073">
        <v>242.17</v>
      </c>
      <c r="N3073">
        <v>243.37</v>
      </c>
    </row>
    <row r="3074" spans="1:14" x14ac:dyDescent="0.3">
      <c r="A3074" s="2">
        <v>45566</v>
      </c>
      <c r="B3074" t="s">
        <v>72</v>
      </c>
      <c r="C3074">
        <v>2024</v>
      </c>
      <c r="D3074">
        <v>10</v>
      </c>
      <c r="E3074" t="s">
        <v>55</v>
      </c>
      <c r="F3074" t="s">
        <v>25</v>
      </c>
      <c r="G3074">
        <v>22</v>
      </c>
      <c r="H3074" t="s">
        <v>20</v>
      </c>
      <c r="I3074">
        <v>549.71</v>
      </c>
      <c r="J3074">
        <v>663.72</v>
      </c>
      <c r="K3074">
        <v>936.49</v>
      </c>
      <c r="L3074">
        <v>506.49</v>
      </c>
      <c r="M3074">
        <v>2149.92</v>
      </c>
      <c r="N3074">
        <v>2656.41</v>
      </c>
    </row>
    <row r="3075" spans="1:14" x14ac:dyDescent="0.3">
      <c r="A3075" s="2">
        <v>45566</v>
      </c>
      <c r="B3075" t="s">
        <v>72</v>
      </c>
      <c r="C3075">
        <v>2024</v>
      </c>
      <c r="D3075">
        <v>10</v>
      </c>
      <c r="E3075" t="s">
        <v>55</v>
      </c>
      <c r="F3075" t="s">
        <v>26</v>
      </c>
      <c r="G3075">
        <v>38</v>
      </c>
      <c r="H3075" t="s">
        <v>18</v>
      </c>
      <c r="I3075">
        <v>46.52</v>
      </c>
      <c r="J3075">
        <v>61.09</v>
      </c>
      <c r="K3075">
        <v>260.95</v>
      </c>
      <c r="L3075">
        <v>0.19</v>
      </c>
      <c r="M3075">
        <v>368.56</v>
      </c>
      <c r="N3075">
        <v>368.75</v>
      </c>
    </row>
    <row r="3076" spans="1:14" x14ac:dyDescent="0.3">
      <c r="A3076" s="2">
        <v>45566</v>
      </c>
      <c r="B3076" t="s">
        <v>72</v>
      </c>
      <c r="C3076">
        <v>2024</v>
      </c>
      <c r="D3076">
        <v>10</v>
      </c>
      <c r="E3076" t="s">
        <v>55</v>
      </c>
      <c r="F3076" t="s">
        <v>27</v>
      </c>
      <c r="G3076">
        <v>7</v>
      </c>
      <c r="H3076" t="s">
        <v>18</v>
      </c>
      <c r="I3076">
        <v>1521.51</v>
      </c>
      <c r="J3076">
        <v>1738.92</v>
      </c>
      <c r="K3076">
        <v>5278.16</v>
      </c>
      <c r="L3076">
        <v>121.03</v>
      </c>
      <c r="M3076">
        <v>8538.59</v>
      </c>
      <c r="N3076">
        <v>8659.6200000000008</v>
      </c>
    </row>
    <row r="3077" spans="1:14" x14ac:dyDescent="0.3">
      <c r="A3077" s="2">
        <v>45566</v>
      </c>
      <c r="B3077" t="s">
        <v>72</v>
      </c>
      <c r="C3077">
        <v>2024</v>
      </c>
      <c r="D3077">
        <v>10</v>
      </c>
      <c r="E3077" t="s">
        <v>55</v>
      </c>
      <c r="F3077" t="s">
        <v>28</v>
      </c>
      <c r="G3077">
        <v>30</v>
      </c>
      <c r="H3077" t="s">
        <v>20</v>
      </c>
      <c r="I3077">
        <v>154.61000000000001</v>
      </c>
      <c r="J3077">
        <v>191.97</v>
      </c>
      <c r="K3077">
        <v>208.37</v>
      </c>
      <c r="L3077">
        <v>3.88</v>
      </c>
      <c r="M3077">
        <v>554.95000000000005</v>
      </c>
      <c r="N3077">
        <v>558.83000000000004</v>
      </c>
    </row>
    <row r="3078" spans="1:14" x14ac:dyDescent="0.3">
      <c r="A3078" s="2">
        <v>45566</v>
      </c>
      <c r="B3078" t="s">
        <v>72</v>
      </c>
      <c r="C3078">
        <v>2024</v>
      </c>
      <c r="D3078">
        <v>10</v>
      </c>
      <c r="E3078" t="s">
        <v>55</v>
      </c>
      <c r="F3078" t="s">
        <v>29</v>
      </c>
      <c r="G3078">
        <v>24</v>
      </c>
      <c r="H3078" t="s">
        <v>20</v>
      </c>
      <c r="I3078">
        <v>3138.21</v>
      </c>
      <c r="J3078">
        <v>3641.89</v>
      </c>
      <c r="K3078">
        <v>3913.53</v>
      </c>
      <c r="L3078">
        <v>713</v>
      </c>
      <c r="M3078">
        <v>10693.63</v>
      </c>
      <c r="N3078">
        <v>11406.63</v>
      </c>
    </row>
    <row r="3079" spans="1:14" x14ac:dyDescent="0.3">
      <c r="A3079" s="2">
        <v>45566</v>
      </c>
      <c r="B3079" t="s">
        <v>72</v>
      </c>
      <c r="C3079">
        <v>2024</v>
      </c>
      <c r="D3079">
        <v>10</v>
      </c>
      <c r="E3079" t="s">
        <v>55</v>
      </c>
      <c r="F3079" t="s">
        <v>30</v>
      </c>
      <c r="G3079">
        <v>6</v>
      </c>
      <c r="H3079" t="s">
        <v>20</v>
      </c>
      <c r="I3079">
        <v>1536.29</v>
      </c>
      <c r="J3079">
        <v>1956.07</v>
      </c>
      <c r="K3079">
        <v>5864.27</v>
      </c>
      <c r="L3079">
        <v>688.19</v>
      </c>
      <c r="M3079">
        <v>9356.6299999999992</v>
      </c>
      <c r="N3079">
        <v>10044.82</v>
      </c>
    </row>
    <row r="3080" spans="1:14" x14ac:dyDescent="0.3">
      <c r="A3080" s="2">
        <v>45566</v>
      </c>
      <c r="B3080" t="s">
        <v>72</v>
      </c>
      <c r="C3080">
        <v>2024</v>
      </c>
      <c r="D3080">
        <v>10</v>
      </c>
      <c r="E3080" t="s">
        <v>55</v>
      </c>
      <c r="F3080" t="s">
        <v>31</v>
      </c>
      <c r="G3080">
        <v>2</v>
      </c>
      <c r="H3080" t="s">
        <v>20</v>
      </c>
      <c r="I3080">
        <v>160.52000000000001</v>
      </c>
      <c r="J3080">
        <v>230.58</v>
      </c>
      <c r="K3080">
        <v>473.91</v>
      </c>
      <c r="L3080">
        <v>1.9</v>
      </c>
      <c r="M3080">
        <v>865.01</v>
      </c>
      <c r="N3080">
        <v>866.91</v>
      </c>
    </row>
    <row r="3081" spans="1:14" x14ac:dyDescent="0.3">
      <c r="A3081" s="2">
        <v>45566</v>
      </c>
      <c r="B3081" t="s">
        <v>72</v>
      </c>
      <c r="C3081">
        <v>2024</v>
      </c>
      <c r="D3081">
        <v>10</v>
      </c>
      <c r="E3081" t="s">
        <v>55</v>
      </c>
      <c r="F3081" t="s">
        <v>32</v>
      </c>
      <c r="G3081">
        <v>1</v>
      </c>
      <c r="H3081" t="s">
        <v>18</v>
      </c>
      <c r="I3081">
        <v>166.66</v>
      </c>
      <c r="J3081">
        <v>240.77</v>
      </c>
      <c r="K3081">
        <v>192.74</v>
      </c>
      <c r="L3081">
        <v>7.67</v>
      </c>
      <c r="M3081">
        <v>600.16999999999996</v>
      </c>
      <c r="N3081">
        <v>607.84</v>
      </c>
    </row>
    <row r="3082" spans="1:14" x14ac:dyDescent="0.3">
      <c r="A3082" s="2">
        <v>45566</v>
      </c>
      <c r="B3082" t="s">
        <v>72</v>
      </c>
      <c r="C3082">
        <v>2024</v>
      </c>
      <c r="D3082">
        <v>10</v>
      </c>
      <c r="E3082" t="s">
        <v>55</v>
      </c>
      <c r="F3082" t="s">
        <v>33</v>
      </c>
      <c r="G3082">
        <v>20</v>
      </c>
      <c r="H3082" t="s">
        <v>20</v>
      </c>
      <c r="I3082">
        <v>553.94000000000005</v>
      </c>
      <c r="J3082">
        <v>718.96</v>
      </c>
      <c r="K3082">
        <v>1114.31</v>
      </c>
      <c r="L3082">
        <v>586.83000000000004</v>
      </c>
      <c r="M3082">
        <v>2387.21</v>
      </c>
      <c r="N3082">
        <v>2974.04</v>
      </c>
    </row>
    <row r="3083" spans="1:14" x14ac:dyDescent="0.3">
      <c r="A3083" s="2">
        <v>45566</v>
      </c>
      <c r="B3083" t="s">
        <v>72</v>
      </c>
      <c r="C3083">
        <v>2024</v>
      </c>
      <c r="D3083">
        <v>10</v>
      </c>
      <c r="E3083" t="s">
        <v>55</v>
      </c>
      <c r="F3083" t="s">
        <v>34</v>
      </c>
      <c r="G3083">
        <v>29</v>
      </c>
      <c r="H3083" t="s">
        <v>20</v>
      </c>
      <c r="I3083">
        <v>2922.4</v>
      </c>
      <c r="J3083">
        <v>3634.38</v>
      </c>
      <c r="K3083">
        <v>5073.53</v>
      </c>
      <c r="L3083">
        <v>1451.12</v>
      </c>
      <c r="M3083">
        <v>11630.31</v>
      </c>
      <c r="N3083">
        <v>13081.43</v>
      </c>
    </row>
    <row r="3084" spans="1:14" x14ac:dyDescent="0.3">
      <c r="A3084" s="2">
        <v>45566</v>
      </c>
      <c r="B3084" t="s">
        <v>72</v>
      </c>
      <c r="C3084">
        <v>2024</v>
      </c>
      <c r="D3084">
        <v>10</v>
      </c>
      <c r="E3084" t="s">
        <v>55</v>
      </c>
      <c r="F3084" t="s">
        <v>35</v>
      </c>
      <c r="G3084">
        <v>32</v>
      </c>
      <c r="H3084" t="s">
        <v>20</v>
      </c>
      <c r="I3084">
        <v>993.26</v>
      </c>
      <c r="J3084">
        <v>1275.31</v>
      </c>
      <c r="K3084">
        <v>624.08000000000004</v>
      </c>
      <c r="L3084">
        <v>3.34</v>
      </c>
      <c r="M3084">
        <v>2892.65</v>
      </c>
      <c r="N3084">
        <v>2895.99</v>
      </c>
    </row>
    <row r="3085" spans="1:14" x14ac:dyDescent="0.3">
      <c r="A3085" s="2">
        <v>45566</v>
      </c>
      <c r="B3085" t="s">
        <v>72</v>
      </c>
      <c r="C3085">
        <v>2024</v>
      </c>
      <c r="D3085">
        <v>10</v>
      </c>
      <c r="E3085" t="s">
        <v>55</v>
      </c>
      <c r="F3085" t="s">
        <v>67</v>
      </c>
      <c r="G3085">
        <v>37</v>
      </c>
      <c r="H3085" t="s">
        <v>18</v>
      </c>
      <c r="I3085">
        <v>20.79</v>
      </c>
      <c r="J3085">
        <v>30.77</v>
      </c>
      <c r="K3085">
        <v>4.6100000000000003</v>
      </c>
      <c r="L3085">
        <v>0.18</v>
      </c>
      <c r="M3085">
        <v>56.17</v>
      </c>
      <c r="N3085">
        <v>56.35</v>
      </c>
    </row>
    <row r="3086" spans="1:14" x14ac:dyDescent="0.3">
      <c r="A3086" s="2">
        <v>45566</v>
      </c>
      <c r="B3086" t="s">
        <v>72</v>
      </c>
      <c r="C3086">
        <v>2024</v>
      </c>
      <c r="D3086">
        <v>10</v>
      </c>
      <c r="E3086" t="s">
        <v>55</v>
      </c>
      <c r="F3086" t="s">
        <v>36</v>
      </c>
      <c r="G3086">
        <v>31</v>
      </c>
      <c r="H3086" t="s">
        <v>18</v>
      </c>
      <c r="I3086">
        <v>0.28999999999999998</v>
      </c>
      <c r="J3086">
        <v>0.84</v>
      </c>
      <c r="K3086">
        <v>0.16</v>
      </c>
      <c r="L3086">
        <v>0</v>
      </c>
      <c r="M3086">
        <v>1.29</v>
      </c>
      <c r="N3086">
        <v>1.29</v>
      </c>
    </row>
    <row r="3087" spans="1:14" x14ac:dyDescent="0.3">
      <c r="A3087" s="2">
        <v>45566</v>
      </c>
      <c r="B3087" t="s">
        <v>72</v>
      </c>
      <c r="C3087">
        <v>2024</v>
      </c>
      <c r="D3087">
        <v>10</v>
      </c>
      <c r="E3087" t="s">
        <v>55</v>
      </c>
      <c r="F3087" t="s">
        <v>37</v>
      </c>
      <c r="G3087">
        <v>23</v>
      </c>
      <c r="H3087" t="s">
        <v>20</v>
      </c>
      <c r="I3087">
        <v>873.82</v>
      </c>
      <c r="J3087">
        <v>1108.48</v>
      </c>
      <c r="K3087">
        <v>1052.93</v>
      </c>
      <c r="L3087">
        <v>613.72</v>
      </c>
      <c r="M3087">
        <v>3035.23</v>
      </c>
      <c r="N3087">
        <v>3648.95</v>
      </c>
    </row>
    <row r="3088" spans="1:14" x14ac:dyDescent="0.3">
      <c r="A3088" s="2">
        <v>45566</v>
      </c>
      <c r="B3088" t="s">
        <v>72</v>
      </c>
      <c r="C3088">
        <v>2024</v>
      </c>
      <c r="D3088">
        <v>10</v>
      </c>
      <c r="E3088" t="s">
        <v>55</v>
      </c>
      <c r="F3088" t="s">
        <v>38</v>
      </c>
      <c r="G3088">
        <v>27</v>
      </c>
      <c r="H3088" t="s">
        <v>20</v>
      </c>
      <c r="I3088">
        <v>8048.03</v>
      </c>
      <c r="J3088">
        <v>9107.5</v>
      </c>
      <c r="K3088">
        <v>11664.76</v>
      </c>
      <c r="L3088">
        <v>2209.7600000000002</v>
      </c>
      <c r="M3088">
        <v>28820.29</v>
      </c>
      <c r="N3088">
        <v>31030.05</v>
      </c>
    </row>
    <row r="3089" spans="1:14" x14ac:dyDescent="0.3">
      <c r="A3089" s="2">
        <v>45566</v>
      </c>
      <c r="B3089" t="s">
        <v>72</v>
      </c>
      <c r="C3089">
        <v>2024</v>
      </c>
      <c r="D3089">
        <v>10</v>
      </c>
      <c r="E3089" t="s">
        <v>55</v>
      </c>
      <c r="F3089" t="s">
        <v>39</v>
      </c>
      <c r="G3089">
        <v>14</v>
      </c>
      <c r="H3089" t="s">
        <v>20</v>
      </c>
      <c r="I3089">
        <v>26.84</v>
      </c>
      <c r="J3089">
        <v>32.75</v>
      </c>
      <c r="K3089">
        <v>6.99</v>
      </c>
      <c r="L3089">
        <v>0.02</v>
      </c>
      <c r="M3089">
        <v>66.58</v>
      </c>
      <c r="N3089">
        <v>66.599999999999994</v>
      </c>
    </row>
    <row r="3090" spans="1:14" x14ac:dyDescent="0.3">
      <c r="A3090" s="2">
        <v>45566</v>
      </c>
      <c r="B3090" t="s">
        <v>72</v>
      </c>
      <c r="C3090">
        <v>2024</v>
      </c>
      <c r="D3090">
        <v>10</v>
      </c>
      <c r="E3090" t="s">
        <v>55</v>
      </c>
      <c r="F3090" t="s">
        <v>40</v>
      </c>
      <c r="G3090">
        <v>17</v>
      </c>
      <c r="H3090" t="s">
        <v>20</v>
      </c>
      <c r="I3090">
        <v>40.81</v>
      </c>
      <c r="J3090">
        <v>51.68</v>
      </c>
      <c r="K3090">
        <v>71.209999999999994</v>
      </c>
      <c r="L3090">
        <v>0.06</v>
      </c>
      <c r="M3090">
        <v>163.69999999999999</v>
      </c>
      <c r="N3090">
        <v>163.76</v>
      </c>
    </row>
    <row r="3091" spans="1:14" x14ac:dyDescent="0.3">
      <c r="A3091" s="2">
        <v>45566</v>
      </c>
      <c r="B3091" t="s">
        <v>72</v>
      </c>
      <c r="C3091">
        <v>2024</v>
      </c>
      <c r="D3091">
        <v>10</v>
      </c>
      <c r="E3091" t="s">
        <v>55</v>
      </c>
      <c r="F3091" t="s">
        <v>41</v>
      </c>
      <c r="G3091">
        <v>15</v>
      </c>
      <c r="H3091" t="s">
        <v>20</v>
      </c>
      <c r="I3091">
        <v>18.079999999999998</v>
      </c>
      <c r="J3091">
        <v>20.03</v>
      </c>
      <c r="K3091">
        <v>3.28</v>
      </c>
      <c r="L3091">
        <v>0.03</v>
      </c>
      <c r="M3091">
        <v>41.39</v>
      </c>
      <c r="N3091">
        <v>41.42</v>
      </c>
    </row>
    <row r="3092" spans="1:14" x14ac:dyDescent="0.3">
      <c r="A3092" s="2">
        <v>45566</v>
      </c>
      <c r="B3092" t="s">
        <v>72</v>
      </c>
      <c r="C3092">
        <v>2024</v>
      </c>
      <c r="D3092">
        <v>10</v>
      </c>
      <c r="E3092" t="s">
        <v>55</v>
      </c>
      <c r="F3092" t="s">
        <v>42</v>
      </c>
      <c r="G3092">
        <v>13</v>
      </c>
      <c r="H3092" t="s">
        <v>20</v>
      </c>
      <c r="I3092">
        <v>15.8</v>
      </c>
      <c r="J3092">
        <v>19.45</v>
      </c>
      <c r="K3092">
        <v>8.4700000000000006</v>
      </c>
      <c r="L3092">
        <v>1.61</v>
      </c>
      <c r="M3092">
        <v>43.72</v>
      </c>
      <c r="N3092">
        <v>45.33</v>
      </c>
    </row>
    <row r="3093" spans="1:14" x14ac:dyDescent="0.3">
      <c r="A3093" s="2">
        <v>45566</v>
      </c>
      <c r="B3093" t="s">
        <v>72</v>
      </c>
      <c r="C3093">
        <v>2024</v>
      </c>
      <c r="D3093">
        <v>10</v>
      </c>
      <c r="E3093" t="s">
        <v>55</v>
      </c>
      <c r="F3093" t="s">
        <v>43</v>
      </c>
      <c r="G3093">
        <v>21</v>
      </c>
      <c r="H3093" t="s">
        <v>20</v>
      </c>
      <c r="I3093">
        <v>1043.07</v>
      </c>
      <c r="J3093">
        <v>1288.0999999999999</v>
      </c>
      <c r="K3093">
        <v>1431.23</v>
      </c>
      <c r="L3093">
        <v>829.58</v>
      </c>
      <c r="M3093">
        <v>3762.4</v>
      </c>
      <c r="N3093">
        <v>4591.9799999999996</v>
      </c>
    </row>
    <row r="3094" spans="1:14" x14ac:dyDescent="0.3">
      <c r="A3094" s="2">
        <v>45566</v>
      </c>
      <c r="B3094" t="s">
        <v>72</v>
      </c>
      <c r="C3094">
        <v>2024</v>
      </c>
      <c r="D3094">
        <v>10</v>
      </c>
      <c r="E3094" t="s">
        <v>55</v>
      </c>
      <c r="F3094" t="s">
        <v>44</v>
      </c>
      <c r="G3094">
        <v>34</v>
      </c>
      <c r="H3094" t="s">
        <v>18</v>
      </c>
      <c r="I3094">
        <v>29.4</v>
      </c>
      <c r="J3094">
        <v>46.53</v>
      </c>
      <c r="K3094">
        <v>175.18</v>
      </c>
      <c r="L3094">
        <v>0.59</v>
      </c>
      <c r="M3094">
        <v>251.11</v>
      </c>
      <c r="N3094">
        <v>251.7</v>
      </c>
    </row>
    <row r="3095" spans="1:14" x14ac:dyDescent="0.3">
      <c r="A3095" s="2">
        <v>45566</v>
      </c>
      <c r="B3095" t="s">
        <v>72</v>
      </c>
      <c r="C3095">
        <v>2024</v>
      </c>
      <c r="D3095">
        <v>10</v>
      </c>
      <c r="E3095" t="s">
        <v>55</v>
      </c>
      <c r="F3095" t="s">
        <v>45</v>
      </c>
      <c r="G3095">
        <v>3</v>
      </c>
      <c r="H3095" t="s">
        <v>20</v>
      </c>
      <c r="I3095">
        <v>524.16999999999996</v>
      </c>
      <c r="J3095">
        <v>772.5</v>
      </c>
      <c r="K3095">
        <v>878.57</v>
      </c>
      <c r="L3095">
        <v>36.03</v>
      </c>
      <c r="M3095">
        <v>2175.2399999999998</v>
      </c>
      <c r="N3095">
        <v>2211.27</v>
      </c>
    </row>
    <row r="3096" spans="1:14" x14ac:dyDescent="0.3">
      <c r="A3096" s="2">
        <v>45566</v>
      </c>
      <c r="B3096" t="s">
        <v>72</v>
      </c>
      <c r="C3096">
        <v>2024</v>
      </c>
      <c r="D3096">
        <v>10</v>
      </c>
      <c r="E3096" t="s">
        <v>55</v>
      </c>
      <c r="F3096" t="s">
        <v>46</v>
      </c>
      <c r="G3096">
        <v>8</v>
      </c>
      <c r="H3096" t="s">
        <v>20</v>
      </c>
      <c r="I3096">
        <v>1175.25</v>
      </c>
      <c r="J3096">
        <v>1504.72</v>
      </c>
      <c r="K3096">
        <v>1585.8</v>
      </c>
      <c r="L3096">
        <v>203.04</v>
      </c>
      <c r="M3096">
        <v>4265.7700000000004</v>
      </c>
      <c r="N3096">
        <v>4468.8100000000004</v>
      </c>
    </row>
    <row r="3097" spans="1:14" x14ac:dyDescent="0.3">
      <c r="A3097" s="2">
        <v>45566</v>
      </c>
      <c r="B3097" t="s">
        <v>72</v>
      </c>
      <c r="C3097">
        <v>2024</v>
      </c>
      <c r="D3097">
        <v>10</v>
      </c>
      <c r="E3097" t="s">
        <v>55</v>
      </c>
      <c r="F3097" t="s">
        <v>47</v>
      </c>
      <c r="G3097">
        <v>11</v>
      </c>
      <c r="H3097" t="s">
        <v>20</v>
      </c>
      <c r="I3097">
        <v>23.52</v>
      </c>
      <c r="J3097">
        <v>30.22</v>
      </c>
      <c r="K3097">
        <v>279.05</v>
      </c>
      <c r="L3097">
        <v>7.0000000000000007E-2</v>
      </c>
      <c r="M3097">
        <v>332.79</v>
      </c>
      <c r="N3097">
        <v>332.86</v>
      </c>
    </row>
    <row r="3098" spans="1:14" x14ac:dyDescent="0.3">
      <c r="A3098" s="2">
        <v>45566</v>
      </c>
      <c r="B3098" t="s">
        <v>72</v>
      </c>
      <c r="C3098">
        <v>2024</v>
      </c>
      <c r="D3098">
        <v>10</v>
      </c>
      <c r="E3098" t="s">
        <v>55</v>
      </c>
      <c r="F3098" t="s">
        <v>48</v>
      </c>
      <c r="G3098">
        <v>33</v>
      </c>
      <c r="H3098" t="s">
        <v>20</v>
      </c>
      <c r="I3098">
        <v>2754.58</v>
      </c>
      <c r="J3098">
        <v>3891.47</v>
      </c>
      <c r="K3098">
        <v>3671.48</v>
      </c>
      <c r="L3098">
        <v>870.26</v>
      </c>
      <c r="M3098">
        <v>10317.530000000001</v>
      </c>
      <c r="N3098">
        <v>11187.79</v>
      </c>
    </row>
    <row r="3099" spans="1:14" x14ac:dyDescent="0.3">
      <c r="A3099" s="2">
        <v>45566</v>
      </c>
      <c r="B3099" t="s">
        <v>72</v>
      </c>
      <c r="C3099">
        <v>2024</v>
      </c>
      <c r="D3099">
        <v>10</v>
      </c>
      <c r="E3099" t="s">
        <v>55</v>
      </c>
      <c r="F3099" t="s">
        <v>49</v>
      </c>
      <c r="G3099">
        <v>36</v>
      </c>
      <c r="H3099" t="s">
        <v>20</v>
      </c>
      <c r="I3099">
        <v>1483.27</v>
      </c>
      <c r="J3099">
        <v>1690.98</v>
      </c>
      <c r="K3099">
        <v>1568.87</v>
      </c>
      <c r="L3099">
        <v>467.54</v>
      </c>
      <c r="M3099">
        <v>4743.12</v>
      </c>
      <c r="N3099">
        <v>5210.66</v>
      </c>
    </row>
    <row r="3100" spans="1:14" x14ac:dyDescent="0.3">
      <c r="A3100" s="2">
        <v>45566</v>
      </c>
      <c r="B3100" t="s">
        <v>72</v>
      </c>
      <c r="C3100">
        <v>2024</v>
      </c>
      <c r="D3100">
        <v>10</v>
      </c>
      <c r="E3100" t="s">
        <v>55</v>
      </c>
      <c r="F3100" t="s">
        <v>50</v>
      </c>
      <c r="G3100">
        <v>16</v>
      </c>
      <c r="H3100" t="s">
        <v>20</v>
      </c>
      <c r="I3100">
        <v>42.83</v>
      </c>
      <c r="J3100">
        <v>50.36</v>
      </c>
      <c r="K3100">
        <v>10.46</v>
      </c>
      <c r="L3100">
        <v>1.34</v>
      </c>
      <c r="M3100">
        <v>103.65</v>
      </c>
      <c r="N3100">
        <v>104.99</v>
      </c>
    </row>
    <row r="3101" spans="1:14" x14ac:dyDescent="0.3">
      <c r="A3101" s="2">
        <v>45566</v>
      </c>
      <c r="B3101" t="s">
        <v>72</v>
      </c>
      <c r="C3101">
        <v>2024</v>
      </c>
      <c r="D3101">
        <v>10</v>
      </c>
      <c r="E3101" t="s">
        <v>55</v>
      </c>
      <c r="F3101" t="s">
        <v>51</v>
      </c>
      <c r="G3101">
        <v>9</v>
      </c>
      <c r="H3101" t="s">
        <v>20</v>
      </c>
      <c r="I3101">
        <v>2136.61</v>
      </c>
      <c r="J3101">
        <v>2834.2</v>
      </c>
      <c r="K3101">
        <v>3257.72</v>
      </c>
      <c r="L3101">
        <v>1373.48</v>
      </c>
      <c r="M3101">
        <v>8228.5300000000007</v>
      </c>
      <c r="N3101">
        <v>9602.01</v>
      </c>
    </row>
    <row r="3102" spans="1:14" x14ac:dyDescent="0.3">
      <c r="A3102" s="2">
        <v>45566</v>
      </c>
      <c r="B3102" t="s">
        <v>72</v>
      </c>
      <c r="C3102">
        <v>2024</v>
      </c>
      <c r="D3102">
        <v>10</v>
      </c>
      <c r="E3102" t="s">
        <v>55</v>
      </c>
      <c r="F3102" t="s">
        <v>52</v>
      </c>
      <c r="G3102">
        <v>5</v>
      </c>
      <c r="H3102" t="s">
        <v>20</v>
      </c>
      <c r="I3102">
        <v>343.01</v>
      </c>
      <c r="J3102">
        <v>485.96</v>
      </c>
      <c r="K3102">
        <v>995.35</v>
      </c>
      <c r="L3102">
        <v>9.42</v>
      </c>
      <c r="M3102">
        <v>1824.32</v>
      </c>
      <c r="N3102">
        <v>1833.74</v>
      </c>
    </row>
    <row r="3103" spans="1:14" x14ac:dyDescent="0.3">
      <c r="A3103" s="2">
        <v>45566</v>
      </c>
      <c r="B3103" t="s">
        <v>72</v>
      </c>
      <c r="C3103">
        <v>2024</v>
      </c>
      <c r="D3103">
        <v>10</v>
      </c>
      <c r="E3103" t="s">
        <v>55</v>
      </c>
      <c r="F3103" t="s">
        <v>53</v>
      </c>
      <c r="G3103">
        <v>19</v>
      </c>
      <c r="H3103" t="s">
        <v>20</v>
      </c>
      <c r="I3103">
        <v>1624.13</v>
      </c>
      <c r="J3103">
        <v>2009.07</v>
      </c>
      <c r="K3103">
        <v>1530.67</v>
      </c>
      <c r="L3103">
        <v>432.96</v>
      </c>
      <c r="M3103">
        <v>5163.87</v>
      </c>
      <c r="N3103">
        <v>5596.83</v>
      </c>
    </row>
    <row r="3104" spans="1:14" x14ac:dyDescent="0.3">
      <c r="A3104" s="2">
        <v>45597</v>
      </c>
      <c r="B3104" t="s">
        <v>72</v>
      </c>
      <c r="C3104">
        <v>2024</v>
      </c>
      <c r="D3104">
        <v>11</v>
      </c>
      <c r="E3104" t="s">
        <v>56</v>
      </c>
      <c r="F3104" t="s">
        <v>17</v>
      </c>
      <c r="G3104">
        <v>35</v>
      </c>
      <c r="H3104" t="s">
        <v>18</v>
      </c>
      <c r="I3104">
        <v>11.55</v>
      </c>
      <c r="J3104">
        <v>16.57</v>
      </c>
      <c r="K3104">
        <v>3.86</v>
      </c>
      <c r="L3104">
        <v>0.09</v>
      </c>
      <c r="M3104">
        <v>31.98</v>
      </c>
      <c r="N3104">
        <v>32.07</v>
      </c>
    </row>
    <row r="3105" spans="1:14" x14ac:dyDescent="0.3">
      <c r="A3105" s="2">
        <v>45597</v>
      </c>
      <c r="B3105" t="s">
        <v>72</v>
      </c>
      <c r="C3105">
        <v>2024</v>
      </c>
      <c r="D3105">
        <v>11</v>
      </c>
      <c r="E3105" t="s">
        <v>56</v>
      </c>
      <c r="F3105" t="s">
        <v>19</v>
      </c>
      <c r="G3105">
        <v>28</v>
      </c>
      <c r="H3105" t="s">
        <v>20</v>
      </c>
      <c r="I3105">
        <v>879.67</v>
      </c>
      <c r="J3105">
        <v>1197.47</v>
      </c>
      <c r="K3105">
        <v>1346.1</v>
      </c>
      <c r="L3105">
        <v>276.18</v>
      </c>
      <c r="M3105">
        <v>3423.24</v>
      </c>
      <c r="N3105">
        <v>3699.42</v>
      </c>
    </row>
    <row r="3106" spans="1:14" x14ac:dyDescent="0.3">
      <c r="A3106" s="2">
        <v>45597</v>
      </c>
      <c r="B3106" t="s">
        <v>72</v>
      </c>
      <c r="C3106">
        <v>2024</v>
      </c>
      <c r="D3106">
        <v>11</v>
      </c>
      <c r="E3106" t="s">
        <v>56</v>
      </c>
      <c r="F3106" t="s">
        <v>21</v>
      </c>
      <c r="G3106">
        <v>12</v>
      </c>
      <c r="H3106" t="s">
        <v>20</v>
      </c>
      <c r="I3106">
        <v>24.33</v>
      </c>
      <c r="J3106">
        <v>30.88</v>
      </c>
      <c r="K3106">
        <v>15.54</v>
      </c>
      <c r="L3106">
        <v>0.15</v>
      </c>
      <c r="M3106">
        <v>70.75</v>
      </c>
      <c r="N3106">
        <v>70.900000000000006</v>
      </c>
    </row>
    <row r="3107" spans="1:14" x14ac:dyDescent="0.3">
      <c r="A3107" s="2">
        <v>45597</v>
      </c>
      <c r="B3107" t="s">
        <v>72</v>
      </c>
      <c r="C3107">
        <v>2024</v>
      </c>
      <c r="D3107">
        <v>11</v>
      </c>
      <c r="E3107" t="s">
        <v>56</v>
      </c>
      <c r="F3107" t="s">
        <v>22</v>
      </c>
      <c r="G3107">
        <v>18</v>
      </c>
      <c r="H3107" t="s">
        <v>20</v>
      </c>
      <c r="I3107">
        <v>392.05</v>
      </c>
      <c r="J3107">
        <v>503.43</v>
      </c>
      <c r="K3107">
        <v>358.61</v>
      </c>
      <c r="L3107">
        <v>103.51</v>
      </c>
      <c r="M3107">
        <v>1254.0899999999999</v>
      </c>
      <c r="N3107">
        <v>1357.6</v>
      </c>
    </row>
    <row r="3108" spans="1:14" x14ac:dyDescent="0.3">
      <c r="A3108" s="2">
        <v>45597</v>
      </c>
      <c r="B3108" t="s">
        <v>72</v>
      </c>
      <c r="C3108">
        <v>2024</v>
      </c>
      <c r="D3108">
        <v>11</v>
      </c>
      <c r="E3108" t="s">
        <v>56</v>
      </c>
      <c r="F3108" t="s">
        <v>23</v>
      </c>
      <c r="G3108">
        <v>10</v>
      </c>
      <c r="H3108" t="s">
        <v>20</v>
      </c>
      <c r="I3108">
        <v>417.05</v>
      </c>
      <c r="J3108">
        <v>760.37</v>
      </c>
      <c r="K3108">
        <v>214.44</v>
      </c>
      <c r="L3108">
        <v>168.65</v>
      </c>
      <c r="M3108">
        <v>1391.86</v>
      </c>
      <c r="N3108">
        <v>1560.51</v>
      </c>
    </row>
    <row r="3109" spans="1:14" x14ac:dyDescent="0.3">
      <c r="A3109" s="2">
        <v>45597</v>
      </c>
      <c r="B3109" t="s">
        <v>72</v>
      </c>
      <c r="C3109">
        <v>2024</v>
      </c>
      <c r="D3109">
        <v>11</v>
      </c>
      <c r="E3109" t="s">
        <v>56</v>
      </c>
      <c r="F3109" t="s">
        <v>24</v>
      </c>
      <c r="G3109">
        <v>4</v>
      </c>
      <c r="H3109" t="s">
        <v>18</v>
      </c>
      <c r="I3109">
        <v>52.26</v>
      </c>
      <c r="J3109">
        <v>73.14</v>
      </c>
      <c r="K3109">
        <v>121.26</v>
      </c>
      <c r="L3109">
        <v>6.12</v>
      </c>
      <c r="M3109">
        <v>246.66</v>
      </c>
      <c r="N3109">
        <v>252.78</v>
      </c>
    </row>
    <row r="3110" spans="1:14" x14ac:dyDescent="0.3">
      <c r="A3110" s="2">
        <v>45597</v>
      </c>
      <c r="B3110" t="s">
        <v>72</v>
      </c>
      <c r="C3110">
        <v>2024</v>
      </c>
      <c r="D3110">
        <v>11</v>
      </c>
      <c r="E3110" t="s">
        <v>56</v>
      </c>
      <c r="F3110" t="s">
        <v>25</v>
      </c>
      <c r="G3110">
        <v>22</v>
      </c>
      <c r="H3110" t="s">
        <v>20</v>
      </c>
      <c r="I3110">
        <v>590.41999999999996</v>
      </c>
      <c r="J3110">
        <v>728.8</v>
      </c>
      <c r="K3110">
        <v>969.39</v>
      </c>
      <c r="L3110">
        <v>607.97</v>
      </c>
      <c r="M3110">
        <v>2288.61</v>
      </c>
      <c r="N3110">
        <v>2896.58</v>
      </c>
    </row>
    <row r="3111" spans="1:14" x14ac:dyDescent="0.3">
      <c r="A3111" s="2">
        <v>45597</v>
      </c>
      <c r="B3111" t="s">
        <v>72</v>
      </c>
      <c r="C3111">
        <v>2024</v>
      </c>
      <c r="D3111">
        <v>11</v>
      </c>
      <c r="E3111" t="s">
        <v>56</v>
      </c>
      <c r="F3111" t="s">
        <v>26</v>
      </c>
      <c r="G3111">
        <v>38</v>
      </c>
      <c r="H3111" t="s">
        <v>18</v>
      </c>
      <c r="I3111">
        <v>48.04</v>
      </c>
      <c r="J3111">
        <v>63.4</v>
      </c>
      <c r="K3111">
        <v>236.22</v>
      </c>
      <c r="L3111">
        <v>0.49</v>
      </c>
      <c r="M3111">
        <v>347.66</v>
      </c>
      <c r="N3111">
        <v>348.15</v>
      </c>
    </row>
    <row r="3112" spans="1:14" x14ac:dyDescent="0.3">
      <c r="A3112" s="2">
        <v>45597</v>
      </c>
      <c r="B3112" t="s">
        <v>72</v>
      </c>
      <c r="C3112">
        <v>2024</v>
      </c>
      <c r="D3112">
        <v>11</v>
      </c>
      <c r="E3112" t="s">
        <v>56</v>
      </c>
      <c r="F3112" t="s">
        <v>27</v>
      </c>
      <c r="G3112">
        <v>7</v>
      </c>
      <c r="H3112" t="s">
        <v>18</v>
      </c>
      <c r="I3112">
        <v>1187.31</v>
      </c>
      <c r="J3112">
        <v>1432.1</v>
      </c>
      <c r="K3112">
        <v>3565.01</v>
      </c>
      <c r="L3112">
        <v>126.26</v>
      </c>
      <c r="M3112">
        <v>6184.42</v>
      </c>
      <c r="N3112">
        <v>6310.68</v>
      </c>
    </row>
    <row r="3113" spans="1:14" x14ac:dyDescent="0.3">
      <c r="A3113" s="2">
        <v>45597</v>
      </c>
      <c r="B3113" t="s">
        <v>72</v>
      </c>
      <c r="C3113">
        <v>2024</v>
      </c>
      <c r="D3113">
        <v>11</v>
      </c>
      <c r="E3113" t="s">
        <v>56</v>
      </c>
      <c r="F3113" t="s">
        <v>28</v>
      </c>
      <c r="G3113">
        <v>30</v>
      </c>
      <c r="H3113" t="s">
        <v>20</v>
      </c>
      <c r="I3113">
        <v>163.13999999999999</v>
      </c>
      <c r="J3113">
        <v>207.59</v>
      </c>
      <c r="K3113">
        <v>185.6</v>
      </c>
      <c r="L3113">
        <v>4.1100000000000003</v>
      </c>
      <c r="M3113">
        <v>556.33000000000004</v>
      </c>
      <c r="N3113">
        <v>560.44000000000005</v>
      </c>
    </row>
    <row r="3114" spans="1:14" x14ac:dyDescent="0.3">
      <c r="A3114" s="2">
        <v>45597</v>
      </c>
      <c r="B3114" t="s">
        <v>72</v>
      </c>
      <c r="C3114">
        <v>2024</v>
      </c>
      <c r="D3114">
        <v>11</v>
      </c>
      <c r="E3114" t="s">
        <v>56</v>
      </c>
      <c r="F3114" t="s">
        <v>29</v>
      </c>
      <c r="G3114">
        <v>24</v>
      </c>
      <c r="H3114" t="s">
        <v>20</v>
      </c>
      <c r="I3114">
        <v>3362.76</v>
      </c>
      <c r="J3114">
        <v>4101.3100000000004</v>
      </c>
      <c r="K3114">
        <v>3894.44</v>
      </c>
      <c r="L3114">
        <v>833.62</v>
      </c>
      <c r="M3114">
        <v>11358.51</v>
      </c>
      <c r="N3114">
        <v>12192.13</v>
      </c>
    </row>
    <row r="3115" spans="1:14" x14ac:dyDescent="0.3">
      <c r="A3115" s="2">
        <v>45597</v>
      </c>
      <c r="B3115" t="s">
        <v>72</v>
      </c>
      <c r="C3115">
        <v>2024</v>
      </c>
      <c r="D3115">
        <v>11</v>
      </c>
      <c r="E3115" t="s">
        <v>56</v>
      </c>
      <c r="F3115" t="s">
        <v>30</v>
      </c>
      <c r="G3115">
        <v>6</v>
      </c>
      <c r="H3115" t="s">
        <v>20</v>
      </c>
      <c r="I3115">
        <v>1512.02</v>
      </c>
      <c r="J3115">
        <v>1995.5</v>
      </c>
      <c r="K3115">
        <v>5592.06</v>
      </c>
      <c r="L3115">
        <v>800.65</v>
      </c>
      <c r="M3115">
        <v>9099.58</v>
      </c>
      <c r="N3115">
        <v>9900.23</v>
      </c>
    </row>
    <row r="3116" spans="1:14" x14ac:dyDescent="0.3">
      <c r="A3116" s="2">
        <v>45597</v>
      </c>
      <c r="B3116" t="s">
        <v>72</v>
      </c>
      <c r="C3116">
        <v>2024</v>
      </c>
      <c r="D3116">
        <v>11</v>
      </c>
      <c r="E3116" t="s">
        <v>56</v>
      </c>
      <c r="F3116" t="s">
        <v>31</v>
      </c>
      <c r="G3116">
        <v>2</v>
      </c>
      <c r="H3116" t="s">
        <v>20</v>
      </c>
      <c r="I3116">
        <v>166.47</v>
      </c>
      <c r="J3116">
        <v>244.83</v>
      </c>
      <c r="K3116">
        <v>463.05</v>
      </c>
      <c r="L3116">
        <v>3.17</v>
      </c>
      <c r="M3116">
        <v>874.35</v>
      </c>
      <c r="N3116">
        <v>877.52</v>
      </c>
    </row>
    <row r="3117" spans="1:14" x14ac:dyDescent="0.3">
      <c r="A3117" s="2">
        <v>45597</v>
      </c>
      <c r="B3117" t="s">
        <v>72</v>
      </c>
      <c r="C3117">
        <v>2024</v>
      </c>
      <c r="D3117">
        <v>11</v>
      </c>
      <c r="E3117" t="s">
        <v>56</v>
      </c>
      <c r="F3117" t="s">
        <v>32</v>
      </c>
      <c r="G3117">
        <v>1</v>
      </c>
      <c r="H3117" t="s">
        <v>18</v>
      </c>
      <c r="I3117">
        <v>169.06</v>
      </c>
      <c r="J3117">
        <v>247.16</v>
      </c>
      <c r="K3117">
        <v>164.26</v>
      </c>
      <c r="L3117">
        <v>5.82</v>
      </c>
      <c r="M3117">
        <v>580.48</v>
      </c>
      <c r="N3117">
        <v>586.29999999999995</v>
      </c>
    </row>
    <row r="3118" spans="1:14" x14ac:dyDescent="0.3">
      <c r="A3118" s="2">
        <v>45597</v>
      </c>
      <c r="B3118" t="s">
        <v>72</v>
      </c>
      <c r="C3118">
        <v>2024</v>
      </c>
      <c r="D3118">
        <v>11</v>
      </c>
      <c r="E3118" t="s">
        <v>56</v>
      </c>
      <c r="F3118" t="s">
        <v>33</v>
      </c>
      <c r="G3118">
        <v>20</v>
      </c>
      <c r="H3118" t="s">
        <v>20</v>
      </c>
      <c r="I3118">
        <v>547.04999999999995</v>
      </c>
      <c r="J3118">
        <v>701.59</v>
      </c>
      <c r="K3118">
        <v>1078.69</v>
      </c>
      <c r="L3118">
        <v>623.12</v>
      </c>
      <c r="M3118">
        <v>2327.33</v>
      </c>
      <c r="N3118">
        <v>2950.45</v>
      </c>
    </row>
    <row r="3119" spans="1:14" x14ac:dyDescent="0.3">
      <c r="A3119" s="2">
        <v>45597</v>
      </c>
      <c r="B3119" t="s">
        <v>72</v>
      </c>
      <c r="C3119">
        <v>2024</v>
      </c>
      <c r="D3119">
        <v>11</v>
      </c>
      <c r="E3119" t="s">
        <v>56</v>
      </c>
      <c r="F3119" t="s">
        <v>34</v>
      </c>
      <c r="G3119">
        <v>29</v>
      </c>
      <c r="H3119" t="s">
        <v>20</v>
      </c>
      <c r="I3119">
        <v>2992.9</v>
      </c>
      <c r="J3119">
        <v>3692.27</v>
      </c>
      <c r="K3119">
        <v>5524.34</v>
      </c>
      <c r="L3119">
        <v>1512.66</v>
      </c>
      <c r="M3119">
        <v>12209.51</v>
      </c>
      <c r="N3119">
        <v>13722.17</v>
      </c>
    </row>
    <row r="3120" spans="1:14" x14ac:dyDescent="0.3">
      <c r="A3120" s="2">
        <v>45597</v>
      </c>
      <c r="B3120" t="s">
        <v>72</v>
      </c>
      <c r="C3120">
        <v>2024</v>
      </c>
      <c r="D3120">
        <v>11</v>
      </c>
      <c r="E3120" t="s">
        <v>56</v>
      </c>
      <c r="F3120" t="s">
        <v>35</v>
      </c>
      <c r="G3120">
        <v>32</v>
      </c>
      <c r="H3120" t="s">
        <v>20</v>
      </c>
      <c r="I3120">
        <v>960.1</v>
      </c>
      <c r="J3120">
        <v>1213.76</v>
      </c>
      <c r="K3120">
        <v>583.45000000000005</v>
      </c>
      <c r="L3120">
        <v>5.98</v>
      </c>
      <c r="M3120">
        <v>2757.31</v>
      </c>
      <c r="N3120">
        <v>2763.29</v>
      </c>
    </row>
    <row r="3121" spans="1:14" x14ac:dyDescent="0.3">
      <c r="A3121" s="2">
        <v>45597</v>
      </c>
      <c r="B3121" t="s">
        <v>72</v>
      </c>
      <c r="C3121">
        <v>2024</v>
      </c>
      <c r="D3121">
        <v>11</v>
      </c>
      <c r="E3121" t="s">
        <v>56</v>
      </c>
      <c r="F3121" t="s">
        <v>67</v>
      </c>
      <c r="G3121">
        <v>37</v>
      </c>
      <c r="H3121" t="s">
        <v>18</v>
      </c>
      <c r="I3121">
        <v>25.48</v>
      </c>
      <c r="J3121">
        <v>34.11</v>
      </c>
      <c r="K3121">
        <v>6.76</v>
      </c>
      <c r="L3121">
        <v>0.38</v>
      </c>
      <c r="M3121">
        <v>66.349999999999994</v>
      </c>
      <c r="N3121">
        <v>66.73</v>
      </c>
    </row>
    <row r="3122" spans="1:14" x14ac:dyDescent="0.3">
      <c r="A3122" s="2">
        <v>45597</v>
      </c>
      <c r="B3122" t="s">
        <v>72</v>
      </c>
      <c r="C3122">
        <v>2024</v>
      </c>
      <c r="D3122">
        <v>11</v>
      </c>
      <c r="E3122" t="s">
        <v>56</v>
      </c>
      <c r="F3122" t="s">
        <v>36</v>
      </c>
      <c r="G3122">
        <v>31</v>
      </c>
      <c r="H3122" t="s">
        <v>18</v>
      </c>
      <c r="I3122">
        <v>2.3199999999999998</v>
      </c>
      <c r="J3122">
        <v>2.39</v>
      </c>
      <c r="K3122">
        <v>0.28999999999999998</v>
      </c>
      <c r="L3122">
        <v>0</v>
      </c>
      <c r="M3122">
        <v>5</v>
      </c>
      <c r="N3122">
        <v>5</v>
      </c>
    </row>
    <row r="3123" spans="1:14" x14ac:dyDescent="0.3">
      <c r="A3123" s="2">
        <v>45597</v>
      </c>
      <c r="B3123" t="s">
        <v>72</v>
      </c>
      <c r="C3123">
        <v>2024</v>
      </c>
      <c r="D3123">
        <v>11</v>
      </c>
      <c r="E3123" t="s">
        <v>56</v>
      </c>
      <c r="F3123" t="s">
        <v>37</v>
      </c>
      <c r="G3123">
        <v>23</v>
      </c>
      <c r="H3123" t="s">
        <v>20</v>
      </c>
      <c r="I3123">
        <v>984.31</v>
      </c>
      <c r="J3123">
        <v>1222.1600000000001</v>
      </c>
      <c r="K3123">
        <v>916.51</v>
      </c>
      <c r="L3123">
        <v>688.97</v>
      </c>
      <c r="M3123">
        <v>3122.98</v>
      </c>
      <c r="N3123">
        <v>3811.95</v>
      </c>
    </row>
    <row r="3124" spans="1:14" x14ac:dyDescent="0.3">
      <c r="A3124" s="2">
        <v>45597</v>
      </c>
      <c r="B3124" t="s">
        <v>72</v>
      </c>
      <c r="C3124">
        <v>2024</v>
      </c>
      <c r="D3124">
        <v>11</v>
      </c>
      <c r="E3124" t="s">
        <v>56</v>
      </c>
      <c r="F3124" t="s">
        <v>38</v>
      </c>
      <c r="G3124">
        <v>27</v>
      </c>
      <c r="H3124" t="s">
        <v>20</v>
      </c>
      <c r="I3124">
        <v>8313.7099999999991</v>
      </c>
      <c r="J3124">
        <v>9617.2999999999993</v>
      </c>
      <c r="K3124">
        <v>9602.31</v>
      </c>
      <c r="L3124">
        <v>2414.8200000000002</v>
      </c>
      <c r="M3124">
        <v>27533.32</v>
      </c>
      <c r="N3124">
        <v>29948.14</v>
      </c>
    </row>
    <row r="3125" spans="1:14" x14ac:dyDescent="0.3">
      <c r="A3125" s="2">
        <v>45597</v>
      </c>
      <c r="B3125" t="s">
        <v>72</v>
      </c>
      <c r="C3125">
        <v>2024</v>
      </c>
      <c r="D3125">
        <v>11</v>
      </c>
      <c r="E3125" t="s">
        <v>56</v>
      </c>
      <c r="F3125" t="s">
        <v>39</v>
      </c>
      <c r="G3125">
        <v>14</v>
      </c>
      <c r="H3125" t="s">
        <v>20</v>
      </c>
      <c r="I3125">
        <v>13.3</v>
      </c>
      <c r="J3125">
        <v>17.64</v>
      </c>
      <c r="K3125">
        <v>7.24</v>
      </c>
      <c r="L3125">
        <v>0.04</v>
      </c>
      <c r="M3125">
        <v>38.18</v>
      </c>
      <c r="N3125">
        <v>38.22</v>
      </c>
    </row>
    <row r="3126" spans="1:14" x14ac:dyDescent="0.3">
      <c r="A3126" s="2">
        <v>45597</v>
      </c>
      <c r="B3126" t="s">
        <v>72</v>
      </c>
      <c r="C3126">
        <v>2024</v>
      </c>
      <c r="D3126">
        <v>11</v>
      </c>
      <c r="E3126" t="s">
        <v>56</v>
      </c>
      <c r="F3126" t="s">
        <v>40</v>
      </c>
      <c r="G3126">
        <v>17</v>
      </c>
      <c r="H3126" t="s">
        <v>20</v>
      </c>
      <c r="I3126">
        <v>37.44</v>
      </c>
      <c r="J3126">
        <v>44.21</v>
      </c>
      <c r="K3126">
        <v>61.93</v>
      </c>
      <c r="L3126">
        <v>0.1</v>
      </c>
      <c r="M3126">
        <v>143.58000000000001</v>
      </c>
      <c r="N3126">
        <v>143.68</v>
      </c>
    </row>
    <row r="3127" spans="1:14" x14ac:dyDescent="0.3">
      <c r="A3127" s="2">
        <v>45597</v>
      </c>
      <c r="B3127" t="s">
        <v>72</v>
      </c>
      <c r="C3127">
        <v>2024</v>
      </c>
      <c r="D3127">
        <v>11</v>
      </c>
      <c r="E3127" t="s">
        <v>56</v>
      </c>
      <c r="F3127" t="s">
        <v>41</v>
      </c>
      <c r="G3127">
        <v>15</v>
      </c>
      <c r="H3127" t="s">
        <v>20</v>
      </c>
      <c r="I3127">
        <v>13.64</v>
      </c>
      <c r="J3127">
        <v>18.489999999999998</v>
      </c>
      <c r="K3127">
        <v>5.73</v>
      </c>
      <c r="L3127">
        <v>0.02</v>
      </c>
      <c r="M3127">
        <v>37.86</v>
      </c>
      <c r="N3127">
        <v>37.880000000000003</v>
      </c>
    </row>
    <row r="3128" spans="1:14" x14ac:dyDescent="0.3">
      <c r="A3128" s="2">
        <v>45597</v>
      </c>
      <c r="B3128" t="s">
        <v>72</v>
      </c>
      <c r="C3128">
        <v>2024</v>
      </c>
      <c r="D3128">
        <v>11</v>
      </c>
      <c r="E3128" t="s">
        <v>56</v>
      </c>
      <c r="F3128" t="s">
        <v>42</v>
      </c>
      <c r="G3128">
        <v>13</v>
      </c>
      <c r="H3128" t="s">
        <v>20</v>
      </c>
      <c r="I3128">
        <v>18.91</v>
      </c>
      <c r="J3128">
        <v>21.38</v>
      </c>
      <c r="K3128">
        <v>10.039999999999999</v>
      </c>
      <c r="L3128">
        <v>1.52</v>
      </c>
      <c r="M3128">
        <v>50.33</v>
      </c>
      <c r="N3128">
        <v>51.85</v>
      </c>
    </row>
    <row r="3129" spans="1:14" x14ac:dyDescent="0.3">
      <c r="A3129" s="2">
        <v>45597</v>
      </c>
      <c r="B3129" t="s">
        <v>72</v>
      </c>
      <c r="C3129">
        <v>2024</v>
      </c>
      <c r="D3129">
        <v>11</v>
      </c>
      <c r="E3129" t="s">
        <v>56</v>
      </c>
      <c r="F3129" t="s">
        <v>43</v>
      </c>
      <c r="G3129">
        <v>21</v>
      </c>
      <c r="H3129" t="s">
        <v>20</v>
      </c>
      <c r="I3129">
        <v>1094.2</v>
      </c>
      <c r="J3129">
        <v>1345.42</v>
      </c>
      <c r="K3129">
        <v>1353.73</v>
      </c>
      <c r="L3129">
        <v>910.9</v>
      </c>
      <c r="M3129">
        <v>3793.35</v>
      </c>
      <c r="N3129">
        <v>4704.25</v>
      </c>
    </row>
    <row r="3130" spans="1:14" x14ac:dyDescent="0.3">
      <c r="A3130" s="2">
        <v>45597</v>
      </c>
      <c r="B3130" t="s">
        <v>72</v>
      </c>
      <c r="C3130">
        <v>2024</v>
      </c>
      <c r="D3130">
        <v>11</v>
      </c>
      <c r="E3130" t="s">
        <v>56</v>
      </c>
      <c r="F3130" t="s">
        <v>44</v>
      </c>
      <c r="G3130">
        <v>34</v>
      </c>
      <c r="H3130" t="s">
        <v>18</v>
      </c>
      <c r="I3130">
        <v>29.45</v>
      </c>
      <c r="J3130">
        <v>46.53</v>
      </c>
      <c r="K3130">
        <v>152.65</v>
      </c>
      <c r="L3130">
        <v>0.44</v>
      </c>
      <c r="M3130">
        <v>228.63</v>
      </c>
      <c r="N3130">
        <v>229.07</v>
      </c>
    </row>
    <row r="3131" spans="1:14" x14ac:dyDescent="0.3">
      <c r="A3131" s="2">
        <v>45597</v>
      </c>
      <c r="B3131" t="s">
        <v>72</v>
      </c>
      <c r="C3131">
        <v>2024</v>
      </c>
      <c r="D3131">
        <v>11</v>
      </c>
      <c r="E3131" t="s">
        <v>56</v>
      </c>
      <c r="F3131" t="s">
        <v>45</v>
      </c>
      <c r="G3131">
        <v>3</v>
      </c>
      <c r="H3131" t="s">
        <v>20</v>
      </c>
      <c r="I3131">
        <v>539.51</v>
      </c>
      <c r="J3131">
        <v>787.29</v>
      </c>
      <c r="K3131">
        <v>964.82</v>
      </c>
      <c r="L3131">
        <v>35.56</v>
      </c>
      <c r="M3131">
        <v>2291.62</v>
      </c>
      <c r="N3131">
        <v>2327.1799999999998</v>
      </c>
    </row>
    <row r="3132" spans="1:14" x14ac:dyDescent="0.3">
      <c r="A3132" s="2">
        <v>45597</v>
      </c>
      <c r="B3132" t="s">
        <v>72</v>
      </c>
      <c r="C3132">
        <v>2024</v>
      </c>
      <c r="D3132">
        <v>11</v>
      </c>
      <c r="E3132" t="s">
        <v>56</v>
      </c>
      <c r="F3132" t="s">
        <v>46</v>
      </c>
      <c r="G3132">
        <v>8</v>
      </c>
      <c r="H3132" t="s">
        <v>20</v>
      </c>
      <c r="I3132">
        <v>1219.69</v>
      </c>
      <c r="J3132">
        <v>1599.86</v>
      </c>
      <c r="K3132">
        <v>1592.32</v>
      </c>
      <c r="L3132">
        <v>210.36</v>
      </c>
      <c r="M3132">
        <v>4411.87</v>
      </c>
      <c r="N3132">
        <v>4622.2299999999996</v>
      </c>
    </row>
    <row r="3133" spans="1:14" x14ac:dyDescent="0.3">
      <c r="A3133" s="2">
        <v>45597</v>
      </c>
      <c r="B3133" t="s">
        <v>72</v>
      </c>
      <c r="C3133">
        <v>2024</v>
      </c>
      <c r="D3133">
        <v>11</v>
      </c>
      <c r="E3133" t="s">
        <v>56</v>
      </c>
      <c r="F3133" t="s">
        <v>47</v>
      </c>
      <c r="G3133">
        <v>11</v>
      </c>
      <c r="H3133" t="s">
        <v>20</v>
      </c>
      <c r="I3133">
        <v>37.51</v>
      </c>
      <c r="J3133">
        <v>47.22</v>
      </c>
      <c r="K3133">
        <v>270.70999999999998</v>
      </c>
      <c r="L3133">
        <v>7.0000000000000007E-2</v>
      </c>
      <c r="M3133">
        <v>355.44</v>
      </c>
      <c r="N3133">
        <v>355.51</v>
      </c>
    </row>
    <row r="3134" spans="1:14" x14ac:dyDescent="0.3">
      <c r="A3134" s="2">
        <v>45597</v>
      </c>
      <c r="B3134" t="s">
        <v>72</v>
      </c>
      <c r="C3134">
        <v>2024</v>
      </c>
      <c r="D3134">
        <v>11</v>
      </c>
      <c r="E3134" t="s">
        <v>56</v>
      </c>
      <c r="F3134" t="s">
        <v>48</v>
      </c>
      <c r="G3134">
        <v>33</v>
      </c>
      <c r="H3134" t="s">
        <v>20</v>
      </c>
      <c r="I3134">
        <v>2941.23</v>
      </c>
      <c r="J3134">
        <v>3923.18</v>
      </c>
      <c r="K3134">
        <v>3462.05</v>
      </c>
      <c r="L3134">
        <v>769.35</v>
      </c>
      <c r="M3134">
        <v>10326.459999999999</v>
      </c>
      <c r="N3134">
        <v>11095.81</v>
      </c>
    </row>
    <row r="3135" spans="1:14" x14ac:dyDescent="0.3">
      <c r="A3135" s="2">
        <v>45597</v>
      </c>
      <c r="B3135" t="s">
        <v>72</v>
      </c>
      <c r="C3135">
        <v>2024</v>
      </c>
      <c r="D3135">
        <v>11</v>
      </c>
      <c r="E3135" t="s">
        <v>56</v>
      </c>
      <c r="F3135" t="s">
        <v>49</v>
      </c>
      <c r="G3135">
        <v>36</v>
      </c>
      <c r="H3135" t="s">
        <v>20</v>
      </c>
      <c r="I3135">
        <v>1373.93</v>
      </c>
      <c r="J3135">
        <v>1769.45</v>
      </c>
      <c r="K3135">
        <v>1521.15</v>
      </c>
      <c r="L3135">
        <v>476.65</v>
      </c>
      <c r="M3135">
        <v>4664.53</v>
      </c>
      <c r="N3135">
        <v>5141.18</v>
      </c>
    </row>
    <row r="3136" spans="1:14" x14ac:dyDescent="0.3">
      <c r="A3136" s="2">
        <v>45597</v>
      </c>
      <c r="B3136" t="s">
        <v>72</v>
      </c>
      <c r="C3136">
        <v>2024</v>
      </c>
      <c r="D3136">
        <v>11</v>
      </c>
      <c r="E3136" t="s">
        <v>56</v>
      </c>
      <c r="F3136" t="s">
        <v>50</v>
      </c>
      <c r="G3136">
        <v>16</v>
      </c>
      <c r="H3136" t="s">
        <v>20</v>
      </c>
      <c r="I3136">
        <v>30.43</v>
      </c>
      <c r="J3136">
        <v>40</v>
      </c>
      <c r="K3136">
        <v>27.87</v>
      </c>
      <c r="L3136">
        <v>0.03</v>
      </c>
      <c r="M3136">
        <v>98.3</v>
      </c>
      <c r="N3136">
        <v>98.33</v>
      </c>
    </row>
    <row r="3137" spans="1:14" x14ac:dyDescent="0.3">
      <c r="A3137" s="2">
        <v>45597</v>
      </c>
      <c r="B3137" t="s">
        <v>72</v>
      </c>
      <c r="C3137">
        <v>2024</v>
      </c>
      <c r="D3137">
        <v>11</v>
      </c>
      <c r="E3137" t="s">
        <v>56</v>
      </c>
      <c r="F3137" t="s">
        <v>51</v>
      </c>
      <c r="G3137">
        <v>9</v>
      </c>
      <c r="H3137" t="s">
        <v>20</v>
      </c>
      <c r="I3137">
        <v>2072.73</v>
      </c>
      <c r="J3137">
        <v>2867.65</v>
      </c>
      <c r="K3137">
        <v>3056.22</v>
      </c>
      <c r="L3137">
        <v>1435.24</v>
      </c>
      <c r="M3137">
        <v>7996.6</v>
      </c>
      <c r="N3137">
        <v>9431.84</v>
      </c>
    </row>
    <row r="3138" spans="1:14" x14ac:dyDescent="0.3">
      <c r="A3138" s="2">
        <v>45597</v>
      </c>
      <c r="B3138" t="s">
        <v>72</v>
      </c>
      <c r="C3138">
        <v>2024</v>
      </c>
      <c r="D3138">
        <v>11</v>
      </c>
      <c r="E3138" t="s">
        <v>56</v>
      </c>
      <c r="F3138" t="s">
        <v>52</v>
      </c>
      <c r="G3138">
        <v>5</v>
      </c>
      <c r="H3138" t="s">
        <v>20</v>
      </c>
      <c r="I3138">
        <v>337.15</v>
      </c>
      <c r="J3138">
        <v>521.66999999999996</v>
      </c>
      <c r="K3138">
        <v>951.34</v>
      </c>
      <c r="L3138">
        <v>13.44</v>
      </c>
      <c r="M3138">
        <v>1810.16</v>
      </c>
      <c r="N3138">
        <v>1823.6</v>
      </c>
    </row>
    <row r="3139" spans="1:14" x14ac:dyDescent="0.3">
      <c r="A3139" s="2">
        <v>45597</v>
      </c>
      <c r="B3139" t="s">
        <v>72</v>
      </c>
      <c r="C3139">
        <v>2024</v>
      </c>
      <c r="D3139">
        <v>11</v>
      </c>
      <c r="E3139" t="s">
        <v>56</v>
      </c>
      <c r="F3139" t="s">
        <v>53</v>
      </c>
      <c r="G3139">
        <v>19</v>
      </c>
      <c r="H3139" t="s">
        <v>20</v>
      </c>
      <c r="I3139">
        <v>1568.77</v>
      </c>
      <c r="J3139">
        <v>1897.28</v>
      </c>
      <c r="K3139">
        <v>1378.52</v>
      </c>
      <c r="L3139">
        <v>361.19</v>
      </c>
      <c r="M3139">
        <v>4844.57</v>
      </c>
      <c r="N3139">
        <v>5205.76</v>
      </c>
    </row>
    <row r="3140" spans="1:14" x14ac:dyDescent="0.3">
      <c r="A3140" s="2">
        <v>45627</v>
      </c>
      <c r="B3140" t="s">
        <v>72</v>
      </c>
      <c r="C3140">
        <v>2024</v>
      </c>
      <c r="D3140">
        <v>12</v>
      </c>
      <c r="E3140" t="s">
        <v>57</v>
      </c>
      <c r="F3140" t="s">
        <v>17</v>
      </c>
      <c r="G3140">
        <v>35</v>
      </c>
      <c r="H3140" t="s">
        <v>18</v>
      </c>
      <c r="I3140">
        <v>18</v>
      </c>
      <c r="J3140">
        <v>23.8</v>
      </c>
      <c r="K3140">
        <v>6.36</v>
      </c>
      <c r="L3140">
        <v>0.46</v>
      </c>
      <c r="M3140">
        <v>48.16</v>
      </c>
      <c r="N3140">
        <v>48.62</v>
      </c>
    </row>
    <row r="3141" spans="1:14" x14ac:dyDescent="0.3">
      <c r="A3141" s="2">
        <v>45627</v>
      </c>
      <c r="B3141" t="s">
        <v>72</v>
      </c>
      <c r="C3141">
        <v>2024</v>
      </c>
      <c r="D3141">
        <v>12</v>
      </c>
      <c r="E3141" t="s">
        <v>57</v>
      </c>
      <c r="F3141" t="s">
        <v>19</v>
      </c>
      <c r="G3141">
        <v>28</v>
      </c>
      <c r="H3141" t="s">
        <v>20</v>
      </c>
      <c r="I3141">
        <v>849.12</v>
      </c>
      <c r="J3141">
        <v>1076</v>
      </c>
      <c r="K3141">
        <v>1181.9000000000001</v>
      </c>
      <c r="L3141">
        <v>208.04</v>
      </c>
      <c r="M3141">
        <v>3107.02</v>
      </c>
      <c r="N3141">
        <v>3315.06</v>
      </c>
    </row>
    <row r="3142" spans="1:14" x14ac:dyDescent="0.3">
      <c r="A3142" s="2">
        <v>45627</v>
      </c>
      <c r="B3142" t="s">
        <v>72</v>
      </c>
      <c r="C3142">
        <v>2024</v>
      </c>
      <c r="D3142">
        <v>12</v>
      </c>
      <c r="E3142" t="s">
        <v>57</v>
      </c>
      <c r="F3142" t="s">
        <v>21</v>
      </c>
      <c r="G3142">
        <v>12</v>
      </c>
      <c r="H3142" t="s">
        <v>20</v>
      </c>
      <c r="I3142">
        <v>25.91</v>
      </c>
      <c r="J3142">
        <v>31.83</v>
      </c>
      <c r="K3142">
        <v>12.46</v>
      </c>
      <c r="L3142">
        <v>0.22</v>
      </c>
      <c r="M3142">
        <v>70.2</v>
      </c>
      <c r="N3142">
        <v>70.42</v>
      </c>
    </row>
    <row r="3143" spans="1:14" x14ac:dyDescent="0.3">
      <c r="A3143" s="2">
        <v>45627</v>
      </c>
      <c r="B3143" t="s">
        <v>72</v>
      </c>
      <c r="C3143">
        <v>2024</v>
      </c>
      <c r="D3143">
        <v>12</v>
      </c>
      <c r="E3143" t="s">
        <v>57</v>
      </c>
      <c r="F3143" t="s">
        <v>22</v>
      </c>
      <c r="G3143">
        <v>18</v>
      </c>
      <c r="H3143" t="s">
        <v>20</v>
      </c>
      <c r="I3143">
        <v>396.2</v>
      </c>
      <c r="J3143">
        <v>505.45</v>
      </c>
      <c r="K3143">
        <v>377.11</v>
      </c>
      <c r="L3143">
        <v>94.87</v>
      </c>
      <c r="M3143">
        <v>1278.76</v>
      </c>
      <c r="N3143">
        <v>1373.63</v>
      </c>
    </row>
    <row r="3144" spans="1:14" x14ac:dyDescent="0.3">
      <c r="A3144" s="2">
        <v>45627</v>
      </c>
      <c r="B3144" t="s">
        <v>72</v>
      </c>
      <c r="C3144">
        <v>2024</v>
      </c>
      <c r="D3144">
        <v>12</v>
      </c>
      <c r="E3144" t="s">
        <v>57</v>
      </c>
      <c r="F3144" t="s">
        <v>23</v>
      </c>
      <c r="G3144">
        <v>10</v>
      </c>
      <c r="H3144" t="s">
        <v>20</v>
      </c>
      <c r="I3144">
        <v>407.54</v>
      </c>
      <c r="J3144">
        <v>768.34</v>
      </c>
      <c r="K3144">
        <v>193.66</v>
      </c>
      <c r="L3144">
        <v>151.43</v>
      </c>
      <c r="M3144">
        <v>1369.54</v>
      </c>
      <c r="N3144">
        <v>1520.97</v>
      </c>
    </row>
    <row r="3145" spans="1:14" x14ac:dyDescent="0.3">
      <c r="A3145" s="2">
        <v>45627</v>
      </c>
      <c r="B3145" t="s">
        <v>72</v>
      </c>
      <c r="C3145">
        <v>2024</v>
      </c>
      <c r="D3145">
        <v>12</v>
      </c>
      <c r="E3145" t="s">
        <v>57</v>
      </c>
      <c r="F3145" t="s">
        <v>24</v>
      </c>
      <c r="G3145">
        <v>4</v>
      </c>
      <c r="H3145" t="s">
        <v>18</v>
      </c>
      <c r="I3145">
        <v>49.32</v>
      </c>
      <c r="J3145">
        <v>65.599999999999994</v>
      </c>
      <c r="K3145">
        <v>103.17</v>
      </c>
      <c r="L3145">
        <v>6.06</v>
      </c>
      <c r="M3145">
        <v>218.09</v>
      </c>
      <c r="N3145">
        <v>224.15</v>
      </c>
    </row>
    <row r="3146" spans="1:14" x14ac:dyDescent="0.3">
      <c r="A3146" s="2">
        <v>45627</v>
      </c>
      <c r="B3146" t="s">
        <v>72</v>
      </c>
      <c r="C3146">
        <v>2024</v>
      </c>
      <c r="D3146">
        <v>12</v>
      </c>
      <c r="E3146" t="s">
        <v>57</v>
      </c>
      <c r="F3146" t="s">
        <v>25</v>
      </c>
      <c r="G3146">
        <v>22</v>
      </c>
      <c r="H3146" t="s">
        <v>20</v>
      </c>
      <c r="I3146">
        <v>580.11</v>
      </c>
      <c r="J3146">
        <v>696.58</v>
      </c>
      <c r="K3146">
        <v>1029.3800000000001</v>
      </c>
      <c r="L3146">
        <v>575.98</v>
      </c>
      <c r="M3146">
        <v>2306.0700000000002</v>
      </c>
      <c r="N3146">
        <v>2882.05</v>
      </c>
    </row>
    <row r="3147" spans="1:14" x14ac:dyDescent="0.3">
      <c r="A3147" s="2">
        <v>45627</v>
      </c>
      <c r="B3147" t="s">
        <v>72</v>
      </c>
      <c r="C3147">
        <v>2024</v>
      </c>
      <c r="D3147">
        <v>12</v>
      </c>
      <c r="E3147" t="s">
        <v>57</v>
      </c>
      <c r="F3147" t="s">
        <v>26</v>
      </c>
      <c r="G3147">
        <v>38</v>
      </c>
      <c r="H3147" t="s">
        <v>18</v>
      </c>
      <c r="I3147">
        <v>45.51</v>
      </c>
      <c r="J3147">
        <v>55.35</v>
      </c>
      <c r="K3147">
        <v>229.98</v>
      </c>
      <c r="L3147">
        <v>1.5</v>
      </c>
      <c r="M3147">
        <v>330.84</v>
      </c>
      <c r="N3147">
        <v>332.34</v>
      </c>
    </row>
    <row r="3148" spans="1:14" x14ac:dyDescent="0.3">
      <c r="A3148" s="2">
        <v>45627</v>
      </c>
      <c r="B3148" t="s">
        <v>72</v>
      </c>
      <c r="C3148">
        <v>2024</v>
      </c>
      <c r="D3148">
        <v>12</v>
      </c>
      <c r="E3148" t="s">
        <v>57</v>
      </c>
      <c r="F3148" t="s">
        <v>27</v>
      </c>
      <c r="G3148">
        <v>7</v>
      </c>
      <c r="H3148" t="s">
        <v>18</v>
      </c>
      <c r="I3148">
        <v>1158.23</v>
      </c>
      <c r="J3148">
        <v>1352.77</v>
      </c>
      <c r="K3148">
        <v>2989.91</v>
      </c>
      <c r="L3148">
        <v>92.36</v>
      </c>
      <c r="M3148">
        <v>5500.91</v>
      </c>
      <c r="N3148">
        <v>5593.27</v>
      </c>
    </row>
    <row r="3149" spans="1:14" x14ac:dyDescent="0.3">
      <c r="A3149" s="2">
        <v>45627</v>
      </c>
      <c r="B3149" t="s">
        <v>72</v>
      </c>
      <c r="C3149">
        <v>2024</v>
      </c>
      <c r="D3149">
        <v>12</v>
      </c>
      <c r="E3149" t="s">
        <v>57</v>
      </c>
      <c r="F3149" t="s">
        <v>28</v>
      </c>
      <c r="G3149">
        <v>30</v>
      </c>
      <c r="H3149" t="s">
        <v>20</v>
      </c>
      <c r="I3149">
        <v>177.55</v>
      </c>
      <c r="J3149">
        <v>219.41</v>
      </c>
      <c r="K3149">
        <v>178.07</v>
      </c>
      <c r="L3149">
        <v>3.28</v>
      </c>
      <c r="M3149">
        <v>575.03</v>
      </c>
      <c r="N3149">
        <v>578.30999999999995</v>
      </c>
    </row>
    <row r="3150" spans="1:14" x14ac:dyDescent="0.3">
      <c r="A3150" s="2">
        <v>45627</v>
      </c>
      <c r="B3150" t="s">
        <v>72</v>
      </c>
      <c r="C3150">
        <v>2024</v>
      </c>
      <c r="D3150">
        <v>12</v>
      </c>
      <c r="E3150" t="s">
        <v>57</v>
      </c>
      <c r="F3150" t="s">
        <v>29</v>
      </c>
      <c r="G3150">
        <v>24</v>
      </c>
      <c r="H3150" t="s">
        <v>20</v>
      </c>
      <c r="I3150">
        <v>2785.75</v>
      </c>
      <c r="J3150">
        <v>3328.49</v>
      </c>
      <c r="K3150">
        <v>3501.67</v>
      </c>
      <c r="L3150">
        <v>663.45</v>
      </c>
      <c r="M3150">
        <v>9615.91</v>
      </c>
      <c r="N3150">
        <v>10279.36</v>
      </c>
    </row>
    <row r="3151" spans="1:14" x14ac:dyDescent="0.3">
      <c r="A3151" s="2">
        <v>45627</v>
      </c>
      <c r="B3151" t="s">
        <v>72</v>
      </c>
      <c r="C3151">
        <v>2024</v>
      </c>
      <c r="D3151">
        <v>12</v>
      </c>
      <c r="E3151" t="s">
        <v>57</v>
      </c>
      <c r="F3151" t="s">
        <v>30</v>
      </c>
      <c r="G3151">
        <v>6</v>
      </c>
      <c r="H3151" t="s">
        <v>20</v>
      </c>
      <c r="I3151">
        <v>1469.32</v>
      </c>
      <c r="J3151">
        <v>1810.99</v>
      </c>
      <c r="K3151">
        <v>6495.48</v>
      </c>
      <c r="L3151">
        <v>627.6</v>
      </c>
      <c r="M3151">
        <v>9775.7900000000009</v>
      </c>
      <c r="N3151">
        <v>10403.39</v>
      </c>
    </row>
    <row r="3152" spans="1:14" x14ac:dyDescent="0.3">
      <c r="A3152" s="2">
        <v>45627</v>
      </c>
      <c r="B3152" t="s">
        <v>72</v>
      </c>
      <c r="C3152">
        <v>2024</v>
      </c>
      <c r="D3152">
        <v>12</v>
      </c>
      <c r="E3152" t="s">
        <v>57</v>
      </c>
      <c r="F3152" t="s">
        <v>31</v>
      </c>
      <c r="G3152">
        <v>2</v>
      </c>
      <c r="H3152" t="s">
        <v>20</v>
      </c>
      <c r="I3152">
        <v>145.33000000000001</v>
      </c>
      <c r="J3152">
        <v>200.51</v>
      </c>
      <c r="K3152">
        <v>468</v>
      </c>
      <c r="L3152">
        <v>1.78</v>
      </c>
      <c r="M3152">
        <v>813.84</v>
      </c>
      <c r="N3152">
        <v>815.62</v>
      </c>
    </row>
    <row r="3153" spans="1:14" x14ac:dyDescent="0.3">
      <c r="A3153" s="2">
        <v>45627</v>
      </c>
      <c r="B3153" t="s">
        <v>72</v>
      </c>
      <c r="C3153">
        <v>2024</v>
      </c>
      <c r="D3153">
        <v>12</v>
      </c>
      <c r="E3153" t="s">
        <v>57</v>
      </c>
      <c r="F3153" t="s">
        <v>32</v>
      </c>
      <c r="G3153">
        <v>1</v>
      </c>
      <c r="H3153" t="s">
        <v>18</v>
      </c>
      <c r="I3153">
        <v>153.41999999999999</v>
      </c>
      <c r="J3153">
        <v>221.49</v>
      </c>
      <c r="K3153">
        <v>167.62</v>
      </c>
      <c r="L3153">
        <v>4.3099999999999996</v>
      </c>
      <c r="M3153">
        <v>542.53</v>
      </c>
      <c r="N3153">
        <v>546.84</v>
      </c>
    </row>
    <row r="3154" spans="1:14" x14ac:dyDescent="0.3">
      <c r="A3154" s="2">
        <v>45627</v>
      </c>
      <c r="B3154" t="s">
        <v>72</v>
      </c>
      <c r="C3154">
        <v>2024</v>
      </c>
      <c r="D3154">
        <v>12</v>
      </c>
      <c r="E3154" t="s">
        <v>57</v>
      </c>
      <c r="F3154" t="s">
        <v>33</v>
      </c>
      <c r="G3154">
        <v>20</v>
      </c>
      <c r="H3154" t="s">
        <v>20</v>
      </c>
      <c r="I3154">
        <v>548.53</v>
      </c>
      <c r="J3154">
        <v>704.9</v>
      </c>
      <c r="K3154">
        <v>1074.6300000000001</v>
      </c>
      <c r="L3154">
        <v>653.36</v>
      </c>
      <c r="M3154">
        <v>2328.06</v>
      </c>
      <c r="N3154">
        <v>2981.42</v>
      </c>
    </row>
    <row r="3155" spans="1:14" x14ac:dyDescent="0.3">
      <c r="A3155" s="2">
        <v>45627</v>
      </c>
      <c r="B3155" t="s">
        <v>72</v>
      </c>
      <c r="C3155">
        <v>2024</v>
      </c>
      <c r="D3155">
        <v>12</v>
      </c>
      <c r="E3155" t="s">
        <v>57</v>
      </c>
      <c r="F3155" t="s">
        <v>34</v>
      </c>
      <c r="G3155">
        <v>29</v>
      </c>
      <c r="H3155" t="s">
        <v>20</v>
      </c>
      <c r="I3155">
        <v>2947.4</v>
      </c>
      <c r="J3155">
        <v>3651.44</v>
      </c>
      <c r="K3155">
        <v>4551.2299999999996</v>
      </c>
      <c r="L3155">
        <v>1376.17</v>
      </c>
      <c r="M3155">
        <v>11150.07</v>
      </c>
      <c r="N3155">
        <v>12526.24</v>
      </c>
    </row>
    <row r="3156" spans="1:14" x14ac:dyDescent="0.3">
      <c r="A3156" s="2">
        <v>45627</v>
      </c>
      <c r="B3156" t="s">
        <v>72</v>
      </c>
      <c r="C3156">
        <v>2024</v>
      </c>
      <c r="D3156">
        <v>12</v>
      </c>
      <c r="E3156" t="s">
        <v>57</v>
      </c>
      <c r="F3156" t="s">
        <v>35</v>
      </c>
      <c r="G3156">
        <v>32</v>
      </c>
      <c r="H3156" t="s">
        <v>20</v>
      </c>
      <c r="I3156">
        <v>928.58</v>
      </c>
      <c r="J3156">
        <v>1183.93</v>
      </c>
      <c r="K3156">
        <v>455.94</v>
      </c>
      <c r="L3156">
        <v>6.6</v>
      </c>
      <c r="M3156">
        <v>2568.4499999999998</v>
      </c>
      <c r="N3156">
        <v>2575.0500000000002</v>
      </c>
    </row>
    <row r="3157" spans="1:14" x14ac:dyDescent="0.3">
      <c r="A3157" s="2">
        <v>45627</v>
      </c>
      <c r="B3157" t="s">
        <v>72</v>
      </c>
      <c r="C3157">
        <v>2024</v>
      </c>
      <c r="D3157">
        <v>12</v>
      </c>
      <c r="E3157" t="s">
        <v>57</v>
      </c>
      <c r="F3157" t="s">
        <v>67</v>
      </c>
      <c r="G3157">
        <v>37</v>
      </c>
      <c r="H3157" t="s">
        <v>18</v>
      </c>
      <c r="I3157">
        <v>25.66</v>
      </c>
      <c r="J3157">
        <v>32.85</v>
      </c>
      <c r="K3157">
        <v>6.16</v>
      </c>
      <c r="L3157">
        <v>0.21</v>
      </c>
      <c r="M3157">
        <v>64.67</v>
      </c>
      <c r="N3157">
        <v>64.88</v>
      </c>
    </row>
    <row r="3158" spans="1:14" x14ac:dyDescent="0.3">
      <c r="A3158" s="2">
        <v>45627</v>
      </c>
      <c r="B3158" t="s">
        <v>72</v>
      </c>
      <c r="C3158">
        <v>2024</v>
      </c>
      <c r="D3158">
        <v>12</v>
      </c>
      <c r="E3158" t="s">
        <v>57</v>
      </c>
      <c r="F3158" t="s">
        <v>36</v>
      </c>
      <c r="G3158">
        <v>31</v>
      </c>
      <c r="H3158" t="s">
        <v>18</v>
      </c>
      <c r="I3158">
        <v>0.3</v>
      </c>
      <c r="J3158">
        <v>0.35</v>
      </c>
      <c r="K3158">
        <v>1.0900000000000001</v>
      </c>
      <c r="L3158">
        <v>0</v>
      </c>
      <c r="M3158">
        <v>1.74</v>
      </c>
      <c r="N3158">
        <v>1.74</v>
      </c>
    </row>
    <row r="3159" spans="1:14" x14ac:dyDescent="0.3">
      <c r="A3159" s="2">
        <v>45627</v>
      </c>
      <c r="B3159" t="s">
        <v>72</v>
      </c>
      <c r="C3159">
        <v>2024</v>
      </c>
      <c r="D3159">
        <v>12</v>
      </c>
      <c r="E3159" t="s">
        <v>57</v>
      </c>
      <c r="F3159" t="s">
        <v>37</v>
      </c>
      <c r="G3159">
        <v>23</v>
      </c>
      <c r="H3159" t="s">
        <v>20</v>
      </c>
      <c r="I3159">
        <v>858.78</v>
      </c>
      <c r="J3159">
        <v>1064.53</v>
      </c>
      <c r="K3159">
        <v>843.67</v>
      </c>
      <c r="L3159">
        <v>693.2</v>
      </c>
      <c r="M3159">
        <v>2766.98</v>
      </c>
      <c r="N3159">
        <v>3460.18</v>
      </c>
    </row>
    <row r="3160" spans="1:14" x14ac:dyDescent="0.3">
      <c r="A3160" s="2">
        <v>45627</v>
      </c>
      <c r="B3160" t="s">
        <v>72</v>
      </c>
      <c r="C3160">
        <v>2024</v>
      </c>
      <c r="D3160">
        <v>12</v>
      </c>
      <c r="E3160" t="s">
        <v>57</v>
      </c>
      <c r="F3160" t="s">
        <v>38</v>
      </c>
      <c r="G3160">
        <v>27</v>
      </c>
      <c r="H3160" t="s">
        <v>20</v>
      </c>
      <c r="I3160">
        <v>8342.31</v>
      </c>
      <c r="J3160">
        <v>9465.08</v>
      </c>
      <c r="K3160">
        <v>9386.69</v>
      </c>
      <c r="L3160">
        <v>2066.34</v>
      </c>
      <c r="M3160">
        <v>27194.080000000002</v>
      </c>
      <c r="N3160">
        <v>29260.42</v>
      </c>
    </row>
    <row r="3161" spans="1:14" x14ac:dyDescent="0.3">
      <c r="A3161" s="2">
        <v>45627</v>
      </c>
      <c r="B3161" t="s">
        <v>72</v>
      </c>
      <c r="C3161">
        <v>2024</v>
      </c>
      <c r="D3161">
        <v>12</v>
      </c>
      <c r="E3161" t="s">
        <v>57</v>
      </c>
      <c r="F3161" t="s">
        <v>39</v>
      </c>
      <c r="G3161">
        <v>14</v>
      </c>
      <c r="H3161" t="s">
        <v>20</v>
      </c>
      <c r="I3161">
        <v>14.9</v>
      </c>
      <c r="J3161">
        <v>21.28</v>
      </c>
      <c r="K3161">
        <v>9.5500000000000007</v>
      </c>
      <c r="L3161">
        <v>0.12</v>
      </c>
      <c r="M3161">
        <v>45.73</v>
      </c>
      <c r="N3161">
        <v>45.85</v>
      </c>
    </row>
    <row r="3162" spans="1:14" x14ac:dyDescent="0.3">
      <c r="A3162" s="2">
        <v>45627</v>
      </c>
      <c r="B3162" t="s">
        <v>72</v>
      </c>
      <c r="C3162">
        <v>2024</v>
      </c>
      <c r="D3162">
        <v>12</v>
      </c>
      <c r="E3162" t="s">
        <v>57</v>
      </c>
      <c r="F3162" t="s">
        <v>40</v>
      </c>
      <c r="G3162">
        <v>17</v>
      </c>
      <c r="H3162" t="s">
        <v>20</v>
      </c>
      <c r="I3162">
        <v>30.47</v>
      </c>
      <c r="J3162">
        <v>36.630000000000003</v>
      </c>
      <c r="K3162">
        <v>79.14</v>
      </c>
      <c r="L3162">
        <v>3.98</v>
      </c>
      <c r="M3162">
        <v>146.24</v>
      </c>
      <c r="N3162">
        <v>150.22</v>
      </c>
    </row>
    <row r="3163" spans="1:14" x14ac:dyDescent="0.3">
      <c r="A3163" s="2">
        <v>45627</v>
      </c>
      <c r="B3163" t="s">
        <v>72</v>
      </c>
      <c r="C3163">
        <v>2024</v>
      </c>
      <c r="D3163">
        <v>12</v>
      </c>
      <c r="E3163" t="s">
        <v>57</v>
      </c>
      <c r="F3163" t="s">
        <v>41</v>
      </c>
      <c r="G3163">
        <v>15</v>
      </c>
      <c r="H3163" t="s">
        <v>20</v>
      </c>
      <c r="I3163">
        <v>10.95</v>
      </c>
      <c r="J3163">
        <v>13.55</v>
      </c>
      <c r="K3163">
        <v>3.74</v>
      </c>
      <c r="L3163">
        <v>0.03</v>
      </c>
      <c r="M3163">
        <v>28.24</v>
      </c>
      <c r="N3163">
        <v>28.27</v>
      </c>
    </row>
    <row r="3164" spans="1:14" x14ac:dyDescent="0.3">
      <c r="A3164" s="2">
        <v>45627</v>
      </c>
      <c r="B3164" t="s">
        <v>72</v>
      </c>
      <c r="C3164">
        <v>2024</v>
      </c>
      <c r="D3164">
        <v>12</v>
      </c>
      <c r="E3164" t="s">
        <v>57</v>
      </c>
      <c r="F3164" t="s">
        <v>42</v>
      </c>
      <c r="G3164">
        <v>13</v>
      </c>
      <c r="H3164" t="s">
        <v>20</v>
      </c>
      <c r="I3164">
        <v>17.36</v>
      </c>
      <c r="J3164">
        <v>21.51</v>
      </c>
      <c r="K3164">
        <v>9.5500000000000007</v>
      </c>
      <c r="L3164">
        <v>2.42</v>
      </c>
      <c r="M3164">
        <v>48.42</v>
      </c>
      <c r="N3164">
        <v>50.84</v>
      </c>
    </row>
    <row r="3165" spans="1:14" x14ac:dyDescent="0.3">
      <c r="A3165" s="2">
        <v>45627</v>
      </c>
      <c r="B3165" t="s">
        <v>72</v>
      </c>
      <c r="C3165">
        <v>2024</v>
      </c>
      <c r="D3165">
        <v>12</v>
      </c>
      <c r="E3165" t="s">
        <v>57</v>
      </c>
      <c r="F3165" t="s">
        <v>43</v>
      </c>
      <c r="G3165">
        <v>21</v>
      </c>
      <c r="H3165" t="s">
        <v>20</v>
      </c>
      <c r="I3165">
        <v>1136.3800000000001</v>
      </c>
      <c r="J3165">
        <v>1354.02</v>
      </c>
      <c r="K3165">
        <v>1488.43</v>
      </c>
      <c r="L3165">
        <v>862.44</v>
      </c>
      <c r="M3165">
        <v>3978.83</v>
      </c>
      <c r="N3165">
        <v>4841.2700000000004</v>
      </c>
    </row>
    <row r="3166" spans="1:14" x14ac:dyDescent="0.3">
      <c r="A3166" s="2">
        <v>45627</v>
      </c>
      <c r="B3166" t="s">
        <v>72</v>
      </c>
      <c r="C3166">
        <v>2024</v>
      </c>
      <c r="D3166">
        <v>12</v>
      </c>
      <c r="E3166" t="s">
        <v>57</v>
      </c>
      <c r="F3166" t="s">
        <v>44</v>
      </c>
      <c r="G3166">
        <v>34</v>
      </c>
      <c r="H3166" t="s">
        <v>18</v>
      </c>
      <c r="I3166">
        <v>29.54</v>
      </c>
      <c r="J3166">
        <v>44.22</v>
      </c>
      <c r="K3166">
        <v>151.72</v>
      </c>
      <c r="L3166">
        <v>2.4900000000000002</v>
      </c>
      <c r="M3166">
        <v>225.48</v>
      </c>
      <c r="N3166">
        <v>227.97</v>
      </c>
    </row>
    <row r="3167" spans="1:14" x14ac:dyDescent="0.3">
      <c r="A3167" s="2">
        <v>45627</v>
      </c>
      <c r="B3167" t="s">
        <v>72</v>
      </c>
      <c r="C3167">
        <v>2024</v>
      </c>
      <c r="D3167">
        <v>12</v>
      </c>
      <c r="E3167" t="s">
        <v>57</v>
      </c>
      <c r="F3167" t="s">
        <v>45</v>
      </c>
      <c r="G3167">
        <v>3</v>
      </c>
      <c r="H3167" t="s">
        <v>20</v>
      </c>
      <c r="I3167">
        <v>537.38</v>
      </c>
      <c r="J3167">
        <v>728.01</v>
      </c>
      <c r="K3167">
        <v>1001.9</v>
      </c>
      <c r="L3167">
        <v>26.32</v>
      </c>
      <c r="M3167">
        <v>2267.29</v>
      </c>
      <c r="N3167">
        <v>2293.61</v>
      </c>
    </row>
    <row r="3168" spans="1:14" x14ac:dyDescent="0.3">
      <c r="A3168" s="2">
        <v>45627</v>
      </c>
      <c r="B3168" t="s">
        <v>72</v>
      </c>
      <c r="C3168">
        <v>2024</v>
      </c>
      <c r="D3168">
        <v>12</v>
      </c>
      <c r="E3168" t="s">
        <v>57</v>
      </c>
      <c r="F3168" t="s">
        <v>46</v>
      </c>
      <c r="G3168">
        <v>8</v>
      </c>
      <c r="H3168" t="s">
        <v>20</v>
      </c>
      <c r="I3168">
        <v>1134.0999999999999</v>
      </c>
      <c r="J3168">
        <v>1419.19</v>
      </c>
      <c r="K3168">
        <v>1418.32</v>
      </c>
      <c r="L3168">
        <v>174.87</v>
      </c>
      <c r="M3168">
        <v>3971.61</v>
      </c>
      <c r="N3168">
        <v>4146.4799999999996</v>
      </c>
    </row>
    <row r="3169" spans="1:14" x14ac:dyDescent="0.3">
      <c r="A3169" s="2">
        <v>45627</v>
      </c>
      <c r="B3169" t="s">
        <v>72</v>
      </c>
      <c r="C3169">
        <v>2024</v>
      </c>
      <c r="D3169">
        <v>12</v>
      </c>
      <c r="E3169" t="s">
        <v>57</v>
      </c>
      <c r="F3169" t="s">
        <v>47</v>
      </c>
      <c r="G3169">
        <v>11</v>
      </c>
      <c r="H3169" t="s">
        <v>20</v>
      </c>
      <c r="I3169">
        <v>29.21</v>
      </c>
      <c r="J3169">
        <v>37.79</v>
      </c>
      <c r="K3169">
        <v>262.37</v>
      </c>
      <c r="L3169">
        <v>0.12</v>
      </c>
      <c r="M3169">
        <v>329.37</v>
      </c>
      <c r="N3169">
        <v>329.49</v>
      </c>
    </row>
    <row r="3170" spans="1:14" x14ac:dyDescent="0.3">
      <c r="A3170" s="2">
        <v>45627</v>
      </c>
      <c r="B3170" t="s">
        <v>72</v>
      </c>
      <c r="C3170">
        <v>2024</v>
      </c>
      <c r="D3170">
        <v>12</v>
      </c>
      <c r="E3170" t="s">
        <v>57</v>
      </c>
      <c r="F3170" t="s">
        <v>48</v>
      </c>
      <c r="G3170">
        <v>33</v>
      </c>
      <c r="H3170" t="s">
        <v>20</v>
      </c>
      <c r="I3170">
        <v>2797.99</v>
      </c>
      <c r="J3170">
        <v>3707.16</v>
      </c>
      <c r="K3170">
        <v>3653.33</v>
      </c>
      <c r="L3170">
        <v>797.52</v>
      </c>
      <c r="M3170">
        <v>10158.48</v>
      </c>
      <c r="N3170">
        <v>10956</v>
      </c>
    </row>
    <row r="3171" spans="1:14" x14ac:dyDescent="0.3">
      <c r="A3171" s="2">
        <v>45627</v>
      </c>
      <c r="B3171" t="s">
        <v>72</v>
      </c>
      <c r="C3171">
        <v>2024</v>
      </c>
      <c r="D3171">
        <v>12</v>
      </c>
      <c r="E3171" t="s">
        <v>57</v>
      </c>
      <c r="F3171" t="s">
        <v>49</v>
      </c>
      <c r="G3171">
        <v>36</v>
      </c>
      <c r="H3171" t="s">
        <v>20</v>
      </c>
      <c r="I3171">
        <v>1442.23</v>
      </c>
      <c r="J3171">
        <v>1816.51</v>
      </c>
      <c r="K3171">
        <v>1422.47</v>
      </c>
      <c r="L3171">
        <v>542.41999999999996</v>
      </c>
      <c r="M3171">
        <v>4681.21</v>
      </c>
      <c r="N3171">
        <v>5223.63</v>
      </c>
    </row>
    <row r="3172" spans="1:14" x14ac:dyDescent="0.3">
      <c r="A3172" s="2">
        <v>45627</v>
      </c>
      <c r="B3172" t="s">
        <v>72</v>
      </c>
      <c r="C3172">
        <v>2024</v>
      </c>
      <c r="D3172">
        <v>12</v>
      </c>
      <c r="E3172" t="s">
        <v>57</v>
      </c>
      <c r="F3172" t="s">
        <v>50</v>
      </c>
      <c r="G3172">
        <v>16</v>
      </c>
      <c r="H3172" t="s">
        <v>20</v>
      </c>
      <c r="I3172">
        <v>32.479999999999997</v>
      </c>
      <c r="J3172">
        <v>39.840000000000003</v>
      </c>
      <c r="K3172">
        <v>10.63</v>
      </c>
      <c r="L3172">
        <v>0.11</v>
      </c>
      <c r="M3172">
        <v>82.95</v>
      </c>
      <c r="N3172">
        <v>83.06</v>
      </c>
    </row>
    <row r="3173" spans="1:14" x14ac:dyDescent="0.3">
      <c r="A3173" s="2">
        <v>45627</v>
      </c>
      <c r="B3173" t="s">
        <v>72</v>
      </c>
      <c r="C3173">
        <v>2024</v>
      </c>
      <c r="D3173">
        <v>12</v>
      </c>
      <c r="E3173" t="s">
        <v>57</v>
      </c>
      <c r="F3173" t="s">
        <v>51</v>
      </c>
      <c r="G3173">
        <v>9</v>
      </c>
      <c r="H3173" t="s">
        <v>20</v>
      </c>
      <c r="I3173">
        <v>1881.8</v>
      </c>
      <c r="J3173">
        <v>2535.19</v>
      </c>
      <c r="K3173">
        <v>2340.5</v>
      </c>
      <c r="L3173">
        <v>1359.5</v>
      </c>
      <c r="M3173">
        <v>6757.49</v>
      </c>
      <c r="N3173">
        <v>8116.99</v>
      </c>
    </row>
    <row r="3174" spans="1:14" x14ac:dyDescent="0.3">
      <c r="A3174" s="2">
        <v>45627</v>
      </c>
      <c r="B3174" t="s">
        <v>72</v>
      </c>
      <c r="C3174">
        <v>2024</v>
      </c>
      <c r="D3174">
        <v>12</v>
      </c>
      <c r="E3174" t="s">
        <v>57</v>
      </c>
      <c r="F3174" t="s">
        <v>52</v>
      </c>
      <c r="G3174">
        <v>5</v>
      </c>
      <c r="H3174" t="s">
        <v>20</v>
      </c>
      <c r="I3174">
        <v>295.68</v>
      </c>
      <c r="J3174">
        <v>439.24</v>
      </c>
      <c r="K3174">
        <v>803.69</v>
      </c>
      <c r="L3174">
        <v>8.7799999999999994</v>
      </c>
      <c r="M3174">
        <v>1538.61</v>
      </c>
      <c r="N3174">
        <v>1547.39</v>
      </c>
    </row>
    <row r="3175" spans="1:14" x14ac:dyDescent="0.3">
      <c r="A3175" s="2">
        <v>45627</v>
      </c>
      <c r="B3175" t="s">
        <v>72</v>
      </c>
      <c r="C3175">
        <v>2024</v>
      </c>
      <c r="D3175">
        <v>12</v>
      </c>
      <c r="E3175" t="s">
        <v>57</v>
      </c>
      <c r="F3175" t="s">
        <v>53</v>
      </c>
      <c r="G3175">
        <v>19</v>
      </c>
      <c r="H3175" t="s">
        <v>20</v>
      </c>
      <c r="I3175">
        <v>1518.15</v>
      </c>
      <c r="J3175">
        <v>1809.4</v>
      </c>
      <c r="K3175">
        <v>1399.52</v>
      </c>
      <c r="L3175">
        <v>462.46</v>
      </c>
      <c r="M3175">
        <v>4727.07</v>
      </c>
      <c r="N3175">
        <v>5189.53</v>
      </c>
    </row>
    <row r="3176" spans="1:14" x14ac:dyDescent="0.3">
      <c r="A3176" s="2">
        <v>45658</v>
      </c>
      <c r="B3176" t="s">
        <v>72</v>
      </c>
      <c r="C3176">
        <v>2025</v>
      </c>
      <c r="D3176">
        <v>1</v>
      </c>
      <c r="E3176" t="s">
        <v>58</v>
      </c>
      <c r="F3176" t="s">
        <v>17</v>
      </c>
      <c r="G3176">
        <v>35</v>
      </c>
      <c r="H3176" t="s">
        <v>18</v>
      </c>
      <c r="I3176">
        <v>17.72</v>
      </c>
      <c r="J3176">
        <v>21.57</v>
      </c>
      <c r="K3176">
        <v>4.13</v>
      </c>
      <c r="L3176">
        <v>0.06</v>
      </c>
      <c r="M3176">
        <v>43.42</v>
      </c>
      <c r="N3176">
        <v>43.48</v>
      </c>
    </row>
    <row r="3177" spans="1:14" x14ac:dyDescent="0.3">
      <c r="A3177" s="2">
        <v>45658</v>
      </c>
      <c r="B3177" t="s">
        <v>72</v>
      </c>
      <c r="C3177">
        <v>2025</v>
      </c>
      <c r="D3177">
        <v>1</v>
      </c>
      <c r="E3177" t="s">
        <v>58</v>
      </c>
      <c r="F3177" t="s">
        <v>19</v>
      </c>
      <c r="G3177">
        <v>28</v>
      </c>
      <c r="H3177" t="s">
        <v>20</v>
      </c>
      <c r="I3177">
        <v>919.18</v>
      </c>
      <c r="J3177">
        <v>1184.57</v>
      </c>
      <c r="K3177">
        <v>1378.31</v>
      </c>
      <c r="L3177">
        <v>121.45</v>
      </c>
      <c r="M3177">
        <v>3482.06</v>
      </c>
      <c r="N3177">
        <v>3603.51</v>
      </c>
    </row>
    <row r="3178" spans="1:14" x14ac:dyDescent="0.3">
      <c r="A3178" s="2">
        <v>45658</v>
      </c>
      <c r="B3178" t="s">
        <v>72</v>
      </c>
      <c r="C3178">
        <v>2025</v>
      </c>
      <c r="D3178">
        <v>1</v>
      </c>
      <c r="E3178" t="s">
        <v>58</v>
      </c>
      <c r="F3178" t="s">
        <v>21</v>
      </c>
      <c r="G3178">
        <v>12</v>
      </c>
      <c r="H3178" t="s">
        <v>20</v>
      </c>
      <c r="I3178">
        <v>34.53</v>
      </c>
      <c r="J3178">
        <v>41.2</v>
      </c>
      <c r="K3178">
        <v>12.84</v>
      </c>
      <c r="L3178">
        <v>0.17</v>
      </c>
      <c r="M3178">
        <v>88.57</v>
      </c>
      <c r="N3178">
        <v>88.74</v>
      </c>
    </row>
    <row r="3179" spans="1:14" x14ac:dyDescent="0.3">
      <c r="A3179" s="2">
        <v>45658</v>
      </c>
      <c r="B3179" t="s">
        <v>72</v>
      </c>
      <c r="C3179">
        <v>2025</v>
      </c>
      <c r="D3179">
        <v>1</v>
      </c>
      <c r="E3179" t="s">
        <v>58</v>
      </c>
      <c r="F3179" t="s">
        <v>22</v>
      </c>
      <c r="G3179">
        <v>18</v>
      </c>
      <c r="H3179" t="s">
        <v>20</v>
      </c>
      <c r="I3179">
        <v>424.57</v>
      </c>
      <c r="J3179">
        <v>562.75</v>
      </c>
      <c r="K3179">
        <v>372.59</v>
      </c>
      <c r="L3179">
        <v>106.11</v>
      </c>
      <c r="M3179">
        <v>1359.91</v>
      </c>
      <c r="N3179">
        <v>1466.02</v>
      </c>
    </row>
    <row r="3180" spans="1:14" x14ac:dyDescent="0.3">
      <c r="A3180" s="2">
        <v>45658</v>
      </c>
      <c r="B3180" t="s">
        <v>72</v>
      </c>
      <c r="C3180">
        <v>2025</v>
      </c>
      <c r="D3180">
        <v>1</v>
      </c>
      <c r="E3180" t="s">
        <v>58</v>
      </c>
      <c r="F3180" t="s">
        <v>23</v>
      </c>
      <c r="G3180">
        <v>10</v>
      </c>
      <c r="H3180" t="s">
        <v>20</v>
      </c>
      <c r="I3180">
        <v>422.33</v>
      </c>
      <c r="J3180">
        <v>866.25</v>
      </c>
      <c r="K3180">
        <v>229.57</v>
      </c>
      <c r="L3180">
        <v>166.21</v>
      </c>
      <c r="M3180">
        <v>1518.15</v>
      </c>
      <c r="N3180">
        <v>1684.36</v>
      </c>
    </row>
    <row r="3181" spans="1:14" x14ac:dyDescent="0.3">
      <c r="A3181" s="2">
        <v>45658</v>
      </c>
      <c r="B3181" t="s">
        <v>72</v>
      </c>
      <c r="C3181">
        <v>2025</v>
      </c>
      <c r="D3181">
        <v>1</v>
      </c>
      <c r="E3181" t="s">
        <v>58</v>
      </c>
      <c r="F3181" t="s">
        <v>24</v>
      </c>
      <c r="G3181">
        <v>4</v>
      </c>
      <c r="H3181" t="s">
        <v>18</v>
      </c>
      <c r="I3181">
        <v>58</v>
      </c>
      <c r="J3181">
        <v>81.86</v>
      </c>
      <c r="K3181">
        <v>122.62</v>
      </c>
      <c r="L3181">
        <v>8.56</v>
      </c>
      <c r="M3181">
        <v>262.48</v>
      </c>
      <c r="N3181">
        <v>271.04000000000002</v>
      </c>
    </row>
    <row r="3182" spans="1:14" x14ac:dyDescent="0.3">
      <c r="A3182" s="2">
        <v>45658</v>
      </c>
      <c r="B3182" t="s">
        <v>72</v>
      </c>
      <c r="C3182">
        <v>2025</v>
      </c>
      <c r="D3182">
        <v>1</v>
      </c>
      <c r="E3182" t="s">
        <v>58</v>
      </c>
      <c r="F3182" t="s">
        <v>25</v>
      </c>
      <c r="G3182">
        <v>22</v>
      </c>
      <c r="H3182" t="s">
        <v>20</v>
      </c>
      <c r="I3182">
        <v>638.09</v>
      </c>
      <c r="J3182">
        <v>767.2</v>
      </c>
      <c r="K3182">
        <v>1022.82</v>
      </c>
      <c r="L3182">
        <v>681.2</v>
      </c>
      <c r="M3182">
        <v>2428.11</v>
      </c>
      <c r="N3182">
        <v>3109.31</v>
      </c>
    </row>
    <row r="3183" spans="1:14" x14ac:dyDescent="0.3">
      <c r="A3183" s="2">
        <v>45658</v>
      </c>
      <c r="B3183" t="s">
        <v>72</v>
      </c>
      <c r="C3183">
        <v>2025</v>
      </c>
      <c r="D3183">
        <v>1</v>
      </c>
      <c r="E3183" t="s">
        <v>58</v>
      </c>
      <c r="F3183" t="s">
        <v>26</v>
      </c>
      <c r="G3183">
        <v>38</v>
      </c>
      <c r="H3183" t="s">
        <v>18</v>
      </c>
      <c r="I3183">
        <v>50.57</v>
      </c>
      <c r="J3183">
        <v>61.13</v>
      </c>
      <c r="K3183">
        <v>296.56</v>
      </c>
      <c r="L3183">
        <v>0.25</v>
      </c>
      <c r="M3183">
        <v>408.26</v>
      </c>
      <c r="N3183">
        <v>408.51</v>
      </c>
    </row>
    <row r="3184" spans="1:14" x14ac:dyDescent="0.3">
      <c r="A3184" s="2">
        <v>45658</v>
      </c>
      <c r="B3184" t="s">
        <v>72</v>
      </c>
      <c r="C3184">
        <v>2025</v>
      </c>
      <c r="D3184">
        <v>1</v>
      </c>
      <c r="E3184" t="s">
        <v>58</v>
      </c>
      <c r="F3184" t="s">
        <v>27</v>
      </c>
      <c r="G3184">
        <v>7</v>
      </c>
      <c r="H3184" t="s">
        <v>18</v>
      </c>
      <c r="I3184">
        <v>1299.71</v>
      </c>
      <c r="J3184">
        <v>1592.39</v>
      </c>
      <c r="K3184">
        <v>3204.09</v>
      </c>
      <c r="L3184">
        <v>119.59</v>
      </c>
      <c r="M3184">
        <v>6096.19</v>
      </c>
      <c r="N3184">
        <v>6215.78</v>
      </c>
    </row>
    <row r="3185" spans="1:14" x14ac:dyDescent="0.3">
      <c r="A3185" s="2">
        <v>45658</v>
      </c>
      <c r="B3185" t="s">
        <v>72</v>
      </c>
      <c r="C3185">
        <v>2025</v>
      </c>
      <c r="D3185">
        <v>1</v>
      </c>
      <c r="E3185" t="s">
        <v>58</v>
      </c>
      <c r="F3185" t="s">
        <v>28</v>
      </c>
      <c r="G3185">
        <v>30</v>
      </c>
      <c r="H3185" t="s">
        <v>20</v>
      </c>
      <c r="I3185">
        <v>214.98</v>
      </c>
      <c r="J3185">
        <v>275.19</v>
      </c>
      <c r="K3185">
        <v>199.54</v>
      </c>
      <c r="L3185">
        <v>5.1100000000000003</v>
      </c>
      <c r="M3185">
        <v>689.71</v>
      </c>
      <c r="N3185">
        <v>694.82</v>
      </c>
    </row>
    <row r="3186" spans="1:14" x14ac:dyDescent="0.3">
      <c r="A3186" s="2">
        <v>45658</v>
      </c>
      <c r="B3186" t="s">
        <v>72</v>
      </c>
      <c r="C3186">
        <v>2025</v>
      </c>
      <c r="D3186">
        <v>1</v>
      </c>
      <c r="E3186" t="s">
        <v>58</v>
      </c>
      <c r="F3186" t="s">
        <v>29</v>
      </c>
      <c r="G3186">
        <v>24</v>
      </c>
      <c r="H3186" t="s">
        <v>20</v>
      </c>
      <c r="I3186">
        <v>3369.03</v>
      </c>
      <c r="J3186">
        <v>4025.16</v>
      </c>
      <c r="K3186">
        <v>3918.66</v>
      </c>
      <c r="L3186">
        <v>822.25</v>
      </c>
      <c r="M3186">
        <v>11312.85</v>
      </c>
      <c r="N3186">
        <v>12135.1</v>
      </c>
    </row>
    <row r="3187" spans="1:14" x14ac:dyDescent="0.3">
      <c r="A3187" s="2">
        <v>45658</v>
      </c>
      <c r="B3187" t="s">
        <v>72</v>
      </c>
      <c r="C3187">
        <v>2025</v>
      </c>
      <c r="D3187">
        <v>1</v>
      </c>
      <c r="E3187" t="s">
        <v>58</v>
      </c>
      <c r="F3187" t="s">
        <v>30</v>
      </c>
      <c r="G3187">
        <v>6</v>
      </c>
      <c r="H3187" t="s">
        <v>20</v>
      </c>
      <c r="I3187">
        <v>1596.53</v>
      </c>
      <c r="J3187">
        <v>2074.4699999999998</v>
      </c>
      <c r="K3187">
        <v>5899.77</v>
      </c>
      <c r="L3187">
        <v>713.05</v>
      </c>
      <c r="M3187">
        <v>9570.77</v>
      </c>
      <c r="N3187">
        <v>10283.82</v>
      </c>
    </row>
    <row r="3188" spans="1:14" x14ac:dyDescent="0.3">
      <c r="A3188" s="2">
        <v>45658</v>
      </c>
      <c r="B3188" t="s">
        <v>72</v>
      </c>
      <c r="C3188">
        <v>2025</v>
      </c>
      <c r="D3188">
        <v>1</v>
      </c>
      <c r="E3188" t="s">
        <v>58</v>
      </c>
      <c r="F3188" t="s">
        <v>31</v>
      </c>
      <c r="G3188">
        <v>2</v>
      </c>
      <c r="H3188" t="s">
        <v>20</v>
      </c>
      <c r="I3188">
        <v>162.25</v>
      </c>
      <c r="J3188">
        <v>225.02</v>
      </c>
      <c r="K3188">
        <v>426.92</v>
      </c>
      <c r="L3188">
        <v>2.4700000000000002</v>
      </c>
      <c r="M3188">
        <v>814.19</v>
      </c>
      <c r="N3188">
        <v>816.66</v>
      </c>
    </row>
    <row r="3189" spans="1:14" x14ac:dyDescent="0.3">
      <c r="A3189" s="2">
        <v>45658</v>
      </c>
      <c r="B3189" t="s">
        <v>72</v>
      </c>
      <c r="C3189">
        <v>2025</v>
      </c>
      <c r="D3189">
        <v>1</v>
      </c>
      <c r="E3189" t="s">
        <v>58</v>
      </c>
      <c r="F3189" t="s">
        <v>32</v>
      </c>
      <c r="G3189">
        <v>1</v>
      </c>
      <c r="H3189" t="s">
        <v>18</v>
      </c>
      <c r="I3189">
        <v>199.36</v>
      </c>
      <c r="J3189">
        <v>290.75</v>
      </c>
      <c r="K3189">
        <v>153.1</v>
      </c>
      <c r="L3189">
        <v>6.63</v>
      </c>
      <c r="M3189">
        <v>643.21</v>
      </c>
      <c r="N3189">
        <v>649.84</v>
      </c>
    </row>
    <row r="3190" spans="1:14" x14ac:dyDescent="0.3">
      <c r="A3190" s="2">
        <v>45658</v>
      </c>
      <c r="B3190" t="s">
        <v>72</v>
      </c>
      <c r="C3190">
        <v>2025</v>
      </c>
      <c r="D3190">
        <v>1</v>
      </c>
      <c r="E3190" t="s">
        <v>58</v>
      </c>
      <c r="F3190" t="s">
        <v>33</v>
      </c>
      <c r="G3190">
        <v>20</v>
      </c>
      <c r="H3190" t="s">
        <v>20</v>
      </c>
      <c r="I3190">
        <v>590.87</v>
      </c>
      <c r="J3190">
        <v>752.58</v>
      </c>
      <c r="K3190">
        <v>1287.3499999999999</v>
      </c>
      <c r="L3190">
        <v>696.43</v>
      </c>
      <c r="M3190">
        <v>2630.8</v>
      </c>
      <c r="N3190">
        <v>3327.23</v>
      </c>
    </row>
    <row r="3191" spans="1:14" x14ac:dyDescent="0.3">
      <c r="A3191" s="2">
        <v>45658</v>
      </c>
      <c r="B3191" t="s">
        <v>72</v>
      </c>
      <c r="C3191">
        <v>2025</v>
      </c>
      <c r="D3191">
        <v>1</v>
      </c>
      <c r="E3191" t="s">
        <v>58</v>
      </c>
      <c r="F3191" t="s">
        <v>34</v>
      </c>
      <c r="G3191">
        <v>29</v>
      </c>
      <c r="H3191" t="s">
        <v>20</v>
      </c>
      <c r="I3191">
        <v>3328.73</v>
      </c>
      <c r="J3191">
        <v>4063.13</v>
      </c>
      <c r="K3191">
        <v>5521.01</v>
      </c>
      <c r="L3191">
        <v>1439.7</v>
      </c>
      <c r="M3191">
        <v>12912.87</v>
      </c>
      <c r="N3191">
        <v>14352.57</v>
      </c>
    </row>
    <row r="3192" spans="1:14" x14ac:dyDescent="0.3">
      <c r="A3192" s="2">
        <v>45658</v>
      </c>
      <c r="B3192" t="s">
        <v>72</v>
      </c>
      <c r="C3192">
        <v>2025</v>
      </c>
      <c r="D3192">
        <v>1</v>
      </c>
      <c r="E3192" t="s">
        <v>58</v>
      </c>
      <c r="F3192" t="s">
        <v>35</v>
      </c>
      <c r="G3192">
        <v>32</v>
      </c>
      <c r="H3192" t="s">
        <v>20</v>
      </c>
      <c r="I3192">
        <v>1066.8499999999999</v>
      </c>
      <c r="J3192">
        <v>1380.49</v>
      </c>
      <c r="K3192">
        <v>522.98</v>
      </c>
      <c r="L3192">
        <v>18.420000000000002</v>
      </c>
      <c r="M3192">
        <v>2970.32</v>
      </c>
      <c r="N3192">
        <v>2988.74</v>
      </c>
    </row>
    <row r="3193" spans="1:14" x14ac:dyDescent="0.3">
      <c r="A3193" s="2">
        <v>45658</v>
      </c>
      <c r="B3193" t="s">
        <v>72</v>
      </c>
      <c r="C3193">
        <v>2025</v>
      </c>
      <c r="D3193">
        <v>1</v>
      </c>
      <c r="E3193" t="s">
        <v>58</v>
      </c>
      <c r="F3193" t="s">
        <v>67</v>
      </c>
      <c r="G3193">
        <v>37</v>
      </c>
      <c r="H3193" t="s">
        <v>18</v>
      </c>
      <c r="I3193">
        <v>25.3</v>
      </c>
      <c r="J3193">
        <v>35.15</v>
      </c>
      <c r="K3193">
        <v>7.63</v>
      </c>
      <c r="L3193">
        <v>0.18</v>
      </c>
      <c r="M3193">
        <v>68.08</v>
      </c>
      <c r="N3193">
        <v>68.260000000000005</v>
      </c>
    </row>
    <row r="3194" spans="1:14" x14ac:dyDescent="0.3">
      <c r="A3194" s="2">
        <v>45658</v>
      </c>
      <c r="B3194" t="s">
        <v>72</v>
      </c>
      <c r="C3194">
        <v>2025</v>
      </c>
      <c r="D3194">
        <v>1</v>
      </c>
      <c r="E3194" t="s">
        <v>58</v>
      </c>
      <c r="F3194" t="s">
        <v>36</v>
      </c>
      <c r="G3194">
        <v>31</v>
      </c>
      <c r="H3194" t="s">
        <v>18</v>
      </c>
      <c r="I3194">
        <v>0.47</v>
      </c>
      <c r="J3194">
        <v>0.62</v>
      </c>
      <c r="K3194">
        <v>0.26</v>
      </c>
      <c r="L3194">
        <v>0</v>
      </c>
      <c r="M3194">
        <v>1.35</v>
      </c>
      <c r="N3194">
        <v>1.35</v>
      </c>
    </row>
    <row r="3195" spans="1:14" x14ac:dyDescent="0.3">
      <c r="A3195" s="2">
        <v>45658</v>
      </c>
      <c r="B3195" t="s">
        <v>72</v>
      </c>
      <c r="C3195">
        <v>2025</v>
      </c>
      <c r="D3195">
        <v>1</v>
      </c>
      <c r="E3195" t="s">
        <v>58</v>
      </c>
      <c r="F3195" t="s">
        <v>37</v>
      </c>
      <c r="G3195">
        <v>23</v>
      </c>
      <c r="H3195" t="s">
        <v>20</v>
      </c>
      <c r="I3195">
        <v>982.19</v>
      </c>
      <c r="J3195">
        <v>1220.06</v>
      </c>
      <c r="K3195">
        <v>1020.6</v>
      </c>
      <c r="L3195">
        <v>687.83</v>
      </c>
      <c r="M3195">
        <v>3222.85</v>
      </c>
      <c r="N3195">
        <v>3910.68</v>
      </c>
    </row>
    <row r="3196" spans="1:14" x14ac:dyDescent="0.3">
      <c r="A3196" s="2">
        <v>45658</v>
      </c>
      <c r="B3196" t="s">
        <v>72</v>
      </c>
      <c r="C3196">
        <v>2025</v>
      </c>
      <c r="D3196">
        <v>1</v>
      </c>
      <c r="E3196" t="s">
        <v>58</v>
      </c>
      <c r="F3196" t="s">
        <v>38</v>
      </c>
      <c r="G3196">
        <v>27</v>
      </c>
      <c r="H3196" t="s">
        <v>20</v>
      </c>
      <c r="I3196">
        <v>8584.7800000000007</v>
      </c>
      <c r="J3196">
        <v>9755.4699999999993</v>
      </c>
      <c r="K3196">
        <v>11639.01</v>
      </c>
      <c r="L3196">
        <v>2356.1</v>
      </c>
      <c r="M3196">
        <v>29979.26</v>
      </c>
      <c r="N3196">
        <v>32335.360000000001</v>
      </c>
    </row>
    <row r="3197" spans="1:14" x14ac:dyDescent="0.3">
      <c r="A3197" s="2">
        <v>45658</v>
      </c>
      <c r="B3197" t="s">
        <v>72</v>
      </c>
      <c r="C3197">
        <v>2025</v>
      </c>
      <c r="D3197">
        <v>1</v>
      </c>
      <c r="E3197" t="s">
        <v>58</v>
      </c>
      <c r="F3197" t="s">
        <v>39</v>
      </c>
      <c r="G3197">
        <v>14</v>
      </c>
      <c r="H3197" t="s">
        <v>20</v>
      </c>
      <c r="I3197">
        <v>18.54</v>
      </c>
      <c r="J3197">
        <v>25.46</v>
      </c>
      <c r="K3197">
        <v>11.44</v>
      </c>
      <c r="L3197">
        <v>0.14000000000000001</v>
      </c>
      <c r="M3197">
        <v>55.44</v>
      </c>
      <c r="N3197">
        <v>55.58</v>
      </c>
    </row>
    <row r="3198" spans="1:14" x14ac:dyDescent="0.3">
      <c r="A3198" s="2">
        <v>45658</v>
      </c>
      <c r="B3198" t="s">
        <v>72</v>
      </c>
      <c r="C3198">
        <v>2025</v>
      </c>
      <c r="D3198">
        <v>1</v>
      </c>
      <c r="E3198" t="s">
        <v>58</v>
      </c>
      <c r="F3198" t="s">
        <v>40</v>
      </c>
      <c r="G3198">
        <v>17</v>
      </c>
      <c r="H3198" t="s">
        <v>20</v>
      </c>
      <c r="I3198">
        <v>48.59</v>
      </c>
      <c r="J3198">
        <v>62.87</v>
      </c>
      <c r="K3198">
        <v>103.09</v>
      </c>
      <c r="L3198">
        <v>1.56</v>
      </c>
      <c r="M3198">
        <v>214.55</v>
      </c>
      <c r="N3198">
        <v>216.11</v>
      </c>
    </row>
    <row r="3199" spans="1:14" x14ac:dyDescent="0.3">
      <c r="A3199" s="2">
        <v>45658</v>
      </c>
      <c r="B3199" t="s">
        <v>72</v>
      </c>
      <c r="C3199">
        <v>2025</v>
      </c>
      <c r="D3199">
        <v>1</v>
      </c>
      <c r="E3199" t="s">
        <v>58</v>
      </c>
      <c r="F3199" t="s">
        <v>41</v>
      </c>
      <c r="G3199">
        <v>15</v>
      </c>
      <c r="H3199" t="s">
        <v>20</v>
      </c>
      <c r="I3199">
        <v>12.22</v>
      </c>
      <c r="J3199">
        <v>16.54</v>
      </c>
      <c r="K3199">
        <v>5.86</v>
      </c>
      <c r="L3199">
        <v>0.03</v>
      </c>
      <c r="M3199">
        <v>34.619999999999997</v>
      </c>
      <c r="N3199">
        <v>34.65</v>
      </c>
    </row>
    <row r="3200" spans="1:14" x14ac:dyDescent="0.3">
      <c r="A3200" s="2">
        <v>45658</v>
      </c>
      <c r="B3200" t="s">
        <v>72</v>
      </c>
      <c r="C3200">
        <v>2025</v>
      </c>
      <c r="D3200">
        <v>1</v>
      </c>
      <c r="E3200" t="s">
        <v>58</v>
      </c>
      <c r="F3200" t="s">
        <v>42</v>
      </c>
      <c r="G3200">
        <v>13</v>
      </c>
      <c r="H3200" t="s">
        <v>20</v>
      </c>
      <c r="I3200">
        <v>22.52</v>
      </c>
      <c r="J3200">
        <v>27.58</v>
      </c>
      <c r="K3200">
        <v>12.37</v>
      </c>
      <c r="L3200">
        <v>2.15</v>
      </c>
      <c r="M3200">
        <v>62.47</v>
      </c>
      <c r="N3200">
        <v>64.62</v>
      </c>
    </row>
    <row r="3201" spans="1:14" x14ac:dyDescent="0.3">
      <c r="A3201" s="2">
        <v>45658</v>
      </c>
      <c r="B3201" t="s">
        <v>72</v>
      </c>
      <c r="C3201">
        <v>2025</v>
      </c>
      <c r="D3201">
        <v>1</v>
      </c>
      <c r="E3201" t="s">
        <v>58</v>
      </c>
      <c r="F3201" t="s">
        <v>43</v>
      </c>
      <c r="G3201">
        <v>21</v>
      </c>
      <c r="H3201" t="s">
        <v>20</v>
      </c>
      <c r="I3201">
        <v>1206.24</v>
      </c>
      <c r="J3201">
        <v>1478.56</v>
      </c>
      <c r="K3201">
        <v>1687.73</v>
      </c>
      <c r="L3201">
        <v>948.66</v>
      </c>
      <c r="M3201">
        <v>4372.53</v>
      </c>
      <c r="N3201">
        <v>5321.19</v>
      </c>
    </row>
    <row r="3202" spans="1:14" x14ac:dyDescent="0.3">
      <c r="A3202" s="2">
        <v>45658</v>
      </c>
      <c r="B3202" t="s">
        <v>72</v>
      </c>
      <c r="C3202">
        <v>2025</v>
      </c>
      <c r="D3202">
        <v>1</v>
      </c>
      <c r="E3202" t="s">
        <v>58</v>
      </c>
      <c r="F3202" t="s">
        <v>44</v>
      </c>
      <c r="G3202">
        <v>34</v>
      </c>
      <c r="H3202" t="s">
        <v>18</v>
      </c>
      <c r="I3202">
        <v>31.02</v>
      </c>
      <c r="J3202">
        <v>51.8</v>
      </c>
      <c r="K3202">
        <v>156.56</v>
      </c>
      <c r="L3202">
        <v>2.4700000000000002</v>
      </c>
      <c r="M3202">
        <v>239.38</v>
      </c>
      <c r="N3202">
        <v>241.85</v>
      </c>
    </row>
    <row r="3203" spans="1:14" x14ac:dyDescent="0.3">
      <c r="A3203" s="2">
        <v>45658</v>
      </c>
      <c r="B3203" t="s">
        <v>72</v>
      </c>
      <c r="C3203">
        <v>2025</v>
      </c>
      <c r="D3203">
        <v>1</v>
      </c>
      <c r="E3203" t="s">
        <v>58</v>
      </c>
      <c r="F3203" t="s">
        <v>45</v>
      </c>
      <c r="G3203">
        <v>3</v>
      </c>
      <c r="H3203" t="s">
        <v>20</v>
      </c>
      <c r="I3203">
        <v>592.86</v>
      </c>
      <c r="J3203">
        <v>820.49</v>
      </c>
      <c r="K3203">
        <v>914.75</v>
      </c>
      <c r="L3203">
        <v>34.549999999999997</v>
      </c>
      <c r="M3203">
        <v>2328.1</v>
      </c>
      <c r="N3203">
        <v>2362.65</v>
      </c>
    </row>
    <row r="3204" spans="1:14" x14ac:dyDescent="0.3">
      <c r="A3204" s="2">
        <v>45658</v>
      </c>
      <c r="B3204" t="s">
        <v>72</v>
      </c>
      <c r="C3204">
        <v>2025</v>
      </c>
      <c r="D3204">
        <v>1</v>
      </c>
      <c r="E3204" t="s">
        <v>58</v>
      </c>
      <c r="F3204" t="s">
        <v>46</v>
      </c>
      <c r="G3204">
        <v>8</v>
      </c>
      <c r="H3204" t="s">
        <v>20</v>
      </c>
      <c r="I3204">
        <v>1313.28</v>
      </c>
      <c r="J3204">
        <v>1631.59</v>
      </c>
      <c r="K3204">
        <v>1777.7</v>
      </c>
      <c r="L3204">
        <v>195.02</v>
      </c>
      <c r="M3204">
        <v>4722.57</v>
      </c>
      <c r="N3204">
        <v>4917.59</v>
      </c>
    </row>
    <row r="3205" spans="1:14" x14ac:dyDescent="0.3">
      <c r="A3205" s="2">
        <v>45658</v>
      </c>
      <c r="B3205" t="s">
        <v>72</v>
      </c>
      <c r="C3205">
        <v>2025</v>
      </c>
      <c r="D3205">
        <v>1</v>
      </c>
      <c r="E3205" t="s">
        <v>58</v>
      </c>
      <c r="F3205" t="s">
        <v>47</v>
      </c>
      <c r="G3205">
        <v>11</v>
      </c>
      <c r="H3205" t="s">
        <v>20</v>
      </c>
      <c r="I3205">
        <v>27.16</v>
      </c>
      <c r="J3205">
        <v>36.58</v>
      </c>
      <c r="K3205">
        <v>292.89</v>
      </c>
      <c r="L3205">
        <v>0.13</v>
      </c>
      <c r="M3205">
        <v>356.63</v>
      </c>
      <c r="N3205">
        <v>356.76</v>
      </c>
    </row>
    <row r="3206" spans="1:14" x14ac:dyDescent="0.3">
      <c r="A3206" s="2">
        <v>45658</v>
      </c>
      <c r="B3206" t="s">
        <v>72</v>
      </c>
      <c r="C3206">
        <v>2025</v>
      </c>
      <c r="D3206">
        <v>1</v>
      </c>
      <c r="E3206" t="s">
        <v>58</v>
      </c>
      <c r="F3206" t="s">
        <v>48</v>
      </c>
      <c r="G3206">
        <v>33</v>
      </c>
      <c r="H3206" t="s">
        <v>20</v>
      </c>
      <c r="I3206">
        <v>2873.93</v>
      </c>
      <c r="J3206">
        <v>3832.43</v>
      </c>
      <c r="K3206">
        <v>4018.62</v>
      </c>
      <c r="L3206">
        <v>771.31</v>
      </c>
      <c r="M3206">
        <v>10724.98</v>
      </c>
      <c r="N3206">
        <v>11496.29</v>
      </c>
    </row>
    <row r="3207" spans="1:14" x14ac:dyDescent="0.3">
      <c r="A3207" s="2">
        <v>45658</v>
      </c>
      <c r="B3207" t="s">
        <v>72</v>
      </c>
      <c r="C3207">
        <v>2025</v>
      </c>
      <c r="D3207">
        <v>1</v>
      </c>
      <c r="E3207" t="s">
        <v>58</v>
      </c>
      <c r="F3207" t="s">
        <v>49</v>
      </c>
      <c r="G3207">
        <v>36</v>
      </c>
      <c r="H3207" t="s">
        <v>20</v>
      </c>
      <c r="I3207">
        <v>1613.75</v>
      </c>
      <c r="J3207">
        <v>2047.4</v>
      </c>
      <c r="K3207">
        <v>1754.28</v>
      </c>
      <c r="L3207">
        <v>601.35</v>
      </c>
      <c r="M3207">
        <v>5415.43</v>
      </c>
      <c r="N3207">
        <v>6016.78</v>
      </c>
    </row>
    <row r="3208" spans="1:14" x14ac:dyDescent="0.3">
      <c r="A3208" s="2">
        <v>45658</v>
      </c>
      <c r="B3208" t="s">
        <v>72</v>
      </c>
      <c r="C3208">
        <v>2025</v>
      </c>
      <c r="D3208">
        <v>1</v>
      </c>
      <c r="E3208" t="s">
        <v>58</v>
      </c>
      <c r="F3208" t="s">
        <v>50</v>
      </c>
      <c r="G3208">
        <v>16</v>
      </c>
      <c r="H3208" t="s">
        <v>20</v>
      </c>
      <c r="I3208">
        <v>38.090000000000003</v>
      </c>
      <c r="J3208">
        <v>50.51</v>
      </c>
      <c r="K3208">
        <v>11.8</v>
      </c>
      <c r="L3208">
        <v>0.48</v>
      </c>
      <c r="M3208">
        <v>100.4</v>
      </c>
      <c r="N3208">
        <v>100.88</v>
      </c>
    </row>
    <row r="3209" spans="1:14" x14ac:dyDescent="0.3">
      <c r="A3209" s="2">
        <v>45658</v>
      </c>
      <c r="B3209" t="s">
        <v>72</v>
      </c>
      <c r="C3209">
        <v>2025</v>
      </c>
      <c r="D3209">
        <v>1</v>
      </c>
      <c r="E3209" t="s">
        <v>58</v>
      </c>
      <c r="F3209" t="s">
        <v>51</v>
      </c>
      <c r="G3209">
        <v>9</v>
      </c>
      <c r="H3209" t="s">
        <v>20</v>
      </c>
      <c r="I3209">
        <v>2221.64</v>
      </c>
      <c r="J3209">
        <v>2995.11</v>
      </c>
      <c r="K3209">
        <v>2792.88</v>
      </c>
      <c r="L3209">
        <v>1505.94</v>
      </c>
      <c r="M3209">
        <v>8009.63</v>
      </c>
      <c r="N3209">
        <v>9515.57</v>
      </c>
    </row>
    <row r="3210" spans="1:14" x14ac:dyDescent="0.3">
      <c r="A3210" s="2">
        <v>45658</v>
      </c>
      <c r="B3210" t="s">
        <v>72</v>
      </c>
      <c r="C3210">
        <v>2025</v>
      </c>
      <c r="D3210">
        <v>1</v>
      </c>
      <c r="E3210" t="s">
        <v>58</v>
      </c>
      <c r="F3210" t="s">
        <v>52</v>
      </c>
      <c r="G3210">
        <v>5</v>
      </c>
      <c r="H3210" t="s">
        <v>20</v>
      </c>
      <c r="I3210">
        <v>343.2</v>
      </c>
      <c r="J3210">
        <v>493.63</v>
      </c>
      <c r="K3210">
        <v>807.55</v>
      </c>
      <c r="L3210">
        <v>10.210000000000001</v>
      </c>
      <c r="M3210">
        <v>1644.38</v>
      </c>
      <c r="N3210">
        <v>1654.59</v>
      </c>
    </row>
    <row r="3211" spans="1:14" x14ac:dyDescent="0.3">
      <c r="A3211" s="2">
        <v>45658</v>
      </c>
      <c r="B3211" t="s">
        <v>72</v>
      </c>
      <c r="C3211">
        <v>2025</v>
      </c>
      <c r="D3211">
        <v>1</v>
      </c>
      <c r="E3211" t="s">
        <v>58</v>
      </c>
      <c r="F3211" t="s">
        <v>53</v>
      </c>
      <c r="G3211">
        <v>19</v>
      </c>
      <c r="H3211" t="s">
        <v>20</v>
      </c>
      <c r="I3211">
        <v>1709.45</v>
      </c>
      <c r="J3211">
        <v>2074.13</v>
      </c>
      <c r="K3211">
        <v>1591.92</v>
      </c>
      <c r="L3211">
        <v>457.15</v>
      </c>
      <c r="M3211">
        <v>5375.5</v>
      </c>
      <c r="N3211">
        <v>5832.65</v>
      </c>
    </row>
    <row r="3212" spans="1:14" x14ac:dyDescent="0.3">
      <c r="A3212" s="2">
        <v>45689</v>
      </c>
      <c r="B3212" t="s">
        <v>72</v>
      </c>
      <c r="C3212">
        <v>2025</v>
      </c>
      <c r="D3212">
        <v>2</v>
      </c>
      <c r="E3212" t="s">
        <v>59</v>
      </c>
      <c r="F3212" t="s">
        <v>17</v>
      </c>
      <c r="G3212">
        <v>35</v>
      </c>
      <c r="H3212" t="s">
        <v>18</v>
      </c>
      <c r="I3212">
        <v>18.420000000000002</v>
      </c>
      <c r="J3212">
        <v>22.74</v>
      </c>
      <c r="K3212">
        <v>10.3</v>
      </c>
      <c r="L3212">
        <v>0.23</v>
      </c>
      <c r="M3212">
        <v>51.46</v>
      </c>
      <c r="N3212">
        <v>51.69</v>
      </c>
    </row>
    <row r="3213" spans="1:14" x14ac:dyDescent="0.3">
      <c r="A3213" s="2">
        <v>45689</v>
      </c>
      <c r="B3213" t="s">
        <v>72</v>
      </c>
      <c r="C3213">
        <v>2025</v>
      </c>
      <c r="D3213">
        <v>2</v>
      </c>
      <c r="E3213" t="s">
        <v>59</v>
      </c>
      <c r="F3213" t="s">
        <v>19</v>
      </c>
      <c r="G3213">
        <v>28</v>
      </c>
      <c r="H3213" t="s">
        <v>20</v>
      </c>
      <c r="I3213">
        <v>967.45</v>
      </c>
      <c r="J3213">
        <v>1214.8599999999999</v>
      </c>
      <c r="K3213">
        <v>1387.05</v>
      </c>
      <c r="L3213">
        <v>247.39</v>
      </c>
      <c r="M3213">
        <v>3569.36</v>
      </c>
      <c r="N3213">
        <v>3816.75</v>
      </c>
    </row>
    <row r="3214" spans="1:14" x14ac:dyDescent="0.3">
      <c r="A3214" s="2">
        <v>45689</v>
      </c>
      <c r="B3214" t="s">
        <v>72</v>
      </c>
      <c r="C3214">
        <v>2025</v>
      </c>
      <c r="D3214">
        <v>2</v>
      </c>
      <c r="E3214" t="s">
        <v>59</v>
      </c>
      <c r="F3214" t="s">
        <v>21</v>
      </c>
      <c r="G3214">
        <v>12</v>
      </c>
      <c r="H3214" t="s">
        <v>20</v>
      </c>
      <c r="I3214">
        <v>39.28</v>
      </c>
      <c r="J3214">
        <v>49.39</v>
      </c>
      <c r="K3214">
        <v>12.78</v>
      </c>
      <c r="L3214">
        <v>0.67</v>
      </c>
      <c r="M3214">
        <v>101.45</v>
      </c>
      <c r="N3214">
        <v>102.12</v>
      </c>
    </row>
    <row r="3215" spans="1:14" x14ac:dyDescent="0.3">
      <c r="A3215" s="2">
        <v>45689</v>
      </c>
      <c r="B3215" t="s">
        <v>72</v>
      </c>
      <c r="C3215">
        <v>2025</v>
      </c>
      <c r="D3215">
        <v>2</v>
      </c>
      <c r="E3215" t="s">
        <v>59</v>
      </c>
      <c r="F3215" t="s">
        <v>22</v>
      </c>
      <c r="G3215">
        <v>18</v>
      </c>
      <c r="H3215" t="s">
        <v>20</v>
      </c>
      <c r="I3215">
        <v>432.61</v>
      </c>
      <c r="J3215">
        <v>564.63</v>
      </c>
      <c r="K3215">
        <v>334.02</v>
      </c>
      <c r="L3215">
        <v>119.68</v>
      </c>
      <c r="M3215">
        <v>1331.26</v>
      </c>
      <c r="N3215">
        <v>1450.94</v>
      </c>
    </row>
    <row r="3216" spans="1:14" x14ac:dyDescent="0.3">
      <c r="A3216" s="2">
        <v>45689</v>
      </c>
      <c r="B3216" t="s">
        <v>72</v>
      </c>
      <c r="C3216">
        <v>2025</v>
      </c>
      <c r="D3216">
        <v>2</v>
      </c>
      <c r="E3216" t="s">
        <v>59</v>
      </c>
      <c r="F3216" t="s">
        <v>23</v>
      </c>
      <c r="G3216">
        <v>10</v>
      </c>
      <c r="H3216" t="s">
        <v>20</v>
      </c>
      <c r="I3216">
        <v>398.73</v>
      </c>
      <c r="J3216">
        <v>802.67</v>
      </c>
      <c r="K3216">
        <v>256.37</v>
      </c>
      <c r="L3216">
        <v>186.55</v>
      </c>
      <c r="M3216">
        <v>1457.77</v>
      </c>
      <c r="N3216">
        <v>1644.32</v>
      </c>
    </row>
    <row r="3217" spans="1:14" x14ac:dyDescent="0.3">
      <c r="A3217" s="2">
        <v>45689</v>
      </c>
      <c r="B3217" t="s">
        <v>72</v>
      </c>
      <c r="C3217">
        <v>2025</v>
      </c>
      <c r="D3217">
        <v>2</v>
      </c>
      <c r="E3217" t="s">
        <v>59</v>
      </c>
      <c r="F3217" t="s">
        <v>24</v>
      </c>
      <c r="G3217">
        <v>4</v>
      </c>
      <c r="H3217" t="s">
        <v>18</v>
      </c>
      <c r="I3217">
        <v>47.59</v>
      </c>
      <c r="J3217">
        <v>60.66</v>
      </c>
      <c r="K3217">
        <v>122.2</v>
      </c>
      <c r="L3217">
        <v>5.25</v>
      </c>
      <c r="M3217">
        <v>230.45</v>
      </c>
      <c r="N3217">
        <v>235.7</v>
      </c>
    </row>
    <row r="3218" spans="1:14" x14ac:dyDescent="0.3">
      <c r="A3218" s="2">
        <v>45689</v>
      </c>
      <c r="B3218" t="s">
        <v>72</v>
      </c>
      <c r="C3218">
        <v>2025</v>
      </c>
      <c r="D3218">
        <v>2</v>
      </c>
      <c r="E3218" t="s">
        <v>59</v>
      </c>
      <c r="F3218" t="s">
        <v>25</v>
      </c>
      <c r="G3218">
        <v>22</v>
      </c>
      <c r="H3218" t="s">
        <v>20</v>
      </c>
      <c r="I3218">
        <v>715.94</v>
      </c>
      <c r="J3218">
        <v>884.35</v>
      </c>
      <c r="K3218">
        <v>1054.26</v>
      </c>
      <c r="L3218">
        <v>696.81</v>
      </c>
      <c r="M3218">
        <v>2654.55</v>
      </c>
      <c r="N3218">
        <v>3351.36</v>
      </c>
    </row>
    <row r="3219" spans="1:14" x14ac:dyDescent="0.3">
      <c r="A3219" s="2">
        <v>45689</v>
      </c>
      <c r="B3219" t="s">
        <v>72</v>
      </c>
      <c r="C3219">
        <v>2025</v>
      </c>
      <c r="D3219">
        <v>2</v>
      </c>
      <c r="E3219" t="s">
        <v>59</v>
      </c>
      <c r="F3219" t="s">
        <v>26</v>
      </c>
      <c r="G3219">
        <v>38</v>
      </c>
      <c r="H3219" t="s">
        <v>18</v>
      </c>
      <c r="I3219">
        <v>47.5</v>
      </c>
      <c r="J3219">
        <v>63.48</v>
      </c>
      <c r="K3219">
        <v>274.56</v>
      </c>
      <c r="L3219">
        <v>0.08</v>
      </c>
      <c r="M3219">
        <v>385.54</v>
      </c>
      <c r="N3219">
        <v>385.62</v>
      </c>
    </row>
    <row r="3220" spans="1:14" x14ac:dyDescent="0.3">
      <c r="A3220" s="2">
        <v>45689</v>
      </c>
      <c r="B3220" t="s">
        <v>72</v>
      </c>
      <c r="C3220">
        <v>2025</v>
      </c>
      <c r="D3220">
        <v>2</v>
      </c>
      <c r="E3220" t="s">
        <v>59</v>
      </c>
      <c r="F3220" t="s">
        <v>27</v>
      </c>
      <c r="G3220">
        <v>7</v>
      </c>
      <c r="H3220" t="s">
        <v>18</v>
      </c>
      <c r="I3220">
        <v>1233.81</v>
      </c>
      <c r="J3220">
        <v>1454.51</v>
      </c>
      <c r="K3220">
        <v>3285.79</v>
      </c>
      <c r="L3220">
        <v>100.19</v>
      </c>
      <c r="M3220">
        <v>5974.11</v>
      </c>
      <c r="N3220">
        <v>6074.3</v>
      </c>
    </row>
    <row r="3221" spans="1:14" x14ac:dyDescent="0.3">
      <c r="A3221" s="2">
        <v>45689</v>
      </c>
      <c r="B3221" t="s">
        <v>72</v>
      </c>
      <c r="C3221">
        <v>2025</v>
      </c>
      <c r="D3221">
        <v>2</v>
      </c>
      <c r="E3221" t="s">
        <v>59</v>
      </c>
      <c r="F3221" t="s">
        <v>28</v>
      </c>
      <c r="G3221">
        <v>30</v>
      </c>
      <c r="H3221" t="s">
        <v>20</v>
      </c>
      <c r="I3221">
        <v>184.79</v>
      </c>
      <c r="J3221">
        <v>227.54</v>
      </c>
      <c r="K3221">
        <v>183.9</v>
      </c>
      <c r="L3221">
        <v>4.3099999999999996</v>
      </c>
      <c r="M3221">
        <v>596.23</v>
      </c>
      <c r="N3221">
        <v>600.54</v>
      </c>
    </row>
    <row r="3222" spans="1:14" x14ac:dyDescent="0.3">
      <c r="A3222" s="2">
        <v>45689</v>
      </c>
      <c r="B3222" t="s">
        <v>72</v>
      </c>
      <c r="C3222">
        <v>2025</v>
      </c>
      <c r="D3222">
        <v>2</v>
      </c>
      <c r="E3222" t="s">
        <v>59</v>
      </c>
      <c r="F3222" t="s">
        <v>29</v>
      </c>
      <c r="G3222">
        <v>24</v>
      </c>
      <c r="H3222" t="s">
        <v>20</v>
      </c>
      <c r="I3222">
        <v>3334.34</v>
      </c>
      <c r="J3222">
        <v>3941</v>
      </c>
      <c r="K3222">
        <v>3400.91</v>
      </c>
      <c r="L3222">
        <v>725.37</v>
      </c>
      <c r="M3222">
        <v>10676.25</v>
      </c>
      <c r="N3222">
        <v>11401.62</v>
      </c>
    </row>
    <row r="3223" spans="1:14" x14ac:dyDescent="0.3">
      <c r="A3223" s="2">
        <v>45689</v>
      </c>
      <c r="B3223" t="s">
        <v>72</v>
      </c>
      <c r="C3223">
        <v>2025</v>
      </c>
      <c r="D3223">
        <v>2</v>
      </c>
      <c r="E3223" t="s">
        <v>59</v>
      </c>
      <c r="F3223" t="s">
        <v>30</v>
      </c>
      <c r="G3223">
        <v>6</v>
      </c>
      <c r="H3223" t="s">
        <v>20</v>
      </c>
      <c r="I3223">
        <v>1508.54</v>
      </c>
      <c r="J3223">
        <v>1921.14</v>
      </c>
      <c r="K3223">
        <v>5833.46</v>
      </c>
      <c r="L3223">
        <v>662.1</v>
      </c>
      <c r="M3223">
        <v>9263.14</v>
      </c>
      <c r="N3223">
        <v>9925.24</v>
      </c>
    </row>
    <row r="3224" spans="1:14" x14ac:dyDescent="0.3">
      <c r="A3224" s="2">
        <v>45689</v>
      </c>
      <c r="B3224" t="s">
        <v>72</v>
      </c>
      <c r="C3224">
        <v>2025</v>
      </c>
      <c r="D3224">
        <v>2</v>
      </c>
      <c r="E3224" t="s">
        <v>59</v>
      </c>
      <c r="F3224" t="s">
        <v>31</v>
      </c>
      <c r="G3224">
        <v>2</v>
      </c>
      <c r="H3224" t="s">
        <v>20</v>
      </c>
      <c r="I3224">
        <v>156.69999999999999</v>
      </c>
      <c r="J3224">
        <v>217.23</v>
      </c>
      <c r="K3224">
        <v>490.77</v>
      </c>
      <c r="L3224">
        <v>4.1100000000000003</v>
      </c>
      <c r="M3224">
        <v>864.7</v>
      </c>
      <c r="N3224">
        <v>868.81</v>
      </c>
    </row>
    <row r="3225" spans="1:14" x14ac:dyDescent="0.3">
      <c r="A3225" s="2">
        <v>45689</v>
      </c>
      <c r="B3225" t="s">
        <v>72</v>
      </c>
      <c r="C3225">
        <v>2025</v>
      </c>
      <c r="D3225">
        <v>2</v>
      </c>
      <c r="E3225" t="s">
        <v>59</v>
      </c>
      <c r="F3225" t="s">
        <v>32</v>
      </c>
      <c r="G3225">
        <v>1</v>
      </c>
      <c r="H3225" t="s">
        <v>18</v>
      </c>
      <c r="I3225">
        <v>143.47999999999999</v>
      </c>
      <c r="J3225">
        <v>209.81</v>
      </c>
      <c r="K3225">
        <v>161.94999999999999</v>
      </c>
      <c r="L3225">
        <v>7.29</v>
      </c>
      <c r="M3225">
        <v>515.24</v>
      </c>
      <c r="N3225">
        <v>522.53</v>
      </c>
    </row>
    <row r="3226" spans="1:14" x14ac:dyDescent="0.3">
      <c r="A3226" s="2">
        <v>45689</v>
      </c>
      <c r="B3226" t="s">
        <v>72</v>
      </c>
      <c r="C3226">
        <v>2025</v>
      </c>
      <c r="D3226">
        <v>2</v>
      </c>
      <c r="E3226" t="s">
        <v>59</v>
      </c>
      <c r="F3226" t="s">
        <v>33</v>
      </c>
      <c r="G3226">
        <v>20</v>
      </c>
      <c r="H3226" t="s">
        <v>20</v>
      </c>
      <c r="I3226">
        <v>598.20000000000005</v>
      </c>
      <c r="J3226">
        <v>787.04</v>
      </c>
      <c r="K3226">
        <v>1237.96</v>
      </c>
      <c r="L3226">
        <v>695.72</v>
      </c>
      <c r="M3226">
        <v>2623.2</v>
      </c>
      <c r="N3226">
        <v>3318.92</v>
      </c>
    </row>
    <row r="3227" spans="1:14" x14ac:dyDescent="0.3">
      <c r="A3227" s="2">
        <v>45689</v>
      </c>
      <c r="B3227" t="s">
        <v>72</v>
      </c>
      <c r="C3227">
        <v>2025</v>
      </c>
      <c r="D3227">
        <v>2</v>
      </c>
      <c r="E3227" t="s">
        <v>59</v>
      </c>
      <c r="F3227" t="s">
        <v>34</v>
      </c>
      <c r="G3227">
        <v>29</v>
      </c>
      <c r="H3227" t="s">
        <v>20</v>
      </c>
      <c r="I3227">
        <v>3259.05</v>
      </c>
      <c r="J3227">
        <v>3907.15</v>
      </c>
      <c r="K3227">
        <v>5236.5600000000004</v>
      </c>
      <c r="L3227">
        <v>1714.31</v>
      </c>
      <c r="M3227">
        <v>12402.76</v>
      </c>
      <c r="N3227">
        <v>14117.07</v>
      </c>
    </row>
    <row r="3228" spans="1:14" x14ac:dyDescent="0.3">
      <c r="A3228" s="2">
        <v>45689</v>
      </c>
      <c r="B3228" t="s">
        <v>72</v>
      </c>
      <c r="C3228">
        <v>2025</v>
      </c>
      <c r="D3228">
        <v>2</v>
      </c>
      <c r="E3228" t="s">
        <v>59</v>
      </c>
      <c r="F3228" t="s">
        <v>35</v>
      </c>
      <c r="G3228">
        <v>32</v>
      </c>
      <c r="H3228" t="s">
        <v>20</v>
      </c>
      <c r="I3228">
        <v>1023.01</v>
      </c>
      <c r="J3228">
        <v>1312.42</v>
      </c>
      <c r="K3228">
        <v>545.98</v>
      </c>
      <c r="L3228">
        <v>12.43</v>
      </c>
      <c r="M3228">
        <v>2881.41</v>
      </c>
      <c r="N3228">
        <v>2893.84</v>
      </c>
    </row>
    <row r="3229" spans="1:14" x14ac:dyDescent="0.3">
      <c r="A3229" s="2">
        <v>45689</v>
      </c>
      <c r="B3229" t="s">
        <v>72</v>
      </c>
      <c r="C3229">
        <v>2025</v>
      </c>
      <c r="D3229">
        <v>2</v>
      </c>
      <c r="E3229" t="s">
        <v>59</v>
      </c>
      <c r="F3229" t="s">
        <v>67</v>
      </c>
      <c r="G3229">
        <v>37</v>
      </c>
      <c r="H3229" t="s">
        <v>18</v>
      </c>
      <c r="I3229">
        <v>6.96</v>
      </c>
      <c r="J3229">
        <v>9.69</v>
      </c>
      <c r="K3229">
        <v>2.11</v>
      </c>
      <c r="L3229">
        <v>0.05</v>
      </c>
      <c r="M3229">
        <v>18.760000000000002</v>
      </c>
      <c r="N3229">
        <v>18.809999999999999</v>
      </c>
    </row>
    <row r="3230" spans="1:14" x14ac:dyDescent="0.3">
      <c r="A3230" s="2">
        <v>45689</v>
      </c>
      <c r="B3230" t="s">
        <v>72</v>
      </c>
      <c r="C3230">
        <v>2025</v>
      </c>
      <c r="D3230">
        <v>2</v>
      </c>
      <c r="E3230" t="s">
        <v>59</v>
      </c>
      <c r="F3230" t="s">
        <v>36</v>
      </c>
      <c r="G3230">
        <v>31</v>
      </c>
      <c r="H3230" t="s">
        <v>18</v>
      </c>
      <c r="I3230">
        <v>0.36</v>
      </c>
      <c r="J3230">
        <v>0.39</v>
      </c>
      <c r="K3230">
        <v>0.11</v>
      </c>
      <c r="L3230">
        <v>0</v>
      </c>
      <c r="M3230">
        <v>0.86</v>
      </c>
      <c r="N3230">
        <v>0.86</v>
      </c>
    </row>
    <row r="3231" spans="1:14" x14ac:dyDescent="0.3">
      <c r="A3231" s="2">
        <v>45689</v>
      </c>
      <c r="B3231" t="s">
        <v>72</v>
      </c>
      <c r="C3231">
        <v>2025</v>
      </c>
      <c r="D3231">
        <v>2</v>
      </c>
      <c r="E3231" t="s">
        <v>59</v>
      </c>
      <c r="F3231" t="s">
        <v>37</v>
      </c>
      <c r="G3231">
        <v>23</v>
      </c>
      <c r="H3231" t="s">
        <v>20</v>
      </c>
      <c r="I3231">
        <v>1088.53</v>
      </c>
      <c r="J3231">
        <v>1286.6199999999999</v>
      </c>
      <c r="K3231">
        <v>999.42</v>
      </c>
      <c r="L3231">
        <v>715.24</v>
      </c>
      <c r="M3231">
        <v>3374.57</v>
      </c>
      <c r="N3231">
        <v>4089.81</v>
      </c>
    </row>
    <row r="3232" spans="1:14" x14ac:dyDescent="0.3">
      <c r="A3232" s="2">
        <v>45689</v>
      </c>
      <c r="B3232" t="s">
        <v>72</v>
      </c>
      <c r="C3232">
        <v>2025</v>
      </c>
      <c r="D3232">
        <v>2</v>
      </c>
      <c r="E3232" t="s">
        <v>59</v>
      </c>
      <c r="F3232" t="s">
        <v>38</v>
      </c>
      <c r="G3232">
        <v>27</v>
      </c>
      <c r="H3232" t="s">
        <v>20</v>
      </c>
      <c r="I3232">
        <v>8396.01</v>
      </c>
      <c r="J3232">
        <v>9682.19</v>
      </c>
      <c r="K3232">
        <v>10195.24</v>
      </c>
      <c r="L3232">
        <v>2363.13</v>
      </c>
      <c r="M3232">
        <v>28273.439999999999</v>
      </c>
      <c r="N3232">
        <v>30636.57</v>
      </c>
    </row>
    <row r="3233" spans="1:14" x14ac:dyDescent="0.3">
      <c r="A3233" s="2">
        <v>45689</v>
      </c>
      <c r="B3233" t="s">
        <v>72</v>
      </c>
      <c r="C3233">
        <v>2025</v>
      </c>
      <c r="D3233">
        <v>2</v>
      </c>
      <c r="E3233" t="s">
        <v>59</v>
      </c>
      <c r="F3233" t="s">
        <v>39</v>
      </c>
      <c r="G3233">
        <v>14</v>
      </c>
      <c r="H3233" t="s">
        <v>20</v>
      </c>
      <c r="I3233">
        <v>17.37</v>
      </c>
      <c r="J3233">
        <v>24</v>
      </c>
      <c r="K3233">
        <v>8.9600000000000009</v>
      </c>
      <c r="L3233">
        <v>0.06</v>
      </c>
      <c r="M3233">
        <v>50.33</v>
      </c>
      <c r="N3233">
        <v>50.39</v>
      </c>
    </row>
    <row r="3234" spans="1:14" x14ac:dyDescent="0.3">
      <c r="A3234" s="2">
        <v>45689</v>
      </c>
      <c r="B3234" t="s">
        <v>72</v>
      </c>
      <c r="C3234">
        <v>2025</v>
      </c>
      <c r="D3234">
        <v>2</v>
      </c>
      <c r="E3234" t="s">
        <v>59</v>
      </c>
      <c r="F3234" t="s">
        <v>40</v>
      </c>
      <c r="G3234">
        <v>17</v>
      </c>
      <c r="H3234" t="s">
        <v>20</v>
      </c>
      <c r="I3234">
        <v>42.48</v>
      </c>
      <c r="J3234">
        <v>53.89</v>
      </c>
      <c r="K3234">
        <v>117.54</v>
      </c>
      <c r="L3234">
        <v>0.4</v>
      </c>
      <c r="M3234">
        <v>213.91</v>
      </c>
      <c r="N3234">
        <v>214.31</v>
      </c>
    </row>
    <row r="3235" spans="1:14" x14ac:dyDescent="0.3">
      <c r="A3235" s="2">
        <v>45689</v>
      </c>
      <c r="B3235" t="s">
        <v>72</v>
      </c>
      <c r="C3235">
        <v>2025</v>
      </c>
      <c r="D3235">
        <v>2</v>
      </c>
      <c r="E3235" t="s">
        <v>59</v>
      </c>
      <c r="F3235" t="s">
        <v>41</v>
      </c>
      <c r="G3235">
        <v>15</v>
      </c>
      <c r="H3235" t="s">
        <v>20</v>
      </c>
      <c r="I3235">
        <v>15.22</v>
      </c>
      <c r="J3235">
        <v>22</v>
      </c>
      <c r="K3235">
        <v>4.4000000000000004</v>
      </c>
      <c r="L3235">
        <v>0.02</v>
      </c>
      <c r="M3235">
        <v>41.62</v>
      </c>
      <c r="N3235">
        <v>41.64</v>
      </c>
    </row>
    <row r="3236" spans="1:14" x14ac:dyDescent="0.3">
      <c r="A3236" s="2">
        <v>45689</v>
      </c>
      <c r="B3236" t="s">
        <v>72</v>
      </c>
      <c r="C3236">
        <v>2025</v>
      </c>
      <c r="D3236">
        <v>2</v>
      </c>
      <c r="E3236" t="s">
        <v>59</v>
      </c>
      <c r="F3236" t="s">
        <v>42</v>
      </c>
      <c r="G3236">
        <v>13</v>
      </c>
      <c r="H3236" t="s">
        <v>20</v>
      </c>
      <c r="I3236">
        <v>19.440000000000001</v>
      </c>
      <c r="J3236">
        <v>24.85</v>
      </c>
      <c r="K3236">
        <v>10.25</v>
      </c>
      <c r="L3236">
        <v>1.38</v>
      </c>
      <c r="M3236">
        <v>54.54</v>
      </c>
      <c r="N3236">
        <v>55.92</v>
      </c>
    </row>
    <row r="3237" spans="1:14" x14ac:dyDescent="0.3">
      <c r="A3237" s="2">
        <v>45689</v>
      </c>
      <c r="B3237" t="s">
        <v>72</v>
      </c>
      <c r="C3237">
        <v>2025</v>
      </c>
      <c r="D3237">
        <v>2</v>
      </c>
      <c r="E3237" t="s">
        <v>59</v>
      </c>
      <c r="F3237" t="s">
        <v>43</v>
      </c>
      <c r="G3237">
        <v>21</v>
      </c>
      <c r="H3237" t="s">
        <v>20</v>
      </c>
      <c r="I3237">
        <v>1221.6600000000001</v>
      </c>
      <c r="J3237">
        <v>1513.44</v>
      </c>
      <c r="K3237">
        <v>1688.63</v>
      </c>
      <c r="L3237">
        <v>920.75</v>
      </c>
      <c r="M3237">
        <v>4423.7299999999996</v>
      </c>
      <c r="N3237">
        <v>5344.48</v>
      </c>
    </row>
    <row r="3238" spans="1:14" x14ac:dyDescent="0.3">
      <c r="A3238" s="2">
        <v>45689</v>
      </c>
      <c r="B3238" t="s">
        <v>72</v>
      </c>
      <c r="C3238">
        <v>2025</v>
      </c>
      <c r="D3238">
        <v>2</v>
      </c>
      <c r="E3238" t="s">
        <v>59</v>
      </c>
      <c r="F3238" t="s">
        <v>44</v>
      </c>
      <c r="G3238">
        <v>34</v>
      </c>
      <c r="H3238" t="s">
        <v>18</v>
      </c>
      <c r="I3238">
        <v>31.84</v>
      </c>
      <c r="J3238">
        <v>45.83</v>
      </c>
      <c r="K3238">
        <v>172.38</v>
      </c>
      <c r="L3238">
        <v>0.57999999999999996</v>
      </c>
      <c r="M3238">
        <v>250.05</v>
      </c>
      <c r="N3238">
        <v>250.63</v>
      </c>
    </row>
    <row r="3239" spans="1:14" x14ac:dyDescent="0.3">
      <c r="A3239" s="2">
        <v>45689</v>
      </c>
      <c r="B3239" t="s">
        <v>72</v>
      </c>
      <c r="C3239">
        <v>2025</v>
      </c>
      <c r="D3239">
        <v>2</v>
      </c>
      <c r="E3239" t="s">
        <v>59</v>
      </c>
      <c r="F3239" t="s">
        <v>45</v>
      </c>
      <c r="G3239">
        <v>3</v>
      </c>
      <c r="H3239" t="s">
        <v>20</v>
      </c>
      <c r="I3239">
        <v>534.53</v>
      </c>
      <c r="J3239">
        <v>762.61</v>
      </c>
      <c r="K3239">
        <v>798.13</v>
      </c>
      <c r="L3239">
        <v>29.63</v>
      </c>
      <c r="M3239">
        <v>2095.27</v>
      </c>
      <c r="N3239">
        <v>2124.9</v>
      </c>
    </row>
    <row r="3240" spans="1:14" x14ac:dyDescent="0.3">
      <c r="A3240" s="2">
        <v>45689</v>
      </c>
      <c r="B3240" t="s">
        <v>72</v>
      </c>
      <c r="C3240">
        <v>2025</v>
      </c>
      <c r="D3240">
        <v>2</v>
      </c>
      <c r="E3240" t="s">
        <v>59</v>
      </c>
      <c r="F3240" t="s">
        <v>46</v>
      </c>
      <c r="G3240">
        <v>8</v>
      </c>
      <c r="H3240" t="s">
        <v>20</v>
      </c>
      <c r="I3240">
        <v>1284.3</v>
      </c>
      <c r="J3240">
        <v>1619.47</v>
      </c>
      <c r="K3240">
        <v>1671.1</v>
      </c>
      <c r="L3240">
        <v>211.89</v>
      </c>
      <c r="M3240">
        <v>4574.87</v>
      </c>
      <c r="N3240">
        <v>4786.76</v>
      </c>
    </row>
    <row r="3241" spans="1:14" x14ac:dyDescent="0.3">
      <c r="A3241" s="2">
        <v>45689</v>
      </c>
      <c r="B3241" t="s">
        <v>72</v>
      </c>
      <c r="C3241">
        <v>2025</v>
      </c>
      <c r="D3241">
        <v>2</v>
      </c>
      <c r="E3241" t="s">
        <v>59</v>
      </c>
      <c r="F3241" t="s">
        <v>47</v>
      </c>
      <c r="G3241">
        <v>11</v>
      </c>
      <c r="H3241" t="s">
        <v>20</v>
      </c>
      <c r="I3241">
        <v>22.42</v>
      </c>
      <c r="J3241">
        <v>27.15</v>
      </c>
      <c r="K3241">
        <v>281.93</v>
      </c>
      <c r="L3241">
        <v>0.19</v>
      </c>
      <c r="M3241">
        <v>331.5</v>
      </c>
      <c r="N3241">
        <v>331.69</v>
      </c>
    </row>
    <row r="3242" spans="1:14" x14ac:dyDescent="0.3">
      <c r="A3242" s="2">
        <v>45689</v>
      </c>
      <c r="B3242" t="s">
        <v>72</v>
      </c>
      <c r="C3242">
        <v>2025</v>
      </c>
      <c r="D3242">
        <v>2</v>
      </c>
      <c r="E3242" t="s">
        <v>59</v>
      </c>
      <c r="F3242" t="s">
        <v>48</v>
      </c>
      <c r="G3242">
        <v>33</v>
      </c>
      <c r="H3242" t="s">
        <v>20</v>
      </c>
      <c r="I3242">
        <v>2845.11</v>
      </c>
      <c r="J3242">
        <v>3930.95</v>
      </c>
      <c r="K3242">
        <v>3244.8</v>
      </c>
      <c r="L3242">
        <v>673.62</v>
      </c>
      <c r="M3242">
        <v>10020.86</v>
      </c>
      <c r="N3242">
        <v>10694.48</v>
      </c>
    </row>
    <row r="3243" spans="1:14" x14ac:dyDescent="0.3">
      <c r="A3243" s="2">
        <v>45689</v>
      </c>
      <c r="B3243" t="s">
        <v>72</v>
      </c>
      <c r="C3243">
        <v>2025</v>
      </c>
      <c r="D3243">
        <v>2</v>
      </c>
      <c r="E3243" t="s">
        <v>59</v>
      </c>
      <c r="F3243" t="s">
        <v>49</v>
      </c>
      <c r="G3243">
        <v>36</v>
      </c>
      <c r="H3243" t="s">
        <v>20</v>
      </c>
      <c r="I3243">
        <v>1401.63</v>
      </c>
      <c r="J3243">
        <v>1747.72</v>
      </c>
      <c r="K3243">
        <v>1552.22</v>
      </c>
      <c r="L3243">
        <v>578.47</v>
      </c>
      <c r="M3243">
        <v>4701.57</v>
      </c>
      <c r="N3243">
        <v>5280.04</v>
      </c>
    </row>
    <row r="3244" spans="1:14" x14ac:dyDescent="0.3">
      <c r="A3244" s="2">
        <v>45689</v>
      </c>
      <c r="B3244" t="s">
        <v>72</v>
      </c>
      <c r="C3244">
        <v>2025</v>
      </c>
      <c r="D3244">
        <v>2</v>
      </c>
      <c r="E3244" t="s">
        <v>59</v>
      </c>
      <c r="F3244" t="s">
        <v>50</v>
      </c>
      <c r="G3244">
        <v>16</v>
      </c>
      <c r="H3244" t="s">
        <v>20</v>
      </c>
      <c r="I3244">
        <v>38.83</v>
      </c>
      <c r="J3244">
        <v>52.27</v>
      </c>
      <c r="K3244">
        <v>12.1</v>
      </c>
      <c r="L3244">
        <v>0.13</v>
      </c>
      <c r="M3244">
        <v>103.2</v>
      </c>
      <c r="N3244">
        <v>103.33</v>
      </c>
    </row>
    <row r="3245" spans="1:14" x14ac:dyDescent="0.3">
      <c r="A3245" s="2">
        <v>45689</v>
      </c>
      <c r="B3245" t="s">
        <v>72</v>
      </c>
      <c r="C3245">
        <v>2025</v>
      </c>
      <c r="D3245">
        <v>2</v>
      </c>
      <c r="E3245" t="s">
        <v>59</v>
      </c>
      <c r="F3245" t="s">
        <v>51</v>
      </c>
      <c r="G3245">
        <v>9</v>
      </c>
      <c r="H3245" t="s">
        <v>20</v>
      </c>
      <c r="I3245">
        <v>2081.0700000000002</v>
      </c>
      <c r="J3245">
        <v>2731.75</v>
      </c>
      <c r="K3245">
        <v>2612.1999999999998</v>
      </c>
      <c r="L3245">
        <v>1730.45</v>
      </c>
      <c r="M3245">
        <v>7425.02</v>
      </c>
      <c r="N3245">
        <v>9155.4699999999993</v>
      </c>
    </row>
    <row r="3246" spans="1:14" x14ac:dyDescent="0.3">
      <c r="A3246" s="2">
        <v>45689</v>
      </c>
      <c r="B3246" t="s">
        <v>72</v>
      </c>
      <c r="C3246">
        <v>2025</v>
      </c>
      <c r="D3246">
        <v>2</v>
      </c>
      <c r="E3246" t="s">
        <v>59</v>
      </c>
      <c r="F3246" t="s">
        <v>52</v>
      </c>
      <c r="G3246">
        <v>5</v>
      </c>
      <c r="H3246" t="s">
        <v>20</v>
      </c>
      <c r="I3246">
        <v>330.65</v>
      </c>
      <c r="J3246">
        <v>473.15</v>
      </c>
      <c r="K3246">
        <v>839.7</v>
      </c>
      <c r="L3246">
        <v>12.19</v>
      </c>
      <c r="M3246">
        <v>1643.5</v>
      </c>
      <c r="N3246">
        <v>1655.69</v>
      </c>
    </row>
    <row r="3247" spans="1:14" x14ac:dyDescent="0.3">
      <c r="A3247" s="2">
        <v>45689</v>
      </c>
      <c r="B3247" t="s">
        <v>72</v>
      </c>
      <c r="C3247">
        <v>2025</v>
      </c>
      <c r="D3247">
        <v>2</v>
      </c>
      <c r="E3247" t="s">
        <v>59</v>
      </c>
      <c r="F3247" t="s">
        <v>53</v>
      </c>
      <c r="G3247">
        <v>19</v>
      </c>
      <c r="H3247" t="s">
        <v>20</v>
      </c>
      <c r="I3247">
        <v>1694.4</v>
      </c>
      <c r="J3247">
        <v>2029.4</v>
      </c>
      <c r="K3247">
        <v>1506.2</v>
      </c>
      <c r="L3247">
        <v>566.79</v>
      </c>
      <c r="M3247">
        <v>5230</v>
      </c>
      <c r="N3247">
        <v>5796.79</v>
      </c>
    </row>
    <row r="3248" spans="1:14" x14ac:dyDescent="0.3">
      <c r="A3248" s="2">
        <v>45717</v>
      </c>
      <c r="B3248" t="s">
        <v>72</v>
      </c>
      <c r="C3248">
        <v>2025</v>
      </c>
      <c r="D3248">
        <v>3</v>
      </c>
      <c r="E3248" t="s">
        <v>60</v>
      </c>
      <c r="F3248" t="s">
        <v>17</v>
      </c>
      <c r="G3248">
        <v>35</v>
      </c>
      <c r="H3248" t="s">
        <v>18</v>
      </c>
      <c r="I3248">
        <v>16.04</v>
      </c>
      <c r="J3248">
        <v>20.5</v>
      </c>
      <c r="K3248">
        <v>14.71</v>
      </c>
      <c r="L3248">
        <v>0.2</v>
      </c>
      <c r="M3248">
        <v>51.25</v>
      </c>
      <c r="N3248">
        <v>51.45</v>
      </c>
    </row>
    <row r="3249" spans="1:14" x14ac:dyDescent="0.3">
      <c r="A3249" s="2">
        <v>45717</v>
      </c>
      <c r="B3249" t="s">
        <v>72</v>
      </c>
      <c r="C3249">
        <v>2025</v>
      </c>
      <c r="D3249">
        <v>3</v>
      </c>
      <c r="E3249" t="s">
        <v>60</v>
      </c>
      <c r="F3249" t="s">
        <v>19</v>
      </c>
      <c r="G3249">
        <v>28</v>
      </c>
      <c r="H3249" t="s">
        <v>20</v>
      </c>
      <c r="I3249">
        <v>985.07</v>
      </c>
      <c r="J3249">
        <v>1399.46</v>
      </c>
      <c r="K3249">
        <v>1413.21</v>
      </c>
      <c r="L3249">
        <v>235.51</v>
      </c>
      <c r="M3249">
        <v>3797.74</v>
      </c>
      <c r="N3249">
        <v>4033.25</v>
      </c>
    </row>
    <row r="3250" spans="1:14" x14ac:dyDescent="0.3">
      <c r="A3250" s="2">
        <v>45717</v>
      </c>
      <c r="B3250" t="s">
        <v>72</v>
      </c>
      <c r="C3250">
        <v>2025</v>
      </c>
      <c r="D3250">
        <v>3</v>
      </c>
      <c r="E3250" t="s">
        <v>60</v>
      </c>
      <c r="F3250" t="s">
        <v>21</v>
      </c>
      <c r="G3250">
        <v>12</v>
      </c>
      <c r="H3250" t="s">
        <v>20</v>
      </c>
      <c r="I3250">
        <v>71.099999999999994</v>
      </c>
      <c r="J3250">
        <v>82.86</v>
      </c>
      <c r="K3250">
        <v>20.03</v>
      </c>
      <c r="L3250">
        <v>0.2</v>
      </c>
      <c r="M3250">
        <v>173.99</v>
      </c>
      <c r="N3250">
        <v>174.19</v>
      </c>
    </row>
    <row r="3251" spans="1:14" x14ac:dyDescent="0.3">
      <c r="A3251" s="2">
        <v>45717</v>
      </c>
      <c r="B3251" t="s">
        <v>72</v>
      </c>
      <c r="C3251">
        <v>2025</v>
      </c>
      <c r="D3251">
        <v>3</v>
      </c>
      <c r="E3251" t="s">
        <v>60</v>
      </c>
      <c r="F3251" t="s">
        <v>22</v>
      </c>
      <c r="G3251">
        <v>18</v>
      </c>
      <c r="H3251" t="s">
        <v>20</v>
      </c>
      <c r="I3251">
        <v>530.07000000000005</v>
      </c>
      <c r="J3251">
        <v>693.54</v>
      </c>
      <c r="K3251">
        <v>362.86</v>
      </c>
      <c r="L3251">
        <v>121.45</v>
      </c>
      <c r="M3251">
        <v>1586.47</v>
      </c>
      <c r="N3251">
        <v>1707.92</v>
      </c>
    </row>
    <row r="3252" spans="1:14" x14ac:dyDescent="0.3">
      <c r="A3252" s="2">
        <v>45717</v>
      </c>
      <c r="B3252" t="s">
        <v>72</v>
      </c>
      <c r="C3252">
        <v>2025</v>
      </c>
      <c r="D3252">
        <v>3</v>
      </c>
      <c r="E3252" t="s">
        <v>60</v>
      </c>
      <c r="F3252" t="s">
        <v>23</v>
      </c>
      <c r="G3252">
        <v>10</v>
      </c>
      <c r="H3252" t="s">
        <v>20</v>
      </c>
      <c r="I3252">
        <v>606.4</v>
      </c>
      <c r="J3252">
        <v>1574.37</v>
      </c>
      <c r="K3252">
        <v>247.88</v>
      </c>
      <c r="L3252">
        <v>169.99</v>
      </c>
      <c r="M3252">
        <v>2428.65</v>
      </c>
      <c r="N3252">
        <v>2598.64</v>
      </c>
    </row>
    <row r="3253" spans="1:14" x14ac:dyDescent="0.3">
      <c r="A3253" s="2">
        <v>45717</v>
      </c>
      <c r="B3253" t="s">
        <v>72</v>
      </c>
      <c r="C3253">
        <v>2025</v>
      </c>
      <c r="D3253">
        <v>3</v>
      </c>
      <c r="E3253" t="s">
        <v>60</v>
      </c>
      <c r="F3253" t="s">
        <v>24</v>
      </c>
      <c r="G3253">
        <v>4</v>
      </c>
      <c r="H3253" t="s">
        <v>18</v>
      </c>
      <c r="I3253">
        <v>51.76</v>
      </c>
      <c r="J3253">
        <v>67.290000000000006</v>
      </c>
      <c r="K3253">
        <v>118.58</v>
      </c>
      <c r="L3253">
        <v>2.92</v>
      </c>
      <c r="M3253">
        <v>237.63</v>
      </c>
      <c r="N3253">
        <v>240.55</v>
      </c>
    </row>
    <row r="3254" spans="1:14" x14ac:dyDescent="0.3">
      <c r="A3254" s="2">
        <v>45717</v>
      </c>
      <c r="B3254" t="s">
        <v>72</v>
      </c>
      <c r="C3254">
        <v>2025</v>
      </c>
      <c r="D3254">
        <v>3</v>
      </c>
      <c r="E3254" t="s">
        <v>60</v>
      </c>
      <c r="F3254" t="s">
        <v>25</v>
      </c>
      <c r="G3254">
        <v>22</v>
      </c>
      <c r="H3254" t="s">
        <v>20</v>
      </c>
      <c r="I3254">
        <v>770.12</v>
      </c>
      <c r="J3254">
        <v>1304.32</v>
      </c>
      <c r="K3254">
        <v>1002.41</v>
      </c>
      <c r="L3254">
        <v>644.05999999999995</v>
      </c>
      <c r="M3254">
        <v>3076.85</v>
      </c>
      <c r="N3254">
        <v>3720.91</v>
      </c>
    </row>
    <row r="3255" spans="1:14" x14ac:dyDescent="0.3">
      <c r="A3255" s="2">
        <v>45717</v>
      </c>
      <c r="B3255" t="s">
        <v>72</v>
      </c>
      <c r="C3255">
        <v>2025</v>
      </c>
      <c r="D3255">
        <v>3</v>
      </c>
      <c r="E3255" t="s">
        <v>60</v>
      </c>
      <c r="F3255" t="s">
        <v>26</v>
      </c>
      <c r="G3255">
        <v>38</v>
      </c>
      <c r="H3255" t="s">
        <v>18</v>
      </c>
      <c r="I3255">
        <v>49.63</v>
      </c>
      <c r="J3255">
        <v>60.45</v>
      </c>
      <c r="K3255">
        <v>275.27999999999997</v>
      </c>
      <c r="L3255">
        <v>0.2</v>
      </c>
      <c r="M3255">
        <v>385.36</v>
      </c>
      <c r="N3255">
        <v>385.56</v>
      </c>
    </row>
    <row r="3256" spans="1:14" x14ac:dyDescent="0.3">
      <c r="A3256" s="2">
        <v>45717</v>
      </c>
      <c r="B3256" t="s">
        <v>72</v>
      </c>
      <c r="C3256">
        <v>2025</v>
      </c>
      <c r="D3256">
        <v>3</v>
      </c>
      <c r="E3256" t="s">
        <v>60</v>
      </c>
      <c r="F3256" t="s">
        <v>27</v>
      </c>
      <c r="G3256">
        <v>7</v>
      </c>
      <c r="H3256" t="s">
        <v>18</v>
      </c>
      <c r="I3256">
        <v>1288.3599999999999</v>
      </c>
      <c r="J3256">
        <v>1541.12</v>
      </c>
      <c r="K3256">
        <v>3211.94</v>
      </c>
      <c r="L3256">
        <v>97.82</v>
      </c>
      <c r="M3256">
        <v>6041.42</v>
      </c>
      <c r="N3256">
        <v>6139.24</v>
      </c>
    </row>
    <row r="3257" spans="1:14" x14ac:dyDescent="0.3">
      <c r="A3257" s="2">
        <v>45717</v>
      </c>
      <c r="B3257" t="s">
        <v>72</v>
      </c>
      <c r="C3257">
        <v>2025</v>
      </c>
      <c r="D3257">
        <v>3</v>
      </c>
      <c r="E3257" t="s">
        <v>60</v>
      </c>
      <c r="F3257" t="s">
        <v>28</v>
      </c>
      <c r="G3257">
        <v>30</v>
      </c>
      <c r="H3257" t="s">
        <v>20</v>
      </c>
      <c r="I3257">
        <v>185.06</v>
      </c>
      <c r="J3257">
        <v>228.71</v>
      </c>
      <c r="K3257">
        <v>262.64999999999998</v>
      </c>
      <c r="L3257">
        <v>3.62</v>
      </c>
      <c r="M3257">
        <v>676.42</v>
      </c>
      <c r="N3257">
        <v>680.04</v>
      </c>
    </row>
    <row r="3258" spans="1:14" x14ac:dyDescent="0.3">
      <c r="A3258" s="2">
        <v>45717</v>
      </c>
      <c r="B3258" t="s">
        <v>72</v>
      </c>
      <c r="C3258">
        <v>2025</v>
      </c>
      <c r="D3258">
        <v>3</v>
      </c>
      <c r="E3258" t="s">
        <v>60</v>
      </c>
      <c r="F3258" t="s">
        <v>29</v>
      </c>
      <c r="G3258">
        <v>24</v>
      </c>
      <c r="H3258" t="s">
        <v>20</v>
      </c>
      <c r="I3258">
        <v>3423.3</v>
      </c>
      <c r="J3258">
        <v>4246.16</v>
      </c>
      <c r="K3258">
        <v>3898.2</v>
      </c>
      <c r="L3258">
        <v>526.88</v>
      </c>
      <c r="M3258">
        <v>11567.66</v>
      </c>
      <c r="N3258">
        <v>12094.54</v>
      </c>
    </row>
    <row r="3259" spans="1:14" x14ac:dyDescent="0.3">
      <c r="A3259" s="2">
        <v>45717</v>
      </c>
      <c r="B3259" t="s">
        <v>72</v>
      </c>
      <c r="C3259">
        <v>2025</v>
      </c>
      <c r="D3259">
        <v>3</v>
      </c>
      <c r="E3259" t="s">
        <v>60</v>
      </c>
      <c r="F3259" t="s">
        <v>30</v>
      </c>
      <c r="G3259">
        <v>6</v>
      </c>
      <c r="H3259" t="s">
        <v>20</v>
      </c>
      <c r="I3259">
        <v>1632.47</v>
      </c>
      <c r="J3259">
        <v>2010.72</v>
      </c>
      <c r="K3259">
        <v>6407.97</v>
      </c>
      <c r="L3259">
        <v>596.86</v>
      </c>
      <c r="M3259">
        <v>10051.16</v>
      </c>
      <c r="N3259">
        <v>10648.02</v>
      </c>
    </row>
    <row r="3260" spans="1:14" x14ac:dyDescent="0.3">
      <c r="A3260" s="2">
        <v>45717</v>
      </c>
      <c r="B3260" t="s">
        <v>72</v>
      </c>
      <c r="C3260">
        <v>2025</v>
      </c>
      <c r="D3260">
        <v>3</v>
      </c>
      <c r="E3260" t="s">
        <v>60</v>
      </c>
      <c r="F3260" t="s">
        <v>31</v>
      </c>
      <c r="G3260">
        <v>2</v>
      </c>
      <c r="H3260" t="s">
        <v>20</v>
      </c>
      <c r="I3260">
        <v>166.76</v>
      </c>
      <c r="J3260">
        <v>225.2</v>
      </c>
      <c r="K3260">
        <v>435.45</v>
      </c>
      <c r="L3260">
        <v>2.0099999999999998</v>
      </c>
      <c r="M3260">
        <v>827.41</v>
      </c>
      <c r="N3260">
        <v>829.42</v>
      </c>
    </row>
    <row r="3261" spans="1:14" x14ac:dyDescent="0.3">
      <c r="A3261" s="2">
        <v>45717</v>
      </c>
      <c r="B3261" t="s">
        <v>72</v>
      </c>
      <c r="C3261">
        <v>2025</v>
      </c>
      <c r="D3261">
        <v>3</v>
      </c>
      <c r="E3261" t="s">
        <v>60</v>
      </c>
      <c r="F3261" t="s">
        <v>32</v>
      </c>
      <c r="G3261">
        <v>1</v>
      </c>
      <c r="H3261" t="s">
        <v>18</v>
      </c>
      <c r="I3261">
        <v>192.47</v>
      </c>
      <c r="J3261">
        <v>256.56</v>
      </c>
      <c r="K3261">
        <v>137.06</v>
      </c>
      <c r="L3261">
        <v>8.83</v>
      </c>
      <c r="M3261">
        <v>586.09</v>
      </c>
      <c r="N3261">
        <v>594.91999999999996</v>
      </c>
    </row>
    <row r="3262" spans="1:14" x14ac:dyDescent="0.3">
      <c r="A3262" s="2">
        <v>45717</v>
      </c>
      <c r="B3262" t="s">
        <v>72</v>
      </c>
      <c r="C3262">
        <v>2025</v>
      </c>
      <c r="D3262">
        <v>3</v>
      </c>
      <c r="E3262" t="s">
        <v>60</v>
      </c>
      <c r="F3262" t="s">
        <v>33</v>
      </c>
      <c r="G3262">
        <v>20</v>
      </c>
      <c r="H3262" t="s">
        <v>20</v>
      </c>
      <c r="I3262">
        <v>650.86</v>
      </c>
      <c r="J3262">
        <v>902.31</v>
      </c>
      <c r="K3262">
        <v>1129.54</v>
      </c>
      <c r="L3262">
        <v>626.02</v>
      </c>
      <c r="M3262">
        <v>2682.71</v>
      </c>
      <c r="N3262">
        <v>3308.73</v>
      </c>
    </row>
    <row r="3263" spans="1:14" x14ac:dyDescent="0.3">
      <c r="A3263" s="2">
        <v>45717</v>
      </c>
      <c r="B3263" t="s">
        <v>72</v>
      </c>
      <c r="C3263">
        <v>2025</v>
      </c>
      <c r="D3263">
        <v>3</v>
      </c>
      <c r="E3263" t="s">
        <v>60</v>
      </c>
      <c r="F3263" t="s">
        <v>34</v>
      </c>
      <c r="G3263">
        <v>29</v>
      </c>
      <c r="H3263" t="s">
        <v>20</v>
      </c>
      <c r="I3263">
        <v>3352.87</v>
      </c>
      <c r="J3263">
        <v>4178.0200000000004</v>
      </c>
      <c r="K3263">
        <v>4669.58</v>
      </c>
      <c r="L3263">
        <v>1296.97</v>
      </c>
      <c r="M3263">
        <v>12200.47</v>
      </c>
      <c r="N3263">
        <v>13497.44</v>
      </c>
    </row>
    <row r="3264" spans="1:14" x14ac:dyDescent="0.3">
      <c r="A3264" s="2">
        <v>45717</v>
      </c>
      <c r="B3264" t="s">
        <v>72</v>
      </c>
      <c r="C3264">
        <v>2025</v>
      </c>
      <c r="D3264">
        <v>3</v>
      </c>
      <c r="E3264" t="s">
        <v>60</v>
      </c>
      <c r="F3264" t="s">
        <v>35</v>
      </c>
      <c r="G3264">
        <v>32</v>
      </c>
      <c r="H3264" t="s">
        <v>20</v>
      </c>
      <c r="I3264">
        <v>1039.8900000000001</v>
      </c>
      <c r="J3264">
        <v>1265.2</v>
      </c>
      <c r="K3264">
        <v>518.71</v>
      </c>
      <c r="L3264">
        <v>5.23</v>
      </c>
      <c r="M3264">
        <v>2823.8</v>
      </c>
      <c r="N3264">
        <v>2829.03</v>
      </c>
    </row>
    <row r="3265" spans="1:14" x14ac:dyDescent="0.3">
      <c r="A3265" s="2">
        <v>45717</v>
      </c>
      <c r="B3265" t="s">
        <v>72</v>
      </c>
      <c r="C3265">
        <v>2025</v>
      </c>
      <c r="D3265">
        <v>3</v>
      </c>
      <c r="E3265" t="s">
        <v>60</v>
      </c>
      <c r="F3265" t="s">
        <v>67</v>
      </c>
      <c r="G3265">
        <v>37</v>
      </c>
      <c r="H3265" t="s">
        <v>18</v>
      </c>
      <c r="I3265">
        <v>19.87</v>
      </c>
      <c r="J3265">
        <v>21.79</v>
      </c>
      <c r="K3265">
        <v>6.57</v>
      </c>
      <c r="L3265">
        <v>0.23</v>
      </c>
      <c r="M3265">
        <v>48.23</v>
      </c>
      <c r="N3265">
        <v>48.46</v>
      </c>
    </row>
    <row r="3266" spans="1:14" x14ac:dyDescent="0.3">
      <c r="A3266" s="2">
        <v>45717</v>
      </c>
      <c r="B3266" t="s">
        <v>72</v>
      </c>
      <c r="C3266">
        <v>2025</v>
      </c>
      <c r="D3266">
        <v>3</v>
      </c>
      <c r="E3266" t="s">
        <v>60</v>
      </c>
      <c r="F3266" t="s">
        <v>36</v>
      </c>
      <c r="G3266">
        <v>31</v>
      </c>
      <c r="H3266" t="s">
        <v>18</v>
      </c>
      <c r="I3266">
        <v>0.67</v>
      </c>
      <c r="J3266">
        <v>1.2</v>
      </c>
      <c r="K3266">
        <v>0.96</v>
      </c>
      <c r="L3266">
        <v>0</v>
      </c>
      <c r="M3266">
        <v>2.83</v>
      </c>
      <c r="N3266">
        <v>2.83</v>
      </c>
    </row>
    <row r="3267" spans="1:14" x14ac:dyDescent="0.3">
      <c r="A3267" s="2">
        <v>45717</v>
      </c>
      <c r="B3267" t="s">
        <v>72</v>
      </c>
      <c r="C3267">
        <v>2025</v>
      </c>
      <c r="D3267">
        <v>3</v>
      </c>
      <c r="E3267" t="s">
        <v>60</v>
      </c>
      <c r="F3267" t="s">
        <v>37</v>
      </c>
      <c r="G3267">
        <v>23</v>
      </c>
      <c r="H3267" t="s">
        <v>20</v>
      </c>
      <c r="I3267">
        <v>1116.6099999999999</v>
      </c>
      <c r="J3267">
        <v>1417.07</v>
      </c>
      <c r="K3267">
        <v>944.95</v>
      </c>
      <c r="L3267">
        <v>694.85</v>
      </c>
      <c r="M3267">
        <v>3478.63</v>
      </c>
      <c r="N3267">
        <v>4173.4799999999996</v>
      </c>
    </row>
    <row r="3268" spans="1:14" x14ac:dyDescent="0.3">
      <c r="A3268" s="2">
        <v>45717</v>
      </c>
      <c r="B3268" t="s">
        <v>72</v>
      </c>
      <c r="C3268">
        <v>2025</v>
      </c>
      <c r="D3268">
        <v>3</v>
      </c>
      <c r="E3268" t="s">
        <v>60</v>
      </c>
      <c r="F3268" t="s">
        <v>38</v>
      </c>
      <c r="G3268">
        <v>27</v>
      </c>
      <c r="H3268" t="s">
        <v>20</v>
      </c>
      <c r="I3268">
        <v>9057.7199999999993</v>
      </c>
      <c r="J3268">
        <v>10925.59</v>
      </c>
      <c r="K3268">
        <v>9363.1200000000008</v>
      </c>
      <c r="L3268">
        <v>2187.09</v>
      </c>
      <c r="M3268">
        <v>29346.43</v>
      </c>
      <c r="N3268">
        <v>31533.52</v>
      </c>
    </row>
    <row r="3269" spans="1:14" x14ac:dyDescent="0.3">
      <c r="A3269" s="2">
        <v>45717</v>
      </c>
      <c r="B3269" t="s">
        <v>72</v>
      </c>
      <c r="C3269">
        <v>2025</v>
      </c>
      <c r="D3269">
        <v>3</v>
      </c>
      <c r="E3269" t="s">
        <v>60</v>
      </c>
      <c r="F3269" t="s">
        <v>39</v>
      </c>
      <c r="G3269">
        <v>14</v>
      </c>
      <c r="H3269" t="s">
        <v>20</v>
      </c>
      <c r="I3269">
        <v>19.07</v>
      </c>
      <c r="J3269">
        <v>28.07</v>
      </c>
      <c r="K3269">
        <v>9.6999999999999993</v>
      </c>
      <c r="L3269">
        <v>0.15</v>
      </c>
      <c r="M3269">
        <v>56.84</v>
      </c>
      <c r="N3269">
        <v>56.99</v>
      </c>
    </row>
    <row r="3270" spans="1:14" x14ac:dyDescent="0.3">
      <c r="A3270" s="2">
        <v>45717</v>
      </c>
      <c r="B3270" t="s">
        <v>72</v>
      </c>
      <c r="C3270">
        <v>2025</v>
      </c>
      <c r="D3270">
        <v>3</v>
      </c>
      <c r="E3270" t="s">
        <v>60</v>
      </c>
      <c r="F3270" t="s">
        <v>40</v>
      </c>
      <c r="G3270">
        <v>17</v>
      </c>
      <c r="H3270" t="s">
        <v>20</v>
      </c>
      <c r="I3270">
        <v>71.709999999999994</v>
      </c>
      <c r="J3270">
        <v>85.42</v>
      </c>
      <c r="K3270">
        <v>109.89</v>
      </c>
      <c r="L3270">
        <v>0.67</v>
      </c>
      <c r="M3270">
        <v>267.02</v>
      </c>
      <c r="N3270">
        <v>267.69</v>
      </c>
    </row>
    <row r="3271" spans="1:14" x14ac:dyDescent="0.3">
      <c r="A3271" s="2">
        <v>45717</v>
      </c>
      <c r="B3271" t="s">
        <v>72</v>
      </c>
      <c r="C3271">
        <v>2025</v>
      </c>
      <c r="D3271">
        <v>3</v>
      </c>
      <c r="E3271" t="s">
        <v>60</v>
      </c>
      <c r="F3271" t="s">
        <v>41</v>
      </c>
      <c r="G3271">
        <v>15</v>
      </c>
      <c r="H3271" t="s">
        <v>20</v>
      </c>
      <c r="I3271">
        <v>17.239999999999998</v>
      </c>
      <c r="J3271">
        <v>23.44</v>
      </c>
      <c r="K3271">
        <v>5.59</v>
      </c>
      <c r="L3271">
        <v>0.04</v>
      </c>
      <c r="M3271">
        <v>46.27</v>
      </c>
      <c r="N3271">
        <v>46.31</v>
      </c>
    </row>
    <row r="3272" spans="1:14" x14ac:dyDescent="0.3">
      <c r="A3272" s="2">
        <v>45717</v>
      </c>
      <c r="B3272" t="s">
        <v>72</v>
      </c>
      <c r="C3272">
        <v>2025</v>
      </c>
      <c r="D3272">
        <v>3</v>
      </c>
      <c r="E3272" t="s">
        <v>60</v>
      </c>
      <c r="F3272" t="s">
        <v>42</v>
      </c>
      <c r="G3272">
        <v>13</v>
      </c>
      <c r="H3272" t="s">
        <v>20</v>
      </c>
      <c r="I3272">
        <v>29.71</v>
      </c>
      <c r="J3272">
        <v>35.72</v>
      </c>
      <c r="K3272">
        <v>17.760000000000002</v>
      </c>
      <c r="L3272">
        <v>1.46</v>
      </c>
      <c r="M3272">
        <v>83.19</v>
      </c>
      <c r="N3272">
        <v>84.65</v>
      </c>
    </row>
    <row r="3273" spans="1:14" x14ac:dyDescent="0.3">
      <c r="A3273" s="2">
        <v>45717</v>
      </c>
      <c r="B3273" t="s">
        <v>72</v>
      </c>
      <c r="C3273">
        <v>2025</v>
      </c>
      <c r="D3273">
        <v>3</v>
      </c>
      <c r="E3273" t="s">
        <v>60</v>
      </c>
      <c r="F3273" t="s">
        <v>43</v>
      </c>
      <c r="G3273">
        <v>21</v>
      </c>
      <c r="H3273" t="s">
        <v>20</v>
      </c>
      <c r="I3273">
        <v>1408.5</v>
      </c>
      <c r="J3273">
        <v>2039.43</v>
      </c>
      <c r="K3273">
        <v>1561.29</v>
      </c>
      <c r="L3273">
        <v>800.19</v>
      </c>
      <c r="M3273">
        <v>5009.22</v>
      </c>
      <c r="N3273">
        <v>5809.41</v>
      </c>
    </row>
    <row r="3274" spans="1:14" x14ac:dyDescent="0.3">
      <c r="A3274" s="2">
        <v>45717</v>
      </c>
      <c r="B3274" t="s">
        <v>72</v>
      </c>
      <c r="C3274">
        <v>2025</v>
      </c>
      <c r="D3274">
        <v>3</v>
      </c>
      <c r="E3274" t="s">
        <v>60</v>
      </c>
      <c r="F3274" t="s">
        <v>44</v>
      </c>
      <c r="G3274">
        <v>34</v>
      </c>
      <c r="H3274" t="s">
        <v>18</v>
      </c>
      <c r="I3274">
        <v>34.44</v>
      </c>
      <c r="J3274">
        <v>48.6</v>
      </c>
      <c r="K3274">
        <v>167.56</v>
      </c>
      <c r="L3274">
        <v>0.86</v>
      </c>
      <c r="M3274">
        <v>250.6</v>
      </c>
      <c r="N3274">
        <v>251.46</v>
      </c>
    </row>
    <row r="3275" spans="1:14" x14ac:dyDescent="0.3">
      <c r="A3275" s="2">
        <v>45717</v>
      </c>
      <c r="B3275" t="s">
        <v>72</v>
      </c>
      <c r="C3275">
        <v>2025</v>
      </c>
      <c r="D3275">
        <v>3</v>
      </c>
      <c r="E3275" t="s">
        <v>60</v>
      </c>
      <c r="F3275" t="s">
        <v>45</v>
      </c>
      <c r="G3275">
        <v>3</v>
      </c>
      <c r="H3275" t="s">
        <v>20</v>
      </c>
      <c r="I3275">
        <v>561.85</v>
      </c>
      <c r="J3275">
        <v>752.4</v>
      </c>
      <c r="K3275">
        <v>819.28</v>
      </c>
      <c r="L3275">
        <v>38.21</v>
      </c>
      <c r="M3275">
        <v>2133.5300000000002</v>
      </c>
      <c r="N3275">
        <v>2171.7399999999998</v>
      </c>
    </row>
    <row r="3276" spans="1:14" x14ac:dyDescent="0.3">
      <c r="A3276" s="2">
        <v>45717</v>
      </c>
      <c r="B3276" t="s">
        <v>72</v>
      </c>
      <c r="C3276">
        <v>2025</v>
      </c>
      <c r="D3276">
        <v>3</v>
      </c>
      <c r="E3276" t="s">
        <v>60</v>
      </c>
      <c r="F3276" t="s">
        <v>46</v>
      </c>
      <c r="G3276">
        <v>8</v>
      </c>
      <c r="H3276" t="s">
        <v>20</v>
      </c>
      <c r="I3276">
        <v>1419.83</v>
      </c>
      <c r="J3276">
        <v>2048.73</v>
      </c>
      <c r="K3276">
        <v>1827.73</v>
      </c>
      <c r="L3276">
        <v>202.01</v>
      </c>
      <c r="M3276">
        <v>5296.29</v>
      </c>
      <c r="N3276">
        <v>5498.3</v>
      </c>
    </row>
    <row r="3277" spans="1:14" x14ac:dyDescent="0.3">
      <c r="A3277" s="2">
        <v>45717</v>
      </c>
      <c r="B3277" t="s">
        <v>72</v>
      </c>
      <c r="C3277">
        <v>2025</v>
      </c>
      <c r="D3277">
        <v>3</v>
      </c>
      <c r="E3277" t="s">
        <v>60</v>
      </c>
      <c r="F3277" t="s">
        <v>47</v>
      </c>
      <c r="G3277">
        <v>11</v>
      </c>
      <c r="H3277" t="s">
        <v>20</v>
      </c>
      <c r="I3277">
        <v>26.61</v>
      </c>
      <c r="J3277">
        <v>33.159999999999997</v>
      </c>
      <c r="K3277">
        <v>289.35000000000002</v>
      </c>
      <c r="L3277">
        <v>0.28999999999999998</v>
      </c>
      <c r="M3277">
        <v>349.12</v>
      </c>
      <c r="N3277">
        <v>349.41</v>
      </c>
    </row>
    <row r="3278" spans="1:14" x14ac:dyDescent="0.3">
      <c r="A3278" s="2">
        <v>45717</v>
      </c>
      <c r="B3278" t="s">
        <v>72</v>
      </c>
      <c r="C3278">
        <v>2025</v>
      </c>
      <c r="D3278">
        <v>3</v>
      </c>
      <c r="E3278" t="s">
        <v>60</v>
      </c>
      <c r="F3278" t="s">
        <v>48</v>
      </c>
      <c r="G3278">
        <v>33</v>
      </c>
      <c r="H3278" t="s">
        <v>20</v>
      </c>
      <c r="I3278">
        <v>3152.02</v>
      </c>
      <c r="J3278">
        <v>4565.37</v>
      </c>
      <c r="K3278">
        <v>3349.24</v>
      </c>
      <c r="L3278">
        <v>728.57</v>
      </c>
      <c r="M3278">
        <v>11066.63</v>
      </c>
      <c r="N3278">
        <v>11795.2</v>
      </c>
    </row>
    <row r="3279" spans="1:14" x14ac:dyDescent="0.3">
      <c r="A3279" s="2">
        <v>45717</v>
      </c>
      <c r="B3279" t="s">
        <v>72</v>
      </c>
      <c r="C3279">
        <v>2025</v>
      </c>
      <c r="D3279">
        <v>3</v>
      </c>
      <c r="E3279" t="s">
        <v>60</v>
      </c>
      <c r="F3279" t="s">
        <v>49</v>
      </c>
      <c r="G3279">
        <v>36</v>
      </c>
      <c r="H3279" t="s">
        <v>20</v>
      </c>
      <c r="I3279">
        <v>1479.76</v>
      </c>
      <c r="J3279">
        <v>1821.92</v>
      </c>
      <c r="K3279">
        <v>1564.3</v>
      </c>
      <c r="L3279">
        <v>535.04999999999995</v>
      </c>
      <c r="M3279">
        <v>4865.9799999999996</v>
      </c>
      <c r="N3279">
        <v>5401.03</v>
      </c>
    </row>
    <row r="3280" spans="1:14" x14ac:dyDescent="0.3">
      <c r="A3280" s="2">
        <v>45717</v>
      </c>
      <c r="B3280" t="s">
        <v>72</v>
      </c>
      <c r="C3280">
        <v>2025</v>
      </c>
      <c r="D3280">
        <v>3</v>
      </c>
      <c r="E3280" t="s">
        <v>60</v>
      </c>
      <c r="F3280" t="s">
        <v>50</v>
      </c>
      <c r="G3280">
        <v>16</v>
      </c>
      <c r="H3280" t="s">
        <v>20</v>
      </c>
      <c r="I3280">
        <v>62.24</v>
      </c>
      <c r="J3280">
        <v>83.9</v>
      </c>
      <c r="K3280">
        <v>13.24</v>
      </c>
      <c r="L3280">
        <v>0.12</v>
      </c>
      <c r="M3280">
        <v>159.38</v>
      </c>
      <c r="N3280">
        <v>159.5</v>
      </c>
    </row>
    <row r="3281" spans="1:15" x14ac:dyDescent="0.3">
      <c r="A3281" s="2">
        <v>45717</v>
      </c>
      <c r="B3281" t="s">
        <v>72</v>
      </c>
      <c r="C3281">
        <v>2025</v>
      </c>
      <c r="D3281">
        <v>3</v>
      </c>
      <c r="E3281" t="s">
        <v>60</v>
      </c>
      <c r="F3281" t="s">
        <v>51</v>
      </c>
      <c r="G3281">
        <v>9</v>
      </c>
      <c r="H3281" t="s">
        <v>20</v>
      </c>
      <c r="I3281">
        <v>2454.6999999999998</v>
      </c>
      <c r="J3281">
        <v>3207.19</v>
      </c>
      <c r="K3281">
        <v>3131.53</v>
      </c>
      <c r="L3281">
        <v>1162.9000000000001</v>
      </c>
      <c r="M3281">
        <v>8793.42</v>
      </c>
      <c r="N3281">
        <v>9956.32</v>
      </c>
    </row>
    <row r="3282" spans="1:15" x14ac:dyDescent="0.3">
      <c r="A3282" s="2">
        <v>45717</v>
      </c>
      <c r="B3282" t="s">
        <v>72</v>
      </c>
      <c r="C3282">
        <v>2025</v>
      </c>
      <c r="D3282">
        <v>3</v>
      </c>
      <c r="E3282" t="s">
        <v>60</v>
      </c>
      <c r="F3282" t="s">
        <v>52</v>
      </c>
      <c r="G3282">
        <v>5</v>
      </c>
      <c r="H3282" t="s">
        <v>20</v>
      </c>
      <c r="I3282">
        <v>382.24</v>
      </c>
      <c r="J3282">
        <v>526.80999999999995</v>
      </c>
      <c r="K3282">
        <v>823.01</v>
      </c>
      <c r="L3282">
        <v>10.26</v>
      </c>
      <c r="M3282">
        <v>1732.06</v>
      </c>
      <c r="N3282">
        <v>1742.32</v>
      </c>
    </row>
    <row r="3283" spans="1:15" x14ac:dyDescent="0.3">
      <c r="A3283" s="2">
        <v>45717</v>
      </c>
      <c r="B3283" t="s">
        <v>72</v>
      </c>
      <c r="C3283">
        <v>2025</v>
      </c>
      <c r="D3283">
        <v>3</v>
      </c>
      <c r="E3283" t="s">
        <v>60</v>
      </c>
      <c r="F3283" t="s">
        <v>53</v>
      </c>
      <c r="G3283">
        <v>19</v>
      </c>
      <c r="H3283" t="s">
        <v>20</v>
      </c>
      <c r="I3283">
        <v>1799.47</v>
      </c>
      <c r="J3283">
        <v>2147.4</v>
      </c>
      <c r="K3283">
        <v>1466</v>
      </c>
      <c r="L3283">
        <v>414.15</v>
      </c>
      <c r="M3283">
        <v>5412.87</v>
      </c>
      <c r="N3283">
        <v>5827.02</v>
      </c>
    </row>
    <row r="3284" spans="1:15" x14ac:dyDescent="0.3">
      <c r="A3284" s="2">
        <v>45870</v>
      </c>
      <c r="B3284" t="s">
        <v>73</v>
      </c>
      <c r="C3284">
        <v>2025</v>
      </c>
      <c r="D3284">
        <v>8</v>
      </c>
      <c r="E3284" t="s">
        <v>16</v>
      </c>
      <c r="F3284" t="s">
        <v>17</v>
      </c>
      <c r="G3284">
        <v>35</v>
      </c>
      <c r="H3284" t="s">
        <v>18</v>
      </c>
      <c r="I3284">
        <v>12.28</v>
      </c>
      <c r="J3284">
        <v>15.08</v>
      </c>
      <c r="K3284">
        <v>9.44</v>
      </c>
      <c r="M3284">
        <v>36.799999999999997</v>
      </c>
      <c r="O3284" t="s">
        <v>74</v>
      </c>
    </row>
    <row r="3285" spans="1:15" x14ac:dyDescent="0.3">
      <c r="A3285" s="2">
        <v>45870</v>
      </c>
      <c r="B3285" t="s">
        <v>73</v>
      </c>
      <c r="C3285">
        <v>2025</v>
      </c>
      <c r="D3285">
        <v>8</v>
      </c>
      <c r="E3285" t="s">
        <v>16</v>
      </c>
      <c r="F3285" t="s">
        <v>19</v>
      </c>
      <c r="G3285">
        <v>28</v>
      </c>
      <c r="H3285" t="s">
        <v>20</v>
      </c>
      <c r="I3285">
        <v>1048.75</v>
      </c>
      <c r="J3285">
        <v>1364.26</v>
      </c>
      <c r="K3285">
        <v>1297.05</v>
      </c>
      <c r="M3285">
        <v>3710.06</v>
      </c>
      <c r="O3285" t="s">
        <v>74</v>
      </c>
    </row>
    <row r="3286" spans="1:15" x14ac:dyDescent="0.3">
      <c r="A3286" s="2">
        <v>45870</v>
      </c>
      <c r="B3286" t="s">
        <v>73</v>
      </c>
      <c r="C3286">
        <v>2025</v>
      </c>
      <c r="D3286">
        <v>8</v>
      </c>
      <c r="E3286" t="s">
        <v>16</v>
      </c>
      <c r="F3286" t="s">
        <v>21</v>
      </c>
      <c r="G3286">
        <v>12</v>
      </c>
      <c r="H3286" t="s">
        <v>20</v>
      </c>
      <c r="I3286">
        <v>35.53</v>
      </c>
      <c r="J3286">
        <v>41.08</v>
      </c>
      <c r="K3286">
        <v>11.62</v>
      </c>
      <c r="M3286">
        <v>88.23</v>
      </c>
      <c r="O3286" t="s">
        <v>74</v>
      </c>
    </row>
    <row r="3287" spans="1:15" x14ac:dyDescent="0.3">
      <c r="A3287" s="2">
        <v>45870</v>
      </c>
      <c r="B3287" t="s">
        <v>73</v>
      </c>
      <c r="C3287">
        <v>2025</v>
      </c>
      <c r="D3287">
        <v>8</v>
      </c>
      <c r="E3287" t="s">
        <v>16</v>
      </c>
      <c r="F3287" t="s">
        <v>22</v>
      </c>
      <c r="G3287">
        <v>18</v>
      </c>
      <c r="H3287" t="s">
        <v>20</v>
      </c>
      <c r="I3287">
        <v>444.29</v>
      </c>
      <c r="J3287">
        <v>562.42999999999995</v>
      </c>
      <c r="K3287">
        <v>396.72</v>
      </c>
      <c r="M3287">
        <v>1403.44</v>
      </c>
      <c r="O3287" t="s">
        <v>74</v>
      </c>
    </row>
    <row r="3288" spans="1:15" x14ac:dyDescent="0.3">
      <c r="A3288" s="2">
        <v>45870</v>
      </c>
      <c r="B3288" t="s">
        <v>73</v>
      </c>
      <c r="C3288">
        <v>2025</v>
      </c>
      <c r="D3288">
        <v>8</v>
      </c>
      <c r="E3288" t="s">
        <v>16</v>
      </c>
      <c r="F3288" t="s">
        <v>23</v>
      </c>
      <c r="G3288">
        <v>10</v>
      </c>
      <c r="H3288" t="s">
        <v>20</v>
      </c>
      <c r="I3288">
        <v>464.74</v>
      </c>
      <c r="J3288">
        <v>840.52</v>
      </c>
      <c r="K3288">
        <v>245.5</v>
      </c>
      <c r="M3288">
        <v>1550.76</v>
      </c>
      <c r="O3288" t="s">
        <v>74</v>
      </c>
    </row>
    <row r="3289" spans="1:15" x14ac:dyDescent="0.3">
      <c r="A3289" s="2">
        <v>45870</v>
      </c>
      <c r="B3289" t="s">
        <v>73</v>
      </c>
      <c r="C3289">
        <v>2025</v>
      </c>
      <c r="D3289">
        <v>8</v>
      </c>
      <c r="E3289" t="s">
        <v>16</v>
      </c>
      <c r="F3289" t="s">
        <v>24</v>
      </c>
      <c r="G3289">
        <v>4</v>
      </c>
      <c r="H3289" t="s">
        <v>18</v>
      </c>
      <c r="I3289">
        <v>46.09</v>
      </c>
      <c r="J3289">
        <v>60.54</v>
      </c>
      <c r="K3289">
        <v>105.49</v>
      </c>
      <c r="M3289">
        <v>212.12</v>
      </c>
      <c r="O3289" t="s">
        <v>74</v>
      </c>
    </row>
    <row r="3290" spans="1:15" x14ac:dyDescent="0.3">
      <c r="A3290" s="2">
        <v>45870</v>
      </c>
      <c r="B3290" t="s">
        <v>73</v>
      </c>
      <c r="C3290">
        <v>2025</v>
      </c>
      <c r="D3290">
        <v>8</v>
      </c>
      <c r="E3290" t="s">
        <v>16</v>
      </c>
      <c r="F3290" t="s">
        <v>25</v>
      </c>
      <c r="G3290">
        <v>22</v>
      </c>
      <c r="H3290" t="s">
        <v>20</v>
      </c>
      <c r="I3290">
        <v>573.78</v>
      </c>
      <c r="J3290">
        <v>720.33</v>
      </c>
      <c r="K3290">
        <v>943.6</v>
      </c>
      <c r="M3290">
        <v>2237.71</v>
      </c>
      <c r="O3290" t="s">
        <v>74</v>
      </c>
    </row>
    <row r="3291" spans="1:15" x14ac:dyDescent="0.3">
      <c r="A3291" s="2">
        <v>45870</v>
      </c>
      <c r="B3291" t="s">
        <v>73</v>
      </c>
      <c r="C3291">
        <v>2025</v>
      </c>
      <c r="D3291">
        <v>8</v>
      </c>
      <c r="E3291" t="s">
        <v>16</v>
      </c>
      <c r="F3291" t="s">
        <v>26</v>
      </c>
      <c r="G3291">
        <v>38</v>
      </c>
      <c r="H3291" t="s">
        <v>18</v>
      </c>
      <c r="I3291">
        <v>49.7</v>
      </c>
      <c r="J3291">
        <v>61.66</v>
      </c>
      <c r="K3291">
        <v>251.13</v>
      </c>
      <c r="M3291">
        <v>362.49</v>
      </c>
      <c r="O3291" t="s">
        <v>74</v>
      </c>
    </row>
    <row r="3292" spans="1:15" x14ac:dyDescent="0.3">
      <c r="A3292" s="2">
        <v>45870</v>
      </c>
      <c r="B3292" t="s">
        <v>73</v>
      </c>
      <c r="C3292">
        <v>2025</v>
      </c>
      <c r="D3292">
        <v>8</v>
      </c>
      <c r="E3292" t="s">
        <v>16</v>
      </c>
      <c r="F3292" t="s">
        <v>27</v>
      </c>
      <c r="G3292">
        <v>7</v>
      </c>
      <c r="H3292" t="s">
        <v>18</v>
      </c>
      <c r="I3292">
        <v>1182.58</v>
      </c>
      <c r="J3292">
        <v>1360.68</v>
      </c>
      <c r="K3292">
        <v>3095.8</v>
      </c>
      <c r="M3292">
        <v>5639.06</v>
      </c>
      <c r="O3292" t="s">
        <v>74</v>
      </c>
    </row>
    <row r="3293" spans="1:15" x14ac:dyDescent="0.3">
      <c r="A3293" s="2">
        <v>45870</v>
      </c>
      <c r="B3293" t="s">
        <v>73</v>
      </c>
      <c r="C3293">
        <v>2025</v>
      </c>
      <c r="D3293">
        <v>8</v>
      </c>
      <c r="E3293" t="s">
        <v>16</v>
      </c>
      <c r="F3293" t="s">
        <v>28</v>
      </c>
      <c r="G3293">
        <v>30</v>
      </c>
      <c r="H3293" t="s">
        <v>20</v>
      </c>
      <c r="I3293">
        <v>158.44</v>
      </c>
      <c r="J3293">
        <v>193.19</v>
      </c>
      <c r="K3293">
        <v>191.61</v>
      </c>
      <c r="M3293">
        <v>543.24</v>
      </c>
      <c r="O3293" t="s">
        <v>74</v>
      </c>
    </row>
    <row r="3294" spans="1:15" x14ac:dyDescent="0.3">
      <c r="A3294" s="2">
        <v>45870</v>
      </c>
      <c r="B3294" t="s">
        <v>73</v>
      </c>
      <c r="C3294">
        <v>2025</v>
      </c>
      <c r="D3294">
        <v>8</v>
      </c>
      <c r="E3294" t="s">
        <v>16</v>
      </c>
      <c r="F3294" t="s">
        <v>29</v>
      </c>
      <c r="G3294">
        <v>24</v>
      </c>
      <c r="H3294" t="s">
        <v>20</v>
      </c>
      <c r="I3294">
        <v>3130.42</v>
      </c>
      <c r="J3294">
        <v>3881.59</v>
      </c>
      <c r="K3294">
        <v>3470.11</v>
      </c>
      <c r="M3294">
        <v>10482.120000000001</v>
      </c>
      <c r="O3294" t="s">
        <v>74</v>
      </c>
    </row>
    <row r="3295" spans="1:15" x14ac:dyDescent="0.3">
      <c r="A3295" s="2">
        <v>45870</v>
      </c>
      <c r="B3295" t="s">
        <v>73</v>
      </c>
      <c r="C3295">
        <v>2025</v>
      </c>
      <c r="D3295">
        <v>8</v>
      </c>
      <c r="E3295" t="s">
        <v>16</v>
      </c>
      <c r="F3295" t="s">
        <v>30</v>
      </c>
      <c r="G3295">
        <v>6</v>
      </c>
      <c r="H3295" t="s">
        <v>20</v>
      </c>
      <c r="I3295">
        <v>1547.11</v>
      </c>
      <c r="J3295">
        <v>1997.51</v>
      </c>
      <c r="K3295">
        <v>5531.81</v>
      </c>
      <c r="M3295">
        <v>9076.43</v>
      </c>
      <c r="O3295" t="s">
        <v>74</v>
      </c>
    </row>
    <row r="3296" spans="1:15" x14ac:dyDescent="0.3">
      <c r="A3296" s="2">
        <v>45870</v>
      </c>
      <c r="B3296" t="s">
        <v>73</v>
      </c>
      <c r="C3296">
        <v>2025</v>
      </c>
      <c r="D3296">
        <v>8</v>
      </c>
      <c r="E3296" t="s">
        <v>16</v>
      </c>
      <c r="F3296" t="s">
        <v>31</v>
      </c>
      <c r="G3296">
        <v>2</v>
      </c>
      <c r="H3296" t="s">
        <v>20</v>
      </c>
      <c r="I3296">
        <v>147.9</v>
      </c>
      <c r="J3296">
        <v>210.38</v>
      </c>
      <c r="K3296">
        <v>506.56</v>
      </c>
      <c r="M3296">
        <v>864.84</v>
      </c>
      <c r="O3296" t="s">
        <v>74</v>
      </c>
    </row>
    <row r="3297" spans="1:15" x14ac:dyDescent="0.3">
      <c r="A3297" s="2">
        <v>45870</v>
      </c>
      <c r="B3297" t="s">
        <v>73</v>
      </c>
      <c r="C3297">
        <v>2025</v>
      </c>
      <c r="D3297">
        <v>8</v>
      </c>
      <c r="E3297" t="s">
        <v>16</v>
      </c>
      <c r="F3297" t="s">
        <v>32</v>
      </c>
      <c r="G3297">
        <v>1</v>
      </c>
      <c r="H3297" t="s">
        <v>18</v>
      </c>
      <c r="I3297">
        <v>162.30000000000001</v>
      </c>
      <c r="J3297">
        <v>235.04</v>
      </c>
      <c r="K3297">
        <v>171.11</v>
      </c>
      <c r="M3297">
        <v>568.45000000000005</v>
      </c>
      <c r="O3297" t="s">
        <v>74</v>
      </c>
    </row>
    <row r="3298" spans="1:15" x14ac:dyDescent="0.3">
      <c r="A3298" s="2">
        <v>45870</v>
      </c>
      <c r="B3298" t="s">
        <v>73</v>
      </c>
      <c r="C3298">
        <v>2025</v>
      </c>
      <c r="D3298">
        <v>8</v>
      </c>
      <c r="E3298" t="s">
        <v>16</v>
      </c>
      <c r="F3298" t="s">
        <v>33</v>
      </c>
      <c r="G3298">
        <v>20</v>
      </c>
      <c r="H3298" t="s">
        <v>20</v>
      </c>
      <c r="I3298">
        <v>586.84</v>
      </c>
      <c r="J3298">
        <v>751.67</v>
      </c>
      <c r="K3298">
        <v>1005.1</v>
      </c>
      <c r="M3298">
        <v>2343.61</v>
      </c>
      <c r="O3298" t="s">
        <v>74</v>
      </c>
    </row>
    <row r="3299" spans="1:15" x14ac:dyDescent="0.3">
      <c r="A3299" s="2">
        <v>45870</v>
      </c>
      <c r="B3299" t="s">
        <v>73</v>
      </c>
      <c r="C3299">
        <v>2025</v>
      </c>
      <c r="D3299">
        <v>8</v>
      </c>
      <c r="E3299" t="s">
        <v>16</v>
      </c>
      <c r="F3299" t="s">
        <v>34</v>
      </c>
      <c r="G3299">
        <v>29</v>
      </c>
      <c r="H3299" t="s">
        <v>20</v>
      </c>
      <c r="I3299">
        <v>3308.49</v>
      </c>
      <c r="J3299">
        <v>3958.77</v>
      </c>
      <c r="K3299">
        <v>5244.97</v>
      </c>
      <c r="M3299">
        <v>12512.23</v>
      </c>
      <c r="O3299" t="s">
        <v>74</v>
      </c>
    </row>
    <row r="3300" spans="1:15" x14ac:dyDescent="0.3">
      <c r="A3300" s="2">
        <v>45870</v>
      </c>
      <c r="B3300" t="s">
        <v>73</v>
      </c>
      <c r="C3300">
        <v>2025</v>
      </c>
      <c r="D3300">
        <v>8</v>
      </c>
      <c r="E3300" t="s">
        <v>16</v>
      </c>
      <c r="F3300" t="s">
        <v>35</v>
      </c>
      <c r="G3300">
        <v>32</v>
      </c>
      <c r="H3300" t="s">
        <v>20</v>
      </c>
      <c r="I3300">
        <v>991.22</v>
      </c>
      <c r="J3300">
        <v>1220.93</v>
      </c>
      <c r="K3300">
        <v>504.63</v>
      </c>
      <c r="M3300">
        <v>2716.78</v>
      </c>
      <c r="O3300" t="s">
        <v>74</v>
      </c>
    </row>
    <row r="3301" spans="1:15" x14ac:dyDescent="0.3">
      <c r="A3301" s="2">
        <v>45870</v>
      </c>
      <c r="B3301" t="s">
        <v>73</v>
      </c>
      <c r="C3301">
        <v>2025</v>
      </c>
      <c r="D3301">
        <v>8</v>
      </c>
      <c r="E3301" t="s">
        <v>16</v>
      </c>
      <c r="F3301" t="s">
        <v>67</v>
      </c>
      <c r="G3301">
        <v>37</v>
      </c>
      <c r="H3301" t="s">
        <v>18</v>
      </c>
      <c r="I3301">
        <v>13.25</v>
      </c>
      <c r="J3301">
        <v>18.11</v>
      </c>
      <c r="K3301">
        <v>3.58</v>
      </c>
      <c r="M3301">
        <v>34.94</v>
      </c>
      <c r="O3301" t="s">
        <v>74</v>
      </c>
    </row>
    <row r="3302" spans="1:15" x14ac:dyDescent="0.3">
      <c r="A3302" s="2">
        <v>45870</v>
      </c>
      <c r="B3302" t="s">
        <v>73</v>
      </c>
      <c r="C3302">
        <v>2025</v>
      </c>
      <c r="D3302">
        <v>8</v>
      </c>
      <c r="E3302" t="s">
        <v>16</v>
      </c>
      <c r="F3302" t="s">
        <v>36</v>
      </c>
      <c r="G3302">
        <v>31</v>
      </c>
      <c r="H3302" t="s">
        <v>18</v>
      </c>
      <c r="I3302">
        <v>0.17</v>
      </c>
      <c r="J3302">
        <v>0.27</v>
      </c>
      <c r="K3302">
        <v>0.21</v>
      </c>
      <c r="M3302">
        <v>0.65</v>
      </c>
      <c r="O3302" t="s">
        <v>74</v>
      </c>
    </row>
    <row r="3303" spans="1:15" x14ac:dyDescent="0.3">
      <c r="A3303" s="2">
        <v>45870</v>
      </c>
      <c r="B3303" t="s">
        <v>73</v>
      </c>
      <c r="C3303">
        <v>2025</v>
      </c>
      <c r="D3303">
        <v>8</v>
      </c>
      <c r="E3303" t="s">
        <v>16</v>
      </c>
      <c r="F3303" t="s">
        <v>37</v>
      </c>
      <c r="G3303">
        <v>23</v>
      </c>
      <c r="H3303" t="s">
        <v>20</v>
      </c>
      <c r="I3303">
        <v>904.58</v>
      </c>
      <c r="J3303">
        <v>1129.1300000000001</v>
      </c>
      <c r="K3303">
        <v>1052.99</v>
      </c>
      <c r="M3303">
        <v>3086.7</v>
      </c>
      <c r="O3303" t="s">
        <v>74</v>
      </c>
    </row>
    <row r="3304" spans="1:15" x14ac:dyDescent="0.3">
      <c r="A3304" s="2">
        <v>45870</v>
      </c>
      <c r="B3304" t="s">
        <v>73</v>
      </c>
      <c r="C3304">
        <v>2025</v>
      </c>
      <c r="D3304">
        <v>8</v>
      </c>
      <c r="E3304" t="s">
        <v>16</v>
      </c>
      <c r="F3304" t="s">
        <v>38</v>
      </c>
      <c r="G3304">
        <v>27</v>
      </c>
      <c r="H3304" t="s">
        <v>20</v>
      </c>
      <c r="I3304">
        <v>7840.27</v>
      </c>
      <c r="J3304">
        <v>9400</v>
      </c>
      <c r="K3304">
        <v>9505.44</v>
      </c>
      <c r="M3304">
        <v>26745.71</v>
      </c>
      <c r="O3304" t="s">
        <v>74</v>
      </c>
    </row>
    <row r="3305" spans="1:15" x14ac:dyDescent="0.3">
      <c r="A3305" s="2">
        <v>45870</v>
      </c>
      <c r="B3305" t="s">
        <v>73</v>
      </c>
      <c r="C3305">
        <v>2025</v>
      </c>
      <c r="D3305">
        <v>8</v>
      </c>
      <c r="E3305" t="s">
        <v>16</v>
      </c>
      <c r="F3305" t="s">
        <v>39</v>
      </c>
      <c r="G3305">
        <v>14</v>
      </c>
      <c r="H3305" t="s">
        <v>20</v>
      </c>
      <c r="I3305">
        <v>15</v>
      </c>
      <c r="J3305">
        <v>19.02</v>
      </c>
      <c r="K3305">
        <v>8.01</v>
      </c>
      <c r="M3305">
        <v>42.03</v>
      </c>
      <c r="O3305" t="s">
        <v>74</v>
      </c>
    </row>
    <row r="3306" spans="1:15" x14ac:dyDescent="0.3">
      <c r="A3306" s="2">
        <v>45870</v>
      </c>
      <c r="B3306" t="s">
        <v>73</v>
      </c>
      <c r="C3306">
        <v>2025</v>
      </c>
      <c r="D3306">
        <v>8</v>
      </c>
      <c r="E3306" t="s">
        <v>16</v>
      </c>
      <c r="F3306" t="s">
        <v>40</v>
      </c>
      <c r="G3306">
        <v>17</v>
      </c>
      <c r="H3306" t="s">
        <v>20</v>
      </c>
      <c r="I3306">
        <v>39.75</v>
      </c>
      <c r="J3306">
        <v>47.21</v>
      </c>
      <c r="K3306">
        <v>119.82</v>
      </c>
      <c r="M3306">
        <v>206.78</v>
      </c>
      <c r="O3306" t="s">
        <v>74</v>
      </c>
    </row>
    <row r="3307" spans="1:15" x14ac:dyDescent="0.3">
      <c r="A3307" s="2">
        <v>45870</v>
      </c>
      <c r="B3307" t="s">
        <v>73</v>
      </c>
      <c r="C3307">
        <v>2025</v>
      </c>
      <c r="D3307">
        <v>8</v>
      </c>
      <c r="E3307" t="s">
        <v>16</v>
      </c>
      <c r="F3307" t="s">
        <v>41</v>
      </c>
      <c r="G3307">
        <v>15</v>
      </c>
      <c r="H3307" t="s">
        <v>20</v>
      </c>
      <c r="I3307">
        <v>9.36</v>
      </c>
      <c r="J3307">
        <v>13</v>
      </c>
      <c r="K3307">
        <v>7.46</v>
      </c>
      <c r="M3307">
        <v>29.82</v>
      </c>
      <c r="O3307" t="s">
        <v>74</v>
      </c>
    </row>
    <row r="3308" spans="1:15" x14ac:dyDescent="0.3">
      <c r="A3308" s="2">
        <v>45870</v>
      </c>
      <c r="B3308" t="s">
        <v>73</v>
      </c>
      <c r="C3308">
        <v>2025</v>
      </c>
      <c r="D3308">
        <v>8</v>
      </c>
      <c r="E3308" t="s">
        <v>16</v>
      </c>
      <c r="F3308" t="s">
        <v>42</v>
      </c>
      <c r="G3308">
        <v>13</v>
      </c>
      <c r="H3308" t="s">
        <v>20</v>
      </c>
      <c r="I3308">
        <v>20.03</v>
      </c>
      <c r="J3308">
        <v>24.09</v>
      </c>
      <c r="K3308">
        <v>10.23</v>
      </c>
      <c r="M3308">
        <v>54.35</v>
      </c>
      <c r="O3308" t="s">
        <v>74</v>
      </c>
    </row>
    <row r="3309" spans="1:15" x14ac:dyDescent="0.3">
      <c r="A3309" s="2">
        <v>45870</v>
      </c>
      <c r="B3309" t="s">
        <v>73</v>
      </c>
      <c r="C3309">
        <v>2025</v>
      </c>
      <c r="D3309">
        <v>8</v>
      </c>
      <c r="E3309" t="s">
        <v>16</v>
      </c>
      <c r="F3309" t="s">
        <v>43</v>
      </c>
      <c r="G3309">
        <v>21</v>
      </c>
      <c r="H3309" t="s">
        <v>20</v>
      </c>
      <c r="I3309">
        <v>1095.8399999999999</v>
      </c>
      <c r="J3309">
        <v>1452.2</v>
      </c>
      <c r="K3309">
        <v>1658.54</v>
      </c>
      <c r="M3309">
        <v>4206.58</v>
      </c>
      <c r="O3309" t="s">
        <v>74</v>
      </c>
    </row>
    <row r="3310" spans="1:15" x14ac:dyDescent="0.3">
      <c r="A3310" s="2">
        <v>45870</v>
      </c>
      <c r="B3310" t="s">
        <v>73</v>
      </c>
      <c r="C3310">
        <v>2025</v>
      </c>
      <c r="D3310">
        <v>8</v>
      </c>
      <c r="E3310" t="s">
        <v>16</v>
      </c>
      <c r="F3310" t="s">
        <v>44</v>
      </c>
      <c r="G3310">
        <v>34</v>
      </c>
      <c r="H3310" t="s">
        <v>18</v>
      </c>
      <c r="I3310">
        <v>31.16</v>
      </c>
      <c r="J3310">
        <v>46.8</v>
      </c>
      <c r="K3310">
        <v>147.1</v>
      </c>
      <c r="M3310">
        <v>225.06</v>
      </c>
      <c r="O3310" t="s">
        <v>74</v>
      </c>
    </row>
    <row r="3311" spans="1:15" x14ac:dyDescent="0.3">
      <c r="A3311" s="2">
        <v>45870</v>
      </c>
      <c r="B3311" t="s">
        <v>73</v>
      </c>
      <c r="C3311">
        <v>2025</v>
      </c>
      <c r="D3311">
        <v>8</v>
      </c>
      <c r="E3311" t="s">
        <v>16</v>
      </c>
      <c r="F3311" t="s">
        <v>45</v>
      </c>
      <c r="G3311">
        <v>3</v>
      </c>
      <c r="H3311" t="s">
        <v>20</v>
      </c>
      <c r="I3311">
        <v>535.62</v>
      </c>
      <c r="J3311">
        <v>750.37</v>
      </c>
      <c r="K3311">
        <v>882.11</v>
      </c>
      <c r="M3311">
        <v>2168.1</v>
      </c>
      <c r="O3311" t="s">
        <v>74</v>
      </c>
    </row>
    <row r="3312" spans="1:15" x14ac:dyDescent="0.3">
      <c r="A3312" s="2">
        <v>45870</v>
      </c>
      <c r="B3312" t="s">
        <v>73</v>
      </c>
      <c r="C3312">
        <v>2025</v>
      </c>
      <c r="D3312">
        <v>8</v>
      </c>
      <c r="E3312" t="s">
        <v>16</v>
      </c>
      <c r="F3312" t="s">
        <v>46</v>
      </c>
      <c r="G3312">
        <v>8</v>
      </c>
      <c r="H3312" t="s">
        <v>20</v>
      </c>
      <c r="I3312">
        <v>1122.8599999999999</v>
      </c>
      <c r="J3312">
        <v>1480.05</v>
      </c>
      <c r="K3312">
        <v>1619.22</v>
      </c>
      <c r="M3312">
        <v>4222.13</v>
      </c>
      <c r="O3312" t="s">
        <v>74</v>
      </c>
    </row>
    <row r="3313" spans="1:15" x14ac:dyDescent="0.3">
      <c r="A3313" s="2">
        <v>45870</v>
      </c>
      <c r="B3313" t="s">
        <v>73</v>
      </c>
      <c r="C3313">
        <v>2025</v>
      </c>
      <c r="D3313">
        <v>8</v>
      </c>
      <c r="E3313" t="s">
        <v>16</v>
      </c>
      <c r="F3313" t="s">
        <v>47</v>
      </c>
      <c r="G3313">
        <v>11</v>
      </c>
      <c r="H3313" t="s">
        <v>20</v>
      </c>
      <c r="I3313">
        <v>30.14</v>
      </c>
      <c r="J3313">
        <v>47.41</v>
      </c>
      <c r="K3313">
        <v>376.61</v>
      </c>
      <c r="M3313">
        <v>454.16</v>
      </c>
      <c r="O3313" t="s">
        <v>74</v>
      </c>
    </row>
    <row r="3314" spans="1:15" x14ac:dyDescent="0.3">
      <c r="A3314" s="2">
        <v>45870</v>
      </c>
      <c r="B3314" t="s">
        <v>73</v>
      </c>
      <c r="C3314">
        <v>2025</v>
      </c>
      <c r="D3314">
        <v>8</v>
      </c>
      <c r="E3314" t="s">
        <v>16</v>
      </c>
      <c r="F3314" t="s">
        <v>48</v>
      </c>
      <c r="G3314">
        <v>33</v>
      </c>
      <c r="H3314" t="s">
        <v>20</v>
      </c>
      <c r="I3314">
        <v>3105.19</v>
      </c>
      <c r="J3314">
        <v>4038.01</v>
      </c>
      <c r="K3314">
        <v>3185.78</v>
      </c>
      <c r="M3314">
        <v>10328.98</v>
      </c>
      <c r="O3314" t="s">
        <v>74</v>
      </c>
    </row>
    <row r="3315" spans="1:15" x14ac:dyDescent="0.3">
      <c r="A3315" s="2">
        <v>45870</v>
      </c>
      <c r="B3315" t="s">
        <v>73</v>
      </c>
      <c r="C3315">
        <v>2025</v>
      </c>
      <c r="D3315">
        <v>8</v>
      </c>
      <c r="E3315" t="s">
        <v>16</v>
      </c>
      <c r="F3315" t="s">
        <v>49</v>
      </c>
      <c r="G3315">
        <v>36</v>
      </c>
      <c r="H3315" t="s">
        <v>20</v>
      </c>
      <c r="I3315">
        <v>1335.67</v>
      </c>
      <c r="J3315">
        <v>1688.75</v>
      </c>
      <c r="K3315">
        <v>1587.69</v>
      </c>
      <c r="M3315">
        <v>4612.1099999999997</v>
      </c>
      <c r="O3315" t="s">
        <v>74</v>
      </c>
    </row>
    <row r="3316" spans="1:15" x14ac:dyDescent="0.3">
      <c r="A3316" s="2">
        <v>45870</v>
      </c>
      <c r="B3316" t="s">
        <v>73</v>
      </c>
      <c r="C3316">
        <v>2025</v>
      </c>
      <c r="D3316">
        <v>8</v>
      </c>
      <c r="E3316" t="s">
        <v>16</v>
      </c>
      <c r="F3316" t="s">
        <v>50</v>
      </c>
      <c r="G3316">
        <v>16</v>
      </c>
      <c r="H3316" t="s">
        <v>20</v>
      </c>
      <c r="I3316">
        <v>32.74</v>
      </c>
      <c r="J3316">
        <v>40.42</v>
      </c>
      <c r="K3316">
        <v>13.3</v>
      </c>
      <c r="M3316">
        <v>86.46</v>
      </c>
      <c r="O3316" t="s">
        <v>74</v>
      </c>
    </row>
    <row r="3317" spans="1:15" x14ac:dyDescent="0.3">
      <c r="A3317" s="2">
        <v>45870</v>
      </c>
      <c r="B3317" t="s">
        <v>73</v>
      </c>
      <c r="C3317">
        <v>2025</v>
      </c>
      <c r="D3317">
        <v>8</v>
      </c>
      <c r="E3317" t="s">
        <v>16</v>
      </c>
      <c r="F3317" t="s">
        <v>51</v>
      </c>
      <c r="G3317">
        <v>9</v>
      </c>
      <c r="H3317" t="s">
        <v>20</v>
      </c>
      <c r="I3317">
        <v>2125.94</v>
      </c>
      <c r="J3317">
        <v>2735.7</v>
      </c>
      <c r="K3317">
        <v>2785.79</v>
      </c>
      <c r="M3317">
        <v>7647.43</v>
      </c>
      <c r="O3317" t="s">
        <v>74</v>
      </c>
    </row>
    <row r="3318" spans="1:15" x14ac:dyDescent="0.3">
      <c r="A3318" s="2">
        <v>45870</v>
      </c>
      <c r="B3318" t="s">
        <v>73</v>
      </c>
      <c r="C3318">
        <v>2025</v>
      </c>
      <c r="D3318">
        <v>8</v>
      </c>
      <c r="E3318" t="s">
        <v>16</v>
      </c>
      <c r="F3318" t="s">
        <v>52</v>
      </c>
      <c r="G3318">
        <v>5</v>
      </c>
      <c r="H3318" t="s">
        <v>20</v>
      </c>
      <c r="I3318">
        <v>295.42</v>
      </c>
      <c r="J3318">
        <v>493.37</v>
      </c>
      <c r="K3318">
        <v>647.38</v>
      </c>
      <c r="M3318">
        <v>1436.17</v>
      </c>
      <c r="O3318" t="s">
        <v>74</v>
      </c>
    </row>
    <row r="3319" spans="1:15" x14ac:dyDescent="0.3">
      <c r="A3319" s="2">
        <v>45870</v>
      </c>
      <c r="B3319" t="s">
        <v>73</v>
      </c>
      <c r="C3319">
        <v>2025</v>
      </c>
      <c r="D3319">
        <v>8</v>
      </c>
      <c r="E3319" t="s">
        <v>16</v>
      </c>
      <c r="F3319" t="s">
        <v>53</v>
      </c>
      <c r="G3319">
        <v>19</v>
      </c>
      <c r="H3319" t="s">
        <v>20</v>
      </c>
      <c r="I3319">
        <v>1615.47</v>
      </c>
      <c r="J3319">
        <v>1931</v>
      </c>
      <c r="K3319">
        <v>1491</v>
      </c>
      <c r="M3319">
        <v>5037.47</v>
      </c>
      <c r="O3319" t="s">
        <v>74</v>
      </c>
    </row>
    <row r="3320" spans="1:15" x14ac:dyDescent="0.3">
      <c r="A3320" s="2">
        <v>46023</v>
      </c>
      <c r="B3320" t="s">
        <v>73</v>
      </c>
      <c r="C3320">
        <v>2026</v>
      </c>
      <c r="D3320">
        <v>1</v>
      </c>
      <c r="E3320" t="s">
        <v>58</v>
      </c>
      <c r="F3320" t="s">
        <v>17</v>
      </c>
      <c r="G3320">
        <v>35</v>
      </c>
      <c r="H3320" t="s">
        <v>18</v>
      </c>
      <c r="I3320">
        <v>17.100000000000001</v>
      </c>
      <c r="J3320">
        <v>20.54</v>
      </c>
      <c r="K3320">
        <v>8.9700000000000006</v>
      </c>
      <c r="M3320">
        <v>46.61</v>
      </c>
      <c r="O3320" t="s">
        <v>74</v>
      </c>
    </row>
    <row r="3321" spans="1:15" x14ac:dyDescent="0.3">
      <c r="A3321" s="2">
        <v>46023</v>
      </c>
      <c r="B3321" t="s">
        <v>73</v>
      </c>
      <c r="C3321">
        <v>2026</v>
      </c>
      <c r="D3321">
        <v>1</v>
      </c>
      <c r="E3321" t="s">
        <v>58</v>
      </c>
      <c r="F3321" t="s">
        <v>19</v>
      </c>
      <c r="G3321">
        <v>28</v>
      </c>
      <c r="H3321" t="s">
        <v>20</v>
      </c>
      <c r="I3321">
        <v>1007.68</v>
      </c>
      <c r="J3321">
        <v>1283.73</v>
      </c>
      <c r="K3321">
        <v>1183.23</v>
      </c>
      <c r="M3321">
        <v>3474.64</v>
      </c>
      <c r="O3321" t="s">
        <v>74</v>
      </c>
    </row>
    <row r="3322" spans="1:15" x14ac:dyDescent="0.3">
      <c r="A3322" s="2">
        <v>46023</v>
      </c>
      <c r="B3322" t="s">
        <v>73</v>
      </c>
      <c r="C3322">
        <v>2026</v>
      </c>
      <c r="D3322">
        <v>1</v>
      </c>
      <c r="E3322" t="s">
        <v>58</v>
      </c>
      <c r="F3322" t="s">
        <v>21</v>
      </c>
      <c r="G3322">
        <v>12</v>
      </c>
      <c r="H3322" t="s">
        <v>20</v>
      </c>
      <c r="I3322">
        <v>43.95</v>
      </c>
      <c r="J3322">
        <v>51.23</v>
      </c>
      <c r="K3322">
        <v>15.54</v>
      </c>
      <c r="M3322">
        <v>110.72</v>
      </c>
      <c r="O3322" t="s">
        <v>74</v>
      </c>
    </row>
    <row r="3323" spans="1:15" x14ac:dyDescent="0.3">
      <c r="A3323" s="2">
        <v>46023</v>
      </c>
      <c r="B3323" t="s">
        <v>73</v>
      </c>
      <c r="C3323">
        <v>2026</v>
      </c>
      <c r="D3323">
        <v>1</v>
      </c>
      <c r="E3323" t="s">
        <v>58</v>
      </c>
      <c r="F3323" t="s">
        <v>22</v>
      </c>
      <c r="G3323">
        <v>18</v>
      </c>
      <c r="H3323" t="s">
        <v>20</v>
      </c>
      <c r="I3323">
        <v>414.71</v>
      </c>
      <c r="J3323">
        <v>571.9</v>
      </c>
      <c r="K3323">
        <v>298</v>
      </c>
      <c r="M3323">
        <v>1284.6099999999999</v>
      </c>
      <c r="O3323" t="s">
        <v>74</v>
      </c>
    </row>
    <row r="3324" spans="1:15" x14ac:dyDescent="0.3">
      <c r="A3324" s="2">
        <v>46023</v>
      </c>
      <c r="B3324" t="s">
        <v>73</v>
      </c>
      <c r="C3324">
        <v>2026</v>
      </c>
      <c r="D3324">
        <v>1</v>
      </c>
      <c r="E3324" t="s">
        <v>58</v>
      </c>
      <c r="F3324" t="s">
        <v>23</v>
      </c>
      <c r="G3324">
        <v>10</v>
      </c>
      <c r="H3324" t="s">
        <v>20</v>
      </c>
      <c r="I3324">
        <v>421.28</v>
      </c>
      <c r="J3324">
        <v>926.21</v>
      </c>
      <c r="K3324">
        <v>238.05</v>
      </c>
      <c r="M3324">
        <v>1585.54</v>
      </c>
      <c r="O3324" t="s">
        <v>74</v>
      </c>
    </row>
    <row r="3325" spans="1:15" x14ac:dyDescent="0.3">
      <c r="A3325" s="2">
        <v>46023</v>
      </c>
      <c r="B3325" t="s">
        <v>73</v>
      </c>
      <c r="C3325">
        <v>2026</v>
      </c>
      <c r="D3325">
        <v>1</v>
      </c>
      <c r="E3325" t="s">
        <v>58</v>
      </c>
      <c r="F3325" t="s">
        <v>24</v>
      </c>
      <c r="G3325">
        <v>4</v>
      </c>
      <c r="H3325" t="s">
        <v>18</v>
      </c>
      <c r="I3325">
        <v>63.84</v>
      </c>
      <c r="J3325">
        <v>89.45</v>
      </c>
      <c r="K3325">
        <v>136.46</v>
      </c>
      <c r="M3325">
        <v>289.75</v>
      </c>
      <c r="O3325" t="s">
        <v>74</v>
      </c>
    </row>
    <row r="3326" spans="1:15" x14ac:dyDescent="0.3">
      <c r="A3326" s="2">
        <v>46023</v>
      </c>
      <c r="B3326" t="s">
        <v>73</v>
      </c>
      <c r="C3326">
        <v>2026</v>
      </c>
      <c r="D3326">
        <v>1</v>
      </c>
      <c r="E3326" t="s">
        <v>58</v>
      </c>
      <c r="F3326" t="s">
        <v>25</v>
      </c>
      <c r="G3326">
        <v>22</v>
      </c>
      <c r="H3326" t="s">
        <v>20</v>
      </c>
      <c r="I3326">
        <v>706.66</v>
      </c>
      <c r="J3326">
        <v>815.18</v>
      </c>
      <c r="K3326">
        <v>897.08</v>
      </c>
      <c r="M3326">
        <v>2418.92</v>
      </c>
      <c r="O3326" t="s">
        <v>74</v>
      </c>
    </row>
    <row r="3327" spans="1:15" x14ac:dyDescent="0.3">
      <c r="A3327" s="2">
        <v>46023</v>
      </c>
      <c r="B3327" t="s">
        <v>73</v>
      </c>
      <c r="C3327">
        <v>2026</v>
      </c>
      <c r="D3327">
        <v>1</v>
      </c>
      <c r="E3327" t="s">
        <v>58</v>
      </c>
      <c r="F3327" t="s">
        <v>26</v>
      </c>
      <c r="G3327">
        <v>38</v>
      </c>
      <c r="H3327" t="s">
        <v>18</v>
      </c>
      <c r="I3327">
        <v>53.07</v>
      </c>
      <c r="J3327">
        <v>67.63</v>
      </c>
      <c r="K3327">
        <v>306.58</v>
      </c>
      <c r="M3327">
        <v>427.28</v>
      </c>
      <c r="O3327" t="s">
        <v>74</v>
      </c>
    </row>
    <row r="3328" spans="1:15" x14ac:dyDescent="0.3">
      <c r="A3328" s="2">
        <v>46023</v>
      </c>
      <c r="B3328" t="s">
        <v>73</v>
      </c>
      <c r="C3328">
        <v>2026</v>
      </c>
      <c r="D3328">
        <v>1</v>
      </c>
      <c r="E3328" t="s">
        <v>58</v>
      </c>
      <c r="F3328" t="s">
        <v>27</v>
      </c>
      <c r="G3328">
        <v>7</v>
      </c>
      <c r="H3328" t="s">
        <v>18</v>
      </c>
      <c r="I3328">
        <v>1334.94</v>
      </c>
      <c r="J3328">
        <v>1609.34</v>
      </c>
      <c r="K3328">
        <v>3553.91</v>
      </c>
      <c r="M3328">
        <v>6498.19</v>
      </c>
      <c r="O3328" t="s">
        <v>74</v>
      </c>
    </row>
    <row r="3329" spans="1:15" x14ac:dyDescent="0.3">
      <c r="A3329" s="2">
        <v>46023</v>
      </c>
      <c r="B3329" t="s">
        <v>73</v>
      </c>
      <c r="C3329">
        <v>2026</v>
      </c>
      <c r="D3329">
        <v>1</v>
      </c>
      <c r="E3329" t="s">
        <v>58</v>
      </c>
      <c r="F3329" t="s">
        <v>28</v>
      </c>
      <c r="G3329">
        <v>30</v>
      </c>
      <c r="H3329" t="s">
        <v>20</v>
      </c>
      <c r="I3329">
        <v>205.66</v>
      </c>
      <c r="J3329">
        <v>261.25</v>
      </c>
      <c r="K3329">
        <v>150.11000000000001</v>
      </c>
      <c r="M3329">
        <v>617.02</v>
      </c>
      <c r="O3329" t="s">
        <v>74</v>
      </c>
    </row>
    <row r="3330" spans="1:15" x14ac:dyDescent="0.3">
      <c r="A3330" s="2">
        <v>46023</v>
      </c>
      <c r="B3330" t="s">
        <v>73</v>
      </c>
      <c r="C3330">
        <v>2026</v>
      </c>
      <c r="D3330">
        <v>1</v>
      </c>
      <c r="E3330" t="s">
        <v>58</v>
      </c>
      <c r="F3330" t="s">
        <v>29</v>
      </c>
      <c r="G3330">
        <v>24</v>
      </c>
      <c r="H3330" t="s">
        <v>20</v>
      </c>
      <c r="I3330">
        <v>3682.32</v>
      </c>
      <c r="J3330">
        <v>4338.1099999999997</v>
      </c>
      <c r="K3330">
        <v>3965.65</v>
      </c>
      <c r="M3330">
        <v>11986.08</v>
      </c>
      <c r="O3330" t="s">
        <v>74</v>
      </c>
    </row>
    <row r="3331" spans="1:15" x14ac:dyDescent="0.3">
      <c r="A3331" s="2">
        <v>46023</v>
      </c>
      <c r="B3331" t="s">
        <v>73</v>
      </c>
      <c r="C3331">
        <v>2026</v>
      </c>
      <c r="D3331">
        <v>1</v>
      </c>
      <c r="E3331" t="s">
        <v>58</v>
      </c>
      <c r="F3331" t="s">
        <v>30</v>
      </c>
      <c r="G3331">
        <v>6</v>
      </c>
      <c r="H3331" t="s">
        <v>20</v>
      </c>
      <c r="I3331">
        <v>1654</v>
      </c>
      <c r="J3331">
        <v>2173.85</v>
      </c>
      <c r="K3331">
        <v>6651.92</v>
      </c>
      <c r="M3331">
        <v>10479.77</v>
      </c>
      <c r="O3331" t="s">
        <v>74</v>
      </c>
    </row>
    <row r="3332" spans="1:15" x14ac:dyDescent="0.3">
      <c r="A3332" s="2">
        <v>46023</v>
      </c>
      <c r="B3332" t="s">
        <v>73</v>
      </c>
      <c r="C3332">
        <v>2026</v>
      </c>
      <c r="D3332">
        <v>1</v>
      </c>
      <c r="E3332" t="s">
        <v>58</v>
      </c>
      <c r="F3332" t="s">
        <v>31</v>
      </c>
      <c r="G3332">
        <v>2</v>
      </c>
      <c r="H3332" t="s">
        <v>20</v>
      </c>
      <c r="I3332">
        <v>172.88</v>
      </c>
      <c r="J3332">
        <v>239.18</v>
      </c>
      <c r="K3332">
        <v>268.66000000000003</v>
      </c>
      <c r="M3332">
        <v>680.72</v>
      </c>
      <c r="O3332" t="s">
        <v>74</v>
      </c>
    </row>
    <row r="3333" spans="1:15" x14ac:dyDescent="0.3">
      <c r="A3333" s="2">
        <v>46023</v>
      </c>
      <c r="B3333" t="s">
        <v>73</v>
      </c>
      <c r="C3333">
        <v>2026</v>
      </c>
      <c r="D3333">
        <v>1</v>
      </c>
      <c r="E3333" t="s">
        <v>58</v>
      </c>
      <c r="F3333" t="s">
        <v>32</v>
      </c>
      <c r="G3333">
        <v>1</v>
      </c>
      <c r="H3333" t="s">
        <v>18</v>
      </c>
      <c r="I3333">
        <v>224.97</v>
      </c>
      <c r="J3333">
        <v>292.60000000000002</v>
      </c>
      <c r="K3333">
        <v>101.94</v>
      </c>
      <c r="M3333">
        <v>619.51</v>
      </c>
      <c r="O3333" t="s">
        <v>74</v>
      </c>
    </row>
    <row r="3334" spans="1:15" x14ac:dyDescent="0.3">
      <c r="A3334" s="2">
        <v>46023</v>
      </c>
      <c r="B3334" t="s">
        <v>73</v>
      </c>
      <c r="C3334">
        <v>2026</v>
      </c>
      <c r="D3334">
        <v>1</v>
      </c>
      <c r="E3334" t="s">
        <v>58</v>
      </c>
      <c r="F3334" t="s">
        <v>33</v>
      </c>
      <c r="G3334">
        <v>20</v>
      </c>
      <c r="H3334" t="s">
        <v>20</v>
      </c>
      <c r="I3334">
        <v>602.52</v>
      </c>
      <c r="J3334">
        <v>766.37</v>
      </c>
      <c r="K3334">
        <v>1056.8</v>
      </c>
      <c r="M3334">
        <v>2425.69</v>
      </c>
      <c r="O3334" t="s">
        <v>74</v>
      </c>
    </row>
    <row r="3335" spans="1:15" x14ac:dyDescent="0.3">
      <c r="A3335" s="2">
        <v>46023</v>
      </c>
      <c r="B3335" t="s">
        <v>73</v>
      </c>
      <c r="C3335">
        <v>2026</v>
      </c>
      <c r="D3335">
        <v>1</v>
      </c>
      <c r="E3335" t="s">
        <v>58</v>
      </c>
      <c r="F3335" t="s">
        <v>34</v>
      </c>
      <c r="G3335">
        <v>29</v>
      </c>
      <c r="H3335" t="s">
        <v>20</v>
      </c>
      <c r="I3335">
        <v>3656.2</v>
      </c>
      <c r="J3335">
        <v>4425.49</v>
      </c>
      <c r="K3335">
        <v>6094.15</v>
      </c>
      <c r="M3335">
        <v>14175.84</v>
      </c>
      <c r="O3335" t="s">
        <v>74</v>
      </c>
    </row>
    <row r="3336" spans="1:15" x14ac:dyDescent="0.3">
      <c r="A3336" s="2">
        <v>46023</v>
      </c>
      <c r="B3336" t="s">
        <v>73</v>
      </c>
      <c r="C3336">
        <v>2026</v>
      </c>
      <c r="D3336">
        <v>1</v>
      </c>
      <c r="E3336" t="s">
        <v>58</v>
      </c>
      <c r="F3336" t="s">
        <v>35</v>
      </c>
      <c r="G3336">
        <v>32</v>
      </c>
      <c r="H3336" t="s">
        <v>20</v>
      </c>
      <c r="I3336">
        <v>1239.28</v>
      </c>
      <c r="J3336">
        <v>1488.5</v>
      </c>
      <c r="K3336">
        <v>532.61</v>
      </c>
      <c r="M3336">
        <v>3260.39</v>
      </c>
      <c r="O3336" t="s">
        <v>74</v>
      </c>
    </row>
    <row r="3337" spans="1:15" x14ac:dyDescent="0.3">
      <c r="A3337" s="2">
        <v>46023</v>
      </c>
      <c r="B3337" t="s">
        <v>73</v>
      </c>
      <c r="C3337">
        <v>2026</v>
      </c>
      <c r="D3337">
        <v>1</v>
      </c>
      <c r="E3337" t="s">
        <v>58</v>
      </c>
      <c r="F3337" t="s">
        <v>67</v>
      </c>
      <c r="G3337">
        <v>37</v>
      </c>
      <c r="H3337" t="s">
        <v>18</v>
      </c>
      <c r="I3337">
        <v>24.04</v>
      </c>
      <c r="J3337">
        <v>30.94</v>
      </c>
      <c r="K3337">
        <v>8.25</v>
      </c>
      <c r="M3337">
        <v>63.23</v>
      </c>
      <c r="O3337" t="s">
        <v>74</v>
      </c>
    </row>
    <row r="3338" spans="1:15" x14ac:dyDescent="0.3">
      <c r="A3338" s="2">
        <v>46023</v>
      </c>
      <c r="B3338" t="s">
        <v>73</v>
      </c>
      <c r="C3338">
        <v>2026</v>
      </c>
      <c r="D3338">
        <v>1</v>
      </c>
      <c r="E3338" t="s">
        <v>58</v>
      </c>
      <c r="F3338" t="s">
        <v>36</v>
      </c>
      <c r="G3338">
        <v>31</v>
      </c>
      <c r="H3338" t="s">
        <v>18</v>
      </c>
      <c r="I3338">
        <v>0.38</v>
      </c>
      <c r="J3338">
        <v>0.5</v>
      </c>
      <c r="K3338">
        <v>0.62</v>
      </c>
      <c r="M3338">
        <v>1.5</v>
      </c>
      <c r="O3338" t="s">
        <v>74</v>
      </c>
    </row>
    <row r="3339" spans="1:15" x14ac:dyDescent="0.3">
      <c r="A3339" s="2">
        <v>46023</v>
      </c>
      <c r="B3339" t="s">
        <v>73</v>
      </c>
      <c r="C3339">
        <v>2026</v>
      </c>
      <c r="D3339">
        <v>1</v>
      </c>
      <c r="E3339" t="s">
        <v>58</v>
      </c>
      <c r="F3339" t="s">
        <v>37</v>
      </c>
      <c r="G3339">
        <v>23</v>
      </c>
      <c r="H3339" t="s">
        <v>20</v>
      </c>
      <c r="I3339">
        <v>1039.48</v>
      </c>
      <c r="J3339">
        <v>1280.19</v>
      </c>
      <c r="K3339">
        <v>920.09</v>
      </c>
      <c r="M3339">
        <v>3239.76</v>
      </c>
      <c r="O3339" t="s">
        <v>74</v>
      </c>
    </row>
    <row r="3340" spans="1:15" x14ac:dyDescent="0.3">
      <c r="A3340" s="2">
        <v>46023</v>
      </c>
      <c r="B3340" t="s">
        <v>73</v>
      </c>
      <c r="C3340">
        <v>2026</v>
      </c>
      <c r="D3340">
        <v>1</v>
      </c>
      <c r="E3340" t="s">
        <v>58</v>
      </c>
      <c r="F3340" t="s">
        <v>38</v>
      </c>
      <c r="G3340">
        <v>27</v>
      </c>
      <c r="H3340" t="s">
        <v>20</v>
      </c>
      <c r="I3340">
        <v>9353.92</v>
      </c>
      <c r="J3340">
        <v>10571.83</v>
      </c>
      <c r="K3340">
        <v>12902.61</v>
      </c>
      <c r="M3340">
        <v>32828.36</v>
      </c>
      <c r="O3340" t="s">
        <v>74</v>
      </c>
    </row>
    <row r="3341" spans="1:15" x14ac:dyDescent="0.3">
      <c r="A3341" s="2">
        <v>46023</v>
      </c>
      <c r="B3341" t="s">
        <v>73</v>
      </c>
      <c r="C3341">
        <v>2026</v>
      </c>
      <c r="D3341">
        <v>1</v>
      </c>
      <c r="E3341" t="s">
        <v>58</v>
      </c>
      <c r="F3341" t="s">
        <v>39</v>
      </c>
      <c r="G3341">
        <v>14</v>
      </c>
      <c r="H3341" t="s">
        <v>20</v>
      </c>
      <c r="I3341">
        <v>19.77</v>
      </c>
      <c r="J3341">
        <v>26.61</v>
      </c>
      <c r="K3341">
        <v>8.61</v>
      </c>
      <c r="M3341">
        <v>54.99</v>
      </c>
      <c r="O3341" t="s">
        <v>74</v>
      </c>
    </row>
    <row r="3342" spans="1:15" x14ac:dyDescent="0.3">
      <c r="A3342" s="2">
        <v>46023</v>
      </c>
      <c r="B3342" t="s">
        <v>73</v>
      </c>
      <c r="C3342">
        <v>2026</v>
      </c>
      <c r="D3342">
        <v>1</v>
      </c>
      <c r="E3342" t="s">
        <v>58</v>
      </c>
      <c r="F3342" t="s">
        <v>40</v>
      </c>
      <c r="G3342">
        <v>17</v>
      </c>
      <c r="H3342" t="s">
        <v>20</v>
      </c>
      <c r="I3342">
        <v>54.06</v>
      </c>
      <c r="J3342">
        <v>69.599999999999994</v>
      </c>
      <c r="K3342">
        <v>70.67</v>
      </c>
      <c r="M3342">
        <v>194.33</v>
      </c>
      <c r="O3342" t="s">
        <v>74</v>
      </c>
    </row>
    <row r="3343" spans="1:15" x14ac:dyDescent="0.3">
      <c r="A3343" s="2">
        <v>46023</v>
      </c>
      <c r="B3343" t="s">
        <v>73</v>
      </c>
      <c r="C3343">
        <v>2026</v>
      </c>
      <c r="D3343">
        <v>1</v>
      </c>
      <c r="E3343" t="s">
        <v>58</v>
      </c>
      <c r="F3343" t="s">
        <v>41</v>
      </c>
      <c r="G3343">
        <v>15</v>
      </c>
      <c r="H3343" t="s">
        <v>20</v>
      </c>
      <c r="I3343">
        <v>11.43</v>
      </c>
      <c r="J3343">
        <v>16.61</v>
      </c>
      <c r="K3343">
        <v>5</v>
      </c>
      <c r="M3343">
        <v>33.04</v>
      </c>
      <c r="O3343" t="s">
        <v>74</v>
      </c>
    </row>
    <row r="3344" spans="1:15" x14ac:dyDescent="0.3">
      <c r="A3344" s="2">
        <v>46023</v>
      </c>
      <c r="B3344" t="s">
        <v>73</v>
      </c>
      <c r="C3344">
        <v>2026</v>
      </c>
      <c r="D3344">
        <v>1</v>
      </c>
      <c r="E3344" t="s">
        <v>58</v>
      </c>
      <c r="F3344" t="s">
        <v>42</v>
      </c>
      <c r="G3344">
        <v>13</v>
      </c>
      <c r="H3344" t="s">
        <v>20</v>
      </c>
      <c r="I3344">
        <v>21.36</v>
      </c>
      <c r="J3344">
        <v>25.96</v>
      </c>
      <c r="K3344">
        <v>14.41</v>
      </c>
      <c r="M3344">
        <v>61.73</v>
      </c>
      <c r="O3344" t="s">
        <v>74</v>
      </c>
    </row>
    <row r="3345" spans="1:15" x14ac:dyDescent="0.3">
      <c r="A3345" s="2">
        <v>46023</v>
      </c>
      <c r="B3345" t="s">
        <v>73</v>
      </c>
      <c r="C3345">
        <v>2026</v>
      </c>
      <c r="D3345">
        <v>1</v>
      </c>
      <c r="E3345" t="s">
        <v>58</v>
      </c>
      <c r="F3345" t="s">
        <v>43</v>
      </c>
      <c r="G3345">
        <v>21</v>
      </c>
      <c r="H3345" t="s">
        <v>20</v>
      </c>
      <c r="I3345">
        <v>1313.93</v>
      </c>
      <c r="J3345">
        <v>1668.52</v>
      </c>
      <c r="K3345">
        <v>1157.08</v>
      </c>
      <c r="M3345">
        <v>4139.53</v>
      </c>
      <c r="O3345" t="s">
        <v>74</v>
      </c>
    </row>
    <row r="3346" spans="1:15" x14ac:dyDescent="0.3">
      <c r="A3346" s="2">
        <v>46023</v>
      </c>
      <c r="B3346" t="s">
        <v>73</v>
      </c>
      <c r="C3346">
        <v>2026</v>
      </c>
      <c r="D3346">
        <v>1</v>
      </c>
      <c r="E3346" t="s">
        <v>58</v>
      </c>
      <c r="F3346" t="s">
        <v>44</v>
      </c>
      <c r="G3346">
        <v>34</v>
      </c>
      <c r="H3346" t="s">
        <v>18</v>
      </c>
      <c r="I3346">
        <v>38.33</v>
      </c>
      <c r="J3346">
        <v>59.36</v>
      </c>
      <c r="K3346">
        <v>119.46</v>
      </c>
      <c r="M3346">
        <v>217.15</v>
      </c>
      <c r="O3346" t="s">
        <v>74</v>
      </c>
    </row>
    <row r="3347" spans="1:15" x14ac:dyDescent="0.3">
      <c r="A3347" s="2">
        <v>46023</v>
      </c>
      <c r="B3347" t="s">
        <v>73</v>
      </c>
      <c r="C3347">
        <v>2026</v>
      </c>
      <c r="D3347">
        <v>1</v>
      </c>
      <c r="E3347" t="s">
        <v>58</v>
      </c>
      <c r="F3347" t="s">
        <v>45</v>
      </c>
      <c r="G3347">
        <v>3</v>
      </c>
      <c r="H3347" t="s">
        <v>20</v>
      </c>
      <c r="I3347">
        <v>634.04</v>
      </c>
      <c r="J3347">
        <v>938.46</v>
      </c>
      <c r="K3347">
        <v>822.76</v>
      </c>
      <c r="M3347">
        <v>2395.2600000000002</v>
      </c>
      <c r="O3347" t="s">
        <v>74</v>
      </c>
    </row>
    <row r="3348" spans="1:15" x14ac:dyDescent="0.3">
      <c r="A3348" s="2">
        <v>46023</v>
      </c>
      <c r="B3348" t="s">
        <v>73</v>
      </c>
      <c r="C3348">
        <v>2026</v>
      </c>
      <c r="D3348">
        <v>1</v>
      </c>
      <c r="E3348" t="s">
        <v>58</v>
      </c>
      <c r="F3348" t="s">
        <v>46</v>
      </c>
      <c r="G3348">
        <v>8</v>
      </c>
      <c r="H3348" t="s">
        <v>20</v>
      </c>
      <c r="I3348">
        <v>1370.56</v>
      </c>
      <c r="J3348">
        <v>1807.52</v>
      </c>
      <c r="K3348">
        <v>1464.17</v>
      </c>
      <c r="M3348">
        <v>4642.25</v>
      </c>
      <c r="O3348" t="s">
        <v>74</v>
      </c>
    </row>
    <row r="3349" spans="1:15" x14ac:dyDescent="0.3">
      <c r="A3349" s="2">
        <v>46023</v>
      </c>
      <c r="B3349" t="s">
        <v>73</v>
      </c>
      <c r="C3349">
        <v>2026</v>
      </c>
      <c r="D3349">
        <v>1</v>
      </c>
      <c r="E3349" t="s">
        <v>58</v>
      </c>
      <c r="F3349" t="s">
        <v>47</v>
      </c>
      <c r="G3349">
        <v>11</v>
      </c>
      <c r="H3349" t="s">
        <v>20</v>
      </c>
      <c r="I3349">
        <v>28.66</v>
      </c>
      <c r="J3349">
        <v>34.83</v>
      </c>
      <c r="K3349">
        <v>88.21</v>
      </c>
      <c r="M3349">
        <v>151.69999999999999</v>
      </c>
      <c r="O3349" t="s">
        <v>74</v>
      </c>
    </row>
    <row r="3350" spans="1:15" x14ac:dyDescent="0.3">
      <c r="A3350" s="2">
        <v>46023</v>
      </c>
      <c r="B3350" t="s">
        <v>73</v>
      </c>
      <c r="C3350">
        <v>2026</v>
      </c>
      <c r="D3350">
        <v>1</v>
      </c>
      <c r="E3350" t="s">
        <v>58</v>
      </c>
      <c r="F3350" t="s">
        <v>48</v>
      </c>
      <c r="G3350">
        <v>33</v>
      </c>
      <c r="H3350" t="s">
        <v>20</v>
      </c>
      <c r="I3350">
        <v>3066.33</v>
      </c>
      <c r="J3350">
        <v>3947.34</v>
      </c>
      <c r="K3350">
        <v>3893.34</v>
      </c>
      <c r="M3350">
        <v>10907.01</v>
      </c>
      <c r="O3350" t="s">
        <v>74</v>
      </c>
    </row>
    <row r="3351" spans="1:15" x14ac:dyDescent="0.3">
      <c r="A3351" s="2">
        <v>46023</v>
      </c>
      <c r="B3351" t="s">
        <v>73</v>
      </c>
      <c r="C3351">
        <v>2026</v>
      </c>
      <c r="D3351">
        <v>1</v>
      </c>
      <c r="E3351" t="s">
        <v>58</v>
      </c>
      <c r="F3351" t="s">
        <v>49</v>
      </c>
      <c r="G3351">
        <v>36</v>
      </c>
      <c r="H3351" t="s">
        <v>20</v>
      </c>
      <c r="I3351">
        <v>1760.95</v>
      </c>
      <c r="J3351">
        <v>2189.96</v>
      </c>
      <c r="K3351">
        <v>1753.26</v>
      </c>
      <c r="M3351">
        <v>5704.17</v>
      </c>
      <c r="O3351" t="s">
        <v>74</v>
      </c>
    </row>
    <row r="3352" spans="1:15" x14ac:dyDescent="0.3">
      <c r="A3352" s="2">
        <v>46023</v>
      </c>
      <c r="B3352" t="s">
        <v>73</v>
      </c>
      <c r="C3352">
        <v>2026</v>
      </c>
      <c r="D3352">
        <v>1</v>
      </c>
      <c r="E3352" t="s">
        <v>58</v>
      </c>
      <c r="F3352" t="s">
        <v>50</v>
      </c>
      <c r="G3352">
        <v>16</v>
      </c>
      <c r="H3352" t="s">
        <v>20</v>
      </c>
      <c r="I3352">
        <v>41.25</v>
      </c>
      <c r="J3352">
        <v>55.09</v>
      </c>
      <c r="K3352">
        <v>16.78</v>
      </c>
      <c r="M3352">
        <v>113.12</v>
      </c>
      <c r="O3352" t="s">
        <v>74</v>
      </c>
    </row>
    <row r="3353" spans="1:15" x14ac:dyDescent="0.3">
      <c r="A3353" s="2">
        <v>46023</v>
      </c>
      <c r="B3353" t="s">
        <v>73</v>
      </c>
      <c r="C3353">
        <v>2026</v>
      </c>
      <c r="D3353">
        <v>1</v>
      </c>
      <c r="E3353" t="s">
        <v>58</v>
      </c>
      <c r="F3353" t="s">
        <v>51</v>
      </c>
      <c r="G3353">
        <v>9</v>
      </c>
      <c r="H3353" t="s">
        <v>20</v>
      </c>
      <c r="I3353">
        <v>2294.85</v>
      </c>
      <c r="J3353">
        <v>3003.33</v>
      </c>
      <c r="K3353">
        <v>3080.54</v>
      </c>
      <c r="M3353">
        <v>8378.7199999999993</v>
      </c>
      <c r="O3353" t="s">
        <v>74</v>
      </c>
    </row>
    <row r="3354" spans="1:15" x14ac:dyDescent="0.3">
      <c r="A3354" s="2">
        <v>46023</v>
      </c>
      <c r="B3354" t="s">
        <v>73</v>
      </c>
      <c r="C3354">
        <v>2026</v>
      </c>
      <c r="D3354">
        <v>1</v>
      </c>
      <c r="E3354" t="s">
        <v>58</v>
      </c>
      <c r="F3354" t="s">
        <v>52</v>
      </c>
      <c r="G3354">
        <v>5</v>
      </c>
      <c r="H3354" t="s">
        <v>20</v>
      </c>
      <c r="I3354">
        <v>311.86</v>
      </c>
      <c r="J3354">
        <v>470.4</v>
      </c>
      <c r="K3354">
        <v>687.53</v>
      </c>
      <c r="M3354">
        <v>1469.79</v>
      </c>
      <c r="O3354" t="s">
        <v>74</v>
      </c>
    </row>
    <row r="3355" spans="1:15" x14ac:dyDescent="0.3">
      <c r="A3355" s="2">
        <v>46023</v>
      </c>
      <c r="B3355" t="s">
        <v>73</v>
      </c>
      <c r="C3355">
        <v>2026</v>
      </c>
      <c r="D3355">
        <v>1</v>
      </c>
      <c r="E3355" t="s">
        <v>58</v>
      </c>
      <c r="F3355" t="s">
        <v>53</v>
      </c>
      <c r="G3355">
        <v>19</v>
      </c>
      <c r="H3355" t="s">
        <v>20</v>
      </c>
      <c r="I3355">
        <v>1872.17</v>
      </c>
      <c r="J3355">
        <v>2150.6</v>
      </c>
      <c r="K3355">
        <v>1482.96</v>
      </c>
      <c r="M3355">
        <v>5505.73</v>
      </c>
      <c r="O3355" t="s">
        <v>74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3"/>
  <sheetViews>
    <sheetView workbookViewId="0">
      <pane ySplit="1" topLeftCell="A2" activePane="bottomLeft" state="frozen"/>
      <selection pane="bottomLeft"/>
    </sheetView>
  </sheetViews>
  <sheetFormatPr defaultRowHeight="14.4" x14ac:dyDescent="0.3"/>
  <cols>
    <col min="1" max="1" width="21" customWidth="1"/>
    <col min="2" max="2" width="16" customWidth="1"/>
    <col min="3" max="3" width="6" customWidth="1"/>
    <col min="4" max="4" width="11" customWidth="1"/>
    <col min="5" max="5" width="7" customWidth="1"/>
    <col min="6" max="6" width="17" customWidth="1"/>
    <col min="7" max="7" width="12" customWidth="1"/>
    <col min="8" max="8" width="10" customWidth="1"/>
    <col min="9" max="9" width="7" customWidth="1"/>
    <col min="10" max="11" width="8" customWidth="1"/>
    <col min="12" max="12" width="6" customWidth="1"/>
    <col min="13" max="13" width="21" customWidth="1"/>
    <col min="14" max="14" width="11" customWidth="1"/>
    <col min="15" max="15" width="37"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v>42979</v>
      </c>
      <c r="B2" t="s">
        <v>15</v>
      </c>
      <c r="C2">
        <v>2017</v>
      </c>
      <c r="D2">
        <v>9</v>
      </c>
      <c r="E2" t="s">
        <v>54</v>
      </c>
      <c r="F2" t="s">
        <v>75</v>
      </c>
      <c r="G2">
        <v>97</v>
      </c>
      <c r="H2" t="s">
        <v>76</v>
      </c>
      <c r="I2">
        <v>0</v>
      </c>
      <c r="J2">
        <v>0</v>
      </c>
      <c r="K2">
        <v>10.85</v>
      </c>
      <c r="L2">
        <v>0</v>
      </c>
      <c r="M2">
        <v>10.85</v>
      </c>
      <c r="N2">
        <v>10.85</v>
      </c>
    </row>
    <row r="3" spans="1:15" x14ac:dyDescent="0.3">
      <c r="A3" s="2">
        <v>43009</v>
      </c>
      <c r="B3" t="s">
        <v>15</v>
      </c>
      <c r="C3">
        <v>2017</v>
      </c>
      <c r="D3">
        <v>10</v>
      </c>
      <c r="E3" t="s">
        <v>55</v>
      </c>
      <c r="F3" t="s">
        <v>75</v>
      </c>
      <c r="G3">
        <v>97</v>
      </c>
      <c r="H3" t="s">
        <v>76</v>
      </c>
      <c r="I3">
        <v>19.87</v>
      </c>
      <c r="J3">
        <v>19.760000000000002</v>
      </c>
      <c r="K3">
        <v>23.55</v>
      </c>
      <c r="L3">
        <v>0</v>
      </c>
      <c r="M3">
        <v>63.18</v>
      </c>
      <c r="N3">
        <v>63.18</v>
      </c>
    </row>
    <row r="4" spans="1:15" x14ac:dyDescent="0.3">
      <c r="A4" s="2">
        <v>43040</v>
      </c>
      <c r="B4" t="s">
        <v>15</v>
      </c>
      <c r="C4">
        <v>2017</v>
      </c>
      <c r="D4">
        <v>11</v>
      </c>
      <c r="E4" t="s">
        <v>56</v>
      </c>
      <c r="F4" t="s">
        <v>75</v>
      </c>
      <c r="G4">
        <v>97</v>
      </c>
      <c r="H4" t="s">
        <v>76</v>
      </c>
      <c r="I4">
        <v>8.0500000000000007</v>
      </c>
      <c r="J4">
        <v>11.44</v>
      </c>
      <c r="K4">
        <v>21.65</v>
      </c>
      <c r="L4">
        <v>0</v>
      </c>
      <c r="M4">
        <v>41.14</v>
      </c>
      <c r="N4">
        <v>41.14</v>
      </c>
    </row>
    <row r="5" spans="1:15" x14ac:dyDescent="0.3">
      <c r="A5" s="2">
        <v>43070</v>
      </c>
      <c r="B5" t="s">
        <v>15</v>
      </c>
      <c r="C5">
        <v>2017</v>
      </c>
      <c r="D5">
        <v>12</v>
      </c>
      <c r="E5" t="s">
        <v>57</v>
      </c>
      <c r="F5" t="s">
        <v>75</v>
      </c>
      <c r="G5">
        <v>97</v>
      </c>
      <c r="H5" t="s">
        <v>76</v>
      </c>
      <c r="I5">
        <v>7.92</v>
      </c>
      <c r="J5">
        <v>11.78</v>
      </c>
      <c r="K5">
        <v>26.75</v>
      </c>
      <c r="L5">
        <v>0</v>
      </c>
      <c r="M5">
        <v>46.45</v>
      </c>
      <c r="N5">
        <v>46.45</v>
      </c>
    </row>
    <row r="6" spans="1:15" x14ac:dyDescent="0.3">
      <c r="A6" s="2">
        <v>43101</v>
      </c>
      <c r="B6" t="s">
        <v>15</v>
      </c>
      <c r="C6">
        <v>2018</v>
      </c>
      <c r="D6">
        <v>1</v>
      </c>
      <c r="E6" t="s">
        <v>58</v>
      </c>
      <c r="F6" t="s">
        <v>77</v>
      </c>
      <c r="G6">
        <v>98</v>
      </c>
      <c r="H6" t="s">
        <v>76</v>
      </c>
      <c r="I6">
        <v>0</v>
      </c>
      <c r="J6">
        <v>0</v>
      </c>
      <c r="K6">
        <v>18.75</v>
      </c>
      <c r="L6">
        <v>0</v>
      </c>
      <c r="M6">
        <v>18.75</v>
      </c>
      <c r="N6">
        <v>18.75</v>
      </c>
    </row>
    <row r="7" spans="1:15" x14ac:dyDescent="0.3">
      <c r="A7" s="2">
        <v>43101</v>
      </c>
      <c r="B7" t="s">
        <v>15</v>
      </c>
      <c r="C7">
        <v>2018</v>
      </c>
      <c r="D7">
        <v>1</v>
      </c>
      <c r="E7" t="s">
        <v>58</v>
      </c>
      <c r="F7" t="s">
        <v>75</v>
      </c>
      <c r="G7">
        <v>97</v>
      </c>
      <c r="H7" t="s">
        <v>76</v>
      </c>
      <c r="I7">
        <v>73.150000000000006</v>
      </c>
      <c r="J7">
        <v>113.97</v>
      </c>
      <c r="K7">
        <v>36.94</v>
      </c>
      <c r="L7">
        <v>0</v>
      </c>
      <c r="M7">
        <v>224.06</v>
      </c>
      <c r="N7">
        <v>224.06</v>
      </c>
    </row>
    <row r="8" spans="1:15" x14ac:dyDescent="0.3">
      <c r="A8" s="2">
        <v>43132</v>
      </c>
      <c r="B8" t="s">
        <v>15</v>
      </c>
      <c r="C8">
        <v>2018</v>
      </c>
      <c r="D8">
        <v>2</v>
      </c>
      <c r="E8" t="s">
        <v>59</v>
      </c>
      <c r="F8" t="s">
        <v>77</v>
      </c>
      <c r="G8">
        <v>98</v>
      </c>
      <c r="H8" t="s">
        <v>76</v>
      </c>
      <c r="I8">
        <v>0</v>
      </c>
      <c r="J8">
        <v>0</v>
      </c>
      <c r="K8">
        <v>5.34</v>
      </c>
      <c r="L8">
        <v>0</v>
      </c>
      <c r="M8">
        <v>5.34</v>
      </c>
      <c r="N8">
        <v>5.34</v>
      </c>
    </row>
    <row r="9" spans="1:15" x14ac:dyDescent="0.3">
      <c r="A9" s="2">
        <v>43132</v>
      </c>
      <c r="B9" t="s">
        <v>15</v>
      </c>
      <c r="C9">
        <v>2018</v>
      </c>
      <c r="D9">
        <v>2</v>
      </c>
      <c r="E9" t="s">
        <v>59</v>
      </c>
      <c r="F9" t="s">
        <v>75</v>
      </c>
      <c r="G9">
        <v>97</v>
      </c>
      <c r="H9" t="s">
        <v>76</v>
      </c>
      <c r="I9">
        <v>18.88</v>
      </c>
      <c r="J9">
        <v>36.520000000000003</v>
      </c>
      <c r="K9">
        <v>26.83</v>
      </c>
      <c r="L9">
        <v>0</v>
      </c>
      <c r="M9">
        <v>82.23</v>
      </c>
      <c r="N9">
        <v>82.23</v>
      </c>
    </row>
    <row r="10" spans="1:15" x14ac:dyDescent="0.3">
      <c r="A10" s="2">
        <v>43160</v>
      </c>
      <c r="B10" t="s">
        <v>15</v>
      </c>
      <c r="C10">
        <v>2018</v>
      </c>
      <c r="D10">
        <v>3</v>
      </c>
      <c r="E10" t="s">
        <v>60</v>
      </c>
      <c r="F10" t="s">
        <v>77</v>
      </c>
      <c r="G10">
        <v>98</v>
      </c>
      <c r="H10" t="s">
        <v>76</v>
      </c>
      <c r="I10">
        <v>0</v>
      </c>
      <c r="J10">
        <v>0</v>
      </c>
      <c r="K10">
        <v>55.9</v>
      </c>
      <c r="L10">
        <v>0</v>
      </c>
      <c r="M10">
        <v>55.9</v>
      </c>
      <c r="N10">
        <v>55.9</v>
      </c>
    </row>
    <row r="11" spans="1:15" x14ac:dyDescent="0.3">
      <c r="A11" s="2">
        <v>43160</v>
      </c>
      <c r="B11" t="s">
        <v>15</v>
      </c>
      <c r="C11">
        <v>2018</v>
      </c>
      <c r="D11">
        <v>3</v>
      </c>
      <c r="E11" t="s">
        <v>60</v>
      </c>
      <c r="F11" t="s">
        <v>75</v>
      </c>
      <c r="G11">
        <v>97</v>
      </c>
      <c r="H11" t="s">
        <v>76</v>
      </c>
      <c r="I11">
        <v>14.41</v>
      </c>
      <c r="J11">
        <v>30.98</v>
      </c>
      <c r="K11">
        <v>33.03</v>
      </c>
      <c r="L11">
        <v>9.42</v>
      </c>
      <c r="M11">
        <v>78.42</v>
      </c>
      <c r="N11">
        <v>87.84</v>
      </c>
    </row>
    <row r="12" spans="1:15" x14ac:dyDescent="0.3">
      <c r="A12" s="2">
        <v>43191</v>
      </c>
      <c r="B12" t="s">
        <v>61</v>
      </c>
      <c r="C12">
        <v>2018</v>
      </c>
      <c r="D12">
        <v>4</v>
      </c>
      <c r="E12" t="s">
        <v>62</v>
      </c>
      <c r="F12" t="s">
        <v>77</v>
      </c>
      <c r="G12">
        <v>98</v>
      </c>
      <c r="H12" t="s">
        <v>76</v>
      </c>
      <c r="I12">
        <v>0</v>
      </c>
      <c r="J12">
        <v>0</v>
      </c>
      <c r="K12">
        <v>40.36</v>
      </c>
      <c r="L12">
        <v>0</v>
      </c>
      <c r="M12">
        <v>40.36</v>
      </c>
      <c r="N12">
        <v>40.36</v>
      </c>
    </row>
    <row r="13" spans="1:15" x14ac:dyDescent="0.3">
      <c r="A13" s="2">
        <v>43191</v>
      </c>
      <c r="B13" t="s">
        <v>61</v>
      </c>
      <c r="C13">
        <v>2018</v>
      </c>
      <c r="D13">
        <v>4</v>
      </c>
      <c r="E13" t="s">
        <v>62</v>
      </c>
      <c r="F13" t="s">
        <v>75</v>
      </c>
      <c r="G13">
        <v>97</v>
      </c>
      <c r="H13" t="s">
        <v>76</v>
      </c>
      <c r="I13">
        <v>7.03</v>
      </c>
      <c r="J13">
        <v>18.77</v>
      </c>
      <c r="K13">
        <v>53.49</v>
      </c>
      <c r="L13">
        <v>0</v>
      </c>
      <c r="M13">
        <v>79.290000000000006</v>
      </c>
      <c r="N13">
        <v>79.290000000000006</v>
      </c>
    </row>
    <row r="14" spans="1:15" x14ac:dyDescent="0.3">
      <c r="A14" s="2">
        <v>43221</v>
      </c>
      <c r="B14" t="s">
        <v>61</v>
      </c>
      <c r="C14">
        <v>2018</v>
      </c>
      <c r="D14">
        <v>5</v>
      </c>
      <c r="E14" t="s">
        <v>63</v>
      </c>
      <c r="F14" t="s">
        <v>77</v>
      </c>
      <c r="G14">
        <v>98</v>
      </c>
      <c r="H14" t="s">
        <v>76</v>
      </c>
      <c r="I14">
        <v>0</v>
      </c>
      <c r="J14">
        <v>0</v>
      </c>
      <c r="K14">
        <v>41.07</v>
      </c>
      <c r="L14">
        <v>0</v>
      </c>
      <c r="M14">
        <v>41.07</v>
      </c>
      <c r="N14">
        <v>41.07</v>
      </c>
    </row>
    <row r="15" spans="1:15" x14ac:dyDescent="0.3">
      <c r="A15" s="2">
        <v>43221</v>
      </c>
      <c r="B15" t="s">
        <v>61</v>
      </c>
      <c r="C15">
        <v>2018</v>
      </c>
      <c r="D15">
        <v>5</v>
      </c>
      <c r="E15" t="s">
        <v>63</v>
      </c>
      <c r="F15" t="s">
        <v>75</v>
      </c>
      <c r="G15">
        <v>97</v>
      </c>
      <c r="H15" t="s">
        <v>76</v>
      </c>
      <c r="I15">
        <v>14.05</v>
      </c>
      <c r="J15">
        <v>24.99</v>
      </c>
      <c r="K15">
        <v>686.59</v>
      </c>
      <c r="L15">
        <v>0</v>
      </c>
      <c r="M15">
        <v>725.63</v>
      </c>
      <c r="N15">
        <v>725.63</v>
      </c>
    </row>
    <row r="16" spans="1:15" x14ac:dyDescent="0.3">
      <c r="A16" s="2">
        <v>43252</v>
      </c>
      <c r="B16" t="s">
        <v>61</v>
      </c>
      <c r="C16">
        <v>2018</v>
      </c>
      <c r="D16">
        <v>6</v>
      </c>
      <c r="E16" t="s">
        <v>64</v>
      </c>
      <c r="F16" t="s">
        <v>77</v>
      </c>
      <c r="G16">
        <v>98</v>
      </c>
      <c r="H16" t="s">
        <v>76</v>
      </c>
      <c r="I16">
        <v>0</v>
      </c>
      <c r="J16">
        <v>0</v>
      </c>
      <c r="K16">
        <v>45.1</v>
      </c>
      <c r="L16">
        <v>0</v>
      </c>
      <c r="M16">
        <v>45.1</v>
      </c>
      <c r="N16">
        <v>45.1</v>
      </c>
    </row>
    <row r="17" spans="1:14" x14ac:dyDescent="0.3">
      <c r="A17" s="2">
        <v>43252</v>
      </c>
      <c r="B17" t="s">
        <v>61</v>
      </c>
      <c r="C17">
        <v>2018</v>
      </c>
      <c r="D17">
        <v>6</v>
      </c>
      <c r="E17" t="s">
        <v>64</v>
      </c>
      <c r="F17" t="s">
        <v>75</v>
      </c>
      <c r="G17">
        <v>97</v>
      </c>
      <c r="H17" t="s">
        <v>76</v>
      </c>
      <c r="I17">
        <v>13.62</v>
      </c>
      <c r="J17">
        <v>21.75</v>
      </c>
      <c r="K17">
        <v>102.25</v>
      </c>
      <c r="L17">
        <v>0</v>
      </c>
      <c r="M17">
        <v>137.62</v>
      </c>
      <c r="N17">
        <v>137.62</v>
      </c>
    </row>
    <row r="18" spans="1:14" x14ac:dyDescent="0.3">
      <c r="A18" s="2">
        <v>43282</v>
      </c>
      <c r="B18" t="s">
        <v>61</v>
      </c>
      <c r="C18">
        <v>2018</v>
      </c>
      <c r="D18">
        <v>7</v>
      </c>
      <c r="E18" t="s">
        <v>65</v>
      </c>
      <c r="F18" t="s">
        <v>77</v>
      </c>
      <c r="G18">
        <v>98</v>
      </c>
      <c r="H18" t="s">
        <v>76</v>
      </c>
      <c r="I18">
        <v>0</v>
      </c>
      <c r="J18">
        <v>0</v>
      </c>
      <c r="K18">
        <v>27.97</v>
      </c>
      <c r="L18">
        <v>0</v>
      </c>
      <c r="M18">
        <v>27.97</v>
      </c>
      <c r="N18">
        <v>27.97</v>
      </c>
    </row>
    <row r="19" spans="1:14" x14ac:dyDescent="0.3">
      <c r="A19" s="2">
        <v>43282</v>
      </c>
      <c r="B19" t="s">
        <v>61</v>
      </c>
      <c r="C19">
        <v>2018</v>
      </c>
      <c r="D19">
        <v>7</v>
      </c>
      <c r="E19" t="s">
        <v>65</v>
      </c>
      <c r="F19" t="s">
        <v>75</v>
      </c>
      <c r="G19">
        <v>97</v>
      </c>
      <c r="H19" t="s">
        <v>76</v>
      </c>
      <c r="I19">
        <v>13.48</v>
      </c>
      <c r="J19">
        <v>22.46</v>
      </c>
      <c r="K19">
        <v>122.64</v>
      </c>
      <c r="L19">
        <v>0</v>
      </c>
      <c r="M19">
        <v>158.58000000000001</v>
      </c>
      <c r="N19">
        <v>158.58000000000001</v>
      </c>
    </row>
    <row r="20" spans="1:14" x14ac:dyDescent="0.3">
      <c r="A20" s="2">
        <v>43313</v>
      </c>
      <c r="B20" t="s">
        <v>61</v>
      </c>
      <c r="C20">
        <v>2018</v>
      </c>
      <c r="D20">
        <v>8</v>
      </c>
      <c r="E20" t="s">
        <v>16</v>
      </c>
      <c r="F20" t="s">
        <v>77</v>
      </c>
      <c r="G20">
        <v>98</v>
      </c>
      <c r="H20" t="s">
        <v>76</v>
      </c>
      <c r="I20">
        <v>0</v>
      </c>
      <c r="J20">
        <v>0</v>
      </c>
      <c r="K20">
        <v>47.08</v>
      </c>
      <c r="L20">
        <v>0</v>
      </c>
      <c r="M20">
        <v>47.08</v>
      </c>
      <c r="N20">
        <v>47.08</v>
      </c>
    </row>
    <row r="21" spans="1:14" x14ac:dyDescent="0.3">
      <c r="A21" s="2">
        <v>43313</v>
      </c>
      <c r="B21" t="s">
        <v>61</v>
      </c>
      <c r="C21">
        <v>2018</v>
      </c>
      <c r="D21">
        <v>8</v>
      </c>
      <c r="E21" t="s">
        <v>16</v>
      </c>
      <c r="F21" t="s">
        <v>75</v>
      </c>
      <c r="G21">
        <v>97</v>
      </c>
      <c r="H21" t="s">
        <v>76</v>
      </c>
      <c r="I21">
        <v>20.39</v>
      </c>
      <c r="J21">
        <v>36.82</v>
      </c>
      <c r="K21">
        <v>143.12</v>
      </c>
      <c r="L21">
        <v>0.49</v>
      </c>
      <c r="M21">
        <v>200.33</v>
      </c>
      <c r="N21">
        <v>200.82</v>
      </c>
    </row>
    <row r="22" spans="1:14" x14ac:dyDescent="0.3">
      <c r="A22" s="2">
        <v>43344</v>
      </c>
      <c r="B22" t="s">
        <v>61</v>
      </c>
      <c r="C22">
        <v>2018</v>
      </c>
      <c r="D22">
        <v>9</v>
      </c>
      <c r="E22" t="s">
        <v>54</v>
      </c>
      <c r="F22" t="s">
        <v>77</v>
      </c>
      <c r="G22">
        <v>98</v>
      </c>
      <c r="H22" t="s">
        <v>76</v>
      </c>
      <c r="I22">
        <v>0</v>
      </c>
      <c r="J22">
        <v>0</v>
      </c>
      <c r="K22">
        <v>49.71</v>
      </c>
      <c r="L22">
        <v>0</v>
      </c>
      <c r="M22">
        <v>49.71</v>
      </c>
      <c r="N22">
        <v>49.71</v>
      </c>
    </row>
    <row r="23" spans="1:14" x14ac:dyDescent="0.3">
      <c r="A23" s="2">
        <v>43344</v>
      </c>
      <c r="B23" t="s">
        <v>61</v>
      </c>
      <c r="C23">
        <v>2018</v>
      </c>
      <c r="D23">
        <v>9</v>
      </c>
      <c r="E23" t="s">
        <v>54</v>
      </c>
      <c r="F23" t="s">
        <v>75</v>
      </c>
      <c r="G23">
        <v>97</v>
      </c>
      <c r="H23" t="s">
        <v>76</v>
      </c>
      <c r="I23">
        <v>10.93</v>
      </c>
      <c r="J23">
        <v>18.149999999999999</v>
      </c>
      <c r="K23">
        <v>125.47</v>
      </c>
      <c r="L23">
        <v>0</v>
      </c>
      <c r="M23">
        <v>154.55000000000001</v>
      </c>
      <c r="N23">
        <v>154.55000000000001</v>
      </c>
    </row>
    <row r="24" spans="1:14" x14ac:dyDescent="0.3">
      <c r="A24" s="2">
        <v>43374</v>
      </c>
      <c r="B24" t="s">
        <v>61</v>
      </c>
      <c r="C24">
        <v>2018</v>
      </c>
      <c r="D24">
        <v>10</v>
      </c>
      <c r="E24" t="s">
        <v>55</v>
      </c>
      <c r="F24" t="s">
        <v>77</v>
      </c>
      <c r="G24">
        <v>98</v>
      </c>
      <c r="H24" t="s">
        <v>76</v>
      </c>
      <c r="I24">
        <v>0</v>
      </c>
      <c r="J24">
        <v>0</v>
      </c>
      <c r="K24">
        <v>39.61</v>
      </c>
      <c r="L24">
        <v>0</v>
      </c>
      <c r="M24">
        <v>39.61</v>
      </c>
      <c r="N24">
        <v>39.61</v>
      </c>
    </row>
    <row r="25" spans="1:14" x14ac:dyDescent="0.3">
      <c r="A25" s="2">
        <v>43374</v>
      </c>
      <c r="B25" t="s">
        <v>61</v>
      </c>
      <c r="C25">
        <v>2018</v>
      </c>
      <c r="D25">
        <v>10</v>
      </c>
      <c r="E25" t="s">
        <v>55</v>
      </c>
      <c r="F25" t="s">
        <v>75</v>
      </c>
      <c r="G25">
        <v>97</v>
      </c>
      <c r="H25" t="s">
        <v>76</v>
      </c>
      <c r="I25">
        <v>17.03</v>
      </c>
      <c r="J25">
        <v>23.55</v>
      </c>
      <c r="K25">
        <v>110.03</v>
      </c>
      <c r="L25">
        <v>0</v>
      </c>
      <c r="M25">
        <v>150.61000000000001</v>
      </c>
      <c r="N25">
        <v>150.61000000000001</v>
      </c>
    </row>
    <row r="26" spans="1:14" x14ac:dyDescent="0.3">
      <c r="A26" s="2">
        <v>43405</v>
      </c>
      <c r="B26" t="s">
        <v>61</v>
      </c>
      <c r="C26">
        <v>2018</v>
      </c>
      <c r="D26">
        <v>11</v>
      </c>
      <c r="E26" t="s">
        <v>56</v>
      </c>
      <c r="F26" t="s">
        <v>77</v>
      </c>
      <c r="G26">
        <v>98</v>
      </c>
      <c r="H26" t="s">
        <v>76</v>
      </c>
      <c r="I26">
        <v>0</v>
      </c>
      <c r="J26">
        <v>0</v>
      </c>
      <c r="K26">
        <v>32.21</v>
      </c>
      <c r="L26">
        <v>0</v>
      </c>
      <c r="M26">
        <v>32.21</v>
      </c>
      <c r="N26">
        <v>32.21</v>
      </c>
    </row>
    <row r="27" spans="1:14" x14ac:dyDescent="0.3">
      <c r="A27" s="2">
        <v>43405</v>
      </c>
      <c r="B27" t="s">
        <v>61</v>
      </c>
      <c r="C27">
        <v>2018</v>
      </c>
      <c r="D27">
        <v>11</v>
      </c>
      <c r="E27" t="s">
        <v>56</v>
      </c>
      <c r="F27" t="s">
        <v>75</v>
      </c>
      <c r="G27">
        <v>97</v>
      </c>
      <c r="H27" t="s">
        <v>76</v>
      </c>
      <c r="I27">
        <v>26.19</v>
      </c>
      <c r="J27">
        <v>38.14</v>
      </c>
      <c r="K27">
        <v>132.91999999999999</v>
      </c>
      <c r="L27">
        <v>0</v>
      </c>
      <c r="M27">
        <v>197.25</v>
      </c>
      <c r="N27">
        <v>197.25</v>
      </c>
    </row>
    <row r="28" spans="1:14" x14ac:dyDescent="0.3">
      <c r="A28" s="2">
        <v>43435</v>
      </c>
      <c r="B28" t="s">
        <v>61</v>
      </c>
      <c r="C28">
        <v>2018</v>
      </c>
      <c r="D28">
        <v>12</v>
      </c>
      <c r="E28" t="s">
        <v>57</v>
      </c>
      <c r="F28" t="s">
        <v>77</v>
      </c>
      <c r="G28">
        <v>98</v>
      </c>
      <c r="H28" t="s">
        <v>76</v>
      </c>
      <c r="I28">
        <v>0</v>
      </c>
      <c r="J28">
        <v>0</v>
      </c>
      <c r="K28">
        <v>91.21</v>
      </c>
      <c r="L28">
        <v>0</v>
      </c>
      <c r="M28">
        <v>91.21</v>
      </c>
      <c r="N28">
        <v>91.21</v>
      </c>
    </row>
    <row r="29" spans="1:14" x14ac:dyDescent="0.3">
      <c r="A29" s="2">
        <v>43435</v>
      </c>
      <c r="B29" t="s">
        <v>61</v>
      </c>
      <c r="C29">
        <v>2018</v>
      </c>
      <c r="D29">
        <v>12</v>
      </c>
      <c r="E29" t="s">
        <v>57</v>
      </c>
      <c r="F29" t="s">
        <v>75</v>
      </c>
      <c r="G29">
        <v>97</v>
      </c>
      <c r="H29" t="s">
        <v>76</v>
      </c>
      <c r="I29">
        <v>19.82</v>
      </c>
      <c r="J29">
        <v>33.590000000000003</v>
      </c>
      <c r="K29">
        <v>124.41</v>
      </c>
      <c r="L29">
        <v>0</v>
      </c>
      <c r="M29">
        <v>177.82</v>
      </c>
      <c r="N29">
        <v>177.82</v>
      </c>
    </row>
    <row r="30" spans="1:14" x14ac:dyDescent="0.3">
      <c r="A30" s="2">
        <v>43466</v>
      </c>
      <c r="B30" t="s">
        <v>61</v>
      </c>
      <c r="C30">
        <v>2019</v>
      </c>
      <c r="D30">
        <v>1</v>
      </c>
      <c r="E30" t="s">
        <v>58</v>
      </c>
      <c r="F30" t="s">
        <v>77</v>
      </c>
      <c r="G30">
        <v>98</v>
      </c>
      <c r="H30" t="s">
        <v>76</v>
      </c>
      <c r="I30">
        <v>0</v>
      </c>
      <c r="J30">
        <v>0</v>
      </c>
      <c r="K30">
        <v>44.9</v>
      </c>
      <c r="L30">
        <v>0</v>
      </c>
      <c r="M30">
        <v>44.9</v>
      </c>
      <c r="N30">
        <v>44.9</v>
      </c>
    </row>
    <row r="31" spans="1:14" x14ac:dyDescent="0.3">
      <c r="A31" s="2">
        <v>43466</v>
      </c>
      <c r="B31" t="s">
        <v>61</v>
      </c>
      <c r="C31">
        <v>2019</v>
      </c>
      <c r="D31">
        <v>1</v>
      </c>
      <c r="E31" t="s">
        <v>58</v>
      </c>
      <c r="F31" t="s">
        <v>75</v>
      </c>
      <c r="G31">
        <v>97</v>
      </c>
      <c r="H31" t="s">
        <v>76</v>
      </c>
      <c r="I31">
        <v>27.1</v>
      </c>
      <c r="J31">
        <v>34.79</v>
      </c>
      <c r="K31">
        <v>131.9</v>
      </c>
      <c r="L31">
        <v>0</v>
      </c>
      <c r="M31">
        <v>193.79</v>
      </c>
      <c r="N31">
        <v>193.79</v>
      </c>
    </row>
    <row r="32" spans="1:14" x14ac:dyDescent="0.3">
      <c r="A32" s="2">
        <v>43497</v>
      </c>
      <c r="B32" t="s">
        <v>61</v>
      </c>
      <c r="C32">
        <v>2019</v>
      </c>
      <c r="D32">
        <v>2</v>
      </c>
      <c r="E32" t="s">
        <v>59</v>
      </c>
      <c r="F32" t="s">
        <v>77</v>
      </c>
      <c r="G32">
        <v>98</v>
      </c>
      <c r="H32" t="s">
        <v>76</v>
      </c>
      <c r="I32">
        <v>0</v>
      </c>
      <c r="J32">
        <v>0</v>
      </c>
      <c r="K32">
        <v>46.73</v>
      </c>
      <c r="L32">
        <v>0</v>
      </c>
      <c r="M32">
        <v>46.73</v>
      </c>
      <c r="N32">
        <v>46.73</v>
      </c>
    </row>
    <row r="33" spans="1:14" x14ac:dyDescent="0.3">
      <c r="A33" s="2">
        <v>43497</v>
      </c>
      <c r="B33" t="s">
        <v>61</v>
      </c>
      <c r="C33">
        <v>2019</v>
      </c>
      <c r="D33">
        <v>2</v>
      </c>
      <c r="E33" t="s">
        <v>59</v>
      </c>
      <c r="F33" t="s">
        <v>75</v>
      </c>
      <c r="G33">
        <v>97</v>
      </c>
      <c r="H33" t="s">
        <v>76</v>
      </c>
      <c r="I33">
        <v>13.56</v>
      </c>
      <c r="J33">
        <v>19.84</v>
      </c>
      <c r="K33">
        <v>108</v>
      </c>
      <c r="L33">
        <v>0</v>
      </c>
      <c r="M33">
        <v>141.4</v>
      </c>
      <c r="N33">
        <v>141.4</v>
      </c>
    </row>
    <row r="34" spans="1:14" x14ac:dyDescent="0.3">
      <c r="A34" s="2">
        <v>43525</v>
      </c>
      <c r="B34" t="s">
        <v>61</v>
      </c>
      <c r="C34">
        <v>2019</v>
      </c>
      <c r="D34">
        <v>3</v>
      </c>
      <c r="E34" t="s">
        <v>60</v>
      </c>
      <c r="F34" t="s">
        <v>77</v>
      </c>
      <c r="G34">
        <v>98</v>
      </c>
      <c r="H34" t="s">
        <v>76</v>
      </c>
      <c r="I34">
        <v>0</v>
      </c>
      <c r="J34">
        <v>0</v>
      </c>
      <c r="K34">
        <v>73.86</v>
      </c>
      <c r="L34">
        <v>0</v>
      </c>
      <c r="M34">
        <v>73.86</v>
      </c>
      <c r="N34">
        <v>73.86</v>
      </c>
    </row>
    <row r="35" spans="1:14" x14ac:dyDescent="0.3">
      <c r="A35" s="2">
        <v>43525</v>
      </c>
      <c r="B35" t="s">
        <v>61</v>
      </c>
      <c r="C35">
        <v>2019</v>
      </c>
      <c r="D35">
        <v>3</v>
      </c>
      <c r="E35" t="s">
        <v>60</v>
      </c>
      <c r="F35" t="s">
        <v>75</v>
      </c>
      <c r="G35">
        <v>97</v>
      </c>
      <c r="H35" t="s">
        <v>76</v>
      </c>
      <c r="I35">
        <v>20.14</v>
      </c>
      <c r="J35">
        <v>26.71</v>
      </c>
      <c r="K35">
        <v>120.08</v>
      </c>
      <c r="L35">
        <v>0</v>
      </c>
      <c r="M35">
        <v>166.93</v>
      </c>
      <c r="N35">
        <v>166.93</v>
      </c>
    </row>
    <row r="36" spans="1:14" x14ac:dyDescent="0.3">
      <c r="A36" s="2">
        <v>43556</v>
      </c>
      <c r="B36" t="s">
        <v>66</v>
      </c>
      <c r="C36">
        <v>2019</v>
      </c>
      <c r="D36">
        <v>4</v>
      </c>
      <c r="E36" t="s">
        <v>62</v>
      </c>
      <c r="F36" t="s">
        <v>77</v>
      </c>
      <c r="G36">
        <v>98</v>
      </c>
      <c r="H36" t="s">
        <v>76</v>
      </c>
      <c r="I36">
        <v>0.11</v>
      </c>
      <c r="J36">
        <v>0</v>
      </c>
      <c r="K36">
        <v>128.94</v>
      </c>
      <c r="L36">
        <v>0</v>
      </c>
      <c r="M36">
        <v>129.05000000000001</v>
      </c>
      <c r="N36">
        <v>129.05000000000001</v>
      </c>
    </row>
    <row r="37" spans="1:14" x14ac:dyDescent="0.3">
      <c r="A37" s="2">
        <v>43556</v>
      </c>
      <c r="B37" t="s">
        <v>66</v>
      </c>
      <c r="C37">
        <v>2019</v>
      </c>
      <c r="D37">
        <v>4</v>
      </c>
      <c r="E37" t="s">
        <v>62</v>
      </c>
      <c r="F37" t="s">
        <v>75</v>
      </c>
      <c r="G37">
        <v>97</v>
      </c>
      <c r="H37" t="s">
        <v>76</v>
      </c>
      <c r="I37">
        <v>16.34</v>
      </c>
      <c r="J37">
        <v>36.78</v>
      </c>
      <c r="K37">
        <v>125.88</v>
      </c>
      <c r="L37">
        <v>0</v>
      </c>
      <c r="M37">
        <v>179</v>
      </c>
      <c r="N37">
        <v>179</v>
      </c>
    </row>
    <row r="38" spans="1:14" x14ac:dyDescent="0.3">
      <c r="A38" s="2">
        <v>43586</v>
      </c>
      <c r="B38" t="s">
        <v>66</v>
      </c>
      <c r="C38">
        <v>2019</v>
      </c>
      <c r="D38">
        <v>5</v>
      </c>
      <c r="E38" t="s">
        <v>63</v>
      </c>
      <c r="F38" t="s">
        <v>77</v>
      </c>
      <c r="G38">
        <v>98</v>
      </c>
      <c r="H38" t="s">
        <v>76</v>
      </c>
      <c r="I38">
        <v>0</v>
      </c>
      <c r="J38">
        <v>0</v>
      </c>
      <c r="K38">
        <v>50.85</v>
      </c>
      <c r="L38">
        <v>0</v>
      </c>
      <c r="M38">
        <v>50.85</v>
      </c>
      <c r="N38">
        <v>50.85</v>
      </c>
    </row>
    <row r="39" spans="1:14" x14ac:dyDescent="0.3">
      <c r="A39" s="2">
        <v>43586</v>
      </c>
      <c r="B39" t="s">
        <v>66</v>
      </c>
      <c r="C39">
        <v>2019</v>
      </c>
      <c r="D39">
        <v>5</v>
      </c>
      <c r="E39" t="s">
        <v>63</v>
      </c>
      <c r="F39" t="s">
        <v>75</v>
      </c>
      <c r="G39">
        <v>97</v>
      </c>
      <c r="H39" t="s">
        <v>76</v>
      </c>
      <c r="I39">
        <v>12.98</v>
      </c>
      <c r="J39">
        <v>17.39</v>
      </c>
      <c r="K39">
        <v>103.07</v>
      </c>
      <c r="L39">
        <v>0</v>
      </c>
      <c r="M39">
        <v>133.44</v>
      </c>
      <c r="N39">
        <v>133.44</v>
      </c>
    </row>
    <row r="40" spans="1:14" x14ac:dyDescent="0.3">
      <c r="A40" s="2">
        <v>43617</v>
      </c>
      <c r="B40" t="s">
        <v>66</v>
      </c>
      <c r="C40">
        <v>2019</v>
      </c>
      <c r="D40">
        <v>6</v>
      </c>
      <c r="E40" t="s">
        <v>64</v>
      </c>
      <c r="F40" t="s">
        <v>77</v>
      </c>
      <c r="G40">
        <v>98</v>
      </c>
      <c r="H40" t="s">
        <v>76</v>
      </c>
      <c r="I40">
        <v>0</v>
      </c>
      <c r="J40">
        <v>0</v>
      </c>
      <c r="K40">
        <v>60.56</v>
      </c>
      <c r="L40">
        <v>0</v>
      </c>
      <c r="M40">
        <v>60.56</v>
      </c>
      <c r="N40">
        <v>60.56</v>
      </c>
    </row>
    <row r="41" spans="1:14" x14ac:dyDescent="0.3">
      <c r="A41" s="2">
        <v>43617</v>
      </c>
      <c r="B41" t="s">
        <v>66</v>
      </c>
      <c r="C41">
        <v>2019</v>
      </c>
      <c r="D41">
        <v>6</v>
      </c>
      <c r="E41" t="s">
        <v>64</v>
      </c>
      <c r="F41" t="s">
        <v>75</v>
      </c>
      <c r="G41">
        <v>97</v>
      </c>
      <c r="H41" t="s">
        <v>76</v>
      </c>
      <c r="I41">
        <v>14.57</v>
      </c>
      <c r="J41">
        <v>26.01</v>
      </c>
      <c r="K41">
        <v>125.85</v>
      </c>
      <c r="L41">
        <v>0</v>
      </c>
      <c r="M41">
        <v>166.43</v>
      </c>
      <c r="N41">
        <v>166.43</v>
      </c>
    </row>
    <row r="42" spans="1:14" x14ac:dyDescent="0.3">
      <c r="A42" s="2">
        <v>43647</v>
      </c>
      <c r="B42" t="s">
        <v>66</v>
      </c>
      <c r="C42">
        <v>2019</v>
      </c>
      <c r="D42">
        <v>7</v>
      </c>
      <c r="E42" t="s">
        <v>65</v>
      </c>
      <c r="F42" t="s">
        <v>77</v>
      </c>
      <c r="G42">
        <v>98</v>
      </c>
      <c r="H42" t="s">
        <v>76</v>
      </c>
      <c r="I42">
        <v>0</v>
      </c>
      <c r="J42">
        <v>0</v>
      </c>
      <c r="K42">
        <v>59.42</v>
      </c>
      <c r="L42">
        <v>0</v>
      </c>
      <c r="M42">
        <v>59.42</v>
      </c>
      <c r="N42">
        <v>59.42</v>
      </c>
    </row>
    <row r="43" spans="1:14" x14ac:dyDescent="0.3">
      <c r="A43" s="2">
        <v>43647</v>
      </c>
      <c r="B43" t="s">
        <v>66</v>
      </c>
      <c r="C43">
        <v>2019</v>
      </c>
      <c r="D43">
        <v>7</v>
      </c>
      <c r="E43" t="s">
        <v>65</v>
      </c>
      <c r="F43" t="s">
        <v>75</v>
      </c>
      <c r="G43">
        <v>97</v>
      </c>
      <c r="H43" t="s">
        <v>76</v>
      </c>
      <c r="I43">
        <v>13.17</v>
      </c>
      <c r="J43">
        <v>24.94</v>
      </c>
      <c r="K43">
        <v>120.14</v>
      </c>
      <c r="L43">
        <v>0</v>
      </c>
      <c r="M43">
        <v>158.25</v>
      </c>
      <c r="N43">
        <v>158.25</v>
      </c>
    </row>
    <row r="44" spans="1:14" x14ac:dyDescent="0.3">
      <c r="A44" s="2">
        <v>43678</v>
      </c>
      <c r="B44" t="s">
        <v>66</v>
      </c>
      <c r="C44">
        <v>2019</v>
      </c>
      <c r="D44">
        <v>8</v>
      </c>
      <c r="E44" t="s">
        <v>16</v>
      </c>
      <c r="F44" t="s">
        <v>77</v>
      </c>
      <c r="G44">
        <v>98</v>
      </c>
      <c r="H44" t="s">
        <v>76</v>
      </c>
      <c r="I44">
        <v>0</v>
      </c>
      <c r="J44">
        <v>0</v>
      </c>
      <c r="K44">
        <v>99.5</v>
      </c>
      <c r="L44">
        <v>0</v>
      </c>
      <c r="M44">
        <v>99.5</v>
      </c>
      <c r="N44">
        <v>99.5</v>
      </c>
    </row>
    <row r="45" spans="1:14" x14ac:dyDescent="0.3">
      <c r="A45" s="2">
        <v>43678</v>
      </c>
      <c r="B45" t="s">
        <v>66</v>
      </c>
      <c r="C45">
        <v>2019</v>
      </c>
      <c r="D45">
        <v>8</v>
      </c>
      <c r="E45" t="s">
        <v>16</v>
      </c>
      <c r="F45" t="s">
        <v>75</v>
      </c>
      <c r="G45">
        <v>97</v>
      </c>
      <c r="H45" t="s">
        <v>76</v>
      </c>
      <c r="I45">
        <v>11.79</v>
      </c>
      <c r="J45">
        <v>14.65</v>
      </c>
      <c r="K45">
        <v>143.19999999999999</v>
      </c>
      <c r="L45">
        <v>0</v>
      </c>
      <c r="M45">
        <v>169.64</v>
      </c>
      <c r="N45">
        <v>169.64</v>
      </c>
    </row>
    <row r="46" spans="1:14" x14ac:dyDescent="0.3">
      <c r="A46" s="2">
        <v>43709</v>
      </c>
      <c r="B46" t="s">
        <v>66</v>
      </c>
      <c r="C46">
        <v>2019</v>
      </c>
      <c r="D46">
        <v>9</v>
      </c>
      <c r="E46" t="s">
        <v>54</v>
      </c>
      <c r="F46" t="s">
        <v>77</v>
      </c>
      <c r="G46">
        <v>98</v>
      </c>
      <c r="H46" t="s">
        <v>76</v>
      </c>
      <c r="I46">
        <v>0</v>
      </c>
      <c r="J46">
        <v>0</v>
      </c>
      <c r="K46">
        <v>34.799999999999997</v>
      </c>
      <c r="L46">
        <v>0</v>
      </c>
      <c r="M46">
        <v>34.799999999999997</v>
      </c>
      <c r="N46">
        <v>34.799999999999997</v>
      </c>
    </row>
    <row r="47" spans="1:14" x14ac:dyDescent="0.3">
      <c r="A47" s="2">
        <v>43709</v>
      </c>
      <c r="B47" t="s">
        <v>66</v>
      </c>
      <c r="C47">
        <v>2019</v>
      </c>
      <c r="D47">
        <v>9</v>
      </c>
      <c r="E47" t="s">
        <v>54</v>
      </c>
      <c r="F47" t="s">
        <v>75</v>
      </c>
      <c r="G47">
        <v>97</v>
      </c>
      <c r="H47" t="s">
        <v>76</v>
      </c>
      <c r="I47">
        <v>4.7300000000000004</v>
      </c>
      <c r="J47">
        <v>7.06</v>
      </c>
      <c r="K47">
        <v>119.86</v>
      </c>
      <c r="L47">
        <v>0</v>
      </c>
      <c r="M47">
        <v>131.65</v>
      </c>
      <c r="N47">
        <v>131.65</v>
      </c>
    </row>
    <row r="48" spans="1:14" x14ac:dyDescent="0.3">
      <c r="A48" s="2">
        <v>43739</v>
      </c>
      <c r="B48" t="s">
        <v>66</v>
      </c>
      <c r="C48">
        <v>2019</v>
      </c>
      <c r="D48">
        <v>10</v>
      </c>
      <c r="E48" t="s">
        <v>55</v>
      </c>
      <c r="F48" t="s">
        <v>77</v>
      </c>
      <c r="G48">
        <v>98</v>
      </c>
      <c r="H48" t="s">
        <v>76</v>
      </c>
      <c r="I48">
        <v>0</v>
      </c>
      <c r="J48">
        <v>0</v>
      </c>
      <c r="K48">
        <v>97.33</v>
      </c>
      <c r="L48">
        <v>0</v>
      </c>
      <c r="M48">
        <v>97.33</v>
      </c>
      <c r="N48">
        <v>97.33</v>
      </c>
    </row>
    <row r="49" spans="1:14" x14ac:dyDescent="0.3">
      <c r="A49" s="2">
        <v>43739</v>
      </c>
      <c r="B49" t="s">
        <v>66</v>
      </c>
      <c r="C49">
        <v>2019</v>
      </c>
      <c r="D49">
        <v>10</v>
      </c>
      <c r="E49" t="s">
        <v>55</v>
      </c>
      <c r="F49" t="s">
        <v>75</v>
      </c>
      <c r="G49">
        <v>97</v>
      </c>
      <c r="H49" t="s">
        <v>76</v>
      </c>
      <c r="I49">
        <v>7.69</v>
      </c>
      <c r="J49">
        <v>9.7100000000000009</v>
      </c>
      <c r="K49">
        <v>109.52</v>
      </c>
      <c r="L49">
        <v>0</v>
      </c>
      <c r="M49">
        <v>126.92</v>
      </c>
      <c r="N49">
        <v>126.92</v>
      </c>
    </row>
    <row r="50" spans="1:14" x14ac:dyDescent="0.3">
      <c r="A50" s="2">
        <v>43770</v>
      </c>
      <c r="B50" t="s">
        <v>66</v>
      </c>
      <c r="C50">
        <v>2019</v>
      </c>
      <c r="D50">
        <v>11</v>
      </c>
      <c r="E50" t="s">
        <v>56</v>
      </c>
      <c r="F50" t="s">
        <v>77</v>
      </c>
      <c r="G50">
        <v>98</v>
      </c>
      <c r="H50" t="s">
        <v>76</v>
      </c>
      <c r="I50">
        <v>0</v>
      </c>
      <c r="J50">
        <v>0</v>
      </c>
      <c r="K50">
        <v>94.93</v>
      </c>
      <c r="L50">
        <v>0</v>
      </c>
      <c r="M50">
        <v>94.93</v>
      </c>
      <c r="N50">
        <v>94.93</v>
      </c>
    </row>
    <row r="51" spans="1:14" x14ac:dyDescent="0.3">
      <c r="A51" s="2">
        <v>43770</v>
      </c>
      <c r="B51" t="s">
        <v>66</v>
      </c>
      <c r="C51">
        <v>2019</v>
      </c>
      <c r="D51">
        <v>11</v>
      </c>
      <c r="E51" t="s">
        <v>56</v>
      </c>
      <c r="F51" t="s">
        <v>75</v>
      </c>
      <c r="G51">
        <v>97</v>
      </c>
      <c r="H51" t="s">
        <v>76</v>
      </c>
      <c r="I51">
        <v>6.82</v>
      </c>
      <c r="J51">
        <v>9.6300000000000008</v>
      </c>
      <c r="K51">
        <v>136.80000000000001</v>
      </c>
      <c r="L51">
        <v>0</v>
      </c>
      <c r="M51">
        <v>153.25</v>
      </c>
      <c r="N51">
        <v>153.25</v>
      </c>
    </row>
    <row r="52" spans="1:14" x14ac:dyDescent="0.3">
      <c r="A52" s="2">
        <v>43800</v>
      </c>
      <c r="B52" t="s">
        <v>66</v>
      </c>
      <c r="C52">
        <v>2019</v>
      </c>
      <c r="D52">
        <v>12</v>
      </c>
      <c r="E52" t="s">
        <v>57</v>
      </c>
      <c r="F52" t="s">
        <v>77</v>
      </c>
      <c r="G52">
        <v>98</v>
      </c>
      <c r="H52" t="s">
        <v>76</v>
      </c>
      <c r="I52">
        <v>0</v>
      </c>
      <c r="J52">
        <v>0</v>
      </c>
      <c r="K52">
        <v>75.33</v>
      </c>
      <c r="L52">
        <v>0</v>
      </c>
      <c r="M52">
        <v>75.33</v>
      </c>
      <c r="N52">
        <v>75.33</v>
      </c>
    </row>
    <row r="53" spans="1:14" x14ac:dyDescent="0.3">
      <c r="A53" s="2">
        <v>43800</v>
      </c>
      <c r="B53" t="s">
        <v>66</v>
      </c>
      <c r="C53">
        <v>2019</v>
      </c>
      <c r="D53">
        <v>12</v>
      </c>
      <c r="E53" t="s">
        <v>57</v>
      </c>
      <c r="F53" t="s">
        <v>75</v>
      </c>
      <c r="G53">
        <v>97</v>
      </c>
      <c r="H53" t="s">
        <v>76</v>
      </c>
      <c r="I53">
        <v>7</v>
      </c>
      <c r="J53">
        <v>9.61</v>
      </c>
      <c r="K53">
        <v>101.58</v>
      </c>
      <c r="L53">
        <v>0</v>
      </c>
      <c r="M53">
        <v>118.19</v>
      </c>
      <c r="N53">
        <v>118.19</v>
      </c>
    </row>
    <row r="54" spans="1:14" x14ac:dyDescent="0.3">
      <c r="A54" s="2">
        <v>43831</v>
      </c>
      <c r="B54" t="s">
        <v>66</v>
      </c>
      <c r="C54">
        <v>2020</v>
      </c>
      <c r="D54">
        <v>1</v>
      </c>
      <c r="E54" t="s">
        <v>58</v>
      </c>
      <c r="F54" t="s">
        <v>77</v>
      </c>
      <c r="G54">
        <v>98</v>
      </c>
      <c r="H54" t="s">
        <v>76</v>
      </c>
      <c r="I54">
        <v>0</v>
      </c>
      <c r="J54">
        <v>0</v>
      </c>
      <c r="K54">
        <v>119.28</v>
      </c>
      <c r="L54">
        <v>0</v>
      </c>
      <c r="M54">
        <v>119.28</v>
      </c>
      <c r="N54">
        <v>119.28</v>
      </c>
    </row>
    <row r="55" spans="1:14" x14ac:dyDescent="0.3">
      <c r="A55" s="2">
        <v>43831</v>
      </c>
      <c r="B55" t="s">
        <v>66</v>
      </c>
      <c r="C55">
        <v>2020</v>
      </c>
      <c r="D55">
        <v>1</v>
      </c>
      <c r="E55" t="s">
        <v>58</v>
      </c>
      <c r="F55" t="s">
        <v>75</v>
      </c>
      <c r="G55">
        <v>97</v>
      </c>
      <c r="H55" t="s">
        <v>76</v>
      </c>
      <c r="I55">
        <v>8.15</v>
      </c>
      <c r="J55">
        <v>10.59</v>
      </c>
      <c r="K55">
        <v>119.93</v>
      </c>
      <c r="L55">
        <v>0</v>
      </c>
      <c r="M55">
        <v>138.66999999999999</v>
      </c>
      <c r="N55">
        <v>138.66999999999999</v>
      </c>
    </row>
    <row r="56" spans="1:14" x14ac:dyDescent="0.3">
      <c r="A56" s="2">
        <v>43862</v>
      </c>
      <c r="B56" t="s">
        <v>66</v>
      </c>
      <c r="C56">
        <v>2020</v>
      </c>
      <c r="D56">
        <v>2</v>
      </c>
      <c r="E56" t="s">
        <v>59</v>
      </c>
      <c r="F56" t="s">
        <v>77</v>
      </c>
      <c r="G56">
        <v>98</v>
      </c>
      <c r="H56" t="s">
        <v>76</v>
      </c>
      <c r="I56">
        <v>0</v>
      </c>
      <c r="J56">
        <v>0</v>
      </c>
      <c r="K56">
        <v>100.14</v>
      </c>
      <c r="L56">
        <v>0</v>
      </c>
      <c r="M56">
        <v>100.14</v>
      </c>
      <c r="N56">
        <v>100.14</v>
      </c>
    </row>
    <row r="57" spans="1:14" x14ac:dyDescent="0.3">
      <c r="A57" s="2">
        <v>43862</v>
      </c>
      <c r="B57" t="s">
        <v>66</v>
      </c>
      <c r="C57">
        <v>2020</v>
      </c>
      <c r="D57">
        <v>2</v>
      </c>
      <c r="E57" t="s">
        <v>59</v>
      </c>
      <c r="F57" t="s">
        <v>75</v>
      </c>
      <c r="G57">
        <v>97</v>
      </c>
      <c r="H57" t="s">
        <v>76</v>
      </c>
      <c r="I57">
        <v>8.6999999999999993</v>
      </c>
      <c r="J57">
        <v>12.71</v>
      </c>
      <c r="K57">
        <v>123.7</v>
      </c>
      <c r="L57">
        <v>0</v>
      </c>
      <c r="M57">
        <v>145.11000000000001</v>
      </c>
      <c r="N57">
        <v>145.11000000000001</v>
      </c>
    </row>
    <row r="58" spans="1:14" x14ac:dyDescent="0.3">
      <c r="A58" s="2">
        <v>43891</v>
      </c>
      <c r="B58" t="s">
        <v>66</v>
      </c>
      <c r="C58">
        <v>2020</v>
      </c>
      <c r="D58">
        <v>3</v>
      </c>
      <c r="E58" t="s">
        <v>60</v>
      </c>
      <c r="F58" t="s">
        <v>77</v>
      </c>
      <c r="G58">
        <v>98</v>
      </c>
      <c r="H58" t="s">
        <v>76</v>
      </c>
      <c r="I58">
        <v>0</v>
      </c>
      <c r="J58">
        <v>0</v>
      </c>
      <c r="K58">
        <v>81.48</v>
      </c>
      <c r="L58">
        <v>0</v>
      </c>
      <c r="M58">
        <v>81.48</v>
      </c>
      <c r="N58">
        <v>81.48</v>
      </c>
    </row>
    <row r="59" spans="1:14" x14ac:dyDescent="0.3">
      <c r="A59" s="2">
        <v>43891</v>
      </c>
      <c r="B59" t="s">
        <v>66</v>
      </c>
      <c r="C59">
        <v>2020</v>
      </c>
      <c r="D59">
        <v>3</v>
      </c>
      <c r="E59" t="s">
        <v>60</v>
      </c>
      <c r="F59" t="s">
        <v>75</v>
      </c>
      <c r="G59">
        <v>97</v>
      </c>
      <c r="H59" t="s">
        <v>76</v>
      </c>
      <c r="I59">
        <v>9.7200000000000006</v>
      </c>
      <c r="J59">
        <v>11.97</v>
      </c>
      <c r="K59">
        <v>110.8</v>
      </c>
      <c r="L59">
        <v>0</v>
      </c>
      <c r="M59">
        <v>132.49</v>
      </c>
      <c r="N59">
        <v>132.49</v>
      </c>
    </row>
    <row r="60" spans="1:14" x14ac:dyDescent="0.3">
      <c r="A60" s="2">
        <v>43922</v>
      </c>
      <c r="B60" t="s">
        <v>68</v>
      </c>
      <c r="C60">
        <v>2020</v>
      </c>
      <c r="D60">
        <v>4</v>
      </c>
      <c r="E60" t="s">
        <v>62</v>
      </c>
      <c r="F60" t="s">
        <v>77</v>
      </c>
      <c r="G60">
        <v>98</v>
      </c>
      <c r="H60" t="s">
        <v>76</v>
      </c>
      <c r="I60">
        <v>0</v>
      </c>
      <c r="J60">
        <v>0</v>
      </c>
      <c r="K60">
        <v>121.32</v>
      </c>
      <c r="L60">
        <v>0</v>
      </c>
      <c r="M60">
        <v>121.32</v>
      </c>
      <c r="N60">
        <v>121.32</v>
      </c>
    </row>
    <row r="61" spans="1:14" x14ac:dyDescent="0.3">
      <c r="A61" s="2">
        <v>43922</v>
      </c>
      <c r="B61" t="s">
        <v>68</v>
      </c>
      <c r="C61">
        <v>2020</v>
      </c>
      <c r="D61">
        <v>4</v>
      </c>
      <c r="E61" t="s">
        <v>62</v>
      </c>
      <c r="F61" t="s">
        <v>75</v>
      </c>
      <c r="G61">
        <v>97</v>
      </c>
      <c r="H61" t="s">
        <v>76</v>
      </c>
      <c r="I61">
        <v>8.4700000000000006</v>
      </c>
      <c r="J61">
        <v>10.48</v>
      </c>
      <c r="K61">
        <v>30.75</v>
      </c>
      <c r="L61">
        <v>0</v>
      </c>
      <c r="M61">
        <v>49.7</v>
      </c>
      <c r="N61">
        <v>49.7</v>
      </c>
    </row>
    <row r="62" spans="1:14" x14ac:dyDescent="0.3">
      <c r="A62" s="2">
        <v>43952</v>
      </c>
      <c r="B62" t="s">
        <v>68</v>
      </c>
      <c r="C62">
        <v>2020</v>
      </c>
      <c r="D62">
        <v>5</v>
      </c>
      <c r="E62" t="s">
        <v>63</v>
      </c>
      <c r="F62" t="s">
        <v>77</v>
      </c>
      <c r="G62">
        <v>98</v>
      </c>
      <c r="H62" t="s">
        <v>76</v>
      </c>
      <c r="I62">
        <v>0</v>
      </c>
      <c r="J62">
        <v>0</v>
      </c>
      <c r="K62">
        <v>109.37</v>
      </c>
      <c r="L62">
        <v>0</v>
      </c>
      <c r="M62">
        <v>109.37</v>
      </c>
      <c r="N62">
        <v>109.37</v>
      </c>
    </row>
    <row r="63" spans="1:14" x14ac:dyDescent="0.3">
      <c r="A63" s="2">
        <v>43952</v>
      </c>
      <c r="B63" t="s">
        <v>68</v>
      </c>
      <c r="C63">
        <v>2020</v>
      </c>
      <c r="D63">
        <v>5</v>
      </c>
      <c r="E63" t="s">
        <v>63</v>
      </c>
      <c r="F63" t="s">
        <v>75</v>
      </c>
      <c r="G63">
        <v>97</v>
      </c>
      <c r="H63" t="s">
        <v>76</v>
      </c>
      <c r="I63">
        <v>10.210000000000001</v>
      </c>
      <c r="J63">
        <v>12.97</v>
      </c>
      <c r="K63">
        <v>94.48</v>
      </c>
      <c r="L63">
        <v>0.01</v>
      </c>
      <c r="M63">
        <v>117.66</v>
      </c>
      <c r="N63">
        <v>117.67</v>
      </c>
    </row>
    <row r="64" spans="1:14" x14ac:dyDescent="0.3">
      <c r="A64" s="2">
        <v>43983</v>
      </c>
      <c r="B64" t="s">
        <v>68</v>
      </c>
      <c r="C64">
        <v>2020</v>
      </c>
      <c r="D64">
        <v>6</v>
      </c>
      <c r="E64" t="s">
        <v>64</v>
      </c>
      <c r="F64" t="s">
        <v>77</v>
      </c>
      <c r="G64">
        <v>98</v>
      </c>
      <c r="H64" t="s">
        <v>76</v>
      </c>
      <c r="I64">
        <v>0</v>
      </c>
      <c r="J64">
        <v>0</v>
      </c>
      <c r="K64">
        <v>59.19</v>
      </c>
      <c r="L64">
        <v>0</v>
      </c>
      <c r="M64">
        <v>59.19</v>
      </c>
      <c r="N64">
        <v>59.19</v>
      </c>
    </row>
    <row r="65" spans="1:14" x14ac:dyDescent="0.3">
      <c r="A65" s="2">
        <v>43983</v>
      </c>
      <c r="B65" t="s">
        <v>68</v>
      </c>
      <c r="C65">
        <v>2020</v>
      </c>
      <c r="D65">
        <v>6</v>
      </c>
      <c r="E65" t="s">
        <v>64</v>
      </c>
      <c r="F65" t="s">
        <v>75</v>
      </c>
      <c r="G65">
        <v>97</v>
      </c>
      <c r="H65" t="s">
        <v>76</v>
      </c>
      <c r="I65">
        <v>8.23</v>
      </c>
      <c r="J65">
        <v>9.9499999999999993</v>
      </c>
      <c r="K65">
        <v>155.21</v>
      </c>
      <c r="L65">
        <v>0</v>
      </c>
      <c r="M65">
        <v>173.39</v>
      </c>
      <c r="N65">
        <v>173.39</v>
      </c>
    </row>
    <row r="66" spans="1:14" x14ac:dyDescent="0.3">
      <c r="A66" s="2">
        <v>44013</v>
      </c>
      <c r="B66" t="s">
        <v>68</v>
      </c>
      <c r="C66">
        <v>2020</v>
      </c>
      <c r="D66">
        <v>7</v>
      </c>
      <c r="E66" t="s">
        <v>65</v>
      </c>
      <c r="F66" t="s">
        <v>77</v>
      </c>
      <c r="G66">
        <v>98</v>
      </c>
      <c r="H66" t="s">
        <v>76</v>
      </c>
      <c r="I66">
        <v>0</v>
      </c>
      <c r="J66">
        <v>0</v>
      </c>
      <c r="K66">
        <v>178.75</v>
      </c>
      <c r="L66">
        <v>0</v>
      </c>
      <c r="M66">
        <v>178.75</v>
      </c>
      <c r="N66">
        <v>178.75</v>
      </c>
    </row>
    <row r="67" spans="1:14" x14ac:dyDescent="0.3">
      <c r="A67" s="2">
        <v>44013</v>
      </c>
      <c r="B67" t="s">
        <v>68</v>
      </c>
      <c r="C67">
        <v>2020</v>
      </c>
      <c r="D67">
        <v>7</v>
      </c>
      <c r="E67" t="s">
        <v>65</v>
      </c>
      <c r="F67" t="s">
        <v>75</v>
      </c>
      <c r="G67">
        <v>97</v>
      </c>
      <c r="H67" t="s">
        <v>76</v>
      </c>
      <c r="I67">
        <v>15.12</v>
      </c>
      <c r="J67">
        <v>18.53</v>
      </c>
      <c r="K67">
        <v>63.15</v>
      </c>
      <c r="L67">
        <v>0</v>
      </c>
      <c r="M67">
        <v>96.8</v>
      </c>
      <c r="N67">
        <v>96.8</v>
      </c>
    </row>
    <row r="68" spans="1:14" x14ac:dyDescent="0.3">
      <c r="A68" s="2">
        <v>44044</v>
      </c>
      <c r="B68" t="s">
        <v>68</v>
      </c>
      <c r="C68">
        <v>2020</v>
      </c>
      <c r="D68">
        <v>8</v>
      </c>
      <c r="E68" t="s">
        <v>16</v>
      </c>
      <c r="F68" t="s">
        <v>77</v>
      </c>
      <c r="G68">
        <v>98</v>
      </c>
      <c r="H68" t="s">
        <v>76</v>
      </c>
      <c r="I68">
        <v>0</v>
      </c>
      <c r="J68">
        <v>0</v>
      </c>
      <c r="K68">
        <v>160.66</v>
      </c>
      <c r="L68">
        <v>0</v>
      </c>
      <c r="M68">
        <v>160.66</v>
      </c>
      <c r="N68">
        <v>160.66</v>
      </c>
    </row>
    <row r="69" spans="1:14" x14ac:dyDescent="0.3">
      <c r="A69" s="2">
        <v>44044</v>
      </c>
      <c r="B69" t="s">
        <v>68</v>
      </c>
      <c r="C69">
        <v>2020</v>
      </c>
      <c r="D69">
        <v>8</v>
      </c>
      <c r="E69" t="s">
        <v>16</v>
      </c>
      <c r="F69" t="s">
        <v>75</v>
      </c>
      <c r="G69">
        <v>97</v>
      </c>
      <c r="H69" t="s">
        <v>76</v>
      </c>
      <c r="I69">
        <v>25.69</v>
      </c>
      <c r="J69">
        <v>28.86</v>
      </c>
      <c r="K69">
        <v>124.99</v>
      </c>
      <c r="L69">
        <v>0</v>
      </c>
      <c r="M69">
        <v>179.54</v>
      </c>
      <c r="N69">
        <v>179.54</v>
      </c>
    </row>
    <row r="70" spans="1:14" x14ac:dyDescent="0.3">
      <c r="A70" s="2">
        <v>44075</v>
      </c>
      <c r="B70" t="s">
        <v>68</v>
      </c>
      <c r="C70">
        <v>2020</v>
      </c>
      <c r="D70">
        <v>9</v>
      </c>
      <c r="E70" t="s">
        <v>54</v>
      </c>
      <c r="F70" t="s">
        <v>77</v>
      </c>
      <c r="G70">
        <v>98</v>
      </c>
      <c r="H70" t="s">
        <v>76</v>
      </c>
      <c r="I70">
        <v>0</v>
      </c>
      <c r="J70">
        <v>0</v>
      </c>
      <c r="K70">
        <v>120.75</v>
      </c>
      <c r="L70">
        <v>0</v>
      </c>
      <c r="M70">
        <v>120.75</v>
      </c>
      <c r="N70">
        <v>120.75</v>
      </c>
    </row>
    <row r="71" spans="1:14" x14ac:dyDescent="0.3">
      <c r="A71" s="2">
        <v>44075</v>
      </c>
      <c r="B71" t="s">
        <v>68</v>
      </c>
      <c r="C71">
        <v>2020</v>
      </c>
      <c r="D71">
        <v>9</v>
      </c>
      <c r="E71" t="s">
        <v>54</v>
      </c>
      <c r="F71" t="s">
        <v>75</v>
      </c>
      <c r="G71">
        <v>97</v>
      </c>
      <c r="H71" t="s">
        <v>76</v>
      </c>
      <c r="I71">
        <v>13.74</v>
      </c>
      <c r="J71">
        <v>14.18</v>
      </c>
      <c r="K71">
        <v>82.52</v>
      </c>
      <c r="L71">
        <v>0</v>
      </c>
      <c r="M71">
        <v>110.44</v>
      </c>
      <c r="N71">
        <v>110.44</v>
      </c>
    </row>
    <row r="72" spans="1:14" x14ac:dyDescent="0.3">
      <c r="A72" s="2">
        <v>44105</v>
      </c>
      <c r="B72" t="s">
        <v>68</v>
      </c>
      <c r="C72">
        <v>2020</v>
      </c>
      <c r="D72">
        <v>10</v>
      </c>
      <c r="E72" t="s">
        <v>55</v>
      </c>
      <c r="F72" t="s">
        <v>77</v>
      </c>
      <c r="G72">
        <v>98</v>
      </c>
      <c r="H72" t="s">
        <v>76</v>
      </c>
      <c r="I72">
        <v>0</v>
      </c>
      <c r="J72">
        <v>0</v>
      </c>
      <c r="K72">
        <v>114.17</v>
      </c>
      <c r="L72">
        <v>0</v>
      </c>
      <c r="M72">
        <v>114.17</v>
      </c>
      <c r="N72">
        <v>114.17</v>
      </c>
    </row>
    <row r="73" spans="1:14" x14ac:dyDescent="0.3">
      <c r="A73" s="2">
        <v>44105</v>
      </c>
      <c r="B73" t="s">
        <v>68</v>
      </c>
      <c r="C73">
        <v>2020</v>
      </c>
      <c r="D73">
        <v>10</v>
      </c>
      <c r="E73" t="s">
        <v>55</v>
      </c>
      <c r="F73" t="s">
        <v>75</v>
      </c>
      <c r="G73">
        <v>97</v>
      </c>
      <c r="H73" t="s">
        <v>76</v>
      </c>
      <c r="I73">
        <v>4.99</v>
      </c>
      <c r="J73">
        <v>5.68</v>
      </c>
      <c r="K73">
        <v>80.349999999999994</v>
      </c>
      <c r="L73">
        <v>0</v>
      </c>
      <c r="M73">
        <v>91.02</v>
      </c>
      <c r="N73">
        <v>91.02</v>
      </c>
    </row>
    <row r="74" spans="1:14" x14ac:dyDescent="0.3">
      <c r="A74" s="2">
        <v>44136</v>
      </c>
      <c r="B74" t="s">
        <v>68</v>
      </c>
      <c r="C74">
        <v>2020</v>
      </c>
      <c r="D74">
        <v>11</v>
      </c>
      <c r="E74" t="s">
        <v>56</v>
      </c>
      <c r="F74" t="s">
        <v>77</v>
      </c>
      <c r="G74">
        <v>98</v>
      </c>
      <c r="H74" t="s">
        <v>76</v>
      </c>
      <c r="I74">
        <v>0</v>
      </c>
      <c r="J74">
        <v>0</v>
      </c>
      <c r="K74">
        <v>137.79</v>
      </c>
      <c r="L74">
        <v>0</v>
      </c>
      <c r="M74">
        <v>137.79</v>
      </c>
      <c r="N74">
        <v>137.79</v>
      </c>
    </row>
    <row r="75" spans="1:14" x14ac:dyDescent="0.3">
      <c r="A75" s="2">
        <v>44136</v>
      </c>
      <c r="B75" t="s">
        <v>68</v>
      </c>
      <c r="C75">
        <v>2020</v>
      </c>
      <c r="D75">
        <v>11</v>
      </c>
      <c r="E75" t="s">
        <v>56</v>
      </c>
      <c r="F75" t="s">
        <v>75</v>
      </c>
      <c r="G75">
        <v>97</v>
      </c>
      <c r="H75" t="s">
        <v>76</v>
      </c>
      <c r="I75">
        <v>4.2</v>
      </c>
      <c r="J75">
        <v>5.83</v>
      </c>
      <c r="K75">
        <v>69.02</v>
      </c>
      <c r="L75">
        <v>0</v>
      </c>
      <c r="M75">
        <v>79.05</v>
      </c>
      <c r="N75">
        <v>79.05</v>
      </c>
    </row>
    <row r="76" spans="1:14" x14ac:dyDescent="0.3">
      <c r="A76" s="2">
        <v>44166</v>
      </c>
      <c r="B76" t="s">
        <v>68</v>
      </c>
      <c r="C76">
        <v>2020</v>
      </c>
      <c r="D76">
        <v>12</v>
      </c>
      <c r="E76" t="s">
        <v>57</v>
      </c>
      <c r="F76" t="s">
        <v>77</v>
      </c>
      <c r="G76">
        <v>98</v>
      </c>
      <c r="H76" t="s">
        <v>76</v>
      </c>
      <c r="I76">
        <v>0</v>
      </c>
      <c r="J76">
        <v>0</v>
      </c>
      <c r="K76">
        <v>126.62</v>
      </c>
      <c r="L76">
        <v>0</v>
      </c>
      <c r="M76">
        <v>126.62</v>
      </c>
      <c r="N76">
        <v>126.62</v>
      </c>
    </row>
    <row r="77" spans="1:14" x14ac:dyDescent="0.3">
      <c r="A77" s="2">
        <v>44166</v>
      </c>
      <c r="B77" t="s">
        <v>68</v>
      </c>
      <c r="C77">
        <v>2020</v>
      </c>
      <c r="D77">
        <v>12</v>
      </c>
      <c r="E77" t="s">
        <v>57</v>
      </c>
      <c r="F77" t="s">
        <v>75</v>
      </c>
      <c r="G77">
        <v>97</v>
      </c>
      <c r="H77" t="s">
        <v>76</v>
      </c>
      <c r="I77">
        <v>6.74</v>
      </c>
      <c r="J77">
        <v>8.31</v>
      </c>
      <c r="K77">
        <v>73.38</v>
      </c>
      <c r="L77">
        <v>0</v>
      </c>
      <c r="M77">
        <v>88.43</v>
      </c>
      <c r="N77">
        <v>88.43</v>
      </c>
    </row>
    <row r="78" spans="1:14" x14ac:dyDescent="0.3">
      <c r="A78" s="2">
        <v>44197</v>
      </c>
      <c r="B78" t="s">
        <v>68</v>
      </c>
      <c r="C78">
        <v>2021</v>
      </c>
      <c r="D78">
        <v>1</v>
      </c>
      <c r="E78" t="s">
        <v>58</v>
      </c>
      <c r="F78" t="s">
        <v>77</v>
      </c>
      <c r="G78">
        <v>98</v>
      </c>
      <c r="H78" t="s">
        <v>76</v>
      </c>
      <c r="I78">
        <v>0</v>
      </c>
      <c r="J78">
        <v>0</v>
      </c>
      <c r="K78">
        <v>142.32</v>
      </c>
      <c r="L78">
        <v>0</v>
      </c>
      <c r="M78">
        <v>142.32</v>
      </c>
      <c r="N78">
        <v>142.32</v>
      </c>
    </row>
    <row r="79" spans="1:14" x14ac:dyDescent="0.3">
      <c r="A79" s="2">
        <v>44197</v>
      </c>
      <c r="B79" t="s">
        <v>68</v>
      </c>
      <c r="C79">
        <v>2021</v>
      </c>
      <c r="D79">
        <v>1</v>
      </c>
      <c r="E79" t="s">
        <v>58</v>
      </c>
      <c r="F79" t="s">
        <v>75</v>
      </c>
      <c r="G79">
        <v>97</v>
      </c>
      <c r="H79" t="s">
        <v>76</v>
      </c>
      <c r="I79">
        <v>6.17</v>
      </c>
      <c r="J79">
        <v>6.94</v>
      </c>
      <c r="K79">
        <v>81.37</v>
      </c>
      <c r="L79">
        <v>0</v>
      </c>
      <c r="M79">
        <v>94.48</v>
      </c>
      <c r="N79">
        <v>94.48</v>
      </c>
    </row>
    <row r="80" spans="1:14" x14ac:dyDescent="0.3">
      <c r="A80" s="2">
        <v>44228</v>
      </c>
      <c r="B80" t="s">
        <v>68</v>
      </c>
      <c r="C80">
        <v>2021</v>
      </c>
      <c r="D80">
        <v>2</v>
      </c>
      <c r="E80" t="s">
        <v>59</v>
      </c>
      <c r="F80" t="s">
        <v>77</v>
      </c>
      <c r="G80">
        <v>98</v>
      </c>
      <c r="H80" t="s">
        <v>76</v>
      </c>
      <c r="I80">
        <v>0</v>
      </c>
      <c r="J80">
        <v>0</v>
      </c>
      <c r="K80">
        <v>129.03</v>
      </c>
      <c r="L80">
        <v>0</v>
      </c>
      <c r="M80">
        <v>129.03</v>
      </c>
      <c r="N80">
        <v>129.03</v>
      </c>
    </row>
    <row r="81" spans="1:14" x14ac:dyDescent="0.3">
      <c r="A81" s="2">
        <v>44228</v>
      </c>
      <c r="B81" t="s">
        <v>68</v>
      </c>
      <c r="C81">
        <v>2021</v>
      </c>
      <c r="D81">
        <v>2</v>
      </c>
      <c r="E81" t="s">
        <v>59</v>
      </c>
      <c r="F81" t="s">
        <v>75</v>
      </c>
      <c r="G81">
        <v>97</v>
      </c>
      <c r="H81" t="s">
        <v>76</v>
      </c>
      <c r="I81">
        <v>19.329999999999998</v>
      </c>
      <c r="J81">
        <v>23.95</v>
      </c>
      <c r="K81">
        <v>91.04</v>
      </c>
      <c r="L81">
        <v>0</v>
      </c>
      <c r="M81">
        <v>134.32</v>
      </c>
      <c r="N81">
        <v>134.32</v>
      </c>
    </row>
    <row r="82" spans="1:14" x14ac:dyDescent="0.3">
      <c r="A82" s="2">
        <v>44256</v>
      </c>
      <c r="B82" t="s">
        <v>68</v>
      </c>
      <c r="C82">
        <v>2021</v>
      </c>
      <c r="D82">
        <v>3</v>
      </c>
      <c r="E82" t="s">
        <v>60</v>
      </c>
      <c r="F82" t="s">
        <v>77</v>
      </c>
      <c r="G82">
        <v>98</v>
      </c>
      <c r="H82" t="s">
        <v>76</v>
      </c>
      <c r="I82">
        <v>0</v>
      </c>
      <c r="J82">
        <v>0</v>
      </c>
      <c r="K82">
        <v>141.12</v>
      </c>
      <c r="L82">
        <v>0</v>
      </c>
      <c r="M82">
        <v>141.12</v>
      </c>
      <c r="N82">
        <v>141.12</v>
      </c>
    </row>
    <row r="83" spans="1:14" x14ac:dyDescent="0.3">
      <c r="A83" s="2">
        <v>44256</v>
      </c>
      <c r="B83" t="s">
        <v>68</v>
      </c>
      <c r="C83">
        <v>2021</v>
      </c>
      <c r="D83">
        <v>3</v>
      </c>
      <c r="E83" t="s">
        <v>60</v>
      </c>
      <c r="F83" t="s">
        <v>75</v>
      </c>
      <c r="G83">
        <v>97</v>
      </c>
      <c r="H83" t="s">
        <v>76</v>
      </c>
      <c r="I83">
        <v>6.68</v>
      </c>
      <c r="J83">
        <v>9</v>
      </c>
      <c r="K83">
        <v>106.71</v>
      </c>
      <c r="L83">
        <v>0</v>
      </c>
      <c r="M83">
        <v>122.39</v>
      </c>
      <c r="N83">
        <v>122.39</v>
      </c>
    </row>
    <row r="84" spans="1:14" x14ac:dyDescent="0.3">
      <c r="A84" s="2">
        <v>44287</v>
      </c>
      <c r="B84" t="s">
        <v>69</v>
      </c>
      <c r="C84">
        <v>2021</v>
      </c>
      <c r="D84">
        <v>4</v>
      </c>
      <c r="E84" t="s">
        <v>62</v>
      </c>
      <c r="F84" t="s">
        <v>77</v>
      </c>
      <c r="G84">
        <v>98</v>
      </c>
      <c r="H84" t="s">
        <v>76</v>
      </c>
      <c r="I84">
        <v>0</v>
      </c>
      <c r="J84">
        <v>0</v>
      </c>
      <c r="K84">
        <v>142.33000000000001</v>
      </c>
      <c r="L84">
        <v>0</v>
      </c>
      <c r="M84">
        <v>142.33000000000001</v>
      </c>
      <c r="N84">
        <v>142.33000000000001</v>
      </c>
    </row>
    <row r="85" spans="1:14" x14ac:dyDescent="0.3">
      <c r="A85" s="2">
        <v>44287</v>
      </c>
      <c r="B85" t="s">
        <v>69</v>
      </c>
      <c r="C85">
        <v>2021</v>
      </c>
      <c r="D85">
        <v>4</v>
      </c>
      <c r="E85" t="s">
        <v>62</v>
      </c>
      <c r="F85" t="s">
        <v>75</v>
      </c>
      <c r="G85">
        <v>97</v>
      </c>
      <c r="H85" t="s">
        <v>76</v>
      </c>
      <c r="I85">
        <v>19.25</v>
      </c>
      <c r="J85">
        <v>23.49</v>
      </c>
      <c r="K85">
        <v>115.89</v>
      </c>
      <c r="L85">
        <v>0</v>
      </c>
      <c r="M85">
        <v>158.63</v>
      </c>
      <c r="N85">
        <v>158.63</v>
      </c>
    </row>
    <row r="86" spans="1:14" x14ac:dyDescent="0.3">
      <c r="A86" s="2">
        <v>44317</v>
      </c>
      <c r="B86" t="s">
        <v>69</v>
      </c>
      <c r="C86">
        <v>2021</v>
      </c>
      <c r="D86">
        <v>5</v>
      </c>
      <c r="E86" t="s">
        <v>63</v>
      </c>
      <c r="F86" t="s">
        <v>77</v>
      </c>
      <c r="G86">
        <v>98</v>
      </c>
      <c r="H86" t="s">
        <v>76</v>
      </c>
      <c r="I86">
        <v>0</v>
      </c>
      <c r="J86">
        <v>0</v>
      </c>
      <c r="K86">
        <v>140.81</v>
      </c>
      <c r="L86">
        <v>0</v>
      </c>
      <c r="M86">
        <v>140.81</v>
      </c>
      <c r="N86">
        <v>140.81</v>
      </c>
    </row>
    <row r="87" spans="1:14" x14ac:dyDescent="0.3">
      <c r="A87" s="2">
        <v>44317</v>
      </c>
      <c r="B87" t="s">
        <v>69</v>
      </c>
      <c r="C87">
        <v>2021</v>
      </c>
      <c r="D87">
        <v>5</v>
      </c>
      <c r="E87" t="s">
        <v>63</v>
      </c>
      <c r="F87" t="s">
        <v>75</v>
      </c>
      <c r="G87">
        <v>97</v>
      </c>
      <c r="H87" t="s">
        <v>76</v>
      </c>
      <c r="I87">
        <v>4.79</v>
      </c>
      <c r="J87">
        <v>7.96</v>
      </c>
      <c r="K87">
        <v>108.51</v>
      </c>
      <c r="L87">
        <v>0</v>
      </c>
      <c r="M87">
        <v>121.26</v>
      </c>
      <c r="N87">
        <v>121.26</v>
      </c>
    </row>
    <row r="88" spans="1:14" x14ac:dyDescent="0.3">
      <c r="A88" s="2">
        <v>44348</v>
      </c>
      <c r="B88" t="s">
        <v>69</v>
      </c>
      <c r="C88">
        <v>2021</v>
      </c>
      <c r="D88">
        <v>6</v>
      </c>
      <c r="E88" t="s">
        <v>64</v>
      </c>
      <c r="F88" t="s">
        <v>77</v>
      </c>
      <c r="G88">
        <v>98</v>
      </c>
      <c r="H88" t="s">
        <v>76</v>
      </c>
      <c r="I88">
        <v>0</v>
      </c>
      <c r="J88">
        <v>0</v>
      </c>
      <c r="K88">
        <v>163.69</v>
      </c>
      <c r="L88">
        <v>0</v>
      </c>
      <c r="M88">
        <v>163.69</v>
      </c>
      <c r="N88">
        <v>163.69</v>
      </c>
    </row>
    <row r="89" spans="1:14" x14ac:dyDescent="0.3">
      <c r="A89" s="2">
        <v>44348</v>
      </c>
      <c r="B89" t="s">
        <v>69</v>
      </c>
      <c r="C89">
        <v>2021</v>
      </c>
      <c r="D89">
        <v>6</v>
      </c>
      <c r="E89" t="s">
        <v>64</v>
      </c>
      <c r="F89" t="s">
        <v>75</v>
      </c>
      <c r="G89">
        <v>97</v>
      </c>
      <c r="H89" t="s">
        <v>76</v>
      </c>
      <c r="I89">
        <v>6.32</v>
      </c>
      <c r="J89">
        <v>8.27</v>
      </c>
      <c r="K89">
        <v>112.8</v>
      </c>
      <c r="L89">
        <v>0</v>
      </c>
      <c r="M89">
        <v>127.39</v>
      </c>
      <c r="N89">
        <v>127.39</v>
      </c>
    </row>
    <row r="90" spans="1:14" x14ac:dyDescent="0.3">
      <c r="A90" s="2">
        <v>44378</v>
      </c>
      <c r="B90" t="s">
        <v>69</v>
      </c>
      <c r="C90">
        <v>2021</v>
      </c>
      <c r="D90">
        <v>7</v>
      </c>
      <c r="E90" t="s">
        <v>65</v>
      </c>
      <c r="F90" t="s">
        <v>77</v>
      </c>
      <c r="G90">
        <v>98</v>
      </c>
      <c r="H90" t="s">
        <v>76</v>
      </c>
      <c r="I90">
        <v>0</v>
      </c>
      <c r="J90">
        <v>0</v>
      </c>
      <c r="K90">
        <v>161.38</v>
      </c>
      <c r="L90">
        <v>0</v>
      </c>
      <c r="M90">
        <v>161.38</v>
      </c>
      <c r="N90">
        <v>161.38</v>
      </c>
    </row>
    <row r="91" spans="1:14" x14ac:dyDescent="0.3">
      <c r="A91" s="2">
        <v>44378</v>
      </c>
      <c r="B91" t="s">
        <v>69</v>
      </c>
      <c r="C91">
        <v>2021</v>
      </c>
      <c r="D91">
        <v>7</v>
      </c>
      <c r="E91" t="s">
        <v>65</v>
      </c>
      <c r="F91" t="s">
        <v>75</v>
      </c>
      <c r="G91">
        <v>97</v>
      </c>
      <c r="H91" t="s">
        <v>76</v>
      </c>
      <c r="I91">
        <v>7.97</v>
      </c>
      <c r="J91">
        <v>9.08</v>
      </c>
      <c r="K91">
        <v>123.5</v>
      </c>
      <c r="L91">
        <v>0</v>
      </c>
      <c r="M91">
        <v>140.55000000000001</v>
      </c>
      <c r="N91">
        <v>140.55000000000001</v>
      </c>
    </row>
    <row r="92" spans="1:14" x14ac:dyDescent="0.3">
      <c r="A92" s="2">
        <v>44409</v>
      </c>
      <c r="B92" t="s">
        <v>69</v>
      </c>
      <c r="C92">
        <v>2021</v>
      </c>
      <c r="D92">
        <v>8</v>
      </c>
      <c r="E92" t="s">
        <v>16</v>
      </c>
      <c r="F92" t="s">
        <v>77</v>
      </c>
      <c r="G92">
        <v>98</v>
      </c>
      <c r="H92" t="s">
        <v>76</v>
      </c>
      <c r="I92">
        <v>0</v>
      </c>
      <c r="J92">
        <v>0</v>
      </c>
      <c r="K92">
        <v>213.82</v>
      </c>
      <c r="L92">
        <v>0</v>
      </c>
      <c r="M92">
        <v>213.82</v>
      </c>
      <c r="N92">
        <v>213.82</v>
      </c>
    </row>
    <row r="93" spans="1:14" x14ac:dyDescent="0.3">
      <c r="A93" s="2">
        <v>44409</v>
      </c>
      <c r="B93" t="s">
        <v>69</v>
      </c>
      <c r="C93">
        <v>2021</v>
      </c>
      <c r="D93">
        <v>8</v>
      </c>
      <c r="E93" t="s">
        <v>16</v>
      </c>
      <c r="F93" t="s">
        <v>75</v>
      </c>
      <c r="G93">
        <v>97</v>
      </c>
      <c r="H93" t="s">
        <v>76</v>
      </c>
      <c r="I93">
        <v>5.88</v>
      </c>
      <c r="J93">
        <v>6.57</v>
      </c>
      <c r="K93">
        <v>96.05</v>
      </c>
      <c r="L93">
        <v>0</v>
      </c>
      <c r="M93">
        <v>108.5</v>
      </c>
      <c r="N93">
        <v>108.5</v>
      </c>
    </row>
    <row r="94" spans="1:14" x14ac:dyDescent="0.3">
      <c r="A94" s="2">
        <v>44440</v>
      </c>
      <c r="B94" t="s">
        <v>69</v>
      </c>
      <c r="C94">
        <v>2021</v>
      </c>
      <c r="D94">
        <v>9</v>
      </c>
      <c r="E94" t="s">
        <v>54</v>
      </c>
      <c r="F94" t="s">
        <v>77</v>
      </c>
      <c r="G94">
        <v>98</v>
      </c>
      <c r="H94" t="s">
        <v>76</v>
      </c>
      <c r="I94">
        <v>0</v>
      </c>
      <c r="J94">
        <v>0</v>
      </c>
      <c r="K94">
        <v>191.34</v>
      </c>
      <c r="L94">
        <v>0</v>
      </c>
      <c r="M94">
        <v>191.34</v>
      </c>
      <c r="N94">
        <v>191.34</v>
      </c>
    </row>
    <row r="95" spans="1:14" x14ac:dyDescent="0.3">
      <c r="A95" s="2">
        <v>44440</v>
      </c>
      <c r="B95" t="s">
        <v>69</v>
      </c>
      <c r="C95">
        <v>2021</v>
      </c>
      <c r="D95">
        <v>9</v>
      </c>
      <c r="E95" t="s">
        <v>54</v>
      </c>
      <c r="F95" t="s">
        <v>75</v>
      </c>
      <c r="G95">
        <v>97</v>
      </c>
      <c r="H95" t="s">
        <v>76</v>
      </c>
      <c r="I95">
        <v>8.2799999999999994</v>
      </c>
      <c r="J95">
        <v>9.41</v>
      </c>
      <c r="K95">
        <v>114.55</v>
      </c>
      <c r="L95">
        <v>0</v>
      </c>
      <c r="M95">
        <v>132.24</v>
      </c>
      <c r="N95">
        <v>132.24</v>
      </c>
    </row>
    <row r="96" spans="1:14" x14ac:dyDescent="0.3">
      <c r="A96" s="2">
        <v>44470</v>
      </c>
      <c r="B96" t="s">
        <v>69</v>
      </c>
      <c r="C96">
        <v>2021</v>
      </c>
      <c r="D96">
        <v>10</v>
      </c>
      <c r="E96" t="s">
        <v>55</v>
      </c>
      <c r="F96" t="s">
        <v>77</v>
      </c>
      <c r="G96">
        <v>98</v>
      </c>
      <c r="H96" t="s">
        <v>76</v>
      </c>
      <c r="I96">
        <v>0</v>
      </c>
      <c r="J96">
        <v>0</v>
      </c>
      <c r="K96">
        <v>189.14</v>
      </c>
      <c r="L96">
        <v>0</v>
      </c>
      <c r="M96">
        <v>189.14</v>
      </c>
      <c r="N96">
        <v>189.14</v>
      </c>
    </row>
    <row r="97" spans="1:14" x14ac:dyDescent="0.3">
      <c r="A97" s="2">
        <v>44470</v>
      </c>
      <c r="B97" t="s">
        <v>69</v>
      </c>
      <c r="C97">
        <v>2021</v>
      </c>
      <c r="D97">
        <v>10</v>
      </c>
      <c r="E97" t="s">
        <v>55</v>
      </c>
      <c r="F97" t="s">
        <v>75</v>
      </c>
      <c r="G97">
        <v>97</v>
      </c>
      <c r="H97" t="s">
        <v>76</v>
      </c>
      <c r="I97">
        <v>9.65</v>
      </c>
      <c r="J97">
        <v>10.38</v>
      </c>
      <c r="K97">
        <v>117.12</v>
      </c>
      <c r="L97">
        <v>0</v>
      </c>
      <c r="M97">
        <v>137.15</v>
      </c>
      <c r="N97">
        <v>137.15</v>
      </c>
    </row>
    <row r="98" spans="1:14" x14ac:dyDescent="0.3">
      <c r="A98" s="2">
        <v>44501</v>
      </c>
      <c r="B98" t="s">
        <v>69</v>
      </c>
      <c r="C98">
        <v>2021</v>
      </c>
      <c r="D98">
        <v>11</v>
      </c>
      <c r="E98" t="s">
        <v>56</v>
      </c>
      <c r="F98" t="s">
        <v>77</v>
      </c>
      <c r="G98">
        <v>98</v>
      </c>
      <c r="H98" t="s">
        <v>76</v>
      </c>
      <c r="I98">
        <v>0</v>
      </c>
      <c r="J98">
        <v>0</v>
      </c>
      <c r="K98">
        <v>179.51</v>
      </c>
      <c r="L98">
        <v>0</v>
      </c>
      <c r="M98">
        <v>179.51</v>
      </c>
      <c r="N98">
        <v>179.51</v>
      </c>
    </row>
    <row r="99" spans="1:14" x14ac:dyDescent="0.3">
      <c r="A99" s="2">
        <v>44501</v>
      </c>
      <c r="B99" t="s">
        <v>69</v>
      </c>
      <c r="C99">
        <v>2021</v>
      </c>
      <c r="D99">
        <v>11</v>
      </c>
      <c r="E99" t="s">
        <v>56</v>
      </c>
      <c r="F99" t="s">
        <v>75</v>
      </c>
      <c r="G99">
        <v>97</v>
      </c>
      <c r="H99" t="s">
        <v>76</v>
      </c>
      <c r="I99">
        <v>3.44</v>
      </c>
      <c r="J99">
        <v>3.4</v>
      </c>
      <c r="K99">
        <v>88.35</v>
      </c>
      <c r="L99">
        <v>0</v>
      </c>
      <c r="M99">
        <v>95.19</v>
      </c>
      <c r="N99">
        <v>95.19</v>
      </c>
    </row>
    <row r="100" spans="1:14" x14ac:dyDescent="0.3">
      <c r="A100" s="2">
        <v>44531</v>
      </c>
      <c r="B100" t="s">
        <v>69</v>
      </c>
      <c r="C100">
        <v>2021</v>
      </c>
      <c r="D100">
        <v>12</v>
      </c>
      <c r="E100" t="s">
        <v>57</v>
      </c>
      <c r="F100" t="s">
        <v>77</v>
      </c>
      <c r="G100">
        <v>98</v>
      </c>
      <c r="H100" t="s">
        <v>76</v>
      </c>
      <c r="I100">
        <v>0</v>
      </c>
      <c r="J100">
        <v>0</v>
      </c>
      <c r="K100">
        <v>186.34</v>
      </c>
      <c r="L100">
        <v>0</v>
      </c>
      <c r="M100">
        <v>186.34</v>
      </c>
      <c r="N100">
        <v>186.34</v>
      </c>
    </row>
    <row r="101" spans="1:14" x14ac:dyDescent="0.3">
      <c r="A101" s="2">
        <v>44531</v>
      </c>
      <c r="B101" t="s">
        <v>69</v>
      </c>
      <c r="C101">
        <v>2021</v>
      </c>
      <c r="D101">
        <v>12</v>
      </c>
      <c r="E101" t="s">
        <v>57</v>
      </c>
      <c r="F101" t="s">
        <v>75</v>
      </c>
      <c r="G101">
        <v>97</v>
      </c>
      <c r="H101" t="s">
        <v>76</v>
      </c>
      <c r="I101">
        <v>7.99</v>
      </c>
      <c r="J101">
        <v>11.18</v>
      </c>
      <c r="K101">
        <v>120.53</v>
      </c>
      <c r="L101">
        <v>0</v>
      </c>
      <c r="M101">
        <v>139.69999999999999</v>
      </c>
      <c r="N101">
        <v>139.69999999999999</v>
      </c>
    </row>
    <row r="102" spans="1:14" x14ac:dyDescent="0.3">
      <c r="A102" s="2">
        <v>44562</v>
      </c>
      <c r="B102" t="s">
        <v>69</v>
      </c>
      <c r="C102">
        <v>2022</v>
      </c>
      <c r="D102">
        <v>1</v>
      </c>
      <c r="E102" t="s">
        <v>58</v>
      </c>
      <c r="F102" t="s">
        <v>77</v>
      </c>
      <c r="G102">
        <v>98</v>
      </c>
      <c r="H102" t="s">
        <v>76</v>
      </c>
      <c r="I102">
        <v>0</v>
      </c>
      <c r="J102">
        <v>0</v>
      </c>
      <c r="K102">
        <v>216.2</v>
      </c>
      <c r="L102">
        <v>0</v>
      </c>
      <c r="M102">
        <v>216.2</v>
      </c>
      <c r="N102">
        <v>216.2</v>
      </c>
    </row>
    <row r="103" spans="1:14" x14ac:dyDescent="0.3">
      <c r="A103" s="2">
        <v>44562</v>
      </c>
      <c r="B103" t="s">
        <v>69</v>
      </c>
      <c r="C103">
        <v>2022</v>
      </c>
      <c r="D103">
        <v>1</v>
      </c>
      <c r="E103" t="s">
        <v>58</v>
      </c>
      <c r="F103" t="s">
        <v>75</v>
      </c>
      <c r="G103">
        <v>97</v>
      </c>
      <c r="H103" t="s">
        <v>76</v>
      </c>
      <c r="I103">
        <v>8.11</v>
      </c>
      <c r="J103">
        <v>14.53</v>
      </c>
      <c r="K103">
        <v>121.39</v>
      </c>
      <c r="L103">
        <v>0</v>
      </c>
      <c r="M103">
        <v>144.03</v>
      </c>
      <c r="N103">
        <v>144.03</v>
      </c>
    </row>
    <row r="104" spans="1:14" x14ac:dyDescent="0.3">
      <c r="A104" s="2">
        <v>44593</v>
      </c>
      <c r="B104" t="s">
        <v>69</v>
      </c>
      <c r="C104">
        <v>2022</v>
      </c>
      <c r="D104">
        <v>2</v>
      </c>
      <c r="E104" t="s">
        <v>59</v>
      </c>
      <c r="F104" t="s">
        <v>77</v>
      </c>
      <c r="G104">
        <v>98</v>
      </c>
      <c r="H104" t="s">
        <v>76</v>
      </c>
      <c r="I104">
        <v>0</v>
      </c>
      <c r="J104">
        <v>0</v>
      </c>
      <c r="K104">
        <v>166.51</v>
      </c>
      <c r="L104">
        <v>0</v>
      </c>
      <c r="M104">
        <v>166.51</v>
      </c>
      <c r="N104">
        <v>166.51</v>
      </c>
    </row>
    <row r="105" spans="1:14" x14ac:dyDescent="0.3">
      <c r="A105" s="2">
        <v>44593</v>
      </c>
      <c r="B105" t="s">
        <v>69</v>
      </c>
      <c r="C105">
        <v>2022</v>
      </c>
      <c r="D105">
        <v>2</v>
      </c>
      <c r="E105" t="s">
        <v>59</v>
      </c>
      <c r="F105" t="s">
        <v>75</v>
      </c>
      <c r="G105">
        <v>97</v>
      </c>
      <c r="H105" t="s">
        <v>76</v>
      </c>
      <c r="I105">
        <v>7.1</v>
      </c>
      <c r="J105">
        <v>9.15</v>
      </c>
      <c r="K105">
        <v>119.44</v>
      </c>
      <c r="L105">
        <v>0</v>
      </c>
      <c r="M105">
        <v>135.69</v>
      </c>
      <c r="N105">
        <v>135.69</v>
      </c>
    </row>
    <row r="106" spans="1:14" x14ac:dyDescent="0.3">
      <c r="A106" s="2">
        <v>44621</v>
      </c>
      <c r="B106" t="s">
        <v>69</v>
      </c>
      <c r="C106">
        <v>2022</v>
      </c>
      <c r="D106">
        <v>3</v>
      </c>
      <c r="E106" t="s">
        <v>60</v>
      </c>
      <c r="F106" t="s">
        <v>77</v>
      </c>
      <c r="G106">
        <v>98</v>
      </c>
      <c r="H106" t="s">
        <v>76</v>
      </c>
      <c r="I106">
        <v>0</v>
      </c>
      <c r="J106">
        <v>0</v>
      </c>
      <c r="K106">
        <v>169.86</v>
      </c>
      <c r="L106">
        <v>0</v>
      </c>
      <c r="M106">
        <v>169.86</v>
      </c>
      <c r="N106">
        <v>169.86</v>
      </c>
    </row>
    <row r="107" spans="1:14" x14ac:dyDescent="0.3">
      <c r="A107" s="2">
        <v>44621</v>
      </c>
      <c r="B107" t="s">
        <v>69</v>
      </c>
      <c r="C107">
        <v>2022</v>
      </c>
      <c r="D107">
        <v>3</v>
      </c>
      <c r="E107" t="s">
        <v>60</v>
      </c>
      <c r="F107" t="s">
        <v>75</v>
      </c>
      <c r="G107">
        <v>97</v>
      </c>
      <c r="H107" t="s">
        <v>76</v>
      </c>
      <c r="I107">
        <v>10.76</v>
      </c>
      <c r="J107">
        <v>12.97</v>
      </c>
      <c r="K107">
        <v>125.64</v>
      </c>
      <c r="L107">
        <v>0</v>
      </c>
      <c r="M107">
        <v>149.37</v>
      </c>
      <c r="N107">
        <v>149.37</v>
      </c>
    </row>
    <row r="108" spans="1:14" x14ac:dyDescent="0.3">
      <c r="A108" s="2">
        <v>44652</v>
      </c>
      <c r="B108" t="s">
        <v>70</v>
      </c>
      <c r="C108">
        <v>2022</v>
      </c>
      <c r="D108">
        <v>4</v>
      </c>
      <c r="E108" t="s">
        <v>62</v>
      </c>
      <c r="F108" t="s">
        <v>77</v>
      </c>
      <c r="G108">
        <v>98</v>
      </c>
      <c r="H108" t="s">
        <v>76</v>
      </c>
      <c r="I108">
        <v>0</v>
      </c>
      <c r="J108">
        <v>0</v>
      </c>
      <c r="K108">
        <v>166.94</v>
      </c>
      <c r="L108">
        <v>0</v>
      </c>
      <c r="M108">
        <v>166.94</v>
      </c>
      <c r="N108">
        <v>166.94</v>
      </c>
    </row>
    <row r="109" spans="1:14" x14ac:dyDescent="0.3">
      <c r="A109" s="2">
        <v>44652</v>
      </c>
      <c r="B109" t="s">
        <v>70</v>
      </c>
      <c r="C109">
        <v>2022</v>
      </c>
      <c r="D109">
        <v>4</v>
      </c>
      <c r="E109" t="s">
        <v>62</v>
      </c>
      <c r="F109" t="s">
        <v>75</v>
      </c>
      <c r="G109">
        <v>97</v>
      </c>
      <c r="H109" t="s">
        <v>76</v>
      </c>
      <c r="I109">
        <v>17.100000000000001</v>
      </c>
      <c r="J109">
        <v>19.14</v>
      </c>
      <c r="K109">
        <v>179.88</v>
      </c>
      <c r="L109">
        <v>0</v>
      </c>
      <c r="M109">
        <v>216.12</v>
      </c>
      <c r="N109">
        <v>216.12</v>
      </c>
    </row>
    <row r="110" spans="1:14" x14ac:dyDescent="0.3">
      <c r="A110" s="2">
        <v>44682</v>
      </c>
      <c r="B110" t="s">
        <v>70</v>
      </c>
      <c r="C110">
        <v>2022</v>
      </c>
      <c r="D110">
        <v>5</v>
      </c>
      <c r="E110" t="s">
        <v>63</v>
      </c>
      <c r="F110" t="s">
        <v>77</v>
      </c>
      <c r="G110">
        <v>98</v>
      </c>
      <c r="H110" t="s">
        <v>76</v>
      </c>
      <c r="I110">
        <v>0</v>
      </c>
      <c r="J110">
        <v>0</v>
      </c>
      <c r="K110">
        <v>140.29</v>
      </c>
      <c r="L110">
        <v>0</v>
      </c>
      <c r="M110">
        <v>140.29</v>
      </c>
      <c r="N110">
        <v>140.29</v>
      </c>
    </row>
    <row r="111" spans="1:14" x14ac:dyDescent="0.3">
      <c r="A111" s="2">
        <v>44682</v>
      </c>
      <c r="B111" t="s">
        <v>70</v>
      </c>
      <c r="C111">
        <v>2022</v>
      </c>
      <c r="D111">
        <v>5</v>
      </c>
      <c r="E111" t="s">
        <v>63</v>
      </c>
      <c r="F111" t="s">
        <v>75</v>
      </c>
      <c r="G111">
        <v>97</v>
      </c>
      <c r="H111" t="s">
        <v>76</v>
      </c>
      <c r="I111">
        <v>10.86</v>
      </c>
      <c r="J111">
        <v>12.3</v>
      </c>
      <c r="K111">
        <v>161.38</v>
      </c>
      <c r="L111">
        <v>0</v>
      </c>
      <c r="M111">
        <v>184.54</v>
      </c>
      <c r="N111">
        <v>184.54</v>
      </c>
    </row>
    <row r="112" spans="1:14" x14ac:dyDescent="0.3">
      <c r="A112" s="2">
        <v>44713</v>
      </c>
      <c r="B112" t="s">
        <v>70</v>
      </c>
      <c r="C112">
        <v>2022</v>
      </c>
      <c r="D112">
        <v>6</v>
      </c>
      <c r="E112" t="s">
        <v>64</v>
      </c>
      <c r="F112" t="s">
        <v>77</v>
      </c>
      <c r="G112">
        <v>98</v>
      </c>
      <c r="H112" t="s">
        <v>76</v>
      </c>
      <c r="I112">
        <v>0</v>
      </c>
      <c r="J112">
        <v>0</v>
      </c>
      <c r="K112">
        <v>143.41999999999999</v>
      </c>
      <c r="L112">
        <v>0</v>
      </c>
      <c r="M112">
        <v>143.41999999999999</v>
      </c>
      <c r="N112">
        <v>143.41999999999999</v>
      </c>
    </row>
    <row r="113" spans="1:14" x14ac:dyDescent="0.3">
      <c r="A113" s="2">
        <v>44713</v>
      </c>
      <c r="B113" t="s">
        <v>70</v>
      </c>
      <c r="C113">
        <v>2022</v>
      </c>
      <c r="D113">
        <v>6</v>
      </c>
      <c r="E113" t="s">
        <v>64</v>
      </c>
      <c r="F113" t="s">
        <v>75</v>
      </c>
      <c r="G113">
        <v>97</v>
      </c>
      <c r="H113" t="s">
        <v>76</v>
      </c>
      <c r="I113">
        <v>6.81</v>
      </c>
      <c r="J113">
        <v>9.51</v>
      </c>
      <c r="K113">
        <v>188.97</v>
      </c>
      <c r="L113">
        <v>0</v>
      </c>
      <c r="M113">
        <v>205.29</v>
      </c>
      <c r="N113">
        <v>205.29</v>
      </c>
    </row>
    <row r="114" spans="1:14" x14ac:dyDescent="0.3">
      <c r="A114" s="2">
        <v>44743</v>
      </c>
      <c r="B114" t="s">
        <v>70</v>
      </c>
      <c r="C114">
        <v>2022</v>
      </c>
      <c r="D114">
        <v>7</v>
      </c>
      <c r="E114" t="s">
        <v>65</v>
      </c>
      <c r="F114" t="s">
        <v>77</v>
      </c>
      <c r="G114">
        <v>98</v>
      </c>
      <c r="H114" t="s">
        <v>76</v>
      </c>
      <c r="I114">
        <v>0</v>
      </c>
      <c r="J114">
        <v>0</v>
      </c>
      <c r="K114">
        <v>161.76</v>
      </c>
      <c r="L114">
        <v>0</v>
      </c>
      <c r="M114">
        <v>161.76</v>
      </c>
      <c r="N114">
        <v>161.76</v>
      </c>
    </row>
    <row r="115" spans="1:14" x14ac:dyDescent="0.3">
      <c r="A115" s="2">
        <v>44743</v>
      </c>
      <c r="B115" t="s">
        <v>70</v>
      </c>
      <c r="C115">
        <v>2022</v>
      </c>
      <c r="D115">
        <v>7</v>
      </c>
      <c r="E115" t="s">
        <v>65</v>
      </c>
      <c r="F115" t="s">
        <v>75</v>
      </c>
      <c r="G115">
        <v>97</v>
      </c>
      <c r="H115" t="s">
        <v>76</v>
      </c>
      <c r="I115">
        <v>6.98</v>
      </c>
      <c r="J115">
        <v>10.47</v>
      </c>
      <c r="K115">
        <v>198.99</v>
      </c>
      <c r="L115">
        <v>0</v>
      </c>
      <c r="M115">
        <v>216.44</v>
      </c>
      <c r="N115">
        <v>216.44</v>
      </c>
    </row>
    <row r="116" spans="1:14" x14ac:dyDescent="0.3">
      <c r="A116" s="2">
        <v>44774</v>
      </c>
      <c r="B116" t="s">
        <v>70</v>
      </c>
      <c r="C116">
        <v>2022</v>
      </c>
      <c r="D116">
        <v>8</v>
      </c>
      <c r="E116" t="s">
        <v>16</v>
      </c>
      <c r="F116" t="s">
        <v>77</v>
      </c>
      <c r="G116">
        <v>98</v>
      </c>
      <c r="H116" t="s">
        <v>76</v>
      </c>
      <c r="I116">
        <v>0</v>
      </c>
      <c r="J116">
        <v>0</v>
      </c>
      <c r="K116">
        <v>205.01</v>
      </c>
      <c r="L116">
        <v>0</v>
      </c>
      <c r="M116">
        <v>205.01</v>
      </c>
      <c r="N116">
        <v>205.01</v>
      </c>
    </row>
    <row r="117" spans="1:14" x14ac:dyDescent="0.3">
      <c r="A117" s="2">
        <v>44774</v>
      </c>
      <c r="B117" t="s">
        <v>70</v>
      </c>
      <c r="C117">
        <v>2022</v>
      </c>
      <c r="D117">
        <v>8</v>
      </c>
      <c r="E117" t="s">
        <v>16</v>
      </c>
      <c r="F117" t="s">
        <v>75</v>
      </c>
      <c r="G117">
        <v>97</v>
      </c>
      <c r="H117" t="s">
        <v>76</v>
      </c>
      <c r="I117">
        <v>7.26</v>
      </c>
      <c r="J117">
        <v>13.47</v>
      </c>
      <c r="K117">
        <v>202.91</v>
      </c>
      <c r="L117">
        <v>0</v>
      </c>
      <c r="M117">
        <v>223.64</v>
      </c>
      <c r="N117">
        <v>223.64</v>
      </c>
    </row>
    <row r="118" spans="1:14" x14ac:dyDescent="0.3">
      <c r="A118" s="2">
        <v>44805</v>
      </c>
      <c r="B118" t="s">
        <v>70</v>
      </c>
      <c r="C118">
        <v>2022</v>
      </c>
      <c r="D118">
        <v>9</v>
      </c>
      <c r="E118" t="s">
        <v>54</v>
      </c>
      <c r="F118" t="s">
        <v>77</v>
      </c>
      <c r="G118">
        <v>98</v>
      </c>
      <c r="H118" t="s">
        <v>76</v>
      </c>
      <c r="I118">
        <v>0</v>
      </c>
      <c r="J118">
        <v>0</v>
      </c>
      <c r="K118">
        <v>182.12</v>
      </c>
      <c r="L118">
        <v>0</v>
      </c>
      <c r="M118">
        <v>182.12</v>
      </c>
      <c r="N118">
        <v>182.12</v>
      </c>
    </row>
    <row r="119" spans="1:14" x14ac:dyDescent="0.3">
      <c r="A119" s="2">
        <v>44805</v>
      </c>
      <c r="B119" t="s">
        <v>70</v>
      </c>
      <c r="C119">
        <v>2022</v>
      </c>
      <c r="D119">
        <v>9</v>
      </c>
      <c r="E119" t="s">
        <v>54</v>
      </c>
      <c r="F119" t="s">
        <v>75</v>
      </c>
      <c r="G119">
        <v>97</v>
      </c>
      <c r="H119" t="s">
        <v>76</v>
      </c>
      <c r="I119">
        <v>7.63</v>
      </c>
      <c r="J119">
        <v>12.86</v>
      </c>
      <c r="K119">
        <v>181.67</v>
      </c>
      <c r="L119">
        <v>0.01</v>
      </c>
      <c r="M119">
        <v>202.16</v>
      </c>
      <c r="N119">
        <v>202.17</v>
      </c>
    </row>
    <row r="120" spans="1:14" x14ac:dyDescent="0.3">
      <c r="A120" s="2">
        <v>44835</v>
      </c>
      <c r="B120" t="s">
        <v>70</v>
      </c>
      <c r="C120">
        <v>2022</v>
      </c>
      <c r="D120">
        <v>10</v>
      </c>
      <c r="E120" t="s">
        <v>55</v>
      </c>
      <c r="F120" t="s">
        <v>77</v>
      </c>
      <c r="G120">
        <v>98</v>
      </c>
      <c r="H120" t="s">
        <v>76</v>
      </c>
      <c r="I120">
        <v>0</v>
      </c>
      <c r="J120">
        <v>0</v>
      </c>
      <c r="K120">
        <v>140.19</v>
      </c>
      <c r="L120">
        <v>0</v>
      </c>
      <c r="M120">
        <v>140.19</v>
      </c>
      <c r="N120">
        <v>140.19</v>
      </c>
    </row>
    <row r="121" spans="1:14" x14ac:dyDescent="0.3">
      <c r="A121" s="2">
        <v>44835</v>
      </c>
      <c r="B121" t="s">
        <v>70</v>
      </c>
      <c r="C121">
        <v>2022</v>
      </c>
      <c r="D121">
        <v>10</v>
      </c>
      <c r="E121" t="s">
        <v>55</v>
      </c>
      <c r="F121" t="s">
        <v>75</v>
      </c>
      <c r="G121">
        <v>97</v>
      </c>
      <c r="H121" t="s">
        <v>76</v>
      </c>
      <c r="I121">
        <v>13.73</v>
      </c>
      <c r="J121">
        <v>19.489999999999998</v>
      </c>
      <c r="K121">
        <v>194.17</v>
      </c>
      <c r="L121">
        <v>0</v>
      </c>
      <c r="M121">
        <v>227.39</v>
      </c>
      <c r="N121">
        <v>227.39</v>
      </c>
    </row>
    <row r="122" spans="1:14" x14ac:dyDescent="0.3">
      <c r="A122" s="2">
        <v>44866</v>
      </c>
      <c r="B122" t="s">
        <v>70</v>
      </c>
      <c r="C122">
        <v>2022</v>
      </c>
      <c r="D122">
        <v>11</v>
      </c>
      <c r="E122" t="s">
        <v>56</v>
      </c>
      <c r="F122" t="s">
        <v>77</v>
      </c>
      <c r="G122">
        <v>98</v>
      </c>
      <c r="H122" t="s">
        <v>76</v>
      </c>
      <c r="I122">
        <v>0</v>
      </c>
      <c r="J122">
        <v>0</v>
      </c>
      <c r="K122">
        <v>153.59</v>
      </c>
      <c r="L122">
        <v>0</v>
      </c>
      <c r="M122">
        <v>153.59</v>
      </c>
      <c r="N122">
        <v>153.59</v>
      </c>
    </row>
    <row r="123" spans="1:14" x14ac:dyDescent="0.3">
      <c r="A123" s="2">
        <v>44866</v>
      </c>
      <c r="B123" t="s">
        <v>70</v>
      </c>
      <c r="C123">
        <v>2022</v>
      </c>
      <c r="D123">
        <v>11</v>
      </c>
      <c r="E123" t="s">
        <v>56</v>
      </c>
      <c r="F123" t="s">
        <v>75</v>
      </c>
      <c r="G123">
        <v>97</v>
      </c>
      <c r="H123" t="s">
        <v>76</v>
      </c>
      <c r="I123">
        <v>9.49</v>
      </c>
      <c r="J123">
        <v>16.940000000000001</v>
      </c>
      <c r="K123">
        <v>157.25</v>
      </c>
      <c r="L123">
        <v>0</v>
      </c>
      <c r="M123">
        <v>183.68</v>
      </c>
      <c r="N123">
        <v>183.68</v>
      </c>
    </row>
    <row r="124" spans="1:14" x14ac:dyDescent="0.3">
      <c r="A124" s="2">
        <v>44896</v>
      </c>
      <c r="B124" t="s">
        <v>70</v>
      </c>
      <c r="C124">
        <v>2022</v>
      </c>
      <c r="D124">
        <v>12</v>
      </c>
      <c r="E124" t="s">
        <v>57</v>
      </c>
      <c r="F124" t="s">
        <v>77</v>
      </c>
      <c r="G124">
        <v>98</v>
      </c>
      <c r="H124" t="s">
        <v>76</v>
      </c>
      <c r="I124">
        <v>0</v>
      </c>
      <c r="J124">
        <v>0</v>
      </c>
      <c r="K124">
        <v>178.63</v>
      </c>
      <c r="L124">
        <v>0</v>
      </c>
      <c r="M124">
        <v>178.63</v>
      </c>
      <c r="N124">
        <v>178.63</v>
      </c>
    </row>
    <row r="125" spans="1:14" x14ac:dyDescent="0.3">
      <c r="A125" s="2">
        <v>44896</v>
      </c>
      <c r="B125" t="s">
        <v>70</v>
      </c>
      <c r="C125">
        <v>2022</v>
      </c>
      <c r="D125">
        <v>12</v>
      </c>
      <c r="E125" t="s">
        <v>57</v>
      </c>
      <c r="F125" t="s">
        <v>75</v>
      </c>
      <c r="G125">
        <v>97</v>
      </c>
      <c r="H125" t="s">
        <v>76</v>
      </c>
      <c r="I125">
        <v>14.31</v>
      </c>
      <c r="J125">
        <v>20.54</v>
      </c>
      <c r="K125">
        <v>214.15</v>
      </c>
      <c r="L125">
        <v>0</v>
      </c>
      <c r="M125">
        <v>249</v>
      </c>
      <c r="N125">
        <v>249</v>
      </c>
    </row>
    <row r="126" spans="1:14" x14ac:dyDescent="0.3">
      <c r="A126" s="2">
        <v>44927</v>
      </c>
      <c r="B126" t="s">
        <v>70</v>
      </c>
      <c r="C126">
        <v>2023</v>
      </c>
      <c r="D126">
        <v>1</v>
      </c>
      <c r="E126" t="s">
        <v>58</v>
      </c>
      <c r="F126" t="s">
        <v>77</v>
      </c>
      <c r="G126">
        <v>98</v>
      </c>
      <c r="H126" t="s">
        <v>76</v>
      </c>
      <c r="I126">
        <v>0</v>
      </c>
      <c r="J126">
        <v>0</v>
      </c>
      <c r="K126">
        <v>173.21</v>
      </c>
      <c r="L126">
        <v>0</v>
      </c>
      <c r="M126">
        <v>173.21</v>
      </c>
      <c r="N126">
        <v>173.21</v>
      </c>
    </row>
    <row r="127" spans="1:14" x14ac:dyDescent="0.3">
      <c r="A127" s="2">
        <v>44927</v>
      </c>
      <c r="B127" t="s">
        <v>70</v>
      </c>
      <c r="C127">
        <v>2023</v>
      </c>
      <c r="D127">
        <v>1</v>
      </c>
      <c r="E127" t="s">
        <v>58</v>
      </c>
      <c r="F127" t="s">
        <v>75</v>
      </c>
      <c r="G127">
        <v>97</v>
      </c>
      <c r="H127" t="s">
        <v>76</v>
      </c>
      <c r="I127">
        <v>11.65</v>
      </c>
      <c r="J127">
        <v>16.809999999999999</v>
      </c>
      <c r="K127">
        <v>213.19</v>
      </c>
      <c r="L127">
        <v>0</v>
      </c>
      <c r="M127">
        <v>241.65</v>
      </c>
      <c r="N127">
        <v>241.65</v>
      </c>
    </row>
    <row r="128" spans="1:14" x14ac:dyDescent="0.3">
      <c r="A128" s="2">
        <v>44958</v>
      </c>
      <c r="B128" t="s">
        <v>70</v>
      </c>
      <c r="C128">
        <v>2023</v>
      </c>
      <c r="D128">
        <v>2</v>
      </c>
      <c r="E128" t="s">
        <v>59</v>
      </c>
      <c r="F128" t="s">
        <v>77</v>
      </c>
      <c r="G128">
        <v>98</v>
      </c>
      <c r="H128" t="s">
        <v>76</v>
      </c>
      <c r="I128">
        <v>0</v>
      </c>
      <c r="J128">
        <v>0</v>
      </c>
      <c r="K128">
        <v>153.66999999999999</v>
      </c>
      <c r="L128">
        <v>0</v>
      </c>
      <c r="M128">
        <v>153.66999999999999</v>
      </c>
      <c r="N128">
        <v>153.66999999999999</v>
      </c>
    </row>
    <row r="129" spans="1:14" x14ac:dyDescent="0.3">
      <c r="A129" s="2">
        <v>44958</v>
      </c>
      <c r="B129" t="s">
        <v>70</v>
      </c>
      <c r="C129">
        <v>2023</v>
      </c>
      <c r="D129">
        <v>2</v>
      </c>
      <c r="E129" t="s">
        <v>59</v>
      </c>
      <c r="F129" t="s">
        <v>75</v>
      </c>
      <c r="G129">
        <v>97</v>
      </c>
      <c r="H129" t="s">
        <v>76</v>
      </c>
      <c r="I129">
        <v>5.75</v>
      </c>
      <c r="J129">
        <v>13.49</v>
      </c>
      <c r="K129">
        <v>191.51</v>
      </c>
      <c r="L129">
        <v>0</v>
      </c>
      <c r="M129">
        <v>210.75</v>
      </c>
      <c r="N129">
        <v>210.75</v>
      </c>
    </row>
    <row r="130" spans="1:14" x14ac:dyDescent="0.3">
      <c r="A130" s="2">
        <v>44986</v>
      </c>
      <c r="B130" t="s">
        <v>70</v>
      </c>
      <c r="C130">
        <v>2023</v>
      </c>
      <c r="D130">
        <v>3</v>
      </c>
      <c r="E130" t="s">
        <v>60</v>
      </c>
      <c r="F130" t="s">
        <v>77</v>
      </c>
      <c r="G130">
        <v>98</v>
      </c>
      <c r="H130" t="s">
        <v>76</v>
      </c>
      <c r="I130">
        <v>0</v>
      </c>
      <c r="J130">
        <v>0</v>
      </c>
      <c r="K130">
        <v>142.15</v>
      </c>
      <c r="L130">
        <v>0</v>
      </c>
      <c r="M130">
        <v>142.15</v>
      </c>
      <c r="N130">
        <v>142.15</v>
      </c>
    </row>
    <row r="131" spans="1:14" x14ac:dyDescent="0.3">
      <c r="A131" s="2">
        <v>44986</v>
      </c>
      <c r="B131" t="s">
        <v>70</v>
      </c>
      <c r="C131">
        <v>2023</v>
      </c>
      <c r="D131">
        <v>3</v>
      </c>
      <c r="E131" t="s">
        <v>60</v>
      </c>
      <c r="F131" t="s">
        <v>75</v>
      </c>
      <c r="G131">
        <v>97</v>
      </c>
      <c r="H131" t="s">
        <v>76</v>
      </c>
      <c r="I131">
        <v>24.39</v>
      </c>
      <c r="J131">
        <v>36.22</v>
      </c>
      <c r="K131">
        <v>188.07</v>
      </c>
      <c r="L131">
        <v>0</v>
      </c>
      <c r="M131">
        <v>248.68</v>
      </c>
      <c r="N131">
        <v>248.68</v>
      </c>
    </row>
    <row r="132" spans="1:14" x14ac:dyDescent="0.3">
      <c r="A132" s="2">
        <v>45017</v>
      </c>
      <c r="B132" t="s">
        <v>71</v>
      </c>
      <c r="C132">
        <v>2023</v>
      </c>
      <c r="D132">
        <v>4</v>
      </c>
      <c r="E132" t="s">
        <v>62</v>
      </c>
      <c r="F132" t="s">
        <v>77</v>
      </c>
      <c r="G132">
        <v>98</v>
      </c>
      <c r="H132" t="s">
        <v>76</v>
      </c>
      <c r="I132">
        <v>0</v>
      </c>
      <c r="J132">
        <v>0</v>
      </c>
      <c r="K132">
        <v>186.81</v>
      </c>
      <c r="L132">
        <v>0</v>
      </c>
      <c r="M132">
        <v>186.81</v>
      </c>
      <c r="N132">
        <v>186.81</v>
      </c>
    </row>
    <row r="133" spans="1:14" x14ac:dyDescent="0.3">
      <c r="A133" s="2">
        <v>45017</v>
      </c>
      <c r="B133" t="s">
        <v>71</v>
      </c>
      <c r="C133">
        <v>2023</v>
      </c>
      <c r="D133">
        <v>4</v>
      </c>
      <c r="E133" t="s">
        <v>62</v>
      </c>
      <c r="F133" t="s">
        <v>75</v>
      </c>
      <c r="G133">
        <v>97</v>
      </c>
      <c r="H133" t="s">
        <v>76</v>
      </c>
      <c r="I133">
        <v>12.75</v>
      </c>
      <c r="J133">
        <v>21.73</v>
      </c>
      <c r="K133">
        <v>185.26</v>
      </c>
      <c r="L133">
        <v>0</v>
      </c>
      <c r="M133">
        <v>219.74</v>
      </c>
      <c r="N133">
        <v>219.74</v>
      </c>
    </row>
    <row r="134" spans="1:14" x14ac:dyDescent="0.3">
      <c r="A134" s="2">
        <v>45047</v>
      </c>
      <c r="B134" t="s">
        <v>71</v>
      </c>
      <c r="C134">
        <v>2023</v>
      </c>
      <c r="D134">
        <v>5</v>
      </c>
      <c r="E134" t="s">
        <v>63</v>
      </c>
      <c r="F134" t="s">
        <v>77</v>
      </c>
      <c r="G134">
        <v>98</v>
      </c>
      <c r="H134" t="s">
        <v>76</v>
      </c>
      <c r="I134">
        <v>0</v>
      </c>
      <c r="J134">
        <v>0</v>
      </c>
      <c r="K134">
        <v>187.46</v>
      </c>
      <c r="L134">
        <v>0</v>
      </c>
      <c r="M134">
        <v>187.46</v>
      </c>
      <c r="N134">
        <v>187.46</v>
      </c>
    </row>
    <row r="135" spans="1:14" x14ac:dyDescent="0.3">
      <c r="A135" s="2">
        <v>45047</v>
      </c>
      <c r="B135" t="s">
        <v>71</v>
      </c>
      <c r="C135">
        <v>2023</v>
      </c>
      <c r="D135">
        <v>5</v>
      </c>
      <c r="E135" t="s">
        <v>63</v>
      </c>
      <c r="F135" t="s">
        <v>75</v>
      </c>
      <c r="G135">
        <v>97</v>
      </c>
      <c r="H135" t="s">
        <v>76</v>
      </c>
      <c r="I135">
        <v>8.86</v>
      </c>
      <c r="J135">
        <v>15.86</v>
      </c>
      <c r="K135">
        <v>175.97</v>
      </c>
      <c r="L135">
        <v>0</v>
      </c>
      <c r="M135">
        <v>200.69</v>
      </c>
      <c r="N135">
        <v>200.69</v>
      </c>
    </row>
    <row r="136" spans="1:14" x14ac:dyDescent="0.3">
      <c r="A136" s="2">
        <v>45078</v>
      </c>
      <c r="B136" t="s">
        <v>71</v>
      </c>
      <c r="C136">
        <v>2023</v>
      </c>
      <c r="D136">
        <v>6</v>
      </c>
      <c r="E136" t="s">
        <v>64</v>
      </c>
      <c r="F136" t="s">
        <v>77</v>
      </c>
      <c r="G136">
        <v>98</v>
      </c>
      <c r="H136" t="s">
        <v>76</v>
      </c>
      <c r="I136">
        <v>0</v>
      </c>
      <c r="J136">
        <v>0</v>
      </c>
      <c r="K136">
        <v>179.62</v>
      </c>
      <c r="L136">
        <v>0</v>
      </c>
      <c r="M136">
        <v>179.62</v>
      </c>
      <c r="N136">
        <v>179.62</v>
      </c>
    </row>
    <row r="137" spans="1:14" x14ac:dyDescent="0.3">
      <c r="A137" s="2">
        <v>45078</v>
      </c>
      <c r="B137" t="s">
        <v>71</v>
      </c>
      <c r="C137">
        <v>2023</v>
      </c>
      <c r="D137">
        <v>6</v>
      </c>
      <c r="E137" t="s">
        <v>64</v>
      </c>
      <c r="F137" t="s">
        <v>75</v>
      </c>
      <c r="G137">
        <v>97</v>
      </c>
      <c r="H137" t="s">
        <v>76</v>
      </c>
      <c r="I137">
        <v>16.14</v>
      </c>
      <c r="J137">
        <v>24.68</v>
      </c>
      <c r="K137">
        <v>186.59</v>
      </c>
      <c r="L137">
        <v>0</v>
      </c>
      <c r="M137">
        <v>227.41</v>
      </c>
      <c r="N137">
        <v>227.41</v>
      </c>
    </row>
    <row r="138" spans="1:14" x14ac:dyDescent="0.3">
      <c r="A138" s="2">
        <v>45108</v>
      </c>
      <c r="B138" t="s">
        <v>71</v>
      </c>
      <c r="C138">
        <v>2023</v>
      </c>
      <c r="D138">
        <v>7</v>
      </c>
      <c r="E138" t="s">
        <v>65</v>
      </c>
      <c r="F138" t="s">
        <v>77</v>
      </c>
      <c r="G138">
        <v>98</v>
      </c>
      <c r="H138" t="s">
        <v>76</v>
      </c>
      <c r="I138">
        <v>0</v>
      </c>
      <c r="J138">
        <v>0</v>
      </c>
      <c r="K138">
        <v>209.19</v>
      </c>
      <c r="L138">
        <v>0</v>
      </c>
      <c r="M138">
        <v>209.19</v>
      </c>
      <c r="N138">
        <v>209.19</v>
      </c>
    </row>
    <row r="139" spans="1:14" x14ac:dyDescent="0.3">
      <c r="A139" s="2">
        <v>45108</v>
      </c>
      <c r="B139" t="s">
        <v>71</v>
      </c>
      <c r="C139">
        <v>2023</v>
      </c>
      <c r="D139">
        <v>7</v>
      </c>
      <c r="E139" t="s">
        <v>65</v>
      </c>
      <c r="F139" t="s">
        <v>75</v>
      </c>
      <c r="G139">
        <v>97</v>
      </c>
      <c r="H139" t="s">
        <v>76</v>
      </c>
      <c r="I139">
        <v>10.64</v>
      </c>
      <c r="J139">
        <v>19.34</v>
      </c>
      <c r="K139">
        <v>195.68</v>
      </c>
      <c r="L139">
        <v>0</v>
      </c>
      <c r="M139">
        <v>225.66</v>
      </c>
      <c r="N139">
        <v>225.66</v>
      </c>
    </row>
    <row r="140" spans="1:14" x14ac:dyDescent="0.3">
      <c r="A140" s="2">
        <v>45139</v>
      </c>
      <c r="B140" t="s">
        <v>71</v>
      </c>
      <c r="C140">
        <v>2023</v>
      </c>
      <c r="D140">
        <v>8</v>
      </c>
      <c r="E140" t="s">
        <v>16</v>
      </c>
      <c r="F140" t="s">
        <v>77</v>
      </c>
      <c r="G140">
        <v>98</v>
      </c>
      <c r="H140" t="s">
        <v>76</v>
      </c>
      <c r="I140">
        <v>0</v>
      </c>
      <c r="J140">
        <v>0</v>
      </c>
      <c r="K140">
        <v>193.02</v>
      </c>
      <c r="L140">
        <v>0</v>
      </c>
      <c r="M140">
        <v>193.02</v>
      </c>
      <c r="N140">
        <v>193.02</v>
      </c>
    </row>
    <row r="141" spans="1:14" x14ac:dyDescent="0.3">
      <c r="A141" s="2">
        <v>45139</v>
      </c>
      <c r="B141" t="s">
        <v>71</v>
      </c>
      <c r="C141">
        <v>2023</v>
      </c>
      <c r="D141">
        <v>8</v>
      </c>
      <c r="E141" t="s">
        <v>16</v>
      </c>
      <c r="F141" t="s">
        <v>75</v>
      </c>
      <c r="G141">
        <v>97</v>
      </c>
      <c r="H141" t="s">
        <v>76</v>
      </c>
      <c r="I141">
        <v>8.34</v>
      </c>
      <c r="J141">
        <v>13.34</v>
      </c>
      <c r="K141">
        <v>162.76</v>
      </c>
      <c r="L141">
        <v>0</v>
      </c>
      <c r="M141">
        <v>184.44</v>
      </c>
      <c r="N141">
        <v>184.44</v>
      </c>
    </row>
    <row r="142" spans="1:14" x14ac:dyDescent="0.3">
      <c r="A142" s="2">
        <v>45170</v>
      </c>
      <c r="B142" t="s">
        <v>71</v>
      </c>
      <c r="C142">
        <v>2023</v>
      </c>
      <c r="D142">
        <v>9</v>
      </c>
      <c r="E142" t="s">
        <v>54</v>
      </c>
      <c r="F142" t="s">
        <v>77</v>
      </c>
      <c r="G142">
        <v>98</v>
      </c>
      <c r="H142" t="s">
        <v>76</v>
      </c>
      <c r="I142">
        <v>0</v>
      </c>
      <c r="J142">
        <v>0</v>
      </c>
      <c r="K142">
        <v>195.88</v>
      </c>
      <c r="L142">
        <v>0</v>
      </c>
      <c r="M142">
        <v>195.88</v>
      </c>
      <c r="N142">
        <v>195.88</v>
      </c>
    </row>
    <row r="143" spans="1:14" x14ac:dyDescent="0.3">
      <c r="A143" s="2">
        <v>45170</v>
      </c>
      <c r="B143" t="s">
        <v>71</v>
      </c>
      <c r="C143">
        <v>2023</v>
      </c>
      <c r="D143">
        <v>9</v>
      </c>
      <c r="E143" t="s">
        <v>54</v>
      </c>
      <c r="F143" t="s">
        <v>75</v>
      </c>
      <c r="G143">
        <v>97</v>
      </c>
      <c r="H143" t="s">
        <v>76</v>
      </c>
      <c r="I143">
        <v>19.52</v>
      </c>
      <c r="J143">
        <v>23.38</v>
      </c>
      <c r="K143">
        <v>163.66</v>
      </c>
      <c r="L143">
        <v>0</v>
      </c>
      <c r="M143">
        <v>206.56</v>
      </c>
      <c r="N143">
        <v>206.56</v>
      </c>
    </row>
    <row r="144" spans="1:14" x14ac:dyDescent="0.3">
      <c r="A144" s="2">
        <v>45200</v>
      </c>
      <c r="B144" t="s">
        <v>71</v>
      </c>
      <c r="C144">
        <v>2023</v>
      </c>
      <c r="D144">
        <v>10</v>
      </c>
      <c r="E144" t="s">
        <v>55</v>
      </c>
      <c r="F144" t="s">
        <v>77</v>
      </c>
      <c r="G144">
        <v>98</v>
      </c>
      <c r="H144" t="s">
        <v>76</v>
      </c>
      <c r="I144">
        <v>0</v>
      </c>
      <c r="J144">
        <v>0</v>
      </c>
      <c r="K144">
        <v>199.81</v>
      </c>
      <c r="L144">
        <v>0</v>
      </c>
      <c r="M144">
        <v>199.81</v>
      </c>
      <c r="N144">
        <v>199.81</v>
      </c>
    </row>
    <row r="145" spans="1:14" x14ac:dyDescent="0.3">
      <c r="A145" s="2">
        <v>45200</v>
      </c>
      <c r="B145" t="s">
        <v>71</v>
      </c>
      <c r="C145">
        <v>2023</v>
      </c>
      <c r="D145">
        <v>10</v>
      </c>
      <c r="E145" t="s">
        <v>55</v>
      </c>
      <c r="F145" t="s">
        <v>75</v>
      </c>
      <c r="G145">
        <v>97</v>
      </c>
      <c r="H145" t="s">
        <v>76</v>
      </c>
      <c r="I145">
        <v>13.8</v>
      </c>
      <c r="J145">
        <v>21.29</v>
      </c>
      <c r="K145">
        <v>268.94</v>
      </c>
      <c r="L145">
        <v>0</v>
      </c>
      <c r="M145">
        <v>304.02999999999997</v>
      </c>
      <c r="N145">
        <v>304.02999999999997</v>
      </c>
    </row>
    <row r="146" spans="1:14" x14ac:dyDescent="0.3">
      <c r="A146" s="2">
        <v>45231</v>
      </c>
      <c r="B146" t="s">
        <v>71</v>
      </c>
      <c r="C146">
        <v>2023</v>
      </c>
      <c r="D146">
        <v>11</v>
      </c>
      <c r="E146" t="s">
        <v>56</v>
      </c>
      <c r="F146" t="s">
        <v>77</v>
      </c>
      <c r="G146">
        <v>98</v>
      </c>
      <c r="H146" t="s">
        <v>76</v>
      </c>
      <c r="I146">
        <v>0</v>
      </c>
      <c r="J146">
        <v>0</v>
      </c>
      <c r="K146">
        <v>222.66</v>
      </c>
      <c r="L146">
        <v>0</v>
      </c>
      <c r="M146">
        <v>222.66</v>
      </c>
      <c r="N146">
        <v>222.66</v>
      </c>
    </row>
    <row r="147" spans="1:14" x14ac:dyDescent="0.3">
      <c r="A147" s="2">
        <v>45231</v>
      </c>
      <c r="B147" t="s">
        <v>71</v>
      </c>
      <c r="C147">
        <v>2023</v>
      </c>
      <c r="D147">
        <v>11</v>
      </c>
      <c r="E147" t="s">
        <v>56</v>
      </c>
      <c r="F147" t="s">
        <v>75</v>
      </c>
      <c r="G147">
        <v>97</v>
      </c>
      <c r="H147" t="s">
        <v>76</v>
      </c>
      <c r="I147">
        <v>11.13</v>
      </c>
      <c r="J147">
        <v>16.86</v>
      </c>
      <c r="K147">
        <v>193.51</v>
      </c>
      <c r="L147">
        <v>0</v>
      </c>
      <c r="M147">
        <v>221.5</v>
      </c>
      <c r="N147">
        <v>221.5</v>
      </c>
    </row>
    <row r="148" spans="1:14" x14ac:dyDescent="0.3">
      <c r="A148" s="2">
        <v>45261</v>
      </c>
      <c r="B148" t="s">
        <v>71</v>
      </c>
      <c r="C148">
        <v>2023</v>
      </c>
      <c r="D148">
        <v>12</v>
      </c>
      <c r="E148" t="s">
        <v>57</v>
      </c>
      <c r="F148" t="s">
        <v>77</v>
      </c>
      <c r="G148">
        <v>98</v>
      </c>
      <c r="H148" t="s">
        <v>76</v>
      </c>
      <c r="I148">
        <v>0</v>
      </c>
      <c r="J148">
        <v>0</v>
      </c>
      <c r="K148">
        <v>243.18</v>
      </c>
      <c r="L148">
        <v>0</v>
      </c>
      <c r="M148">
        <v>243.18</v>
      </c>
      <c r="N148">
        <v>243.18</v>
      </c>
    </row>
    <row r="149" spans="1:14" x14ac:dyDescent="0.3">
      <c r="A149" s="2">
        <v>45261</v>
      </c>
      <c r="B149" t="s">
        <v>71</v>
      </c>
      <c r="C149">
        <v>2023</v>
      </c>
      <c r="D149">
        <v>12</v>
      </c>
      <c r="E149" t="s">
        <v>57</v>
      </c>
      <c r="F149" t="s">
        <v>75</v>
      </c>
      <c r="G149">
        <v>97</v>
      </c>
      <c r="H149" t="s">
        <v>76</v>
      </c>
      <c r="I149">
        <v>17.11</v>
      </c>
      <c r="J149">
        <v>26</v>
      </c>
      <c r="K149">
        <v>183.73</v>
      </c>
      <c r="L149">
        <v>0</v>
      </c>
      <c r="M149">
        <v>226.84</v>
      </c>
      <c r="N149">
        <v>226.84</v>
      </c>
    </row>
    <row r="150" spans="1:14" x14ac:dyDescent="0.3">
      <c r="A150" s="2">
        <v>45292</v>
      </c>
      <c r="B150" t="s">
        <v>71</v>
      </c>
      <c r="C150">
        <v>2024</v>
      </c>
      <c r="D150">
        <v>1</v>
      </c>
      <c r="E150" t="s">
        <v>58</v>
      </c>
      <c r="F150" t="s">
        <v>77</v>
      </c>
      <c r="G150">
        <v>98</v>
      </c>
      <c r="H150" t="s">
        <v>76</v>
      </c>
      <c r="I150">
        <v>0</v>
      </c>
      <c r="J150">
        <v>0</v>
      </c>
      <c r="K150">
        <v>236.72</v>
      </c>
      <c r="L150">
        <v>0</v>
      </c>
      <c r="M150">
        <v>236.72</v>
      </c>
      <c r="N150">
        <v>236.72</v>
      </c>
    </row>
    <row r="151" spans="1:14" x14ac:dyDescent="0.3">
      <c r="A151" s="2">
        <v>45292</v>
      </c>
      <c r="B151" t="s">
        <v>71</v>
      </c>
      <c r="C151">
        <v>2024</v>
      </c>
      <c r="D151">
        <v>1</v>
      </c>
      <c r="E151" t="s">
        <v>58</v>
      </c>
      <c r="F151" t="s">
        <v>75</v>
      </c>
      <c r="G151">
        <v>97</v>
      </c>
      <c r="H151" t="s">
        <v>76</v>
      </c>
      <c r="I151">
        <v>12.5</v>
      </c>
      <c r="J151">
        <v>17.57</v>
      </c>
      <c r="K151">
        <v>168.01</v>
      </c>
      <c r="L151">
        <v>0</v>
      </c>
      <c r="M151">
        <v>198.08</v>
      </c>
      <c r="N151">
        <v>198.08</v>
      </c>
    </row>
    <row r="152" spans="1:14" x14ac:dyDescent="0.3">
      <c r="A152" s="2">
        <v>45323</v>
      </c>
      <c r="B152" t="s">
        <v>71</v>
      </c>
      <c r="C152">
        <v>2024</v>
      </c>
      <c r="D152">
        <v>2</v>
      </c>
      <c r="E152" t="s">
        <v>59</v>
      </c>
      <c r="F152" t="s">
        <v>77</v>
      </c>
      <c r="G152">
        <v>98</v>
      </c>
      <c r="H152" t="s">
        <v>76</v>
      </c>
      <c r="I152">
        <v>0</v>
      </c>
      <c r="J152">
        <v>0</v>
      </c>
      <c r="K152">
        <v>231.93</v>
      </c>
      <c r="L152">
        <v>0</v>
      </c>
      <c r="M152">
        <v>231.93</v>
      </c>
      <c r="N152">
        <v>231.93</v>
      </c>
    </row>
    <row r="153" spans="1:14" x14ac:dyDescent="0.3">
      <c r="A153" s="2">
        <v>45323</v>
      </c>
      <c r="B153" t="s">
        <v>71</v>
      </c>
      <c r="C153">
        <v>2024</v>
      </c>
      <c r="D153">
        <v>2</v>
      </c>
      <c r="E153" t="s">
        <v>59</v>
      </c>
      <c r="F153" t="s">
        <v>75</v>
      </c>
      <c r="G153">
        <v>97</v>
      </c>
      <c r="H153" t="s">
        <v>76</v>
      </c>
      <c r="I153">
        <v>14.38</v>
      </c>
      <c r="J153">
        <v>17.97</v>
      </c>
      <c r="K153">
        <v>171.48</v>
      </c>
      <c r="L153">
        <v>0</v>
      </c>
      <c r="M153">
        <v>203.83</v>
      </c>
      <c r="N153">
        <v>203.83</v>
      </c>
    </row>
    <row r="154" spans="1:14" x14ac:dyDescent="0.3">
      <c r="A154" s="2">
        <v>45352</v>
      </c>
      <c r="B154" t="s">
        <v>71</v>
      </c>
      <c r="C154">
        <v>2024</v>
      </c>
      <c r="D154">
        <v>3</v>
      </c>
      <c r="E154" t="s">
        <v>60</v>
      </c>
      <c r="F154" t="s">
        <v>77</v>
      </c>
      <c r="G154">
        <v>98</v>
      </c>
      <c r="H154" t="s">
        <v>76</v>
      </c>
      <c r="I154">
        <v>0</v>
      </c>
      <c r="J154">
        <v>0</v>
      </c>
      <c r="K154">
        <v>220.43</v>
      </c>
      <c r="L154">
        <v>0</v>
      </c>
      <c r="M154">
        <v>220.43</v>
      </c>
      <c r="N154">
        <v>220.43</v>
      </c>
    </row>
    <row r="155" spans="1:14" x14ac:dyDescent="0.3">
      <c r="A155" s="2">
        <v>45352</v>
      </c>
      <c r="B155" t="s">
        <v>71</v>
      </c>
      <c r="C155">
        <v>2024</v>
      </c>
      <c r="D155">
        <v>3</v>
      </c>
      <c r="E155" t="s">
        <v>60</v>
      </c>
      <c r="F155" t="s">
        <v>75</v>
      </c>
      <c r="G155">
        <v>97</v>
      </c>
      <c r="H155" t="s">
        <v>76</v>
      </c>
      <c r="I155">
        <v>11.27</v>
      </c>
      <c r="J155">
        <v>13.1</v>
      </c>
      <c r="K155">
        <v>171.81</v>
      </c>
      <c r="L155">
        <v>0</v>
      </c>
      <c r="M155">
        <v>196.18</v>
      </c>
      <c r="N155">
        <v>196.18</v>
      </c>
    </row>
    <row r="156" spans="1:14" x14ac:dyDescent="0.3">
      <c r="A156" s="2">
        <v>45383</v>
      </c>
      <c r="B156" t="s">
        <v>72</v>
      </c>
      <c r="C156">
        <v>2024</v>
      </c>
      <c r="D156">
        <v>4</v>
      </c>
      <c r="E156" t="s">
        <v>62</v>
      </c>
      <c r="F156" t="s">
        <v>78</v>
      </c>
      <c r="G156">
        <v>99</v>
      </c>
      <c r="H156" t="s">
        <v>76</v>
      </c>
      <c r="I156">
        <v>0</v>
      </c>
      <c r="J156">
        <v>0</v>
      </c>
      <c r="K156">
        <v>221.06</v>
      </c>
      <c r="L156">
        <v>0</v>
      </c>
      <c r="M156">
        <v>221.06</v>
      </c>
      <c r="N156">
        <v>221.06</v>
      </c>
    </row>
    <row r="157" spans="1:14" x14ac:dyDescent="0.3">
      <c r="A157" s="2">
        <v>45383</v>
      </c>
      <c r="B157" t="s">
        <v>72</v>
      </c>
      <c r="C157">
        <v>2024</v>
      </c>
      <c r="D157">
        <v>4</v>
      </c>
      <c r="E157" t="s">
        <v>62</v>
      </c>
      <c r="F157" t="s">
        <v>75</v>
      </c>
      <c r="G157">
        <v>97</v>
      </c>
      <c r="H157" t="s">
        <v>76</v>
      </c>
      <c r="I157">
        <v>11.63</v>
      </c>
      <c r="J157">
        <v>16.03</v>
      </c>
      <c r="K157">
        <v>196.97</v>
      </c>
      <c r="L157">
        <v>0</v>
      </c>
      <c r="M157">
        <v>224.63</v>
      </c>
      <c r="N157">
        <v>224.63</v>
      </c>
    </row>
    <row r="158" spans="1:14" x14ac:dyDescent="0.3">
      <c r="A158" s="2">
        <v>45413</v>
      </c>
      <c r="B158" t="s">
        <v>72</v>
      </c>
      <c r="C158">
        <v>2024</v>
      </c>
      <c r="D158">
        <v>5</v>
      </c>
      <c r="E158" t="s">
        <v>63</v>
      </c>
      <c r="F158" t="s">
        <v>78</v>
      </c>
      <c r="G158">
        <v>99</v>
      </c>
      <c r="H158" t="s">
        <v>76</v>
      </c>
      <c r="I158">
        <v>0</v>
      </c>
      <c r="J158">
        <v>0</v>
      </c>
      <c r="K158">
        <v>244.59</v>
      </c>
      <c r="L158">
        <v>0</v>
      </c>
      <c r="M158">
        <v>244.59</v>
      </c>
      <c r="N158">
        <v>244.59</v>
      </c>
    </row>
    <row r="159" spans="1:14" x14ac:dyDescent="0.3">
      <c r="A159" s="2">
        <v>45413</v>
      </c>
      <c r="B159" t="s">
        <v>72</v>
      </c>
      <c r="C159">
        <v>2024</v>
      </c>
      <c r="D159">
        <v>5</v>
      </c>
      <c r="E159" t="s">
        <v>63</v>
      </c>
      <c r="F159" t="s">
        <v>75</v>
      </c>
      <c r="G159">
        <v>97</v>
      </c>
      <c r="H159" t="s">
        <v>76</v>
      </c>
      <c r="I159">
        <v>14.64</v>
      </c>
      <c r="J159">
        <v>17.149999999999999</v>
      </c>
      <c r="K159">
        <v>175.62</v>
      </c>
      <c r="L159">
        <v>0</v>
      </c>
      <c r="M159">
        <v>207.41</v>
      </c>
      <c r="N159">
        <v>207.41</v>
      </c>
    </row>
    <row r="160" spans="1:14" x14ac:dyDescent="0.3">
      <c r="A160" s="2">
        <v>45444</v>
      </c>
      <c r="B160" t="s">
        <v>72</v>
      </c>
      <c r="C160">
        <v>2024</v>
      </c>
      <c r="D160">
        <v>6</v>
      </c>
      <c r="E160" t="s">
        <v>64</v>
      </c>
      <c r="F160" t="s">
        <v>78</v>
      </c>
      <c r="G160">
        <v>99</v>
      </c>
      <c r="H160" t="s">
        <v>76</v>
      </c>
      <c r="I160">
        <v>0</v>
      </c>
      <c r="J160">
        <v>0</v>
      </c>
      <c r="K160">
        <v>249.19</v>
      </c>
      <c r="L160">
        <v>0</v>
      </c>
      <c r="M160">
        <v>249.19</v>
      </c>
      <c r="N160">
        <v>249.19</v>
      </c>
    </row>
    <row r="161" spans="1:14" x14ac:dyDescent="0.3">
      <c r="A161" s="2">
        <v>45444</v>
      </c>
      <c r="B161" t="s">
        <v>72</v>
      </c>
      <c r="C161">
        <v>2024</v>
      </c>
      <c r="D161">
        <v>6</v>
      </c>
      <c r="E161" t="s">
        <v>64</v>
      </c>
      <c r="F161" t="s">
        <v>75</v>
      </c>
      <c r="G161">
        <v>97</v>
      </c>
      <c r="H161" t="s">
        <v>76</v>
      </c>
      <c r="I161">
        <v>12.59</v>
      </c>
      <c r="J161">
        <v>14.77</v>
      </c>
      <c r="K161">
        <v>179.45</v>
      </c>
      <c r="L161">
        <v>0</v>
      </c>
      <c r="M161">
        <v>206.81</v>
      </c>
      <c r="N161">
        <v>206.81</v>
      </c>
    </row>
    <row r="162" spans="1:14" x14ac:dyDescent="0.3">
      <c r="A162" s="2">
        <v>45474</v>
      </c>
      <c r="B162" t="s">
        <v>72</v>
      </c>
      <c r="C162">
        <v>2024</v>
      </c>
      <c r="D162">
        <v>7</v>
      </c>
      <c r="E162" t="s">
        <v>65</v>
      </c>
      <c r="F162" t="s">
        <v>78</v>
      </c>
      <c r="G162">
        <v>99</v>
      </c>
      <c r="H162" t="s">
        <v>76</v>
      </c>
      <c r="I162">
        <v>0</v>
      </c>
      <c r="J162">
        <v>0</v>
      </c>
      <c r="K162">
        <v>237.81</v>
      </c>
      <c r="L162">
        <v>0</v>
      </c>
      <c r="M162">
        <v>237.81</v>
      </c>
      <c r="N162">
        <v>237.81</v>
      </c>
    </row>
    <row r="163" spans="1:14" x14ac:dyDescent="0.3">
      <c r="A163" s="2">
        <v>45474</v>
      </c>
      <c r="B163" t="s">
        <v>72</v>
      </c>
      <c r="C163">
        <v>2024</v>
      </c>
      <c r="D163">
        <v>7</v>
      </c>
      <c r="E163" t="s">
        <v>65</v>
      </c>
      <c r="F163" t="s">
        <v>75</v>
      </c>
      <c r="G163">
        <v>97</v>
      </c>
      <c r="H163" t="s">
        <v>76</v>
      </c>
      <c r="I163">
        <v>12.27</v>
      </c>
      <c r="J163">
        <v>14.52</v>
      </c>
      <c r="K163">
        <v>193.65</v>
      </c>
      <c r="L163">
        <v>0</v>
      </c>
      <c r="M163">
        <v>220.44</v>
      </c>
      <c r="N163">
        <v>220.44</v>
      </c>
    </row>
    <row r="164" spans="1:14" x14ac:dyDescent="0.3">
      <c r="A164" s="2">
        <v>45505</v>
      </c>
      <c r="B164" t="s">
        <v>72</v>
      </c>
      <c r="C164">
        <v>2024</v>
      </c>
      <c r="D164">
        <v>8</v>
      </c>
      <c r="E164" t="s">
        <v>16</v>
      </c>
      <c r="F164" t="s">
        <v>78</v>
      </c>
      <c r="G164">
        <v>99</v>
      </c>
      <c r="H164" t="s">
        <v>76</v>
      </c>
      <c r="I164">
        <v>0</v>
      </c>
      <c r="J164">
        <v>0</v>
      </c>
      <c r="K164">
        <v>287.52999999999997</v>
      </c>
      <c r="L164">
        <v>0</v>
      </c>
      <c r="M164">
        <v>287.52999999999997</v>
      </c>
      <c r="N164">
        <v>287.52999999999997</v>
      </c>
    </row>
    <row r="165" spans="1:14" x14ac:dyDescent="0.3">
      <c r="A165" s="2">
        <v>45505</v>
      </c>
      <c r="B165" t="s">
        <v>72</v>
      </c>
      <c r="C165">
        <v>2024</v>
      </c>
      <c r="D165">
        <v>8</v>
      </c>
      <c r="E165" t="s">
        <v>16</v>
      </c>
      <c r="F165" t="s">
        <v>75</v>
      </c>
      <c r="G165">
        <v>97</v>
      </c>
      <c r="H165" t="s">
        <v>76</v>
      </c>
      <c r="I165">
        <v>15.6</v>
      </c>
      <c r="J165">
        <v>17.93</v>
      </c>
      <c r="K165">
        <v>165.43</v>
      </c>
      <c r="L165">
        <v>0</v>
      </c>
      <c r="M165">
        <v>198.96</v>
      </c>
      <c r="N165">
        <v>198.96</v>
      </c>
    </row>
    <row r="166" spans="1:14" x14ac:dyDescent="0.3">
      <c r="A166" s="2">
        <v>45536</v>
      </c>
      <c r="B166" t="s">
        <v>72</v>
      </c>
      <c r="C166">
        <v>2024</v>
      </c>
      <c r="D166">
        <v>9</v>
      </c>
      <c r="E166" t="s">
        <v>54</v>
      </c>
      <c r="F166" t="s">
        <v>78</v>
      </c>
      <c r="G166">
        <v>99</v>
      </c>
      <c r="H166" t="s">
        <v>76</v>
      </c>
      <c r="I166">
        <v>0</v>
      </c>
      <c r="J166">
        <v>0</v>
      </c>
      <c r="K166">
        <v>261.3</v>
      </c>
      <c r="L166">
        <v>0</v>
      </c>
      <c r="M166">
        <v>261.3</v>
      </c>
      <c r="N166">
        <v>261.3</v>
      </c>
    </row>
    <row r="167" spans="1:14" x14ac:dyDescent="0.3">
      <c r="A167" s="2">
        <v>45536</v>
      </c>
      <c r="B167" t="s">
        <v>72</v>
      </c>
      <c r="C167">
        <v>2024</v>
      </c>
      <c r="D167">
        <v>9</v>
      </c>
      <c r="E167" t="s">
        <v>54</v>
      </c>
      <c r="F167" t="s">
        <v>75</v>
      </c>
      <c r="G167">
        <v>97</v>
      </c>
      <c r="H167" t="s">
        <v>76</v>
      </c>
      <c r="I167">
        <v>15.07</v>
      </c>
      <c r="J167">
        <v>17.75</v>
      </c>
      <c r="K167">
        <v>190.5</v>
      </c>
      <c r="L167">
        <v>0</v>
      </c>
      <c r="M167">
        <v>223.32</v>
      </c>
      <c r="N167">
        <v>223.32</v>
      </c>
    </row>
    <row r="168" spans="1:14" x14ac:dyDescent="0.3">
      <c r="A168" s="2">
        <v>45566</v>
      </c>
      <c r="B168" t="s">
        <v>72</v>
      </c>
      <c r="C168">
        <v>2024</v>
      </c>
      <c r="D168">
        <v>10</v>
      </c>
      <c r="E168" t="s">
        <v>55</v>
      </c>
      <c r="F168" t="s">
        <v>78</v>
      </c>
      <c r="G168">
        <v>99</v>
      </c>
      <c r="H168" t="s">
        <v>76</v>
      </c>
      <c r="I168">
        <v>0</v>
      </c>
      <c r="J168">
        <v>0</v>
      </c>
      <c r="K168">
        <v>265.98</v>
      </c>
      <c r="L168">
        <v>0</v>
      </c>
      <c r="M168">
        <v>265.98</v>
      </c>
      <c r="N168">
        <v>265.98</v>
      </c>
    </row>
    <row r="169" spans="1:14" x14ac:dyDescent="0.3">
      <c r="A169" s="2">
        <v>45566</v>
      </c>
      <c r="B169" t="s">
        <v>72</v>
      </c>
      <c r="C169">
        <v>2024</v>
      </c>
      <c r="D169">
        <v>10</v>
      </c>
      <c r="E169" t="s">
        <v>55</v>
      </c>
      <c r="F169" t="s">
        <v>75</v>
      </c>
      <c r="G169">
        <v>97</v>
      </c>
      <c r="H169" t="s">
        <v>76</v>
      </c>
      <c r="I169">
        <v>12.6</v>
      </c>
      <c r="J169">
        <v>13.5</v>
      </c>
      <c r="K169">
        <v>164.49</v>
      </c>
      <c r="L169">
        <v>0</v>
      </c>
      <c r="M169">
        <v>190.59</v>
      </c>
      <c r="N169">
        <v>190.59</v>
      </c>
    </row>
    <row r="170" spans="1:14" x14ac:dyDescent="0.3">
      <c r="A170" s="2">
        <v>45597</v>
      </c>
      <c r="B170" t="s">
        <v>72</v>
      </c>
      <c r="C170">
        <v>2024</v>
      </c>
      <c r="D170">
        <v>11</v>
      </c>
      <c r="E170" t="s">
        <v>56</v>
      </c>
      <c r="F170" t="s">
        <v>78</v>
      </c>
      <c r="G170">
        <v>99</v>
      </c>
      <c r="H170" t="s">
        <v>76</v>
      </c>
      <c r="I170">
        <v>0</v>
      </c>
      <c r="J170">
        <v>0</v>
      </c>
      <c r="K170">
        <v>286.39</v>
      </c>
      <c r="L170">
        <v>0</v>
      </c>
      <c r="M170">
        <v>286.39</v>
      </c>
      <c r="N170">
        <v>286.39</v>
      </c>
    </row>
    <row r="171" spans="1:14" x14ac:dyDescent="0.3">
      <c r="A171" s="2">
        <v>45597</v>
      </c>
      <c r="B171" t="s">
        <v>72</v>
      </c>
      <c r="C171">
        <v>2024</v>
      </c>
      <c r="D171">
        <v>11</v>
      </c>
      <c r="E171" t="s">
        <v>56</v>
      </c>
      <c r="F171" t="s">
        <v>75</v>
      </c>
      <c r="G171">
        <v>97</v>
      </c>
      <c r="H171" t="s">
        <v>76</v>
      </c>
      <c r="I171">
        <v>11.07</v>
      </c>
      <c r="J171">
        <v>13.45</v>
      </c>
      <c r="K171">
        <v>147.82</v>
      </c>
      <c r="L171">
        <v>0</v>
      </c>
      <c r="M171">
        <v>172.34</v>
      </c>
      <c r="N171">
        <v>172.34</v>
      </c>
    </row>
    <row r="172" spans="1:14" x14ac:dyDescent="0.3">
      <c r="A172" s="2">
        <v>45627</v>
      </c>
      <c r="B172" t="s">
        <v>72</v>
      </c>
      <c r="C172">
        <v>2024</v>
      </c>
      <c r="D172">
        <v>12</v>
      </c>
      <c r="E172" t="s">
        <v>57</v>
      </c>
      <c r="F172" t="s">
        <v>78</v>
      </c>
      <c r="G172">
        <v>99</v>
      </c>
      <c r="H172" t="s">
        <v>76</v>
      </c>
      <c r="I172">
        <v>0</v>
      </c>
      <c r="J172">
        <v>0</v>
      </c>
      <c r="K172">
        <v>308.42</v>
      </c>
      <c r="L172">
        <v>0</v>
      </c>
      <c r="M172">
        <v>308.42</v>
      </c>
      <c r="N172">
        <v>308.42</v>
      </c>
    </row>
    <row r="173" spans="1:14" x14ac:dyDescent="0.3">
      <c r="A173" s="2">
        <v>45627</v>
      </c>
      <c r="B173" t="s">
        <v>72</v>
      </c>
      <c r="C173">
        <v>2024</v>
      </c>
      <c r="D173">
        <v>12</v>
      </c>
      <c r="E173" t="s">
        <v>57</v>
      </c>
      <c r="F173" t="s">
        <v>75</v>
      </c>
      <c r="G173">
        <v>97</v>
      </c>
      <c r="H173" t="s">
        <v>76</v>
      </c>
      <c r="I173">
        <v>14.74</v>
      </c>
      <c r="J173">
        <v>15.71</v>
      </c>
      <c r="K173">
        <v>165.51</v>
      </c>
      <c r="L173">
        <v>0</v>
      </c>
      <c r="M173">
        <v>195.96</v>
      </c>
      <c r="N173">
        <v>195.96</v>
      </c>
    </row>
    <row r="174" spans="1:14" x14ac:dyDescent="0.3">
      <c r="A174" s="2">
        <v>45658</v>
      </c>
      <c r="B174" t="s">
        <v>72</v>
      </c>
      <c r="C174">
        <v>2025</v>
      </c>
      <c r="D174">
        <v>1</v>
      </c>
      <c r="E174" t="s">
        <v>58</v>
      </c>
      <c r="F174" t="s">
        <v>78</v>
      </c>
      <c r="G174">
        <v>99</v>
      </c>
      <c r="H174" t="s">
        <v>76</v>
      </c>
      <c r="I174">
        <v>0</v>
      </c>
      <c r="J174">
        <v>0</v>
      </c>
      <c r="K174">
        <v>284.23</v>
      </c>
      <c r="L174">
        <v>0</v>
      </c>
      <c r="M174">
        <v>284.23</v>
      </c>
      <c r="N174">
        <v>284.23</v>
      </c>
    </row>
    <row r="175" spans="1:14" x14ac:dyDescent="0.3">
      <c r="A175" s="2">
        <v>45658</v>
      </c>
      <c r="B175" t="s">
        <v>72</v>
      </c>
      <c r="C175">
        <v>2025</v>
      </c>
      <c r="D175">
        <v>1</v>
      </c>
      <c r="E175" t="s">
        <v>58</v>
      </c>
      <c r="F175" t="s">
        <v>75</v>
      </c>
      <c r="G175">
        <v>97</v>
      </c>
      <c r="H175" t="s">
        <v>76</v>
      </c>
      <c r="I175">
        <v>18.43</v>
      </c>
      <c r="J175">
        <v>20.059999999999999</v>
      </c>
      <c r="K175">
        <v>158.62</v>
      </c>
      <c r="L175">
        <v>0</v>
      </c>
      <c r="M175">
        <v>197.11</v>
      </c>
      <c r="N175">
        <v>197.11</v>
      </c>
    </row>
    <row r="176" spans="1:14" x14ac:dyDescent="0.3">
      <c r="A176" s="2">
        <v>45689</v>
      </c>
      <c r="B176" t="s">
        <v>72</v>
      </c>
      <c r="C176">
        <v>2025</v>
      </c>
      <c r="D176">
        <v>2</v>
      </c>
      <c r="E176" t="s">
        <v>59</v>
      </c>
      <c r="F176" t="s">
        <v>78</v>
      </c>
      <c r="G176">
        <v>99</v>
      </c>
      <c r="H176" t="s">
        <v>76</v>
      </c>
      <c r="I176">
        <v>0</v>
      </c>
      <c r="J176">
        <v>0</v>
      </c>
      <c r="K176">
        <v>336.34</v>
      </c>
      <c r="L176">
        <v>0</v>
      </c>
      <c r="M176">
        <v>336.34</v>
      </c>
      <c r="N176">
        <v>336.34</v>
      </c>
    </row>
    <row r="177" spans="1:15" x14ac:dyDescent="0.3">
      <c r="A177" s="2">
        <v>45689</v>
      </c>
      <c r="B177" t="s">
        <v>72</v>
      </c>
      <c r="C177">
        <v>2025</v>
      </c>
      <c r="D177">
        <v>2</v>
      </c>
      <c r="E177" t="s">
        <v>59</v>
      </c>
      <c r="F177" t="s">
        <v>75</v>
      </c>
      <c r="G177">
        <v>97</v>
      </c>
      <c r="H177" t="s">
        <v>76</v>
      </c>
      <c r="I177">
        <v>22.15</v>
      </c>
      <c r="J177">
        <v>26.06</v>
      </c>
      <c r="K177">
        <v>166.23</v>
      </c>
      <c r="L177">
        <v>0</v>
      </c>
      <c r="M177">
        <v>214.44</v>
      </c>
      <c r="N177">
        <v>214.44</v>
      </c>
    </row>
    <row r="178" spans="1:15" x14ac:dyDescent="0.3">
      <c r="A178" s="2">
        <v>45717</v>
      </c>
      <c r="B178" t="s">
        <v>72</v>
      </c>
      <c r="C178">
        <v>2025</v>
      </c>
      <c r="D178">
        <v>3</v>
      </c>
      <c r="E178" t="s">
        <v>60</v>
      </c>
      <c r="F178" t="s">
        <v>78</v>
      </c>
      <c r="G178">
        <v>99</v>
      </c>
      <c r="H178" t="s">
        <v>76</v>
      </c>
      <c r="I178">
        <v>0</v>
      </c>
      <c r="J178">
        <v>0</v>
      </c>
      <c r="K178">
        <v>291.83</v>
      </c>
      <c r="L178">
        <v>0</v>
      </c>
      <c r="M178">
        <v>291.83</v>
      </c>
      <c r="N178">
        <v>291.83</v>
      </c>
    </row>
    <row r="179" spans="1:15" x14ac:dyDescent="0.3">
      <c r="A179" s="2">
        <v>45717</v>
      </c>
      <c r="B179" t="s">
        <v>72</v>
      </c>
      <c r="C179">
        <v>2025</v>
      </c>
      <c r="D179">
        <v>3</v>
      </c>
      <c r="E179" t="s">
        <v>60</v>
      </c>
      <c r="F179" t="s">
        <v>75</v>
      </c>
      <c r="G179">
        <v>97</v>
      </c>
      <c r="H179" t="s">
        <v>76</v>
      </c>
      <c r="I179">
        <v>18.010000000000002</v>
      </c>
      <c r="J179">
        <v>20.8</v>
      </c>
      <c r="K179">
        <v>182.05</v>
      </c>
      <c r="L179">
        <v>0</v>
      </c>
      <c r="M179">
        <v>220.86</v>
      </c>
      <c r="N179">
        <v>220.86</v>
      </c>
    </row>
    <row r="180" spans="1:15" x14ac:dyDescent="0.3">
      <c r="A180" s="2">
        <v>45870</v>
      </c>
      <c r="B180" t="s">
        <v>73</v>
      </c>
      <c r="C180">
        <v>2025</v>
      </c>
      <c r="D180">
        <v>8</v>
      </c>
      <c r="E180" t="s">
        <v>16</v>
      </c>
      <c r="F180" t="s">
        <v>78</v>
      </c>
      <c r="G180">
        <v>99</v>
      </c>
      <c r="H180" t="s">
        <v>76</v>
      </c>
      <c r="I180">
        <v>0</v>
      </c>
      <c r="J180">
        <v>0</v>
      </c>
      <c r="K180">
        <v>396.32</v>
      </c>
      <c r="M180">
        <v>396.32</v>
      </c>
      <c r="O180" t="s">
        <v>74</v>
      </c>
    </row>
    <row r="181" spans="1:15" x14ac:dyDescent="0.3">
      <c r="A181" s="2">
        <v>45870</v>
      </c>
      <c r="B181" t="s">
        <v>73</v>
      </c>
      <c r="C181">
        <v>2025</v>
      </c>
      <c r="D181">
        <v>8</v>
      </c>
      <c r="E181" t="s">
        <v>16</v>
      </c>
      <c r="F181" t="s">
        <v>75</v>
      </c>
      <c r="G181">
        <v>97</v>
      </c>
      <c r="H181" t="s">
        <v>76</v>
      </c>
      <c r="I181">
        <v>17.170000000000002</v>
      </c>
      <c r="J181">
        <v>23.92</v>
      </c>
      <c r="K181">
        <v>158.44999999999999</v>
      </c>
      <c r="M181">
        <v>199.54</v>
      </c>
      <c r="O181" t="s">
        <v>74</v>
      </c>
    </row>
    <row r="182" spans="1:15" x14ac:dyDescent="0.3">
      <c r="A182" s="2">
        <v>46023</v>
      </c>
      <c r="B182" t="s">
        <v>73</v>
      </c>
      <c r="C182">
        <v>2026</v>
      </c>
      <c r="D182">
        <v>1</v>
      </c>
      <c r="E182" t="s">
        <v>58</v>
      </c>
      <c r="F182" t="s">
        <v>78</v>
      </c>
      <c r="G182">
        <v>99</v>
      </c>
      <c r="H182" t="s">
        <v>76</v>
      </c>
      <c r="I182">
        <v>0</v>
      </c>
      <c r="J182">
        <v>0</v>
      </c>
      <c r="K182">
        <v>389.69</v>
      </c>
      <c r="M182">
        <v>389.69</v>
      </c>
      <c r="O182" t="s">
        <v>74</v>
      </c>
    </row>
    <row r="183" spans="1:15" x14ac:dyDescent="0.3">
      <c r="A183" s="2">
        <v>46023</v>
      </c>
      <c r="B183" t="s">
        <v>73</v>
      </c>
      <c r="C183">
        <v>2026</v>
      </c>
      <c r="D183">
        <v>1</v>
      </c>
      <c r="E183" t="s">
        <v>58</v>
      </c>
      <c r="F183" t="s">
        <v>75</v>
      </c>
      <c r="G183">
        <v>97</v>
      </c>
      <c r="H183" t="s">
        <v>76</v>
      </c>
      <c r="I183">
        <v>33.4</v>
      </c>
      <c r="J183">
        <v>49.25</v>
      </c>
      <c r="K183">
        <v>176.77</v>
      </c>
      <c r="M183">
        <v>259.42</v>
      </c>
      <c r="O183" t="s">
        <v>74</v>
      </c>
    </row>
  </sheetData>
  <autoFilter ref="A1:O183"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sheetView>
  </sheetViews>
  <sheetFormatPr defaultRowHeight="14.4" x14ac:dyDescent="0.3"/>
  <cols>
    <col min="1" max="1" width="6" customWidth="1"/>
    <col min="2" max="2" width="90" customWidth="1"/>
  </cols>
  <sheetData>
    <row r="1" spans="1:2" x14ac:dyDescent="0.3">
      <c r="A1" s="1" t="s">
        <v>79</v>
      </c>
      <c r="B1" s="1" t="s">
        <v>80</v>
      </c>
    </row>
    <row r="2" spans="1:2" x14ac:dyDescent="0.3">
      <c r="A2">
        <v>1</v>
      </c>
      <c r="B2" t="s">
        <v>81</v>
      </c>
    </row>
    <row r="3" spans="1:2" x14ac:dyDescent="0.3">
      <c r="A3">
        <v>2</v>
      </c>
      <c r="B3" t="s">
        <v>82</v>
      </c>
    </row>
    <row r="4" spans="1:2" x14ac:dyDescent="0.3">
      <c r="A4">
        <v>3</v>
      </c>
      <c r="B4" t="s">
        <v>83</v>
      </c>
    </row>
    <row r="5" spans="1:2" x14ac:dyDescent="0.3">
      <c r="A5">
        <v>4</v>
      </c>
      <c r="B5" t="s">
        <v>84</v>
      </c>
    </row>
    <row r="6" spans="1:2" x14ac:dyDescent="0.3">
      <c r="A6">
        <v>5</v>
      </c>
      <c r="B6" t="s">
        <v>85</v>
      </c>
    </row>
    <row r="7" spans="1:2" x14ac:dyDescent="0.3">
      <c r="A7">
        <v>6</v>
      </c>
      <c r="B7" t="s">
        <v>86</v>
      </c>
    </row>
    <row r="8" spans="1:2" x14ac:dyDescent="0.3">
      <c r="A8">
        <v>7</v>
      </c>
      <c r="B8" t="s">
        <v>87</v>
      </c>
    </row>
    <row r="9" spans="1:2" x14ac:dyDescent="0.3">
      <c r="A9">
        <v>8</v>
      </c>
      <c r="B9" t="s">
        <v>88</v>
      </c>
    </row>
  </sheetData>
  <autoFilter ref="A1:B9"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628C-3795-4127-94F8-9B9666554A64}">
  <dimension ref="A1:B40"/>
  <sheetViews>
    <sheetView workbookViewId="0"/>
  </sheetViews>
  <sheetFormatPr defaultRowHeight="14.4" x14ac:dyDescent="0.3"/>
  <cols>
    <col min="1" max="1" width="64.33203125" bestFit="1" customWidth="1"/>
    <col min="2" max="2" width="26.44140625" bestFit="1" customWidth="1"/>
  </cols>
  <sheetData>
    <row r="1" spans="1:2" x14ac:dyDescent="0.3">
      <c r="A1" s="8" t="s">
        <v>92</v>
      </c>
    </row>
    <row r="3" spans="1:2" x14ac:dyDescent="0.3">
      <c r="A3" s="4" t="s">
        <v>89</v>
      </c>
      <c r="B3" t="s">
        <v>91</v>
      </c>
    </row>
    <row r="4" spans="1:2" x14ac:dyDescent="0.3">
      <c r="A4" s="5" t="s">
        <v>38</v>
      </c>
      <c r="B4" s="7">
        <v>1731892.8800000004</v>
      </c>
    </row>
    <row r="5" spans="1:2" x14ac:dyDescent="0.3">
      <c r="A5" s="5" t="s">
        <v>34</v>
      </c>
      <c r="B5" s="7">
        <v>745108.94</v>
      </c>
    </row>
    <row r="6" spans="1:2" x14ac:dyDescent="0.3">
      <c r="A6" s="5" t="s">
        <v>29</v>
      </c>
      <c r="B6" s="7">
        <v>723163.4800000001</v>
      </c>
    </row>
    <row r="7" spans="1:2" x14ac:dyDescent="0.3">
      <c r="A7" s="5" t="s">
        <v>48</v>
      </c>
      <c r="B7" s="7">
        <v>666936.92999999993</v>
      </c>
    </row>
    <row r="8" spans="1:2" x14ac:dyDescent="0.3">
      <c r="A8" s="5" t="s">
        <v>30</v>
      </c>
      <c r="B8" s="7">
        <v>563042.49000000034</v>
      </c>
    </row>
    <row r="9" spans="1:2" x14ac:dyDescent="0.3">
      <c r="A9" s="5" t="s">
        <v>51</v>
      </c>
      <c r="B9" s="7">
        <v>512410.49000000017</v>
      </c>
    </row>
    <row r="10" spans="1:2" x14ac:dyDescent="0.3">
      <c r="A10" s="5" t="s">
        <v>27</v>
      </c>
      <c r="B10" s="7">
        <v>396187.47</v>
      </c>
    </row>
    <row r="11" spans="1:2" x14ac:dyDescent="0.3">
      <c r="A11" s="5" t="s">
        <v>53</v>
      </c>
      <c r="B11" s="7">
        <v>360960.35999999993</v>
      </c>
    </row>
    <row r="12" spans="1:2" x14ac:dyDescent="0.3">
      <c r="A12" s="5" t="s">
        <v>49</v>
      </c>
      <c r="B12" s="7">
        <v>316438.84000000008</v>
      </c>
    </row>
    <row r="13" spans="1:2" x14ac:dyDescent="0.3">
      <c r="A13" s="5" t="s">
        <v>46</v>
      </c>
      <c r="B13" s="7">
        <v>298663.18</v>
      </c>
    </row>
    <row r="14" spans="1:2" x14ac:dyDescent="0.3">
      <c r="A14" s="5" t="s">
        <v>43</v>
      </c>
      <c r="B14" s="7">
        <v>261046.54999999996</v>
      </c>
    </row>
    <row r="15" spans="1:2" x14ac:dyDescent="0.3">
      <c r="A15" s="5" t="s">
        <v>19</v>
      </c>
      <c r="B15" s="7">
        <v>245697.7399999999</v>
      </c>
    </row>
    <row r="16" spans="1:2" x14ac:dyDescent="0.3">
      <c r="A16" s="5" t="s">
        <v>37</v>
      </c>
      <c r="B16" s="7">
        <v>209685.56000000011</v>
      </c>
    </row>
    <row r="17" spans="1:2" x14ac:dyDescent="0.3">
      <c r="A17" s="5" t="s">
        <v>35</v>
      </c>
      <c r="B17" s="7">
        <v>182548.04</v>
      </c>
    </row>
    <row r="18" spans="1:2" x14ac:dyDescent="0.3">
      <c r="A18" s="5" t="s">
        <v>33</v>
      </c>
      <c r="B18" s="7">
        <v>173395.54000000004</v>
      </c>
    </row>
    <row r="19" spans="1:2" x14ac:dyDescent="0.3">
      <c r="A19" s="5" t="s">
        <v>25</v>
      </c>
      <c r="B19" s="7">
        <v>170970.73000000004</v>
      </c>
    </row>
    <row r="20" spans="1:2" x14ac:dyDescent="0.3">
      <c r="A20" s="5" t="s">
        <v>45</v>
      </c>
      <c r="B20" s="7">
        <v>145445.46000000002</v>
      </c>
    </row>
    <row r="21" spans="1:2" x14ac:dyDescent="0.3">
      <c r="A21" s="5" t="s">
        <v>52</v>
      </c>
      <c r="B21" s="7">
        <v>125374.44000000003</v>
      </c>
    </row>
    <row r="22" spans="1:2" x14ac:dyDescent="0.3">
      <c r="A22" s="5" t="s">
        <v>23</v>
      </c>
      <c r="B22" s="7">
        <v>96988.51999999996</v>
      </c>
    </row>
    <row r="23" spans="1:2" x14ac:dyDescent="0.3">
      <c r="A23" s="5" t="s">
        <v>22</v>
      </c>
      <c r="B23" s="7">
        <v>90777.709999999977</v>
      </c>
    </row>
    <row r="24" spans="1:2" x14ac:dyDescent="0.3">
      <c r="A24" s="5" t="s">
        <v>31</v>
      </c>
      <c r="B24" s="7">
        <v>66429.89</v>
      </c>
    </row>
    <row r="25" spans="1:2" x14ac:dyDescent="0.3">
      <c r="A25" s="5" t="s">
        <v>28</v>
      </c>
      <c r="B25" s="7">
        <v>38842.76999999999</v>
      </c>
    </row>
    <row r="26" spans="1:2" x14ac:dyDescent="0.3">
      <c r="A26" s="5" t="s">
        <v>32</v>
      </c>
      <c r="B26" s="7">
        <v>38261.82</v>
      </c>
    </row>
    <row r="27" spans="1:2" x14ac:dyDescent="0.3">
      <c r="A27" s="5" t="s">
        <v>26</v>
      </c>
      <c r="B27" s="7">
        <v>27005.809999999994</v>
      </c>
    </row>
    <row r="28" spans="1:2" x14ac:dyDescent="0.3">
      <c r="A28" s="5" t="s">
        <v>47</v>
      </c>
      <c r="B28" s="7">
        <v>21951.52</v>
      </c>
    </row>
    <row r="29" spans="1:2" x14ac:dyDescent="0.3">
      <c r="A29" s="5" t="s">
        <v>24</v>
      </c>
      <c r="B29" s="7">
        <v>16981.989999999991</v>
      </c>
    </row>
    <row r="30" spans="1:2" x14ac:dyDescent="0.3">
      <c r="A30" s="5" t="s">
        <v>44</v>
      </c>
      <c r="B30" s="7">
        <v>16841.37</v>
      </c>
    </row>
    <row r="31" spans="1:2" x14ac:dyDescent="0.3">
      <c r="A31" s="5" t="s">
        <v>40</v>
      </c>
      <c r="B31" s="7">
        <v>13444.380000000001</v>
      </c>
    </row>
    <row r="32" spans="1:2" x14ac:dyDescent="0.3">
      <c r="A32" s="5" t="s">
        <v>50</v>
      </c>
      <c r="B32" s="7">
        <v>6354.7999999999993</v>
      </c>
    </row>
    <row r="33" spans="1:2" x14ac:dyDescent="0.3">
      <c r="A33" s="5" t="s">
        <v>21</v>
      </c>
      <c r="B33" s="7">
        <v>6174.2299999999987</v>
      </c>
    </row>
    <row r="34" spans="1:2" x14ac:dyDescent="0.3">
      <c r="A34" s="5" t="s">
        <v>39</v>
      </c>
      <c r="B34" s="7">
        <v>3877.3600000000006</v>
      </c>
    </row>
    <row r="35" spans="1:2" x14ac:dyDescent="0.3">
      <c r="A35" s="5" t="s">
        <v>42</v>
      </c>
      <c r="B35" s="7">
        <v>3376.68</v>
      </c>
    </row>
    <row r="36" spans="1:2" x14ac:dyDescent="0.3">
      <c r="A36" s="5" t="s">
        <v>17</v>
      </c>
      <c r="B36" s="7">
        <v>2767.56</v>
      </c>
    </row>
    <row r="37" spans="1:2" x14ac:dyDescent="0.3">
      <c r="A37" s="5" t="s">
        <v>41</v>
      </c>
      <c r="B37" s="7">
        <v>2636.6299999999987</v>
      </c>
    </row>
    <row r="38" spans="1:2" x14ac:dyDescent="0.3">
      <c r="A38" s="5" t="s">
        <v>67</v>
      </c>
      <c r="B38" s="7">
        <v>1773.72</v>
      </c>
    </row>
    <row r="39" spans="1:2" x14ac:dyDescent="0.3">
      <c r="A39" s="5" t="s">
        <v>36</v>
      </c>
      <c r="B39" s="7">
        <v>167.88000000000002</v>
      </c>
    </row>
    <row r="40" spans="1:2" x14ac:dyDescent="0.3">
      <c r="A40" s="5" t="s">
        <v>90</v>
      </c>
      <c r="B40" s="7">
        <v>8283623.7599999998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223C-EB34-4589-834A-7C2225F95E89}">
  <dimension ref="A1:C16"/>
  <sheetViews>
    <sheetView workbookViewId="0"/>
  </sheetViews>
  <sheetFormatPr defaultRowHeight="14.4" x14ac:dyDescent="0.3"/>
  <cols>
    <col min="1" max="1" width="58.77734375" bestFit="1" customWidth="1"/>
    <col min="3" max="3" width="24.44140625" bestFit="1" customWidth="1"/>
  </cols>
  <sheetData>
    <row r="1" spans="1:3" x14ac:dyDescent="0.3">
      <c r="A1" s="8" t="s">
        <v>94</v>
      </c>
    </row>
    <row r="3" spans="1:3" x14ac:dyDescent="0.3">
      <c r="A3" s="4" t="s">
        <v>3</v>
      </c>
      <c r="B3" s="4" t="s">
        <v>4</v>
      </c>
      <c r="C3" t="s">
        <v>93</v>
      </c>
    </row>
    <row r="4" spans="1:3" x14ac:dyDescent="0.3">
      <c r="A4">
        <v>1</v>
      </c>
      <c r="B4" t="s">
        <v>58</v>
      </c>
      <c r="C4" s="9">
        <v>2772.6515576323986</v>
      </c>
    </row>
    <row r="5" spans="1:3" x14ac:dyDescent="0.3">
      <c r="A5">
        <v>2</v>
      </c>
      <c r="B5" t="s">
        <v>59</v>
      </c>
      <c r="C5" s="9">
        <v>2498.8716783216778</v>
      </c>
    </row>
    <row r="6" spans="1:3" x14ac:dyDescent="0.3">
      <c r="A6">
        <v>3</v>
      </c>
      <c r="B6" t="s">
        <v>60</v>
      </c>
      <c r="C6" s="9">
        <v>2638.7069930069943</v>
      </c>
    </row>
    <row r="7" spans="1:3" x14ac:dyDescent="0.3">
      <c r="A7">
        <v>4</v>
      </c>
      <c r="B7" t="s">
        <v>62</v>
      </c>
      <c r="C7" s="9">
        <v>2774.5550800000001</v>
      </c>
    </row>
    <row r="8" spans="1:3" x14ac:dyDescent="0.3">
      <c r="A8">
        <v>5</v>
      </c>
      <c r="B8" t="s">
        <v>63</v>
      </c>
      <c r="C8" s="9">
        <v>2184.4769199999996</v>
      </c>
    </row>
    <row r="9" spans="1:3" x14ac:dyDescent="0.3">
      <c r="A9">
        <v>6</v>
      </c>
      <c r="B9" t="s">
        <v>64</v>
      </c>
      <c r="C9" s="9">
        <v>2330.61256</v>
      </c>
    </row>
    <row r="10" spans="1:3" x14ac:dyDescent="0.3">
      <c r="A10">
        <v>7</v>
      </c>
      <c r="B10" t="s">
        <v>65</v>
      </c>
      <c r="C10" s="9">
        <v>2406.769760000001</v>
      </c>
    </row>
    <row r="11" spans="1:3" x14ac:dyDescent="0.3">
      <c r="A11">
        <v>8</v>
      </c>
      <c r="B11" t="s">
        <v>16</v>
      </c>
      <c r="C11" s="9">
        <v>2365.9009345794389</v>
      </c>
    </row>
    <row r="12" spans="1:3" x14ac:dyDescent="0.3">
      <c r="A12">
        <v>9</v>
      </c>
      <c r="B12" t="s">
        <v>54</v>
      </c>
      <c r="C12" s="9">
        <v>2283.9903508771927</v>
      </c>
    </row>
    <row r="13" spans="1:3" x14ac:dyDescent="0.3">
      <c r="A13">
        <v>10</v>
      </c>
      <c r="B13" t="s">
        <v>55</v>
      </c>
      <c r="C13" s="9">
        <v>2481.7202456140349</v>
      </c>
    </row>
    <row r="14" spans="1:3" x14ac:dyDescent="0.3">
      <c r="A14">
        <v>11</v>
      </c>
      <c r="B14" t="s">
        <v>56</v>
      </c>
      <c r="C14" s="9">
        <v>2454.817052631578</v>
      </c>
    </row>
    <row r="15" spans="1:3" x14ac:dyDescent="0.3">
      <c r="A15">
        <v>12</v>
      </c>
      <c r="B15" t="s">
        <v>57</v>
      </c>
      <c r="C15" s="9">
        <v>2395.9542105263135</v>
      </c>
    </row>
    <row r="16" spans="1:3" x14ac:dyDescent="0.3">
      <c r="A16" t="s">
        <v>90</v>
      </c>
      <c r="C16" s="9">
        <v>2469.7745259391768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C234-0F60-4A55-B527-8038BF7E8ED4}">
  <dimension ref="A1:G41"/>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4.4" x14ac:dyDescent="0.3"/>
  <cols>
    <col min="1" max="1" width="40.77734375" customWidth="1"/>
    <col min="2" max="2" width="15.77734375" customWidth="1"/>
    <col min="3" max="5" width="13.77734375" customWidth="1"/>
    <col min="6" max="7" width="18.77734375" customWidth="1"/>
  </cols>
  <sheetData>
    <row r="1" spans="1:7" x14ac:dyDescent="0.3">
      <c r="A1" s="8" t="s">
        <v>95</v>
      </c>
    </row>
    <row r="2" spans="1:7" x14ac:dyDescent="0.3">
      <c r="A2" s="10" t="s">
        <v>96</v>
      </c>
    </row>
    <row r="4" spans="1:7" ht="45" customHeight="1" x14ac:dyDescent="0.3">
      <c r="A4" s="15" t="s">
        <v>20</v>
      </c>
      <c r="B4" s="15" t="s">
        <v>97</v>
      </c>
      <c r="C4" s="15" t="s">
        <v>98</v>
      </c>
      <c r="D4" s="15" t="s">
        <v>99</v>
      </c>
      <c r="E4" s="15" t="s">
        <v>100</v>
      </c>
      <c r="F4" s="15" t="s">
        <v>101</v>
      </c>
      <c r="G4" s="15" t="s">
        <v>102</v>
      </c>
    </row>
    <row r="5" spans="1:7" x14ac:dyDescent="0.3">
      <c r="A5" t="s">
        <v>30</v>
      </c>
      <c r="B5" t="s">
        <v>20</v>
      </c>
      <c r="C5" s="9">
        <f>SUMIFS(GSTData[total_gst_excl_cess],GSTData[state_name],$A5,GSTData[financial_year],"2018-19")</f>
        <v>51343.37</v>
      </c>
      <c r="D5" s="9">
        <f>SUMIFS(GSTData[total_gst_excl_cess],GSTData[state_name],$A5,GSTData[financial_year],"2023-24")</f>
        <v>95873.48</v>
      </c>
      <c r="E5" s="9">
        <f>SUMIFS(GSTData[total_gst_excl_cess],GSTData[state_name],$A5,GSTData[financial_year],"2024-25")</f>
        <v>111484.70999999999</v>
      </c>
      <c r="F5" s="13">
        <f>IFERROR((E5-D5)/D5,"n/a")</f>
        <v>0.16283157761666725</v>
      </c>
      <c r="G5" s="13">
        <f>IFERROR((E5/C5)^(1/6)-1,"n/a")</f>
        <v>0.13794644377730814</v>
      </c>
    </row>
    <row r="6" spans="1:7" x14ac:dyDescent="0.3">
      <c r="A6" t="s">
        <v>27</v>
      </c>
      <c r="B6" t="s">
        <v>18</v>
      </c>
      <c r="C6" s="9">
        <f>SUMIFS(GSTData[total_gst_excl_cess],GSTData[state_name],$A6,GSTData[financial_year],"2018-19")</f>
        <v>38772.400000000001</v>
      </c>
      <c r="D6" s="9">
        <f>SUMIFS(GSTData[total_gst_excl_cess],GSTData[state_name],$A6,GSTData[financial_year],"2023-24")</f>
        <v>65133.75</v>
      </c>
      <c r="E6" s="9">
        <f>SUMIFS(GSTData[total_gst_excl_cess],GSTData[state_name],$A6,GSTData[financial_year],"2024-25")</f>
        <v>75650.17</v>
      </c>
      <c r="F6" s="13">
        <f>IFERROR((E6-D6)/D6,"n/a")</f>
        <v>0.16145884430114954</v>
      </c>
      <c r="G6" s="13">
        <f>IFERROR((E6/C6)^(1/6)-1,"n/a")</f>
        <v>0.11784400995674171</v>
      </c>
    </row>
    <row r="7" spans="1:7" x14ac:dyDescent="0.3">
      <c r="A7" t="s">
        <v>23</v>
      </c>
      <c r="B7" t="s">
        <v>20</v>
      </c>
      <c r="C7" s="9">
        <f>SUMIFS(GSTData[total_gst_excl_cess],GSTData[state_name],$A7,GSTData[financial_year],"2018-19")</f>
        <v>8832.61</v>
      </c>
      <c r="D7" s="9">
        <f>SUMIFS(GSTData[total_gst_excl_cess],GSTData[state_name],$A7,GSTData[financial_year],"2023-24")</f>
        <v>15978.039999999999</v>
      </c>
      <c r="E7" s="9">
        <f>SUMIFS(GSTData[total_gst_excl_cess],GSTData[state_name],$A7,GSTData[financial_year],"2024-25")</f>
        <v>18129.420000000002</v>
      </c>
      <c r="F7" s="13">
        <f>IFERROR((E7-D7)/D7,"n/a")</f>
        <v>0.13464605170596664</v>
      </c>
      <c r="G7" s="13">
        <f>IFERROR((E7/C7)^(1/6)-1,"n/a")</f>
        <v>0.12732501139911601</v>
      </c>
    </row>
    <row r="8" spans="1:7" x14ac:dyDescent="0.3">
      <c r="A8" t="s">
        <v>50</v>
      </c>
      <c r="B8" t="s">
        <v>20</v>
      </c>
      <c r="C8" s="9">
        <f>SUMIFS(GSTData[total_gst_excl_cess],GSTData[state_name],$A8,GSTData[financial_year],"2018-19")</f>
        <v>553.22</v>
      </c>
      <c r="D8" s="9">
        <f>SUMIFS(GSTData[total_gst_excl_cess],GSTData[state_name],$A8,GSTData[financial_year],"2023-24")</f>
        <v>1050.71</v>
      </c>
      <c r="E8" s="9">
        <f>SUMIFS(GSTData[total_gst_excl_cess],GSTData[state_name],$A8,GSTData[financial_year],"2024-25")</f>
        <v>1190.3800000000001</v>
      </c>
      <c r="F8" s="13">
        <f>IFERROR((E8-D8)/D8,"n/a")</f>
        <v>0.13292916218556983</v>
      </c>
      <c r="G8" s="13">
        <f>IFERROR((E8/C8)^(1/6)-1,"n/a")</f>
        <v>0.13622574347613869</v>
      </c>
    </row>
    <row r="9" spans="1:7" x14ac:dyDescent="0.3">
      <c r="A9" t="s">
        <v>67</v>
      </c>
      <c r="B9" t="s">
        <v>18</v>
      </c>
      <c r="C9" s="9">
        <f>SUMIFS(GSTData[total_gst_excl_cess],GSTData[state_name],$A9,GSTData[financial_year],"2018-19")</f>
        <v>0</v>
      </c>
      <c r="D9" s="9">
        <f>SUMIFS(GSTData[total_gst_excl_cess],GSTData[state_name],$A9,GSTData[financial_year],"2023-24")</f>
        <v>480.45</v>
      </c>
      <c r="E9" s="9">
        <f>SUMIFS(GSTData[total_gst_excl_cess],GSTData[state_name],$A9,GSTData[financial_year],"2024-25")</f>
        <v>543.24</v>
      </c>
      <c r="F9" s="13">
        <f>IFERROR((E9-D9)/D9,"n/a")</f>
        <v>0.13068997814548866</v>
      </c>
      <c r="G9" s="13" t="str">
        <f>IFERROR((E9/C9)^(1/6)-1,"n/a")</f>
        <v>n/a</v>
      </c>
    </row>
    <row r="10" spans="1:7" x14ac:dyDescent="0.3">
      <c r="A10" t="s">
        <v>17</v>
      </c>
      <c r="B10" t="s">
        <v>18</v>
      </c>
      <c r="C10" s="9">
        <f>SUMIFS(GSTData[total_gst_excl_cess],GSTData[state_name],$A10,GSTData[financial_year],"2018-19")</f>
        <v>296.84000000000003</v>
      </c>
      <c r="D10" s="9">
        <f>SUMIFS(GSTData[total_gst_excl_cess],GSTData[state_name],$A10,GSTData[financial_year],"2023-24")</f>
        <v>426.30999999999995</v>
      </c>
      <c r="E10" s="9">
        <f>SUMIFS(GSTData[total_gst_excl_cess],GSTData[state_name],$A10,GSTData[financial_year],"2024-25")</f>
        <v>480.88</v>
      </c>
      <c r="F10" s="13">
        <f>IFERROR((E10-D10)/D10,"n/a")</f>
        <v>0.12800544204921316</v>
      </c>
      <c r="G10" s="13">
        <f>IFERROR((E10/C10)^(1/6)-1,"n/a")</f>
        <v>8.3724891781794319E-2</v>
      </c>
    </row>
    <row r="11" spans="1:7" x14ac:dyDescent="0.3">
      <c r="A11" t="s">
        <v>38</v>
      </c>
      <c r="B11" t="s">
        <v>20</v>
      </c>
      <c r="C11" s="9">
        <f>SUMIFS(GSTData[total_gst_excl_cess],GSTData[state_name],$A11,GSTData[financial_year],"2018-19")</f>
        <v>158846.41000000003</v>
      </c>
      <c r="D11" s="9">
        <f>SUMIFS(GSTData[total_gst_excl_cess],GSTData[state_name],$A11,GSTData[financial_year],"2023-24")</f>
        <v>296888.09999999998</v>
      </c>
      <c r="E11" s="9">
        <f>SUMIFS(GSTData[total_gst_excl_cess],GSTData[state_name],$A11,GSTData[financial_year],"2024-25")</f>
        <v>333912.52</v>
      </c>
      <c r="F11" s="13">
        <f>IFERROR((E11-D11)/D11,"n/a")</f>
        <v>0.12470833287019603</v>
      </c>
      <c r="G11" s="13">
        <f>IFERROR((E11/C11)^(1/6)-1,"n/a")</f>
        <v>0.13181614102089489</v>
      </c>
    </row>
    <row r="12" spans="1:7" x14ac:dyDescent="0.3">
      <c r="A12" t="s">
        <v>43</v>
      </c>
      <c r="B12" t="s">
        <v>20</v>
      </c>
      <c r="C12" s="9">
        <f>SUMIFS(GSTData[total_gst_excl_cess],GSTData[state_name],$A12,GSTData[financial_year],"2018-19")</f>
        <v>21306.44</v>
      </c>
      <c r="D12" s="9">
        <f>SUMIFS(GSTData[total_gst_excl_cess],GSTData[state_name],$A12,GSTData[financial_year],"2023-24")</f>
        <v>45380.3</v>
      </c>
      <c r="E12" s="9">
        <f>SUMIFS(GSTData[total_gst_excl_cess],GSTData[state_name],$A12,GSTData[financial_year],"2024-25")</f>
        <v>50742.94</v>
      </c>
      <c r="F12" s="13">
        <f>IFERROR((E12-D12)/D12,"n/a")</f>
        <v>0.11817110067584391</v>
      </c>
      <c r="G12" s="13">
        <f>IFERROR((E12/C12)^(1/6)-1,"n/a")</f>
        <v>0.15560866372922133</v>
      </c>
    </row>
    <row r="13" spans="1:7" x14ac:dyDescent="0.3">
      <c r="A13" t="s">
        <v>51</v>
      </c>
      <c r="B13" t="s">
        <v>20</v>
      </c>
      <c r="C13" s="9">
        <f>SUMIFS(GSTData[total_gst_excl_cess],GSTData[state_name],$A13,GSTData[financial_year],"2018-19")</f>
        <v>49058.82</v>
      </c>
      <c r="D13" s="9">
        <f>SUMIFS(GSTData[total_gst_excl_cess],GSTData[state_name],$A13,GSTData[financial_year],"2023-24")</f>
        <v>86136.88</v>
      </c>
      <c r="E13" s="9">
        <f>SUMIFS(GSTData[total_gst_excl_cess],GSTData[state_name],$A13,GSTData[financial_year],"2024-25")</f>
        <v>95634.83</v>
      </c>
      <c r="F13" s="13">
        <f>IFERROR((E13-D13)/D13,"n/a")</f>
        <v>0.11026577698193847</v>
      </c>
      <c r="G13" s="13">
        <f>IFERROR((E13/C13)^(1/6)-1,"n/a")</f>
        <v>0.11767747548569418</v>
      </c>
    </row>
    <row r="14" spans="1:7" x14ac:dyDescent="0.3">
      <c r="A14" t="s">
        <v>45</v>
      </c>
      <c r="B14" t="s">
        <v>20</v>
      </c>
      <c r="C14" s="9">
        <f>SUMIFS(GSTData[total_gst_excl_cess],GSTData[state_name],$A14,GSTData[financial_year],"2018-19")</f>
        <v>13822.89</v>
      </c>
      <c r="D14" s="9">
        <f>SUMIFS(GSTData[total_gst_excl_cess],GSTData[state_name],$A14,GSTData[financial_year],"2023-24")</f>
        <v>23683.42</v>
      </c>
      <c r="E14" s="9">
        <f>SUMIFS(GSTData[total_gst_excl_cess],GSTData[state_name],$A14,GSTData[financial_year],"2024-25")</f>
        <v>26266.829999999998</v>
      </c>
      <c r="F14" s="13">
        <f>IFERROR((E14-D14)/D14,"n/a")</f>
        <v>0.10908095199088645</v>
      </c>
      <c r="G14" s="13">
        <f>IFERROR((E14/C14)^(1/6)-1,"n/a")</f>
        <v>0.11293073255835928</v>
      </c>
    </row>
    <row r="15" spans="1:7" x14ac:dyDescent="0.3">
      <c r="A15" t="s">
        <v>34</v>
      </c>
      <c r="B15" t="s">
        <v>20</v>
      </c>
      <c r="C15" s="9">
        <f>SUMIFS(GSTData[total_gst_excl_cess],GSTData[state_name],$A15,GSTData[financial_year],"2018-19")</f>
        <v>68683.180000000008</v>
      </c>
      <c r="D15" s="9">
        <f>SUMIFS(GSTData[total_gst_excl_cess],GSTData[state_name],$A15,GSTData[financial_year],"2023-24")</f>
        <v>128414.18</v>
      </c>
      <c r="E15" s="9">
        <f>SUMIFS(GSTData[total_gst_excl_cess],GSTData[state_name],$A15,GSTData[financial_year],"2024-25")</f>
        <v>141769.55999999997</v>
      </c>
      <c r="F15" s="13">
        <f>IFERROR((E15-D15)/D15,"n/a")</f>
        <v>0.10400237730755262</v>
      </c>
      <c r="G15" s="13">
        <f>IFERROR((E15/C15)^(1/6)-1,"n/a")</f>
        <v>0.12838013751110422</v>
      </c>
    </row>
    <row r="16" spans="1:7" x14ac:dyDescent="0.3">
      <c r="A16" t="s">
        <v>28</v>
      </c>
      <c r="B16" t="s">
        <v>20</v>
      </c>
      <c r="C16" s="9">
        <f>SUMIFS(GSTData[total_gst_excl_cess],GSTData[state_name],$A16,GSTData[financial_year],"2018-19")</f>
        <v>4074.09</v>
      </c>
      <c r="D16" s="9">
        <f>SUMIFS(GSTData[total_gst_excl_cess],GSTData[state_name],$A16,GSTData[financial_year],"2023-24")</f>
        <v>6432.74</v>
      </c>
      <c r="E16" s="9">
        <f>SUMIFS(GSTData[total_gst_excl_cess],GSTData[state_name],$A16,GSTData[financial_year],"2024-25")</f>
        <v>7100.15</v>
      </c>
      <c r="F16" s="13">
        <f>IFERROR((E16-D16)/D16,"n/a")</f>
        <v>0.10375205588909234</v>
      </c>
      <c r="G16" s="13">
        <f>IFERROR((E16/C16)^(1/6)-1,"n/a")</f>
        <v>9.699879585205462E-2</v>
      </c>
    </row>
    <row r="17" spans="1:7" x14ac:dyDescent="0.3">
      <c r="A17" t="s">
        <v>22</v>
      </c>
      <c r="B17" t="s">
        <v>20</v>
      </c>
      <c r="C17" s="9">
        <f>SUMIFS(GSTData[total_gst_excl_cess],GSTData[state_name],$A17,GSTData[financial_year],"2018-19")</f>
        <v>8520.16</v>
      </c>
      <c r="D17" s="9">
        <f>SUMIFS(GSTData[total_gst_excl_cess],GSTData[state_name],$A17,GSTData[financial_year],"2023-24")</f>
        <v>14568.57</v>
      </c>
      <c r="E17" s="9">
        <f>SUMIFS(GSTData[total_gst_excl_cess],GSTData[state_name],$A17,GSTData[financial_year],"2024-25")</f>
        <v>15996.99</v>
      </c>
      <c r="F17" s="13">
        <f>IFERROR((E17-D17)/D17,"n/a")</f>
        <v>9.8048058251427567E-2</v>
      </c>
      <c r="G17" s="13">
        <f>IFERROR((E17/C17)^(1/6)-1,"n/a")</f>
        <v>0.1107042162971783</v>
      </c>
    </row>
    <row r="18" spans="1:7" x14ac:dyDescent="0.3">
      <c r="A18" t="s">
        <v>47</v>
      </c>
      <c r="B18" t="s">
        <v>20</v>
      </c>
      <c r="C18" s="9">
        <f>SUMIFS(GSTData[total_gst_excl_cess],GSTData[state_name],$A18,GSTData[financial_year],"2018-19")</f>
        <v>1915.3600000000001</v>
      </c>
      <c r="D18" s="9">
        <f>SUMIFS(GSTData[total_gst_excl_cess],GSTData[state_name],$A18,GSTData[financial_year],"2023-24")</f>
        <v>3706.3</v>
      </c>
      <c r="E18" s="9">
        <f>SUMIFS(GSTData[total_gst_excl_cess],GSTData[state_name],$A18,GSTData[financial_year],"2024-25")</f>
        <v>4061.58</v>
      </c>
      <c r="F18" s="13">
        <f>IFERROR((E18-D18)/D18,"n/a")</f>
        <v>9.5858403259315147E-2</v>
      </c>
      <c r="G18" s="13">
        <f>IFERROR((E18/C18)^(1/6)-1,"n/a")</f>
        <v>0.13346322232974783</v>
      </c>
    </row>
    <row r="19" spans="1:7" x14ac:dyDescent="0.3">
      <c r="A19" t="s">
        <v>29</v>
      </c>
      <c r="B19" t="s">
        <v>20</v>
      </c>
      <c r="C19" s="9">
        <f>SUMIFS(GSTData[total_gst_excl_cess],GSTData[state_name],$A19,GSTData[financial_year],"2018-19")</f>
        <v>69465.210000000006</v>
      </c>
      <c r="D19" s="9">
        <f>SUMIFS(GSTData[total_gst_excl_cess],GSTData[state_name],$A19,GSTData[financial_year],"2023-24")</f>
        <v>117143.74</v>
      </c>
      <c r="E19" s="9">
        <f>SUMIFS(GSTData[total_gst_excl_cess],GSTData[state_name],$A19,GSTData[financial_year],"2024-25")</f>
        <v>128336.19000000002</v>
      </c>
      <c r="F19" s="13">
        <f>IFERROR((E19-D19)/D19,"n/a")</f>
        <v>9.5544584798129301E-2</v>
      </c>
      <c r="G19" s="13">
        <f>IFERROR((E19/C19)^(1/6)-1,"n/a")</f>
        <v>0.10772076812345044</v>
      </c>
    </row>
    <row r="20" spans="1:7" x14ac:dyDescent="0.3">
      <c r="A20" t="s">
        <v>46</v>
      </c>
      <c r="B20" t="s">
        <v>20</v>
      </c>
      <c r="C20" s="9">
        <f>SUMIFS(GSTData[total_gst_excl_cess],GSTData[state_name],$A20,GSTData[financial_year],"2018-19")</f>
        <v>29204.909999999996</v>
      </c>
      <c r="D20" s="9">
        <f>SUMIFS(GSTData[total_gst_excl_cess],GSTData[state_name],$A20,GSTData[financial_year],"2023-24")</f>
        <v>48321.770000000004</v>
      </c>
      <c r="E20" s="9">
        <f>SUMIFS(GSTData[total_gst_excl_cess],GSTData[state_name],$A20,GSTData[financial_year],"2024-25")</f>
        <v>52752.290000000008</v>
      </c>
      <c r="F20" s="13">
        <f>IFERROR((E20-D20)/D20,"n/a")</f>
        <v>9.1687866566146137E-2</v>
      </c>
      <c r="G20" s="13">
        <f>IFERROR((E20/C20)^(1/6)-1,"n/a")</f>
        <v>0.10356412581130825</v>
      </c>
    </row>
    <row r="21" spans="1:7" x14ac:dyDescent="0.3">
      <c r="A21" t="s">
        <v>25</v>
      </c>
      <c r="B21" t="s">
        <v>20</v>
      </c>
      <c r="C21" s="9">
        <f>SUMIFS(GSTData[total_gst_excl_cess],GSTData[state_name],$A21,GSTData[financial_year],"2018-19")</f>
        <v>16442.75</v>
      </c>
      <c r="D21" s="9">
        <f>SUMIFS(GSTData[total_gst_excl_cess],GSTData[state_name],$A21,GSTData[financial_year],"2023-24")</f>
        <v>27166.14</v>
      </c>
      <c r="E21" s="9">
        <f>SUMIFS(GSTData[total_gst_excl_cess],GSTData[state_name],$A21,GSTData[financial_year],"2024-25")</f>
        <v>29618.17</v>
      </c>
      <c r="F21" s="13">
        <f>IFERROR((E21-D21)/D21,"n/a")</f>
        <v>9.026052284203788E-2</v>
      </c>
      <c r="G21" s="13">
        <f>IFERROR((E21/C21)^(1/6)-1,"n/a")</f>
        <v>0.10305532274671103</v>
      </c>
    </row>
    <row r="22" spans="1:7" x14ac:dyDescent="0.3">
      <c r="A22" t="s">
        <v>44</v>
      </c>
      <c r="B22" t="s">
        <v>18</v>
      </c>
      <c r="C22" s="9">
        <f>SUMIFS(GSTData[total_gst_excl_cess],GSTData[state_name],$A22,GSTData[financial_year],"2018-19")</f>
        <v>1917.7499999999998</v>
      </c>
      <c r="D22" s="9">
        <f>SUMIFS(GSTData[total_gst_excl_cess],GSTData[state_name],$A22,GSTData[financial_year],"2023-24")</f>
        <v>2627.7399999999993</v>
      </c>
      <c r="E22" s="9">
        <f>SUMIFS(GSTData[total_gst_excl_cess],GSTData[state_name],$A22,GSTData[financial_year],"2024-25")</f>
        <v>2852.0000000000005</v>
      </c>
      <c r="F22" s="13">
        <f>IFERROR((E22-D22)/D22,"n/a")</f>
        <v>8.5343298804296155E-2</v>
      </c>
      <c r="G22" s="13">
        <f>IFERROR((E22/C22)^(1/6)-1,"n/a")</f>
        <v>6.8381243543073733E-2</v>
      </c>
    </row>
    <row r="23" spans="1:7" x14ac:dyDescent="0.3">
      <c r="A23" t="s">
        <v>48</v>
      </c>
      <c r="B23" t="s">
        <v>20</v>
      </c>
      <c r="C23" s="9">
        <f>SUMIFS(GSTData[total_gst_excl_cess],GSTData[state_name],$A23,GSTData[financial_year],"2018-19")</f>
        <v>63393.86</v>
      </c>
      <c r="D23" s="9">
        <f>SUMIFS(GSTData[total_gst_excl_cess],GSTData[state_name],$A23,GSTData[financial_year],"2023-24")</f>
        <v>112582.27999999997</v>
      </c>
      <c r="E23" s="9">
        <f>SUMIFS(GSTData[total_gst_excl_cess],GSTData[state_name],$A23,GSTData[financial_year],"2024-25")</f>
        <v>121845.96</v>
      </c>
      <c r="F23" s="13">
        <f>IFERROR((E23-D23)/D23,"n/a")</f>
        <v>8.2283641795138973E-2</v>
      </c>
      <c r="G23" s="13">
        <f>IFERROR((E23/C23)^(1/6)-1,"n/a")</f>
        <v>0.1150490951259644</v>
      </c>
    </row>
    <row r="24" spans="1:7" x14ac:dyDescent="0.3">
      <c r="A24" t="s">
        <v>35</v>
      </c>
      <c r="B24" t="s">
        <v>20</v>
      </c>
      <c r="C24" s="9">
        <f>SUMIFS(GSTData[total_gst_excl_cess],GSTData[state_name],$A24,GSTData[financial_year],"2018-19")</f>
        <v>16278.51</v>
      </c>
      <c r="D24" s="9">
        <f>SUMIFS(GSTData[total_gst_excl_cess],GSTData[state_name],$A24,GSTData[financial_year],"2023-24")</f>
        <v>30620.34</v>
      </c>
      <c r="E24" s="9">
        <f>SUMIFS(GSTData[total_gst_excl_cess],GSTData[state_name],$A24,GSTData[financial_year],"2024-25")</f>
        <v>33023.200000000004</v>
      </c>
      <c r="F24" s="13">
        <f>IFERROR((E24-D24)/D24,"n/a")</f>
        <v>7.8472675352396618E-2</v>
      </c>
      <c r="G24" s="13">
        <f>IFERROR((E24/C24)^(1/6)-1,"n/a")</f>
        <v>0.12512493777017109</v>
      </c>
    </row>
    <row r="25" spans="1:7" x14ac:dyDescent="0.3">
      <c r="A25" t="s">
        <v>52</v>
      </c>
      <c r="B25" t="s">
        <v>20</v>
      </c>
      <c r="C25" s="9">
        <f>SUMIFS(GSTData[total_gst_excl_cess],GSTData[state_name],$A25,GSTData[financial_year],"2018-19")</f>
        <v>14910.02</v>
      </c>
      <c r="D25" s="9">
        <f>SUMIFS(GSTData[total_gst_excl_cess],GSTData[state_name],$A25,GSTData[financial_year],"2023-24")</f>
        <v>19099.82</v>
      </c>
      <c r="E25" s="9">
        <f>SUMIFS(GSTData[total_gst_excl_cess],GSTData[state_name],$A25,GSTData[financial_year],"2024-25")</f>
        <v>20541.510000000002</v>
      </c>
      <c r="F25" s="13">
        <f>IFERROR((E25-D25)/D25,"n/a")</f>
        <v>7.5481863179862552E-2</v>
      </c>
      <c r="G25" s="13">
        <f>IFERROR((E25/C25)^(1/6)-1,"n/a")</f>
        <v>5.4854006044024128E-2</v>
      </c>
    </row>
    <row r="26" spans="1:7" x14ac:dyDescent="0.3">
      <c r="A26" t="s">
        <v>37</v>
      </c>
      <c r="B26" t="s">
        <v>20</v>
      </c>
      <c r="C26" s="9">
        <f>SUMIFS(GSTData[total_gst_excl_cess],GSTData[state_name],$A26,GSTData[financial_year],"2018-19")</f>
        <v>20743.960000000003</v>
      </c>
      <c r="D26" s="9">
        <f>SUMIFS(GSTData[total_gst_excl_cess],GSTData[state_name],$A26,GSTData[financial_year],"2023-24")</f>
        <v>34619.47</v>
      </c>
      <c r="E26" s="9">
        <f>SUMIFS(GSTData[total_gst_excl_cess],GSTData[state_name],$A26,GSTData[financial_year],"2024-25")</f>
        <v>37131.039999999994</v>
      </c>
      <c r="F26" s="13">
        <f>IFERROR((E26-D26)/D26,"n/a")</f>
        <v>7.2547904401771376E-2</v>
      </c>
      <c r="G26" s="13">
        <f>IFERROR((E26/C26)^(1/6)-1,"n/a")</f>
        <v>0.10189676454292917</v>
      </c>
    </row>
    <row r="27" spans="1:7" x14ac:dyDescent="0.3">
      <c r="A27" t="s">
        <v>32</v>
      </c>
      <c r="B27" t="s">
        <v>18</v>
      </c>
      <c r="C27" s="9">
        <f>SUMIFS(GSTData[total_gst_excl_cess],GSTData[state_name],$A27,GSTData[financial_year],"2018-19")</f>
        <v>3750.9</v>
      </c>
      <c r="D27" s="9">
        <f>SUMIFS(GSTData[total_gst_excl_cess],GSTData[state_name],$A27,GSTData[financial_year],"2023-24")</f>
        <v>6618.5499999999993</v>
      </c>
      <c r="E27" s="9">
        <f>SUMIFS(GSTData[total_gst_excl_cess],GSTData[state_name],$A27,GSTData[financial_year],"2024-25")</f>
        <v>7058.8599999999988</v>
      </c>
      <c r="F27" s="13">
        <f>IFERROR((E27-D27)/D27,"n/a")</f>
        <v>6.6526656140695403E-2</v>
      </c>
      <c r="G27" s="13">
        <f>IFERROR((E27/C27)^(1/6)-1,"n/a")</f>
        <v>0.11113419658153489</v>
      </c>
    </row>
    <row r="28" spans="1:7" x14ac:dyDescent="0.3">
      <c r="A28" t="s">
        <v>49</v>
      </c>
      <c r="B28" t="s">
        <v>20</v>
      </c>
      <c r="C28" s="9">
        <f>SUMIFS(GSTData[total_gst_excl_cess],GSTData[state_name],$A28,GSTData[financial_year],"2018-19")</f>
        <v>29910.74</v>
      </c>
      <c r="D28" s="9">
        <f>SUMIFS(GSTData[total_gst_excl_cess],GSTData[state_name],$A28,GSTData[financial_year],"2023-24")</f>
        <v>53393.239999999991</v>
      </c>
      <c r="E28" s="9">
        <f>SUMIFS(GSTData[total_gst_excl_cess],GSTData[state_name],$A28,GSTData[financial_year],"2024-25")</f>
        <v>56638.130000000005</v>
      </c>
      <c r="F28" s="13">
        <f>IFERROR((E28-D28)/D28,"n/a")</f>
        <v>6.0773423751771097E-2</v>
      </c>
      <c r="G28" s="13">
        <f>IFERROR((E28/C28)^(1/6)-1,"n/a")</f>
        <v>0.1122787104820715</v>
      </c>
    </row>
    <row r="29" spans="1:7" x14ac:dyDescent="0.3">
      <c r="A29" t="s">
        <v>53</v>
      </c>
      <c r="B29" t="s">
        <v>20</v>
      </c>
      <c r="C29" s="9">
        <f>SUMIFS(GSTData[total_gst_excl_cess],GSTData[state_name],$A29,GSTData[financial_year],"2018-19")</f>
        <v>35881.979999999996</v>
      </c>
      <c r="D29" s="9">
        <f>SUMIFS(GSTData[total_gst_excl_cess],GSTData[state_name],$A29,GSTData[financial_year],"2023-24")</f>
        <v>58010.44</v>
      </c>
      <c r="E29" s="9">
        <f>SUMIFS(GSTData[total_gst_excl_cess],GSTData[state_name],$A29,GSTData[financial_year],"2024-25")</f>
        <v>61427.450000000004</v>
      </c>
      <c r="F29" s="13">
        <f>IFERROR((E29-D29)/D29,"n/a")</f>
        <v>5.8903362911917265E-2</v>
      </c>
      <c r="G29" s="13">
        <f>IFERROR((E29/C29)^(1/6)-1,"n/a")</f>
        <v>9.3740636063352589E-2</v>
      </c>
    </row>
    <row r="30" spans="1:7" x14ac:dyDescent="0.3">
      <c r="A30" t="s">
        <v>39</v>
      </c>
      <c r="B30" t="s">
        <v>20</v>
      </c>
      <c r="C30" s="9">
        <f>SUMIFS(GSTData[total_gst_excl_cess],GSTData[state_name],$A30,GSTData[financial_year],"2018-19")</f>
        <v>307.97999999999996</v>
      </c>
      <c r="D30" s="9">
        <f>SUMIFS(GSTData[total_gst_excl_cess],GSTData[state_name],$A30,GSTData[financial_year],"2023-24")</f>
        <v>667.11999999999989</v>
      </c>
      <c r="E30" s="9">
        <f>SUMIFS(GSTData[total_gst_excl_cess],GSTData[state_name],$A30,GSTData[financial_year],"2024-25")</f>
        <v>698.47</v>
      </c>
      <c r="F30" s="13">
        <f>IFERROR((E30-D30)/D30,"n/a")</f>
        <v>4.6993044729584092E-2</v>
      </c>
      <c r="G30" s="13">
        <f>IFERROR((E30/C30)^(1/6)-1,"n/a")</f>
        <v>0.1462276321555922</v>
      </c>
    </row>
    <row r="31" spans="1:7" x14ac:dyDescent="0.3">
      <c r="A31" t="s">
        <v>33</v>
      </c>
      <c r="B31" t="s">
        <v>20</v>
      </c>
      <c r="C31" s="9">
        <f>SUMIFS(GSTData[total_gst_excl_cess],GSTData[state_name],$A31,GSTData[financial_year],"2018-19")</f>
        <v>18755.990000000002</v>
      </c>
      <c r="D31" s="9">
        <f>SUMIFS(GSTData[total_gst_excl_cess],GSTData[state_name],$A31,GSTData[financial_year],"2023-24")</f>
        <v>27799.13</v>
      </c>
      <c r="E31" s="9">
        <f>SUMIFS(GSTData[total_gst_excl_cess],GSTData[state_name],$A31,GSTData[financial_year],"2024-25")</f>
        <v>29023.09</v>
      </c>
      <c r="F31" s="13">
        <f>IFERROR((E31-D31)/D31,"n/a")</f>
        <v>4.4028716006580031E-2</v>
      </c>
      <c r="G31" s="13">
        <f>IFERROR((E31/C31)^(1/6)-1,"n/a")</f>
        <v>7.5475717932691255E-2</v>
      </c>
    </row>
    <row r="32" spans="1:7" x14ac:dyDescent="0.3">
      <c r="A32" t="s">
        <v>24</v>
      </c>
      <c r="B32" t="s">
        <v>18</v>
      </c>
      <c r="C32" s="9">
        <f>SUMIFS(GSTData[total_gst_excl_cess],GSTData[state_name],$A32,GSTData[financial_year],"2018-19")</f>
        <v>1774.6299999999999</v>
      </c>
      <c r="D32" s="9">
        <f>SUMIFS(GSTData[total_gst_excl_cess],GSTData[state_name],$A32,GSTData[financial_year],"2023-24")</f>
        <v>2750.99</v>
      </c>
      <c r="E32" s="9">
        <f>SUMIFS(GSTData[total_gst_excl_cess],GSTData[state_name],$A32,GSTData[financial_year],"2024-25")</f>
        <v>2869.4500000000003</v>
      </c>
      <c r="F32" s="13">
        <f>IFERROR((E32-D32)/D32,"n/a")</f>
        <v>4.3060861726142409E-2</v>
      </c>
      <c r="G32" s="13">
        <f>IFERROR((E32/C32)^(1/6)-1,"n/a")</f>
        <v>8.3382477560859369E-2</v>
      </c>
    </row>
    <row r="33" spans="1:7" x14ac:dyDescent="0.3">
      <c r="A33" t="s">
        <v>31</v>
      </c>
      <c r="B33" t="s">
        <v>20</v>
      </c>
      <c r="C33" s="9">
        <f>SUMIFS(GSTData[total_gst_excl_cess],GSTData[state_name],$A33,GSTData[financial_year],"2018-19")</f>
        <v>7578.18</v>
      </c>
      <c r="D33" s="9">
        <f>SUMIFS(GSTData[total_gst_excl_cess],GSTData[state_name],$A33,GSTData[financial_year],"2023-24")</f>
        <v>9934.86</v>
      </c>
      <c r="E33" s="9">
        <f>SUMIFS(GSTData[total_gst_excl_cess],GSTData[state_name],$A33,GSTData[financial_year],"2024-25")</f>
        <v>10323.250000000002</v>
      </c>
      <c r="F33" s="13">
        <f>IFERROR((E33-D33)/D33,"n/a")</f>
        <v>3.909365607567708E-2</v>
      </c>
      <c r="G33" s="13">
        <f>IFERROR((E33/C33)^(1/6)-1,"n/a")</f>
        <v>5.2871220493075688E-2</v>
      </c>
    </row>
    <row r="34" spans="1:7" x14ac:dyDescent="0.3">
      <c r="A34" t="s">
        <v>19</v>
      </c>
      <c r="B34" t="s">
        <v>20</v>
      </c>
      <c r="C34" s="9">
        <f>SUMIFS(GSTData[total_gst_excl_cess],GSTData[state_name],$A34,GSTData[financial_year],"2018-19")</f>
        <v>25058.870000000003</v>
      </c>
      <c r="D34" s="9">
        <f>SUMIFS(GSTData[total_gst_excl_cess],GSTData[state_name],$A34,GSTData[financial_year],"2023-24")</f>
        <v>40900.129999999997</v>
      </c>
      <c r="E34" s="9">
        <f>SUMIFS(GSTData[total_gst_excl_cess],GSTData[state_name],$A34,GSTData[financial_year],"2024-25")</f>
        <v>41981.34</v>
      </c>
      <c r="F34" s="13">
        <f>IFERROR((E34-D34)/D34,"n/a")</f>
        <v>2.6435368298340353E-2</v>
      </c>
      <c r="G34" s="13">
        <f>IFERROR((E34/C34)^(1/6)-1,"n/a")</f>
        <v>8.9805851909730672E-2</v>
      </c>
    </row>
    <row r="35" spans="1:7" x14ac:dyDescent="0.3">
      <c r="A35" t="s">
        <v>41</v>
      </c>
      <c r="B35" t="s">
        <v>20</v>
      </c>
      <c r="C35" s="9">
        <f>SUMIFS(GSTData[total_gst_excl_cess],GSTData[state_name],$A35,GSTData[financial_year],"2018-19")</f>
        <v>212.52</v>
      </c>
      <c r="D35" s="9">
        <f>SUMIFS(GSTData[total_gst_excl_cess],GSTData[state_name],$A35,GSTData[financial_year],"2023-24")</f>
        <v>499.2</v>
      </c>
      <c r="E35" s="9">
        <f>SUMIFS(GSTData[total_gst_excl_cess],GSTData[state_name],$A35,GSTData[financial_year],"2024-25")</f>
        <v>511.19</v>
      </c>
      <c r="F35" s="13">
        <f>IFERROR((E35-D35)/D35,"n/a")</f>
        <v>2.4018429487179506E-2</v>
      </c>
      <c r="G35" s="13">
        <f>IFERROR((E35/C35)^(1/6)-1,"n/a")</f>
        <v>0.15752511756036802</v>
      </c>
    </row>
    <row r="36" spans="1:7" x14ac:dyDescent="0.3">
      <c r="A36" t="s">
        <v>26</v>
      </c>
      <c r="B36" t="s">
        <v>18</v>
      </c>
      <c r="C36" s="9">
        <f>SUMIFS(GSTData[total_gst_excl_cess],GSTData[state_name],$A36,GSTData[financial_year],"2018-19")</f>
        <v>2821.6299999999997</v>
      </c>
      <c r="D36" s="9">
        <f>SUMIFS(GSTData[total_gst_excl_cess],GSTData[state_name],$A36,GSTData[financial_year],"2023-24")</f>
        <v>4328.17</v>
      </c>
      <c r="E36" s="9">
        <f>SUMIFS(GSTData[total_gst_excl_cess],GSTData[state_name],$A36,GSTData[financial_year],"2024-25")</f>
        <v>4406.1799999999994</v>
      </c>
      <c r="F36" s="13">
        <f>IFERROR((E36-D36)/D36,"n/a")</f>
        <v>1.8023783723836936E-2</v>
      </c>
      <c r="G36" s="13">
        <f>IFERROR((E36/C36)^(1/6)-1,"n/a")</f>
        <v>7.7110753556431044E-2</v>
      </c>
    </row>
    <row r="37" spans="1:7" x14ac:dyDescent="0.3">
      <c r="A37" t="s">
        <v>42</v>
      </c>
      <c r="B37" t="s">
        <v>20</v>
      </c>
      <c r="C37" s="9">
        <f>SUMIFS(GSTData[total_gst_excl_cess],GSTData[state_name],$A37,GSTData[financial_year],"2018-19")</f>
        <v>217.86</v>
      </c>
      <c r="D37" s="9">
        <f>SUMIFS(GSTData[total_gst_excl_cess],GSTData[state_name],$A37,GSTData[financial_year],"2023-24")</f>
        <v>664.8599999999999</v>
      </c>
      <c r="E37" s="9">
        <f>SUMIFS(GSTData[total_gst_excl_cess],GSTData[state_name],$A37,GSTData[financial_year],"2024-25")</f>
        <v>657.93000000000006</v>
      </c>
      <c r="F37" s="13">
        <f>IFERROR((E37-D37)/D37,"n/a")</f>
        <v>-1.0423246999368044E-2</v>
      </c>
      <c r="G37" s="13">
        <f>IFERROR((E37/C37)^(1/6)-1,"n/a")</f>
        <v>0.20226544520046086</v>
      </c>
    </row>
    <row r="38" spans="1:7" x14ac:dyDescent="0.3">
      <c r="A38" t="s">
        <v>40</v>
      </c>
      <c r="B38" t="s">
        <v>20</v>
      </c>
      <c r="C38" s="9">
        <f>SUMIFS(GSTData[total_gst_excl_cess],GSTData[state_name],$A38,GSTData[financial_year],"2018-19")</f>
        <v>1347.27</v>
      </c>
      <c r="D38" s="9">
        <f>SUMIFS(GSTData[total_gst_excl_cess],GSTData[state_name],$A38,GSTData[financial_year],"2023-24")</f>
        <v>2235.48</v>
      </c>
      <c r="E38" s="9">
        <f>SUMIFS(GSTData[total_gst_excl_cess],GSTData[state_name],$A38,GSTData[financial_year],"2024-25")</f>
        <v>2178.25</v>
      </c>
      <c r="F38" s="13">
        <f>IFERROR((E38-D38)/D38,"n/a")</f>
        <v>-2.560076583105195E-2</v>
      </c>
      <c r="G38" s="13">
        <f>IFERROR((E38/C38)^(1/6)-1,"n/a")</f>
        <v>8.3366778753156456E-2</v>
      </c>
    </row>
    <row r="39" spans="1:7" x14ac:dyDescent="0.3">
      <c r="A39" t="s">
        <v>21</v>
      </c>
      <c r="B39" t="s">
        <v>20</v>
      </c>
      <c r="C39" s="9">
        <f>SUMIFS(GSTData[total_gst_excl_cess],GSTData[state_name],$A39,GSTData[financial_year],"2018-19")</f>
        <v>396.16999999999996</v>
      </c>
      <c r="D39" s="9">
        <f>SUMIFS(GSTData[total_gst_excl_cess],GSTData[state_name],$A39,GSTData[financial_year],"2023-24")</f>
        <v>1305.5700000000002</v>
      </c>
      <c r="E39" s="9">
        <f>SUMIFS(GSTData[total_gst_excl_cess],GSTData[state_name],$A39,GSTData[financial_year],"2024-25")</f>
        <v>1198.3399999999999</v>
      </c>
      <c r="F39" s="13">
        <f>IFERROR((E39-D39)/D39,"n/a")</f>
        <v>-8.2132708318971973E-2</v>
      </c>
      <c r="G39" s="13">
        <f>IFERROR((E39/C39)^(1/6)-1,"n/a")</f>
        <v>0.20258674240021901</v>
      </c>
    </row>
    <row r="40" spans="1:7" ht="15" thickBot="1" x14ac:dyDescent="0.35">
      <c r="A40" t="s">
        <v>36</v>
      </c>
      <c r="B40" t="s">
        <v>18</v>
      </c>
      <c r="C40" s="9">
        <f>SUMIFS(GSTData[total_gst_excl_cess],GSTData[state_name],$A40,GSTData[financial_year],"2018-19")</f>
        <v>20.020000000000003</v>
      </c>
      <c r="D40" s="9">
        <f>SUMIFS(GSTData[total_gst_excl_cess],GSTData[state_name],$A40,GSTData[financial_year],"2023-24")</f>
        <v>45.359999999999992</v>
      </c>
      <c r="E40" s="9">
        <f>SUMIFS(GSTData[total_gst_excl_cess],GSTData[state_name],$A40,GSTData[financial_year],"2024-25")</f>
        <v>20.799999999999997</v>
      </c>
      <c r="F40" s="13">
        <f>IFERROR((E40-D40)/D40,"n/a")</f>
        <v>-0.5414462081128748</v>
      </c>
      <c r="G40" s="13">
        <f>IFERROR((E40/C40)^(1/6)-1,"n/a")</f>
        <v>6.390535026273847E-3</v>
      </c>
    </row>
    <row r="41" spans="1:7" x14ac:dyDescent="0.3">
      <c r="A41" s="11" t="s">
        <v>103</v>
      </c>
      <c r="B41" s="11"/>
      <c r="C41" s="12">
        <f>SUM(C5:C40)</f>
        <v>786417.50000000012</v>
      </c>
      <c r="D41" s="12">
        <f>SUM(D5:D40)</f>
        <v>1385487.6300000004</v>
      </c>
      <c r="E41" s="12">
        <f>SUM(E5:E40)</f>
        <v>1528057.2899999998</v>
      </c>
      <c r="F41" s="14">
        <f>(E41-D41)/D41</f>
        <v>0.10290215294091035</v>
      </c>
      <c r="G41" s="14">
        <f>(E41/C41)^(1/6)-1</f>
        <v>0.11707177329127583</v>
      </c>
    </row>
  </sheetData>
  <conditionalFormatting sqref="F5:F4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495D-AD21-42DD-84AF-779D3F3B0CD2}">
  <dimension ref="A1:J97"/>
  <sheetViews>
    <sheetView workbookViewId="0"/>
  </sheetViews>
  <sheetFormatPr defaultRowHeight="14.4" x14ac:dyDescent="0.3"/>
  <cols>
    <col min="1" max="1" width="12.5546875" bestFit="1" customWidth="1"/>
    <col min="2" max="2" width="12.6640625" bestFit="1" customWidth="1"/>
    <col min="5" max="5" width="12.5546875" bestFit="1" customWidth="1"/>
    <col min="6" max="6" width="17.77734375" bestFit="1" customWidth="1"/>
    <col min="9" max="9" width="12.5546875" bestFit="1" customWidth="1"/>
    <col min="10" max="10" width="20.5546875" bestFit="1" customWidth="1"/>
  </cols>
  <sheetData>
    <row r="1" spans="1:10" x14ac:dyDescent="0.3">
      <c r="A1" t="s">
        <v>104</v>
      </c>
    </row>
    <row r="3" spans="1:10" x14ac:dyDescent="0.3">
      <c r="A3" s="4" t="s">
        <v>89</v>
      </c>
      <c r="B3" t="s">
        <v>105</v>
      </c>
      <c r="E3" s="4" t="s">
        <v>89</v>
      </c>
      <c r="F3" t="s">
        <v>106</v>
      </c>
      <c r="I3" s="4" t="s">
        <v>89</v>
      </c>
      <c r="J3" t="s">
        <v>107</v>
      </c>
    </row>
    <row r="4" spans="1:10" x14ac:dyDescent="0.3">
      <c r="A4" s="5" t="s">
        <v>38</v>
      </c>
      <c r="B4" s="6">
        <v>1731892.8800000004</v>
      </c>
      <c r="E4" s="5" t="s">
        <v>15</v>
      </c>
      <c r="F4" s="6">
        <v>483050.84999999992</v>
      </c>
      <c r="I4" s="32">
        <v>42948</v>
      </c>
      <c r="J4" s="6">
        <v>65409.69</v>
      </c>
    </row>
    <row r="5" spans="1:10" x14ac:dyDescent="0.3">
      <c r="A5" s="5" t="s">
        <v>34</v>
      </c>
      <c r="B5" s="6">
        <v>745108.94</v>
      </c>
      <c r="E5" s="5" t="s">
        <v>61</v>
      </c>
      <c r="F5" s="6">
        <v>786417.50000000047</v>
      </c>
      <c r="I5" s="32">
        <v>42979</v>
      </c>
      <c r="J5" s="6">
        <v>62100.24</v>
      </c>
    </row>
    <row r="6" spans="1:10" x14ac:dyDescent="0.3">
      <c r="A6" s="5" t="s">
        <v>29</v>
      </c>
      <c r="B6" s="6">
        <v>723163.4800000001</v>
      </c>
      <c r="E6" s="5" t="s">
        <v>66</v>
      </c>
      <c r="F6" s="6">
        <v>853340.63999999978</v>
      </c>
      <c r="I6" s="32">
        <v>43009</v>
      </c>
      <c r="J6" s="6">
        <v>63122.929999999993</v>
      </c>
    </row>
    <row r="7" spans="1:10" x14ac:dyDescent="0.3">
      <c r="A7" s="5" t="s">
        <v>48</v>
      </c>
      <c r="B7" s="6">
        <v>666936.92999999993</v>
      </c>
      <c r="E7" s="5" t="s">
        <v>68</v>
      </c>
      <c r="F7" s="6">
        <v>783811.1600000005</v>
      </c>
      <c r="I7" s="32">
        <v>43040</v>
      </c>
      <c r="J7" s="6">
        <v>56609.750000000015</v>
      </c>
    </row>
    <row r="8" spans="1:10" x14ac:dyDescent="0.3">
      <c r="A8" s="5" t="s">
        <v>30</v>
      </c>
      <c r="B8" s="6">
        <v>563042.49000000034</v>
      </c>
      <c r="E8" s="5" t="s">
        <v>69</v>
      </c>
      <c r="F8" s="6">
        <v>994956.80000000005</v>
      </c>
      <c r="I8" s="32">
        <v>43070</v>
      </c>
      <c r="J8" s="6">
        <v>55627.75</v>
      </c>
    </row>
    <row r="9" spans="1:10" x14ac:dyDescent="0.3">
      <c r="A9" s="5" t="s">
        <v>51</v>
      </c>
      <c r="B9" s="6">
        <v>512410.49000000017</v>
      </c>
      <c r="E9" s="5" t="s">
        <v>70</v>
      </c>
      <c r="F9" s="6">
        <v>1203045.2400000002</v>
      </c>
      <c r="I9" s="32">
        <v>43101</v>
      </c>
      <c r="J9" s="6">
        <v>59958.119999999988</v>
      </c>
    </row>
    <row r="10" spans="1:10" x14ac:dyDescent="0.3">
      <c r="A10" s="5" t="s">
        <v>27</v>
      </c>
      <c r="B10" s="6">
        <v>396187.47</v>
      </c>
      <c r="E10" s="5" t="s">
        <v>71</v>
      </c>
      <c r="F10" s="6">
        <v>1385487.6299999985</v>
      </c>
      <c r="I10" s="32">
        <v>43132</v>
      </c>
      <c r="J10" s="6">
        <v>58061.469999999994</v>
      </c>
    </row>
    <row r="11" spans="1:10" x14ac:dyDescent="0.3">
      <c r="A11" s="5" t="s">
        <v>53</v>
      </c>
      <c r="B11" s="6">
        <v>360960.35999999993</v>
      </c>
      <c r="E11" s="5" t="s">
        <v>72</v>
      </c>
      <c r="F11" s="6">
        <v>1528057.2900000005</v>
      </c>
      <c r="I11" s="32">
        <v>43160</v>
      </c>
      <c r="J11" s="6">
        <v>62160.899999999987</v>
      </c>
    </row>
    <row r="12" spans="1:10" x14ac:dyDescent="0.3">
      <c r="A12" s="5" t="s">
        <v>49</v>
      </c>
      <c r="B12" s="6">
        <v>316438.84000000008</v>
      </c>
      <c r="E12" s="5" t="s">
        <v>73</v>
      </c>
      <c r="F12" s="6">
        <v>265456.65000000008</v>
      </c>
      <c r="I12" s="32">
        <v>43191</v>
      </c>
      <c r="J12" s="6">
        <v>73528.149999999994</v>
      </c>
    </row>
    <row r="13" spans="1:10" x14ac:dyDescent="0.3">
      <c r="A13" s="5" t="s">
        <v>46</v>
      </c>
      <c r="B13" s="6">
        <v>298663.18</v>
      </c>
      <c r="I13" s="32">
        <v>43221</v>
      </c>
      <c r="J13" s="6">
        <v>61452.160000000003</v>
      </c>
    </row>
    <row r="14" spans="1:10" x14ac:dyDescent="0.3">
      <c r="I14" s="32">
        <v>43252</v>
      </c>
      <c r="J14" s="6">
        <v>62811.430000000008</v>
      </c>
    </row>
    <row r="15" spans="1:10" x14ac:dyDescent="0.3">
      <c r="I15" s="32">
        <v>43282</v>
      </c>
      <c r="J15" s="6">
        <v>63082.619999999995</v>
      </c>
    </row>
    <row r="16" spans="1:10" x14ac:dyDescent="0.3">
      <c r="I16" s="32">
        <v>43313</v>
      </c>
      <c r="J16" s="6">
        <v>59572.67</v>
      </c>
    </row>
    <row r="17" spans="9:10" x14ac:dyDescent="0.3">
      <c r="I17" s="32">
        <v>43344</v>
      </c>
      <c r="J17" s="6">
        <v>60936.760000000009</v>
      </c>
    </row>
    <row r="18" spans="9:10" x14ac:dyDescent="0.3">
      <c r="I18" s="32">
        <v>43374</v>
      </c>
      <c r="J18" s="6">
        <v>65611.399999999994</v>
      </c>
    </row>
    <row r="19" spans="9:10" x14ac:dyDescent="0.3">
      <c r="I19" s="32">
        <v>43405</v>
      </c>
      <c r="J19" s="6">
        <v>65243.709999999992</v>
      </c>
    </row>
    <row r="20" spans="9:10" x14ac:dyDescent="0.3">
      <c r="I20" s="32">
        <v>43435</v>
      </c>
      <c r="J20" s="6">
        <v>62932.739999999983</v>
      </c>
    </row>
    <row r="21" spans="9:10" x14ac:dyDescent="0.3">
      <c r="I21" s="32">
        <v>43466</v>
      </c>
      <c r="J21" s="6">
        <v>69518.340000000011</v>
      </c>
    </row>
    <row r="22" spans="9:10" x14ac:dyDescent="0.3">
      <c r="I22" s="32">
        <v>43497</v>
      </c>
      <c r="J22" s="6">
        <v>67197.989999999991</v>
      </c>
    </row>
    <row r="23" spans="9:10" x14ac:dyDescent="0.3">
      <c r="I23" s="32">
        <v>43525</v>
      </c>
      <c r="J23" s="6">
        <v>74529.53</v>
      </c>
    </row>
    <row r="24" spans="9:10" x14ac:dyDescent="0.3">
      <c r="I24" s="32">
        <v>43556</v>
      </c>
      <c r="J24" s="6">
        <v>81100.109999999986</v>
      </c>
    </row>
    <row r="25" spans="9:10" x14ac:dyDescent="0.3">
      <c r="I25" s="32">
        <v>43586</v>
      </c>
      <c r="J25" s="6">
        <v>67104.409999999989</v>
      </c>
    </row>
    <row r="26" spans="9:10" x14ac:dyDescent="0.3">
      <c r="I26" s="32">
        <v>43617</v>
      </c>
      <c r="J26" s="6">
        <v>69274.69</v>
      </c>
    </row>
    <row r="27" spans="9:10" x14ac:dyDescent="0.3">
      <c r="I27" s="32">
        <v>43647</v>
      </c>
      <c r="J27" s="6">
        <v>69067.600000000006</v>
      </c>
    </row>
    <row r="28" spans="9:10" x14ac:dyDescent="0.3">
      <c r="I28" s="32">
        <v>43678</v>
      </c>
      <c r="J28" s="6">
        <v>65842.759999999995</v>
      </c>
    </row>
    <row r="29" spans="9:10" x14ac:dyDescent="0.3">
      <c r="I29" s="32">
        <v>43709</v>
      </c>
      <c r="J29" s="6">
        <v>62032.68</v>
      </c>
    </row>
    <row r="30" spans="9:10" x14ac:dyDescent="0.3">
      <c r="I30" s="32">
        <v>43739</v>
      </c>
      <c r="J30" s="6">
        <v>66101.97</v>
      </c>
    </row>
    <row r="31" spans="9:10" x14ac:dyDescent="0.3">
      <c r="I31" s="32">
        <v>43770</v>
      </c>
      <c r="J31" s="6">
        <v>74566.959999999977</v>
      </c>
    </row>
    <row r="32" spans="9:10" x14ac:dyDescent="0.3">
      <c r="I32" s="32">
        <v>43800</v>
      </c>
      <c r="J32" s="6">
        <v>73364.340000000011</v>
      </c>
    </row>
    <row r="33" spans="9:10" x14ac:dyDescent="0.3">
      <c r="I33" s="32">
        <v>43831</v>
      </c>
      <c r="J33" s="6">
        <v>78440.840000000011</v>
      </c>
    </row>
    <row r="34" spans="9:10" x14ac:dyDescent="0.3">
      <c r="I34" s="32">
        <v>43862</v>
      </c>
      <c r="J34" s="6">
        <v>75429.149999999994</v>
      </c>
    </row>
    <row r="35" spans="9:10" x14ac:dyDescent="0.3">
      <c r="I35" s="32">
        <v>43891</v>
      </c>
      <c r="J35" s="6">
        <v>71015.13</v>
      </c>
    </row>
    <row r="36" spans="9:10" x14ac:dyDescent="0.3">
      <c r="I36" s="32">
        <v>43922</v>
      </c>
      <c r="J36" s="6">
        <v>18802.740000000002</v>
      </c>
    </row>
    <row r="37" spans="9:10" x14ac:dyDescent="0.3">
      <c r="I37" s="32">
        <v>43952</v>
      </c>
      <c r="J37" s="6">
        <v>39076.53</v>
      </c>
    </row>
    <row r="38" spans="9:10" x14ac:dyDescent="0.3">
      <c r="I38" s="32">
        <v>43983</v>
      </c>
      <c r="J38" s="6">
        <v>67310.989999999991</v>
      </c>
    </row>
    <row r="39" spans="9:10" x14ac:dyDescent="0.3">
      <c r="I39" s="32">
        <v>44013</v>
      </c>
      <c r="J39" s="6">
        <v>59556.900000000009</v>
      </c>
    </row>
    <row r="40" spans="9:10" x14ac:dyDescent="0.3">
      <c r="I40" s="32">
        <v>44044</v>
      </c>
      <c r="J40" s="6">
        <v>59714.880000000012</v>
      </c>
    </row>
    <row r="41" spans="9:10" x14ac:dyDescent="0.3">
      <c r="I41" s="32">
        <v>44075</v>
      </c>
      <c r="J41" s="6">
        <v>65683.550000000017</v>
      </c>
    </row>
    <row r="42" spans="9:10" x14ac:dyDescent="0.3">
      <c r="I42" s="32">
        <v>44105</v>
      </c>
      <c r="J42" s="6">
        <v>73564.34</v>
      </c>
    </row>
    <row r="43" spans="9:10" x14ac:dyDescent="0.3">
      <c r="I43" s="32">
        <v>44136</v>
      </c>
      <c r="J43" s="6">
        <v>74425.970000000016</v>
      </c>
    </row>
    <row r="44" spans="9:10" x14ac:dyDescent="0.3">
      <c r="I44" s="32">
        <v>44166</v>
      </c>
      <c r="J44" s="6">
        <v>79329.179999999978</v>
      </c>
    </row>
    <row r="45" spans="9:10" x14ac:dyDescent="0.3">
      <c r="I45" s="32">
        <v>44197</v>
      </c>
      <c r="J45" s="6">
        <v>83588.899999999994</v>
      </c>
    </row>
    <row r="46" spans="9:10" x14ac:dyDescent="0.3">
      <c r="I46" s="32">
        <v>44228</v>
      </c>
      <c r="J46" s="6">
        <v>78972.990000000005</v>
      </c>
    </row>
    <row r="47" spans="9:10" x14ac:dyDescent="0.3">
      <c r="I47" s="32">
        <v>44256</v>
      </c>
      <c r="J47" s="6">
        <v>83784.19</v>
      </c>
    </row>
    <row r="48" spans="9:10" x14ac:dyDescent="0.3">
      <c r="I48" s="32">
        <v>44287</v>
      </c>
      <c r="J48" s="6">
        <v>102038.89000000003</v>
      </c>
    </row>
    <row r="49" spans="9:10" x14ac:dyDescent="0.3">
      <c r="I49" s="32">
        <v>44317</v>
      </c>
      <c r="J49" s="6">
        <v>62331.94999999999</v>
      </c>
    </row>
    <row r="50" spans="9:10" x14ac:dyDescent="0.3">
      <c r="I50" s="32">
        <v>44348</v>
      </c>
      <c r="J50" s="6">
        <v>59797.779999999992</v>
      </c>
    </row>
    <row r="51" spans="9:10" x14ac:dyDescent="0.3">
      <c r="I51" s="32">
        <v>44378</v>
      </c>
      <c r="J51" s="6">
        <v>80400.73</v>
      </c>
    </row>
    <row r="52" spans="9:10" x14ac:dyDescent="0.3">
      <c r="I52" s="32">
        <v>44409</v>
      </c>
      <c r="J52" s="6">
        <v>76167.750000000015</v>
      </c>
    </row>
    <row r="53" spans="9:10" x14ac:dyDescent="0.3">
      <c r="I53" s="32">
        <v>44440</v>
      </c>
      <c r="J53" s="6">
        <v>78377.659999999989</v>
      </c>
    </row>
    <row r="54" spans="9:10" x14ac:dyDescent="0.3">
      <c r="I54" s="32">
        <v>44470</v>
      </c>
      <c r="J54" s="6">
        <v>88318.380000000019</v>
      </c>
    </row>
    <row r="55" spans="9:10" x14ac:dyDescent="0.3">
      <c r="I55" s="32">
        <v>44501</v>
      </c>
      <c r="J55" s="6">
        <v>89480.35000000002</v>
      </c>
    </row>
    <row r="56" spans="9:10" x14ac:dyDescent="0.3">
      <c r="I56" s="32">
        <v>44531</v>
      </c>
      <c r="J56" s="6">
        <v>82537.810000000012</v>
      </c>
    </row>
    <row r="57" spans="9:10" x14ac:dyDescent="0.3">
      <c r="I57" s="32">
        <v>44562</v>
      </c>
      <c r="J57" s="6">
        <v>93731.39</v>
      </c>
    </row>
    <row r="58" spans="9:10" x14ac:dyDescent="0.3">
      <c r="I58" s="32">
        <v>44593</v>
      </c>
      <c r="J58" s="6">
        <v>88546.43</v>
      </c>
    </row>
    <row r="59" spans="9:10" x14ac:dyDescent="0.3">
      <c r="I59" s="32">
        <v>44621</v>
      </c>
      <c r="J59" s="6">
        <v>93227.679999999978</v>
      </c>
    </row>
    <row r="60" spans="9:10" x14ac:dyDescent="0.3">
      <c r="I60" s="32">
        <v>44652</v>
      </c>
      <c r="J60" s="6">
        <v>119802.83000000002</v>
      </c>
    </row>
    <row r="61" spans="9:10" x14ac:dyDescent="0.3">
      <c r="I61" s="32">
        <v>44682</v>
      </c>
      <c r="J61" s="6">
        <v>92588.54</v>
      </c>
    </row>
    <row r="62" spans="9:10" x14ac:dyDescent="0.3">
      <c r="I62" s="32">
        <v>44713</v>
      </c>
      <c r="J62" s="6">
        <v>93147.930000000008</v>
      </c>
    </row>
    <row r="63" spans="9:10" x14ac:dyDescent="0.3">
      <c r="I63" s="32">
        <v>44743</v>
      </c>
      <c r="J63" s="6">
        <v>96277.369999999981</v>
      </c>
    </row>
    <row r="64" spans="9:10" x14ac:dyDescent="0.3">
      <c r="I64" s="32">
        <v>44774</v>
      </c>
      <c r="J64" s="6">
        <v>90947.15</v>
      </c>
    </row>
    <row r="65" spans="9:10" x14ac:dyDescent="0.3">
      <c r="I65" s="32">
        <v>44805</v>
      </c>
      <c r="J65" s="6">
        <v>95949.23000000001</v>
      </c>
    </row>
    <row r="66" spans="9:10" x14ac:dyDescent="0.3">
      <c r="I66" s="32">
        <v>44835</v>
      </c>
      <c r="J66" s="6">
        <v>103547.95999999999</v>
      </c>
    </row>
    <row r="67" spans="9:10" x14ac:dyDescent="0.3">
      <c r="I67" s="32">
        <v>44866</v>
      </c>
      <c r="J67" s="6">
        <v>96462.589999999982</v>
      </c>
    </row>
    <row r="68" spans="9:10" x14ac:dyDescent="0.3">
      <c r="I68" s="32">
        <v>44896</v>
      </c>
      <c r="J68" s="6">
        <v>97811.56</v>
      </c>
    </row>
    <row r="69" spans="9:10" x14ac:dyDescent="0.3">
      <c r="I69" s="32">
        <v>44927</v>
      </c>
      <c r="J69" s="6">
        <v>108044.01000000001</v>
      </c>
    </row>
    <row r="70" spans="9:10" x14ac:dyDescent="0.3">
      <c r="I70" s="32">
        <v>44958</v>
      </c>
      <c r="J70" s="6">
        <v>101593.01000000001</v>
      </c>
    </row>
    <row r="71" spans="9:10" x14ac:dyDescent="0.3">
      <c r="I71" s="32">
        <v>44986</v>
      </c>
      <c r="J71" s="6">
        <v>106873.06</v>
      </c>
    </row>
    <row r="72" spans="9:10" x14ac:dyDescent="0.3">
      <c r="I72" s="32">
        <v>45017</v>
      </c>
      <c r="J72" s="6">
        <v>139631.21</v>
      </c>
    </row>
    <row r="73" spans="9:10" x14ac:dyDescent="0.3">
      <c r="I73" s="32">
        <v>45047</v>
      </c>
      <c r="J73" s="6">
        <v>103441.53000000003</v>
      </c>
    </row>
    <row r="74" spans="9:10" x14ac:dyDescent="0.3">
      <c r="I74" s="32">
        <v>45078</v>
      </c>
      <c r="J74" s="6">
        <v>110154.54000000001</v>
      </c>
    </row>
    <row r="75" spans="9:10" x14ac:dyDescent="0.3">
      <c r="I75" s="32">
        <v>45108</v>
      </c>
      <c r="J75" s="6">
        <v>111652.51000000001</v>
      </c>
    </row>
    <row r="76" spans="9:10" x14ac:dyDescent="0.3">
      <c r="I76" s="32">
        <v>45139</v>
      </c>
      <c r="J76" s="6">
        <v>103445.98000000001</v>
      </c>
    </row>
    <row r="77" spans="9:10" x14ac:dyDescent="0.3">
      <c r="I77" s="32">
        <v>45170</v>
      </c>
      <c r="J77" s="6">
        <v>109550.57</v>
      </c>
    </row>
    <row r="78" spans="9:10" x14ac:dyDescent="0.3">
      <c r="I78" s="32">
        <v>45200</v>
      </c>
      <c r="J78" s="6">
        <v>116917.00000000004</v>
      </c>
    </row>
    <row r="79" spans="9:10" x14ac:dyDescent="0.3">
      <c r="I79" s="32">
        <v>45231</v>
      </c>
      <c r="J79" s="6">
        <v>116011.72999999998</v>
      </c>
    </row>
    <row r="80" spans="9:10" x14ac:dyDescent="0.3">
      <c r="I80" s="32">
        <v>45261</v>
      </c>
      <c r="J80" s="6">
        <v>110629.80999999998</v>
      </c>
    </row>
    <row r="81" spans="9:10" x14ac:dyDescent="0.3">
      <c r="I81" s="32">
        <v>45292</v>
      </c>
      <c r="J81" s="6">
        <v>122096.88000000002</v>
      </c>
    </row>
    <row r="82" spans="9:10" x14ac:dyDescent="0.3">
      <c r="I82" s="32">
        <v>45323</v>
      </c>
      <c r="J82" s="6">
        <v>116469.78</v>
      </c>
    </row>
    <row r="83" spans="9:10" x14ac:dyDescent="0.3">
      <c r="I83" s="32">
        <v>45352</v>
      </c>
      <c r="J83" s="6">
        <v>125486.09</v>
      </c>
    </row>
    <row r="84" spans="9:10" x14ac:dyDescent="0.3">
      <c r="I84" s="32">
        <v>45383</v>
      </c>
      <c r="J84" s="6">
        <v>158734.84</v>
      </c>
    </row>
    <row r="85" spans="9:10" x14ac:dyDescent="0.3">
      <c r="I85" s="32">
        <v>45413</v>
      </c>
      <c r="J85" s="6">
        <v>120124.10999999997</v>
      </c>
    </row>
    <row r="86" spans="9:10" x14ac:dyDescent="0.3">
      <c r="I86" s="32">
        <v>45444</v>
      </c>
      <c r="J86" s="6">
        <v>120155.78000000004</v>
      </c>
    </row>
    <row r="87" spans="9:10" x14ac:dyDescent="0.3">
      <c r="I87" s="32">
        <v>45474</v>
      </c>
      <c r="J87" s="6">
        <v>121654.70999999999</v>
      </c>
    </row>
    <row r="88" spans="9:10" x14ac:dyDescent="0.3">
      <c r="I88" s="32">
        <v>45505</v>
      </c>
      <c r="J88" s="6">
        <v>113379.32</v>
      </c>
    </row>
    <row r="89" spans="9:10" x14ac:dyDescent="0.3">
      <c r="I89" s="32">
        <v>45536</v>
      </c>
      <c r="J89" s="6">
        <v>116306.56000000001</v>
      </c>
    </row>
    <row r="90" spans="9:10" x14ac:dyDescent="0.3">
      <c r="I90" s="32">
        <v>45566</v>
      </c>
      <c r="J90" s="6">
        <v>130106.29</v>
      </c>
    </row>
    <row r="91" spans="9:10" x14ac:dyDescent="0.3">
      <c r="I91" s="32">
        <v>45597</v>
      </c>
      <c r="J91" s="6">
        <v>126821.80000000002</v>
      </c>
    </row>
    <row r="92" spans="9:10" x14ac:dyDescent="0.3">
      <c r="I92" s="32">
        <v>45627</v>
      </c>
      <c r="J92" s="6">
        <v>120613.75999999998</v>
      </c>
    </row>
    <row r="93" spans="9:10" x14ac:dyDescent="0.3">
      <c r="I93" s="32">
        <v>45658</v>
      </c>
      <c r="J93" s="6">
        <v>134160.02000000002</v>
      </c>
    </row>
    <row r="94" spans="9:10" x14ac:dyDescent="0.3">
      <c r="I94" s="32">
        <v>45689</v>
      </c>
      <c r="J94" s="6">
        <v>128406.47999999998</v>
      </c>
    </row>
    <row r="95" spans="9:10" x14ac:dyDescent="0.3">
      <c r="I95" s="32">
        <v>45717</v>
      </c>
      <c r="J95" s="6">
        <v>137593.62000000002</v>
      </c>
    </row>
    <row r="96" spans="9:10" x14ac:dyDescent="0.3">
      <c r="I96" s="32">
        <v>45870</v>
      </c>
      <c r="J96" s="6">
        <v>124974.00000000001</v>
      </c>
    </row>
    <row r="97" spans="9:10" x14ac:dyDescent="0.3">
      <c r="I97" s="32">
        <v>46023</v>
      </c>
      <c r="J97" s="6">
        <v>140482.65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Clean_Data</vt:lpstr>
      <vt:lpstr>Other_Categories</vt:lpstr>
      <vt:lpstr>Cleaning_Log</vt:lpstr>
      <vt:lpstr>Top_States</vt:lpstr>
      <vt:lpstr>By_Month</vt:lpstr>
      <vt:lpstr>Growth</vt:lpstr>
      <vt:lpstr>Dash_Data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ALIRIZWAN VOHRA</cp:lastModifiedBy>
  <dcterms:created xsi:type="dcterms:W3CDTF">2026-10-06T10:30:58Z</dcterms:created>
  <dcterms:modified xsi:type="dcterms:W3CDTF">2026-10-06T11:16:49Z</dcterms:modified>
</cp:coreProperties>
</file>